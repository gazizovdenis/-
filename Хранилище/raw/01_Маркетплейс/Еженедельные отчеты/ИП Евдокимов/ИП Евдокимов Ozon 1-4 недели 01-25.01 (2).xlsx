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4 нед\"/>
    </mc:Choice>
  </mc:AlternateContent>
  <xr:revisionPtr revIDLastSave="0" documentId="13_ncr:1_{C8327267-4854-4C4C-8867-D3EE48377AB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01.02" sheetId="23" state="hidden" r:id="rId2"/>
    <sheet name="АВС ЯНВАРЬ" sheetId="22" r:id="rId3"/>
    <sheet name="АВС 26-31.01" sheetId="21" r:id="rId4"/>
    <sheet name="АВС 19-25.01" sheetId="20" r:id="rId5"/>
    <sheet name="АВС 12-18.01" sheetId="19" r:id="rId6"/>
    <sheet name="АВС 05-11.01" sheetId="18" r:id="rId7"/>
    <sheet name="АВС 01-04.01" sheetId="17" r:id="rId8"/>
    <sheet name="Юнит 01.02" sheetId="15" state="hidden" r:id="rId9"/>
    <sheet name="ЯНВАРЬ" sheetId="16" r:id="rId10"/>
    <sheet name="Юнит 26-31.01" sheetId="14" r:id="rId11"/>
    <sheet name="Юнит 19-25.01" sheetId="4" r:id="rId12"/>
    <sheet name="Юнит 12-18.01" sheetId="3" r:id="rId13"/>
    <sheet name="Отчет 01.02" sheetId="9" state="hidden" r:id="rId14"/>
    <sheet name="Отчет 26-31.01" sheetId="8" state="hidden" r:id="rId15"/>
    <sheet name="Юнит 05-11.01" sheetId="13" r:id="rId16"/>
    <sheet name="Юнит 01-04.01" sheetId="12" r:id="rId17"/>
    <sheet name="Отчет 19-25.01" sheetId="6" state="hidden" r:id="rId18"/>
    <sheet name="Отчет 12-18.01" sheetId="5" state="hidden" r:id="rId19"/>
    <sheet name="Отчет 05-11.01" sheetId="10" state="hidden" r:id="rId20"/>
    <sheet name="Отчет 01-04.01" sheetId="11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" i="20" l="1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C5" i="20"/>
  <c r="C7" i="20"/>
  <c r="C4" i="20"/>
  <c r="C8" i="20"/>
  <c r="C16" i="20"/>
  <c r="C10" i="20"/>
  <c r="C11" i="20"/>
  <c r="C9" i="20"/>
  <c r="C12" i="20"/>
  <c r="C13" i="20"/>
  <c r="C14" i="20"/>
  <c r="C17" i="20"/>
  <c r="C15" i="20"/>
  <c r="C6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C10" i="19"/>
  <c r="C7" i="19"/>
  <c r="C5" i="19"/>
  <c r="C6" i="19"/>
  <c r="C11" i="19"/>
  <c r="C12" i="19"/>
  <c r="C13" i="19"/>
  <c r="C9" i="19"/>
  <c r="C14" i="19"/>
  <c r="C15" i="19"/>
  <c r="C16" i="19"/>
  <c r="C4" i="19"/>
  <c r="C17" i="19"/>
  <c r="C8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C10" i="18"/>
  <c r="C11" i="18"/>
  <c r="C6" i="18"/>
  <c r="C7" i="18"/>
  <c r="C8" i="18"/>
  <c r="C12" i="18"/>
  <c r="C13" i="18"/>
  <c r="C4" i="18"/>
  <c r="C14" i="18"/>
  <c r="C15" i="18"/>
  <c r="C16" i="18"/>
  <c r="C5" i="18"/>
  <c r="C17" i="18"/>
  <c r="C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C5" i="17"/>
  <c r="C8" i="17"/>
  <c r="C16" i="17"/>
  <c r="C6" i="17"/>
  <c r="C15" i="17"/>
  <c r="C9" i="17"/>
  <c r="C10" i="17"/>
  <c r="C17" i="17"/>
  <c r="C11" i="17"/>
  <c r="C12" i="17"/>
  <c r="C13" i="17"/>
  <c r="C4" i="17"/>
  <c r="C14" i="17"/>
  <c r="C7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C18" i="23"/>
  <c r="D15" i="23" s="1"/>
  <c r="K17" i="23"/>
  <c r="K14" i="23"/>
  <c r="D14" i="23"/>
  <c r="D13" i="23"/>
  <c r="K12" i="23"/>
  <c r="K10" i="23"/>
  <c r="D10" i="23"/>
  <c r="K9" i="23"/>
  <c r="D8" i="23"/>
  <c r="K6" i="23"/>
  <c r="D6" i="23"/>
  <c r="D5" i="23"/>
  <c r="K4" i="23"/>
  <c r="K18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C18" i="22"/>
  <c r="D15" i="22" s="1"/>
  <c r="K17" i="22"/>
  <c r="D17" i="22"/>
  <c r="K16" i="22"/>
  <c r="K15" i="22"/>
  <c r="K14" i="22"/>
  <c r="D14" i="22"/>
  <c r="K13" i="22"/>
  <c r="D13" i="22"/>
  <c r="K12" i="22"/>
  <c r="D12" i="22"/>
  <c r="K11" i="22"/>
  <c r="D11" i="22"/>
  <c r="K10" i="22"/>
  <c r="D10" i="22"/>
  <c r="K9" i="22"/>
  <c r="D9" i="22"/>
  <c r="K8" i="22"/>
  <c r="D8" i="22"/>
  <c r="K7" i="22"/>
  <c r="D7" i="22"/>
  <c r="K6" i="22"/>
  <c r="D6" i="22"/>
  <c r="K5" i="22"/>
  <c r="D5" i="22"/>
  <c r="K4" i="22"/>
  <c r="K18" i="22" s="1"/>
  <c r="D4" i="22"/>
  <c r="D18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18" i="21"/>
  <c r="C18" i="21"/>
  <c r="D15" i="21" s="1"/>
  <c r="K17" i="21"/>
  <c r="K16" i="21"/>
  <c r="K15" i="21"/>
  <c r="K14" i="21"/>
  <c r="K13" i="21"/>
  <c r="K12" i="21"/>
  <c r="K11" i="21"/>
  <c r="D11" i="21"/>
  <c r="K10" i="21"/>
  <c r="D10" i="21"/>
  <c r="K9" i="21"/>
  <c r="D9" i="21"/>
  <c r="K8" i="21"/>
  <c r="D8" i="21"/>
  <c r="K7" i="21"/>
  <c r="D7" i="21"/>
  <c r="K6" i="21"/>
  <c r="D6" i="21"/>
  <c r="K5" i="21"/>
  <c r="D5" i="21"/>
  <c r="K4" i="21"/>
  <c r="K18" i="21" s="1"/>
  <c r="D4" i="21"/>
  <c r="D18" i="21" s="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D12" i="21" l="1"/>
  <c r="D13" i="21"/>
  <c r="D14" i="21"/>
  <c r="C18" i="20"/>
  <c r="J18" i="20"/>
  <c r="K5" i="20" s="1"/>
  <c r="K9" i="20"/>
  <c r="K17" i="20"/>
  <c r="D15" i="20"/>
  <c r="D11" i="20"/>
  <c r="D4" i="20"/>
  <c r="E4" i="20" s="1"/>
  <c r="F4" i="20" s="1"/>
  <c r="D10" i="20"/>
  <c r="D12" i="20"/>
  <c r="C18" i="19"/>
  <c r="D10" i="19" s="1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D16" i="19"/>
  <c r="D7" i="19"/>
  <c r="D11" i="19"/>
  <c r="D5" i="19"/>
  <c r="D6" i="19"/>
  <c r="D15" i="19"/>
  <c r="C18" i="18"/>
  <c r="J18" i="18"/>
  <c r="K8" i="18" s="1"/>
  <c r="K13" i="18"/>
  <c r="K4" i="18"/>
  <c r="L4" i="18" s="1"/>
  <c r="K11" i="18"/>
  <c r="K14" i="18"/>
  <c r="K17" i="18"/>
  <c r="K6" i="18"/>
  <c r="K12" i="18"/>
  <c r="D15" i="18"/>
  <c r="D5" i="18"/>
  <c r="D10" i="18"/>
  <c r="D6" i="18"/>
  <c r="D11" i="18"/>
  <c r="D14" i="18"/>
  <c r="C18" i="17"/>
  <c r="D12" i="17" s="1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D8" i="17"/>
  <c r="D11" i="17"/>
  <c r="D4" i="17"/>
  <c r="D14" i="17"/>
  <c r="D7" i="17"/>
  <c r="D15" i="17"/>
  <c r="D10" i="17"/>
  <c r="D13" i="17"/>
  <c r="D17" i="17"/>
  <c r="D9" i="17"/>
  <c r="D6" i="17"/>
  <c r="D4" i="23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L5" i="23" s="1"/>
  <c r="M5" i="23" s="1"/>
  <c r="G5" i="23" s="1"/>
  <c r="D9" i="23"/>
  <c r="K13" i="23"/>
  <c r="D17" i="23"/>
  <c r="L22" i="23"/>
  <c r="M22" i="23" s="1"/>
  <c r="D25" i="23"/>
  <c r="K29" i="23"/>
  <c r="D33" i="23"/>
  <c r="K37" i="23"/>
  <c r="D41" i="23"/>
  <c r="D16" i="23"/>
  <c r="L4" i="23"/>
  <c r="M4" i="23" s="1"/>
  <c r="G4" i="23" s="1"/>
  <c r="D7" i="23"/>
  <c r="D23" i="23"/>
  <c r="K27" i="23"/>
  <c r="D31" i="23"/>
  <c r="E22" i="22"/>
  <c r="E4" i="22"/>
  <c r="L22" i="22"/>
  <c r="M22" i="22" s="1"/>
  <c r="D16" i="22"/>
  <c r="L4" i="22"/>
  <c r="M4" i="22" s="1"/>
  <c r="G4" i="22" s="1"/>
  <c r="D22" i="21"/>
  <c r="D30" i="21"/>
  <c r="D38" i="21"/>
  <c r="E4" i="21"/>
  <c r="F4" i="21" s="1"/>
  <c r="D27" i="21"/>
  <c r="D35" i="21"/>
  <c r="D17" i="21"/>
  <c r="L22" i="21"/>
  <c r="D25" i="21"/>
  <c r="D33" i="21"/>
  <c r="D41" i="21"/>
  <c r="D16" i="21"/>
  <c r="D24" i="21"/>
  <c r="D32" i="21"/>
  <c r="D40" i="21"/>
  <c r="L4" i="21"/>
  <c r="D23" i="21"/>
  <c r="D31" i="21"/>
  <c r="D6" i="20"/>
  <c r="D14" i="20"/>
  <c r="D22" i="20"/>
  <c r="D30" i="20"/>
  <c r="D38" i="20"/>
  <c r="D5" i="20"/>
  <c r="D13" i="20"/>
  <c r="D29" i="20"/>
  <c r="D37" i="20"/>
  <c r="D17" i="20"/>
  <c r="L22" i="20"/>
  <c r="M22" i="20" s="1"/>
  <c r="D8" i="20"/>
  <c r="D16" i="20"/>
  <c r="D24" i="20"/>
  <c r="D32" i="20"/>
  <c r="D40" i="20"/>
  <c r="D9" i="20"/>
  <c r="D25" i="20"/>
  <c r="D33" i="20"/>
  <c r="D41" i="20"/>
  <c r="D7" i="20"/>
  <c r="D23" i="20"/>
  <c r="D31" i="20"/>
  <c r="E24" i="19"/>
  <c r="F24" i="19" s="1"/>
  <c r="F23" i="19"/>
  <c r="L23" i="19"/>
  <c r="L22" i="19"/>
  <c r="M22" i="19" s="1"/>
  <c r="L23" i="18"/>
  <c r="D13" i="18"/>
  <c r="E22" i="18"/>
  <c r="F22" i="18" s="1"/>
  <c r="D4" i="18"/>
  <c r="D12" i="18"/>
  <c r="D28" i="18"/>
  <c r="D36" i="18"/>
  <c r="D9" i="18"/>
  <c r="D8" i="18"/>
  <c r="D16" i="18"/>
  <c r="D24" i="18"/>
  <c r="D32" i="18"/>
  <c r="D40" i="18"/>
  <c r="D17" i="18"/>
  <c r="L22" i="18"/>
  <c r="M22" i="18" s="1"/>
  <c r="D7" i="18"/>
  <c r="D23" i="18"/>
  <c r="D31" i="18"/>
  <c r="L24" i="17"/>
  <c r="M24" i="17" s="1"/>
  <c r="E24" i="17"/>
  <c r="F24" i="17" s="1"/>
  <c r="F23" i="17"/>
  <c r="L25" i="17"/>
  <c r="L23" i="17"/>
  <c r="M23" i="17" s="1"/>
  <c r="E4" i="17"/>
  <c r="F4" i="17" s="1"/>
  <c r="K15" i="20" l="1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D18" i="20"/>
  <c r="D8" i="19"/>
  <c r="D14" i="19"/>
  <c r="D12" i="19"/>
  <c r="D9" i="19"/>
  <c r="D13" i="19"/>
  <c r="D17" i="19"/>
  <c r="D4" i="19"/>
  <c r="E4" i="19" s="1"/>
  <c r="F4" i="19" s="1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D16" i="17"/>
  <c r="D5" i="17"/>
  <c r="K18" i="17"/>
  <c r="D18" i="17"/>
  <c r="L24" i="23"/>
  <c r="D18" i="23"/>
  <c r="E4" i="23"/>
  <c r="E23" i="23"/>
  <c r="L6" i="23"/>
  <c r="M6" i="23" s="1"/>
  <c r="G6" i="23" s="1"/>
  <c r="L12" i="23"/>
  <c r="M12" i="23" s="1"/>
  <c r="G12" i="23" s="1"/>
  <c r="F4" i="22"/>
  <c r="E5" i="22"/>
  <c r="F22" i="22"/>
  <c r="E23" i="22"/>
  <c r="L23" i="22"/>
  <c r="L5" i="22"/>
  <c r="L5" i="21"/>
  <c r="M4" i="21"/>
  <c r="G4" i="21" s="1"/>
  <c r="M22" i="21"/>
  <c r="L23" i="21"/>
  <c r="E5" i="21"/>
  <c r="D42" i="21"/>
  <c r="E22" i="21"/>
  <c r="F22" i="21" s="1"/>
  <c r="D42" i="20"/>
  <c r="E22" i="20"/>
  <c r="F22" i="20" s="1"/>
  <c r="E23" i="20"/>
  <c r="F23" i="20" s="1"/>
  <c r="L23" i="20"/>
  <c r="E5" i="20"/>
  <c r="E6" i="20" s="1"/>
  <c r="F6" i="20" s="1"/>
  <c r="E25" i="19"/>
  <c r="M23" i="19"/>
  <c r="L24" i="19"/>
  <c r="L24" i="18"/>
  <c r="M23" i="18"/>
  <c r="E4" i="18"/>
  <c r="D18" i="18"/>
  <c r="E23" i="18"/>
  <c r="F23" i="18" s="1"/>
  <c r="E24" i="18"/>
  <c r="E5" i="17"/>
  <c r="F5" i="17" s="1"/>
  <c r="L5" i="17"/>
  <c r="L6" i="17" s="1"/>
  <c r="M6" i="17" s="1"/>
  <c r="E25" i="17"/>
  <c r="M25" i="17"/>
  <c r="L26" i="17"/>
  <c r="L5" i="20" l="1"/>
  <c r="K18" i="20"/>
  <c r="E5" i="19"/>
  <c r="D18" i="19"/>
  <c r="L12" i="19"/>
  <c r="L6" i="19"/>
  <c r="L12" i="18"/>
  <c r="M12" i="18" s="1"/>
  <c r="G12" i="18" s="1"/>
  <c r="L6" i="18"/>
  <c r="M6" i="18" s="1"/>
  <c r="L7" i="17"/>
  <c r="E6" i="17"/>
  <c r="F23" i="23"/>
  <c r="E24" i="23"/>
  <c r="F4" i="23"/>
  <c r="E5" i="23"/>
  <c r="M24" i="23"/>
  <c r="L25" i="23"/>
  <c r="L13" i="23"/>
  <c r="L7" i="23"/>
  <c r="F23" i="22"/>
  <c r="E24" i="22"/>
  <c r="F5" i="22"/>
  <c r="E12" i="22"/>
  <c r="E6" i="22"/>
  <c r="M5" i="22"/>
  <c r="G5" i="22" s="1"/>
  <c r="L12" i="22"/>
  <c r="L6" i="22"/>
  <c r="M23" i="22"/>
  <c r="L24" i="22"/>
  <c r="M23" i="21"/>
  <c r="L24" i="21"/>
  <c r="E6" i="21"/>
  <c r="F5" i="21"/>
  <c r="E12" i="21"/>
  <c r="E23" i="21"/>
  <c r="M5" i="21"/>
  <c r="G5" i="21" s="1"/>
  <c r="L12" i="21"/>
  <c r="L6" i="21"/>
  <c r="L12" i="20"/>
  <c r="M5" i="20"/>
  <c r="L6" i="20"/>
  <c r="E24" i="20"/>
  <c r="E7" i="20"/>
  <c r="F5" i="20"/>
  <c r="E12" i="20"/>
  <c r="M23" i="20"/>
  <c r="L24" i="20"/>
  <c r="M24" i="19"/>
  <c r="L25" i="19"/>
  <c r="F25" i="19"/>
  <c r="E26" i="19"/>
  <c r="F24" i="18"/>
  <c r="E25" i="18"/>
  <c r="F4" i="18"/>
  <c r="E5" i="18"/>
  <c r="M24" i="18"/>
  <c r="L25" i="18"/>
  <c r="L13" i="18"/>
  <c r="E12" i="17"/>
  <c r="E13" i="17" s="1"/>
  <c r="M5" i="17"/>
  <c r="L12" i="17"/>
  <c r="M26" i="17"/>
  <c r="L27" i="17"/>
  <c r="F25" i="17"/>
  <c r="E26" i="17"/>
  <c r="E12" i="19" l="1"/>
  <c r="F5" i="19"/>
  <c r="E6" i="19"/>
  <c r="M6" i="19"/>
  <c r="L7" i="19"/>
  <c r="M12" i="19"/>
  <c r="G12" i="19" s="1"/>
  <c r="L13" i="19"/>
  <c r="L7" i="18"/>
  <c r="L8" i="17"/>
  <c r="M7" i="17"/>
  <c r="G7" i="17" s="1"/>
  <c r="F12" i="17"/>
  <c r="F6" i="17"/>
  <c r="E7" i="17"/>
  <c r="F24" i="23"/>
  <c r="E25" i="23"/>
  <c r="M13" i="23"/>
  <c r="G13" i="23" s="1"/>
  <c r="L14" i="23"/>
  <c r="M25" i="23"/>
  <c r="L26" i="23"/>
  <c r="M7" i="23"/>
  <c r="G7" i="23" s="1"/>
  <c r="L8" i="23"/>
  <c r="F5" i="23"/>
  <c r="E6" i="23"/>
  <c r="E12" i="23"/>
  <c r="E13" i="22"/>
  <c r="F12" i="22"/>
  <c r="M6" i="22"/>
  <c r="G6" i="22" s="1"/>
  <c r="L7" i="22"/>
  <c r="M12" i="22"/>
  <c r="G12" i="22" s="1"/>
  <c r="L13" i="22"/>
  <c r="F6" i="22"/>
  <c r="E7" i="22"/>
  <c r="L25" i="22"/>
  <c r="M24" i="22"/>
  <c r="F24" i="22"/>
  <c r="E25" i="22"/>
  <c r="F23" i="21"/>
  <c r="E24" i="21"/>
  <c r="F12" i="21"/>
  <c r="E13" i="21"/>
  <c r="L13" i="21"/>
  <c r="M12" i="21"/>
  <c r="G12" i="21" s="1"/>
  <c r="F6" i="21"/>
  <c r="E7" i="21"/>
  <c r="M24" i="21"/>
  <c r="L25" i="21"/>
  <c r="M6" i="21"/>
  <c r="G6" i="21" s="1"/>
  <c r="L7" i="21"/>
  <c r="F12" i="20"/>
  <c r="E13" i="20"/>
  <c r="F7" i="20"/>
  <c r="E8" i="20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F5" i="18"/>
  <c r="E6" i="18"/>
  <c r="E12" i="18"/>
  <c r="M12" i="17"/>
  <c r="G12" i="17" s="1"/>
  <c r="L13" i="17"/>
  <c r="F26" i="17"/>
  <c r="E27" i="17"/>
  <c r="F13" i="17"/>
  <c r="E14" i="17"/>
  <c r="M27" i="17"/>
  <c r="L28" i="17"/>
  <c r="E7" i="19" l="1"/>
  <c r="F6" i="19"/>
  <c r="F12" i="19"/>
  <c r="E13" i="19"/>
  <c r="M13" i="19"/>
  <c r="L14" i="19"/>
  <c r="M7" i="19"/>
  <c r="G7" i="19" s="1"/>
  <c r="L8" i="19"/>
  <c r="M8" i="17"/>
  <c r="G8" i="17" s="1"/>
  <c r="L9" i="17"/>
  <c r="E8" i="17"/>
  <c r="F7" i="17"/>
  <c r="M8" i="23"/>
  <c r="G8" i="23" s="1"/>
  <c r="L9" i="23"/>
  <c r="M26" i="23"/>
  <c r="L27" i="23"/>
  <c r="M14" i="23"/>
  <c r="G14" i="23" s="1"/>
  <c r="L17" i="23"/>
  <c r="M17" i="23" s="1"/>
  <c r="G17" i="23" s="1"/>
  <c r="L15" i="23"/>
  <c r="F12" i="23"/>
  <c r="E13" i="23"/>
  <c r="F6" i="23"/>
  <c r="E7" i="23"/>
  <c r="F25" i="23"/>
  <c r="E26" i="23"/>
  <c r="M13" i="22"/>
  <c r="G13" i="22" s="1"/>
  <c r="L14" i="22"/>
  <c r="M7" i="22"/>
  <c r="G7" i="22" s="1"/>
  <c r="L8" i="22"/>
  <c r="F7" i="22"/>
  <c r="E8" i="22"/>
  <c r="F25" i="22"/>
  <c r="E26" i="22"/>
  <c r="M25" i="22"/>
  <c r="L26" i="22"/>
  <c r="F13" i="22"/>
  <c r="E14" i="22"/>
  <c r="F7" i="21"/>
  <c r="E8" i="21"/>
  <c r="M13" i="21"/>
  <c r="G13" i="21" s="1"/>
  <c r="L14" i="21"/>
  <c r="M7" i="21"/>
  <c r="G7" i="21" s="1"/>
  <c r="L8" i="21"/>
  <c r="F13" i="21"/>
  <c r="E14" i="21"/>
  <c r="L26" i="21"/>
  <c r="M25" i="21"/>
  <c r="F24" i="21"/>
  <c r="E25" i="21"/>
  <c r="M7" i="20"/>
  <c r="G7" i="20" s="1"/>
  <c r="L8" i="20"/>
  <c r="F25" i="20"/>
  <c r="E26" i="20"/>
  <c r="M25" i="20"/>
  <c r="L26" i="20"/>
  <c r="F13" i="20"/>
  <c r="E14" i="20"/>
  <c r="M13" i="20"/>
  <c r="L14" i="20"/>
  <c r="F8" i="20"/>
  <c r="E9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F12" i="18"/>
  <c r="E13" i="18"/>
  <c r="F6" i="18"/>
  <c r="E7" i="18"/>
  <c r="M8" i="18"/>
  <c r="G8" i="18" s="1"/>
  <c r="L9" i="18"/>
  <c r="M13" i="17"/>
  <c r="L14" i="17"/>
  <c r="M28" i="17"/>
  <c r="L29" i="17"/>
  <c r="F14" i="17"/>
  <c r="E15" i="17"/>
  <c r="E17" i="17"/>
  <c r="F17" i="17" s="1"/>
  <c r="F27" i="17"/>
  <c r="E28" i="17"/>
  <c r="F13" i="19" l="1"/>
  <c r="E14" i="19"/>
  <c r="F7" i="19"/>
  <c r="E8" i="19"/>
  <c r="M8" i="19"/>
  <c r="G8" i="19" s="1"/>
  <c r="L9" i="19"/>
  <c r="M14" i="19"/>
  <c r="L17" i="19"/>
  <c r="M17" i="19" s="1"/>
  <c r="G17" i="19" s="1"/>
  <c r="L15" i="19"/>
  <c r="G13" i="18"/>
  <c r="M9" i="17"/>
  <c r="L10" i="17"/>
  <c r="F8" i="17"/>
  <c r="E9" i="17"/>
  <c r="F26" i="23"/>
  <c r="E27" i="23"/>
  <c r="M27" i="23"/>
  <c r="L28" i="23"/>
  <c r="F7" i="23"/>
  <c r="E8" i="23"/>
  <c r="M9" i="23"/>
  <c r="G9" i="23" s="1"/>
  <c r="L10" i="23"/>
  <c r="M15" i="23"/>
  <c r="G15" i="23" s="1"/>
  <c r="L16" i="23"/>
  <c r="M16" i="23" s="1"/>
  <c r="G16" i="23" s="1"/>
  <c r="F13" i="23"/>
  <c r="E14" i="23"/>
  <c r="F26" i="22"/>
  <c r="E27" i="22"/>
  <c r="F8" i="22"/>
  <c r="E9" i="22"/>
  <c r="F14" i="22"/>
  <c r="E15" i="22"/>
  <c r="E17" i="22"/>
  <c r="F17" i="22" s="1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14" i="21"/>
  <c r="G14" i="21" s="1"/>
  <c r="L15" i="21"/>
  <c r="L17" i="21"/>
  <c r="M17" i="21" s="1"/>
  <c r="G17" i="21" s="1"/>
  <c r="F14" i="21"/>
  <c r="E15" i="21"/>
  <c r="E17" i="21"/>
  <c r="F17" i="21" s="1"/>
  <c r="M8" i="21"/>
  <c r="G8" i="21" s="1"/>
  <c r="L9" i="21"/>
  <c r="E9" i="21"/>
  <c r="F8" i="21"/>
  <c r="M26" i="21"/>
  <c r="L27" i="21"/>
  <c r="F14" i="20"/>
  <c r="E15" i="20"/>
  <c r="E17" i="20"/>
  <c r="F17" i="20" s="1"/>
  <c r="M26" i="20"/>
  <c r="L27" i="20"/>
  <c r="F9" i="20"/>
  <c r="E10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7" i="18"/>
  <c r="E8" i="18"/>
  <c r="F27" i="18"/>
  <c r="E28" i="18"/>
  <c r="F13" i="18"/>
  <c r="E14" i="18"/>
  <c r="M14" i="17"/>
  <c r="L15" i="17"/>
  <c r="L17" i="17"/>
  <c r="M17" i="17" s="1"/>
  <c r="G17" i="17" s="1"/>
  <c r="F15" i="17"/>
  <c r="E16" i="17"/>
  <c r="F16" i="17" s="1"/>
  <c r="F28" i="17"/>
  <c r="E29" i="17"/>
  <c r="M29" i="17"/>
  <c r="L30" i="17"/>
  <c r="G8" i="20" l="1"/>
  <c r="G5" i="20"/>
  <c r="G13" i="20"/>
  <c r="F8" i="19"/>
  <c r="E9" i="19"/>
  <c r="F14" i="19"/>
  <c r="E17" i="19"/>
  <c r="F17" i="19" s="1"/>
  <c r="E15" i="19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E10" i="17"/>
  <c r="F9" i="17"/>
  <c r="M10" i="23"/>
  <c r="G10" i="23" s="1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G9" i="22" s="1"/>
  <c r="L10" i="22"/>
  <c r="M15" i="22"/>
  <c r="G15" i="22" s="1"/>
  <c r="L16" i="22"/>
  <c r="M16" i="22" s="1"/>
  <c r="G16" i="22" s="1"/>
  <c r="F15" i="22"/>
  <c r="E16" i="22"/>
  <c r="F16" i="22" s="1"/>
  <c r="L28" i="22"/>
  <c r="M27" i="22"/>
  <c r="F9" i="22"/>
  <c r="E10" i="22"/>
  <c r="F27" i="22"/>
  <c r="E28" i="22"/>
  <c r="M15" i="21"/>
  <c r="G15" i="21" s="1"/>
  <c r="L16" i="21"/>
  <c r="M16" i="21" s="1"/>
  <c r="G16" i="21" s="1"/>
  <c r="F9" i="21"/>
  <c r="E10" i="21"/>
  <c r="M9" i="21"/>
  <c r="G9" i="21" s="1"/>
  <c r="L10" i="21"/>
  <c r="F26" i="21"/>
  <c r="E27" i="21"/>
  <c r="F15" i="21"/>
  <c r="E16" i="21"/>
  <c r="F16" i="21" s="1"/>
  <c r="M27" i="21"/>
  <c r="L28" i="21"/>
  <c r="M27" i="20"/>
  <c r="L28" i="20"/>
  <c r="M15" i="20"/>
  <c r="G15" i="20" s="1"/>
  <c r="L16" i="20"/>
  <c r="M16" i="20" s="1"/>
  <c r="G16" i="20" s="1"/>
  <c r="F10" i="20"/>
  <c r="E11" i="20"/>
  <c r="F11" i="20" s="1"/>
  <c r="F15" i="20"/>
  <c r="E16" i="20"/>
  <c r="F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F14" i="18"/>
  <c r="E15" i="18"/>
  <c r="E17" i="18"/>
  <c r="F17" i="18" s="1"/>
  <c r="F8" i="18"/>
  <c r="E9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4" i="20" l="1"/>
  <c r="G14" i="20"/>
  <c r="E16" i="19"/>
  <c r="F16" i="19" s="1"/>
  <c r="F15" i="19"/>
  <c r="E10" i="19"/>
  <c r="F9" i="19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E11" i="17"/>
  <c r="F11" i="17" s="1"/>
  <c r="F10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10" i="22"/>
  <c r="E11" i="22"/>
  <c r="F11" i="22" s="1"/>
  <c r="M10" i="22"/>
  <c r="G10" i="22" s="1"/>
  <c r="L11" i="22"/>
  <c r="M11" i="22" s="1"/>
  <c r="G11" i="22" s="1"/>
  <c r="F27" i="21"/>
  <c r="E28" i="21"/>
  <c r="M10" i="21"/>
  <c r="G10" i="21" s="1"/>
  <c r="L11" i="21"/>
  <c r="M11" i="21" s="1"/>
  <c r="G11" i="21" s="1"/>
  <c r="M28" i="21"/>
  <c r="L29" i="21"/>
  <c r="E11" i="21"/>
  <c r="F11" i="21" s="1"/>
  <c r="F10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F9" i="18"/>
  <c r="E10" i="18"/>
  <c r="F15" i="18"/>
  <c r="E16" i="18"/>
  <c r="F16" i="18" s="1"/>
  <c r="M29" i="18"/>
  <c r="L30" i="18"/>
  <c r="F30" i="17"/>
  <c r="E31" i="17"/>
  <c r="M31" i="17"/>
  <c r="L32" i="17"/>
  <c r="G10" i="20" l="1"/>
  <c r="G6" i="20"/>
  <c r="G9" i="20"/>
  <c r="F10" i="19"/>
  <c r="E11" i="19"/>
  <c r="F11" i="19" s="1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10" i="18"/>
  <c r="E11" i="18"/>
  <c r="F11" i="18" s="1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F3" i="7" l="1"/>
  <c r="F8" i="7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18" i="16" s="1"/>
  <c r="K24" i="16" s="1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D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A19" i="16" l="1"/>
  <c r="AA26" i="16" s="1"/>
  <c r="N7" i="16"/>
  <c r="C18" i="16"/>
  <c r="C24" i="16" s="1"/>
  <c r="I18" i="16"/>
  <c r="I24" i="16" s="1"/>
  <c r="I32" i="16" s="1"/>
  <c r="J32" i="16" s="1"/>
  <c r="L31" i="16"/>
  <c r="J31" i="16"/>
  <c r="J33" i="16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3" i="4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3" i="3"/>
  <c r="AA18" i="3"/>
  <c r="AA19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R7" i="7"/>
  <c r="F7" i="7"/>
  <c r="R6" i="7"/>
  <c r="L6" i="7"/>
  <c r="J6" i="7"/>
  <c r="I6" i="7"/>
  <c r="H6" i="7"/>
  <c r="G6" i="7"/>
  <c r="F6" i="7"/>
  <c r="R5" i="7"/>
  <c r="R4" i="7"/>
  <c r="R3" i="7"/>
  <c r="W8" i="7"/>
  <c r="V8" i="7"/>
  <c r="U8" i="7"/>
  <c r="T8" i="7"/>
  <c r="S8" i="7"/>
  <c r="Q8" i="7"/>
  <c r="P8" i="7"/>
  <c r="O8" i="7"/>
  <c r="Z18" i="16" l="1"/>
  <c r="Z24" i="16" s="1"/>
  <c r="X18" i="16"/>
  <c r="X24" i="16" s="1"/>
  <c r="K6" i="7"/>
  <c r="X6" i="7" s="1"/>
  <c r="AD6" i="7" l="1"/>
  <c r="AA6" i="7"/>
  <c r="R8" i="7" l="1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AK12" i="15" s="1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AK8" i="15" s="1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AK3" i="15" s="1"/>
  <c r="K33" i="15"/>
  <c r="I33" i="15"/>
  <c r="K31" i="15"/>
  <c r="I31" i="15"/>
  <c r="AA26" i="15"/>
  <c r="J24" i="15"/>
  <c r="G24" i="15"/>
  <c r="F24" i="15"/>
  <c r="E24" i="15"/>
  <c r="D24" i="15"/>
  <c r="AA23" i="15"/>
  <c r="AP22" i="15"/>
  <c r="AE22" i="15"/>
  <c r="AD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A19" i="15"/>
  <c r="AC18" i="15"/>
  <c r="AC24" i="15" s="1"/>
  <c r="AB18" i="15"/>
  <c r="AH16" i="15"/>
  <c r="N16" i="15"/>
  <c r="I16" i="15"/>
  <c r="AH15" i="15"/>
  <c r="N15" i="15"/>
  <c r="I15" i="15"/>
  <c r="AH14" i="15"/>
  <c r="N14" i="15"/>
  <c r="AH13" i="15"/>
  <c r="N13" i="15"/>
  <c r="I13" i="15"/>
  <c r="AH12" i="15"/>
  <c r="N12" i="15"/>
  <c r="I12" i="15"/>
  <c r="AH11" i="15"/>
  <c r="N11" i="15"/>
  <c r="I11" i="15"/>
  <c r="AH10" i="15"/>
  <c r="N10" i="15"/>
  <c r="I10" i="15"/>
  <c r="AH9" i="15"/>
  <c r="N9" i="15"/>
  <c r="I9" i="15"/>
  <c r="AH8" i="15"/>
  <c r="N8" i="15"/>
  <c r="I8" i="15"/>
  <c r="AH7" i="15"/>
  <c r="N7" i="15"/>
  <c r="I7" i="15"/>
  <c r="AH6" i="15"/>
  <c r="N6" i="15"/>
  <c r="I6" i="15"/>
  <c r="AH5" i="15"/>
  <c r="N5" i="15"/>
  <c r="C18" i="15"/>
  <c r="C24" i="15" s="1"/>
  <c r="AH4" i="15"/>
  <c r="N4" i="15"/>
  <c r="I4" i="15"/>
  <c r="AH3" i="15"/>
  <c r="AH17" i="15" s="1"/>
  <c r="N3" i="15"/>
  <c r="I3" i="15"/>
  <c r="K33" i="14"/>
  <c r="I33" i="14"/>
  <c r="K31" i="14"/>
  <c r="I31" i="14"/>
  <c r="AA26" i="14"/>
  <c r="J24" i="14"/>
  <c r="G24" i="14"/>
  <c r="F24" i="14"/>
  <c r="E24" i="14"/>
  <c r="D24" i="14"/>
  <c r="AA23" i="14"/>
  <c r="AP22" i="14"/>
  <c r="AE22" i="14"/>
  <c r="AD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19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N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D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19" i="13"/>
  <c r="AA26" i="13" s="1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19" i="12"/>
  <c r="AA26" i="12" s="1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4" i="16" l="1"/>
  <c r="Y4" i="16" s="1"/>
  <c r="U6" i="16"/>
  <c r="Y6" i="16" s="1"/>
  <c r="U8" i="16"/>
  <c r="Y8" i="16" s="1"/>
  <c r="U10" i="16"/>
  <c r="AD10" i="16" s="1"/>
  <c r="U12" i="16"/>
  <c r="AD12" i="16" s="1"/>
  <c r="U14" i="16"/>
  <c r="AD14" i="16" s="1"/>
  <c r="U16" i="16"/>
  <c r="AD16" i="16" s="1"/>
  <c r="U5" i="16"/>
  <c r="AD5" i="16" s="1"/>
  <c r="U7" i="16"/>
  <c r="AD7" i="16" s="1"/>
  <c r="U9" i="16"/>
  <c r="AD9" i="16" s="1"/>
  <c r="U11" i="16"/>
  <c r="AD11" i="16" s="1"/>
  <c r="U13" i="16"/>
  <c r="Y13" i="16" s="1"/>
  <c r="U15" i="16"/>
  <c r="Y15" i="16" s="1"/>
  <c r="T18" i="16"/>
  <c r="T24" i="16" s="1"/>
  <c r="AD6" i="16"/>
  <c r="AD8" i="16"/>
  <c r="U3" i="16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AD8" i="13" s="1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D4" i="15" s="1"/>
  <c r="AJ6" i="15"/>
  <c r="U5" i="15"/>
  <c r="AD5" i="15" s="1"/>
  <c r="AJ14" i="15"/>
  <c r="Q18" i="15"/>
  <c r="Q24" i="15" s="1"/>
  <c r="U8" i="15"/>
  <c r="AD8" i="15" s="1"/>
  <c r="R9" i="15"/>
  <c r="O9" i="15" s="1"/>
  <c r="AK10" i="15"/>
  <c r="U13" i="15"/>
  <c r="R14" i="15"/>
  <c r="AG14" i="15" s="1"/>
  <c r="AM14" i="15" s="1"/>
  <c r="R3" i="15"/>
  <c r="AG3" i="15" s="1"/>
  <c r="R4" i="15"/>
  <c r="O4" i="15" s="1"/>
  <c r="U14" i="15"/>
  <c r="AD14" i="15" s="1"/>
  <c r="R15" i="15"/>
  <c r="AI15" i="15" s="1"/>
  <c r="S18" i="15"/>
  <c r="S24" i="15" s="1"/>
  <c r="R5" i="15"/>
  <c r="O5" i="15" s="1"/>
  <c r="AK6" i="15"/>
  <c r="U9" i="15"/>
  <c r="T18" i="15"/>
  <c r="T24" i="15" s="1"/>
  <c r="X18" i="15"/>
  <c r="X24" i="15" s="1"/>
  <c r="R6" i="15"/>
  <c r="O6" i="15" s="1"/>
  <c r="AJ12" i="15"/>
  <c r="Z18" i="15"/>
  <c r="Z24" i="15" s="1"/>
  <c r="U6" i="15"/>
  <c r="AD6" i="15" s="1"/>
  <c r="R7" i="15"/>
  <c r="O7" i="15" s="1"/>
  <c r="U11" i="15"/>
  <c r="AD11" i="15" s="1"/>
  <c r="R12" i="15"/>
  <c r="O12" i="15" s="1"/>
  <c r="R16" i="15"/>
  <c r="AK16" i="15"/>
  <c r="AJ8" i="15"/>
  <c r="U12" i="15"/>
  <c r="AD12" i="15" s="1"/>
  <c r="R13" i="15"/>
  <c r="AG13" i="15" s="1"/>
  <c r="AM13" i="15" s="1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AD3" i="15" s="1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AG4" i="14" s="1"/>
  <c r="AM4" i="14" s="1"/>
  <c r="U12" i="14"/>
  <c r="AJ8" i="14"/>
  <c r="U7" i="14"/>
  <c r="AD7" i="14" s="1"/>
  <c r="U15" i="14"/>
  <c r="R8" i="13"/>
  <c r="AG8" i="13" s="1"/>
  <c r="U12" i="13"/>
  <c r="AD12" i="13" s="1"/>
  <c r="R13" i="13"/>
  <c r="AI13" i="13" s="1"/>
  <c r="U9" i="14"/>
  <c r="R11" i="14"/>
  <c r="AG11" i="14" s="1"/>
  <c r="AM11" i="14" s="1"/>
  <c r="X18" i="14"/>
  <c r="X24" i="14" s="1"/>
  <c r="N7" i="7" s="1"/>
  <c r="AJ6" i="14"/>
  <c r="AJ14" i="14"/>
  <c r="Z18" i="14"/>
  <c r="Z24" i="14" s="1"/>
  <c r="M7" i="7" s="1"/>
  <c r="U5" i="14"/>
  <c r="R7" i="14"/>
  <c r="AG7" i="14" s="1"/>
  <c r="AM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H7" i="7" s="1"/>
  <c r="R3" i="14"/>
  <c r="AI3" i="14" s="1"/>
  <c r="S18" i="14"/>
  <c r="S24" i="14" s="1"/>
  <c r="I7" i="7" s="1"/>
  <c r="U10" i="14"/>
  <c r="AD10" i="14" s="1"/>
  <c r="R12" i="14"/>
  <c r="O12" i="14" s="1"/>
  <c r="R16" i="14"/>
  <c r="AK16" i="14"/>
  <c r="T18" i="14"/>
  <c r="T24" i="14" s="1"/>
  <c r="J7" i="7" s="1"/>
  <c r="R5" i="14"/>
  <c r="AI5" i="14" s="1"/>
  <c r="U11" i="14"/>
  <c r="AD11" i="14" s="1"/>
  <c r="R13" i="14"/>
  <c r="AI13" i="14" s="1"/>
  <c r="AK14" i="14"/>
  <c r="U16" i="14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AD16" i="12" s="1"/>
  <c r="U11" i="13"/>
  <c r="AD11" i="13" s="1"/>
  <c r="R7" i="12"/>
  <c r="AI7" i="12" s="1"/>
  <c r="AJ6" i="13"/>
  <c r="U10" i="13"/>
  <c r="AD10" i="13" s="1"/>
  <c r="R11" i="13"/>
  <c r="W11" i="13" s="1"/>
  <c r="X18" i="13"/>
  <c r="X24" i="13" s="1"/>
  <c r="N4" i="7" s="1"/>
  <c r="U7" i="13"/>
  <c r="U5" i="13"/>
  <c r="U6" i="13"/>
  <c r="AD6" i="13" s="1"/>
  <c r="R7" i="13"/>
  <c r="O7" i="13" s="1"/>
  <c r="U15" i="13"/>
  <c r="U16" i="13"/>
  <c r="AD16" i="13" s="1"/>
  <c r="R3" i="13"/>
  <c r="U9" i="12"/>
  <c r="S18" i="13"/>
  <c r="S24" i="13" s="1"/>
  <c r="I4" i="7" s="1"/>
  <c r="T18" i="13"/>
  <c r="T24" i="13" s="1"/>
  <c r="J4" i="7" s="1"/>
  <c r="Q18" i="13"/>
  <c r="Q24" i="13" s="1"/>
  <c r="H4" i="7" s="1"/>
  <c r="AJ10" i="13"/>
  <c r="U13" i="13"/>
  <c r="Z18" i="13"/>
  <c r="Z24" i="13" s="1"/>
  <c r="M4" i="7" s="1"/>
  <c r="U4" i="13"/>
  <c r="AD4" i="13" s="1"/>
  <c r="R5" i="13"/>
  <c r="W5" i="13" s="1"/>
  <c r="U14" i="13"/>
  <c r="AD14" i="13" s="1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F4" i="7" s="1"/>
  <c r="R15" i="12"/>
  <c r="W15" i="12" s="1"/>
  <c r="U3" i="13"/>
  <c r="AD3" i="13" s="1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AD13" i="12" s="1"/>
  <c r="U11" i="12"/>
  <c r="AD11" i="12" s="1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AD15" i="12" s="1"/>
  <c r="X18" i="12"/>
  <c r="X24" i="12" s="1"/>
  <c r="N3" i="7" s="1"/>
  <c r="R6" i="12"/>
  <c r="AI6" i="12" s="1"/>
  <c r="R10" i="12"/>
  <c r="R14" i="12"/>
  <c r="W14" i="12" s="1"/>
  <c r="T18" i="12"/>
  <c r="T24" i="12" s="1"/>
  <c r="J3" i="7" s="1"/>
  <c r="Z18" i="12"/>
  <c r="Z24" i="12" s="1"/>
  <c r="M3" i="7" s="1"/>
  <c r="AJ6" i="12"/>
  <c r="U6" i="12"/>
  <c r="AD6" i="12" s="1"/>
  <c r="AJ7" i="12"/>
  <c r="U10" i="12"/>
  <c r="AD10" i="12" s="1"/>
  <c r="AJ11" i="12"/>
  <c r="U14" i="12"/>
  <c r="AD14" i="12" s="1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I3" i="7" s="1"/>
  <c r="AJ5" i="12"/>
  <c r="U8" i="12"/>
  <c r="AJ9" i="12"/>
  <c r="U12" i="12"/>
  <c r="AD12" i="12" s="1"/>
  <c r="AJ13" i="12"/>
  <c r="J31" i="12"/>
  <c r="J33" i="12"/>
  <c r="C18" i="12"/>
  <c r="C24" i="12" s="1"/>
  <c r="AH17" i="12"/>
  <c r="U3" i="12"/>
  <c r="AD3" i="12" s="1"/>
  <c r="P18" i="12"/>
  <c r="Q18" i="12"/>
  <c r="Q24" i="12" s="1"/>
  <c r="H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D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19" i="4"/>
  <c r="AA26" i="4" s="1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AD4" i="16" l="1"/>
  <c r="Y7" i="16"/>
  <c r="Y9" i="16"/>
  <c r="Y10" i="16"/>
  <c r="Y5" i="16"/>
  <c r="Y12" i="16"/>
  <c r="Y14" i="16"/>
  <c r="Y16" i="16"/>
  <c r="AD13" i="16"/>
  <c r="Y11" i="16"/>
  <c r="AD15" i="16"/>
  <c r="Y3" i="16"/>
  <c r="U18" i="16"/>
  <c r="AD3" i="16"/>
  <c r="O15" i="16"/>
  <c r="AI15" i="16"/>
  <c r="AG15" i="16"/>
  <c r="W15" i="16"/>
  <c r="O8" i="16"/>
  <c r="AI8" i="16"/>
  <c r="W8" i="16"/>
  <c r="AE8" i="16" s="1"/>
  <c r="AL8" i="16" s="1" a="1"/>
  <c r="AL8" i="16" s="1"/>
  <c r="AG8" i="16"/>
  <c r="AI9" i="16"/>
  <c r="AG9" i="16"/>
  <c r="AM9" i="16" s="1"/>
  <c r="O9" i="16"/>
  <c r="W9" i="16"/>
  <c r="AE9" i="16" s="1"/>
  <c r="AL9" i="16" s="1" a="1"/>
  <c r="AL9" i="16" s="1"/>
  <c r="O11" i="16"/>
  <c r="AI11" i="16"/>
  <c r="W11" i="16"/>
  <c r="AE11" i="16" s="1"/>
  <c r="AL11" i="16" s="1" a="1"/>
  <c r="AL11" i="16" s="1"/>
  <c r="AG11" i="16"/>
  <c r="O14" i="16"/>
  <c r="AI14" i="16"/>
  <c r="W14" i="16"/>
  <c r="AE14" i="16" s="1"/>
  <c r="AL14" i="16" s="1" a="1"/>
  <c r="AL14" i="16" s="1"/>
  <c r="AG14" i="16"/>
  <c r="AM14" i="16" s="1"/>
  <c r="AG4" i="16"/>
  <c r="AI4" i="16"/>
  <c r="W4" i="16"/>
  <c r="O4" i="16"/>
  <c r="O7" i="16"/>
  <c r="AG7" i="16"/>
  <c r="AI7" i="16"/>
  <c r="W7" i="16"/>
  <c r="AE7" i="16" s="1"/>
  <c r="AL7" i="16" s="1" a="1"/>
  <c r="AL7" i="16" s="1"/>
  <c r="P18" i="16"/>
  <c r="AK3" i="16"/>
  <c r="AK17" i="16" s="1"/>
  <c r="R3" i="16"/>
  <c r="AJ3" i="16"/>
  <c r="AJ17" i="16" s="1"/>
  <c r="W12" i="16"/>
  <c r="AE12" i="16" s="1"/>
  <c r="AL12" i="16" s="1" a="1"/>
  <c r="AL12" i="16" s="1"/>
  <c r="O12" i="16"/>
  <c r="AG12" i="16"/>
  <c r="AM12" i="16" s="1"/>
  <c r="AI12" i="16"/>
  <c r="AG5" i="16"/>
  <c r="W5" i="16"/>
  <c r="AE5" i="16" s="1"/>
  <c r="AL5" i="16" s="1" a="1"/>
  <c r="AL5" i="16" s="1"/>
  <c r="O5" i="16"/>
  <c r="AI5" i="16"/>
  <c r="AG10" i="16"/>
  <c r="AM10" i="16" s="1"/>
  <c r="W10" i="16"/>
  <c r="AE10" i="16" s="1"/>
  <c r="AL10" i="16" s="1" a="1"/>
  <c r="AL10" i="16" s="1"/>
  <c r="AI10" i="16"/>
  <c r="O10" i="16"/>
  <c r="O16" i="16"/>
  <c r="AI16" i="16"/>
  <c r="AG16" i="16"/>
  <c r="AM16" i="16" s="1"/>
  <c r="W16" i="16"/>
  <c r="AE16" i="16" s="1"/>
  <c r="AL16" i="16" s="1" a="1"/>
  <c r="AL16" i="16" s="1"/>
  <c r="AI6" i="16"/>
  <c r="W6" i="16"/>
  <c r="AE6" i="16" s="1"/>
  <c r="AL6" i="16" s="1" a="1"/>
  <c r="AL6" i="16" s="1"/>
  <c r="AG6" i="16"/>
  <c r="O6" i="16"/>
  <c r="AI13" i="16"/>
  <c r="O13" i="16"/>
  <c r="W13" i="16"/>
  <c r="AG13" i="16"/>
  <c r="AM13" i="16" s="1"/>
  <c r="AG15" i="13"/>
  <c r="AG3" i="13"/>
  <c r="Y16" i="15"/>
  <c r="AD16" i="15"/>
  <c r="Y9" i="15"/>
  <c r="AD9" i="15"/>
  <c r="Y13" i="15"/>
  <c r="AD13" i="15"/>
  <c r="Y7" i="15"/>
  <c r="AD7" i="15"/>
  <c r="Y15" i="15"/>
  <c r="AD15" i="15"/>
  <c r="Y10" i="15"/>
  <c r="AD10" i="15"/>
  <c r="Y12" i="14"/>
  <c r="AD12" i="14"/>
  <c r="Y9" i="14"/>
  <c r="AD9" i="14"/>
  <c r="Y5" i="14"/>
  <c r="AD5" i="14"/>
  <c r="Y16" i="14"/>
  <c r="AD16" i="14"/>
  <c r="Y15" i="14"/>
  <c r="AD15" i="14"/>
  <c r="AE15" i="14" s="1"/>
  <c r="AL15" i="14" s="1" a="1"/>
  <c r="AL15" i="14" s="1"/>
  <c r="AP15" i="14" s="1"/>
  <c r="Y7" i="12"/>
  <c r="AD7" i="12"/>
  <c r="Y8" i="12"/>
  <c r="AD8" i="12"/>
  <c r="Y5" i="12"/>
  <c r="AD5" i="12"/>
  <c r="Y9" i="12"/>
  <c r="AD9" i="12"/>
  <c r="AE9" i="12" s="1"/>
  <c r="AL9" i="12" s="1" a="1"/>
  <c r="AL9" i="12" s="1"/>
  <c r="AP9" i="12" s="1"/>
  <c r="Y4" i="12"/>
  <c r="AD4" i="12"/>
  <c r="Y5" i="13"/>
  <c r="AD5" i="13"/>
  <c r="Y7" i="13"/>
  <c r="AD7" i="13"/>
  <c r="Y9" i="13"/>
  <c r="AD9" i="13"/>
  <c r="Y13" i="13"/>
  <c r="AD13" i="13"/>
  <c r="Y15" i="13"/>
  <c r="AD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AL15" i="12" s="1" a="1"/>
  <c r="AL15" i="12" s="1"/>
  <c r="AN15" i="12" s="1"/>
  <c r="Y15" i="12"/>
  <c r="AE11" i="12"/>
  <c r="AL11" i="12" s="1" a="1"/>
  <c r="AL11" i="12" s="1"/>
  <c r="AN11" i="12" s="1"/>
  <c r="Y11" i="12"/>
  <c r="AE16" i="12"/>
  <c r="AL16" i="12" s="1" a="1"/>
  <c r="AL16" i="12" s="1"/>
  <c r="AP16" i="12" s="1"/>
  <c r="Y16" i="12"/>
  <c r="Y13" i="12"/>
  <c r="AE14" i="12"/>
  <c r="AL14" i="12" s="1" a="1"/>
  <c r="AL14" i="12" s="1"/>
  <c r="AP14" i="12" s="1"/>
  <c r="Y14" i="12"/>
  <c r="Y10" i="12"/>
  <c r="Y12" i="12"/>
  <c r="Y14" i="13"/>
  <c r="Y4" i="13"/>
  <c r="Y16" i="13"/>
  <c r="Y10" i="13"/>
  <c r="Y12" i="13"/>
  <c r="Y8" i="13"/>
  <c r="Y6" i="13"/>
  <c r="AE11" i="13"/>
  <c r="AL11" i="13" s="1" a="1"/>
  <c r="AL11" i="13" s="1"/>
  <c r="AP11" i="13" s="1"/>
  <c r="Y11" i="13"/>
  <c r="K7" i="7"/>
  <c r="X7" i="7" s="1"/>
  <c r="K4" i="7"/>
  <c r="K3" i="7"/>
  <c r="AG9" i="13"/>
  <c r="AM9" i="13" s="1"/>
  <c r="J31" i="13"/>
  <c r="W9" i="13"/>
  <c r="AI9" i="13"/>
  <c r="J33" i="14"/>
  <c r="J31" i="14"/>
  <c r="O15" i="15"/>
  <c r="W15" i="15"/>
  <c r="W7" i="15"/>
  <c r="AG11" i="15"/>
  <c r="AM11" i="15" s="1"/>
  <c r="AG12" i="15"/>
  <c r="AM12" i="15" s="1"/>
  <c r="W3" i="15"/>
  <c r="W12" i="15"/>
  <c r="W8" i="15"/>
  <c r="AI9" i="15"/>
  <c r="AG15" i="15"/>
  <c r="AM15" i="15" s="1"/>
  <c r="O3" i="15"/>
  <c r="AI8" i="15"/>
  <c r="AG8" i="15"/>
  <c r="AM8" i="15" s="1"/>
  <c r="AG10" i="15"/>
  <c r="AM10" i="15" s="1"/>
  <c r="AI14" i="15"/>
  <c r="AI3" i="15"/>
  <c r="W10" i="15"/>
  <c r="AG9" i="15"/>
  <c r="AM9" i="15" s="1"/>
  <c r="O13" i="15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M7" i="15" s="1"/>
  <c r="AG5" i="15"/>
  <c r="AM5" i="15" s="1"/>
  <c r="W14" i="15"/>
  <c r="O11" i="14"/>
  <c r="O14" i="15"/>
  <c r="W9" i="14"/>
  <c r="O7" i="14"/>
  <c r="W4" i="15"/>
  <c r="W7" i="14"/>
  <c r="AJ17" i="15"/>
  <c r="R18" i="15"/>
  <c r="R24" i="15" s="1"/>
  <c r="AI4" i="15"/>
  <c r="AG16" i="15"/>
  <c r="AM16" i="15" s="1"/>
  <c r="AI16" i="15"/>
  <c r="O16" i="15"/>
  <c r="W16" i="15"/>
  <c r="O13" i="13"/>
  <c r="AI7" i="14"/>
  <c r="AG4" i="15"/>
  <c r="AM4" i="15" s="1"/>
  <c r="AG13" i="13"/>
  <c r="AM13" i="13" s="1"/>
  <c r="AG12" i="14"/>
  <c r="AM12" i="14" s="1"/>
  <c r="W3" i="14"/>
  <c r="AG3" i="14"/>
  <c r="AM3" i="14" s="1"/>
  <c r="O3" i="14"/>
  <c r="AK17" i="15"/>
  <c r="I32" i="15"/>
  <c r="J32" i="15" s="1"/>
  <c r="J31" i="15"/>
  <c r="J33" i="15"/>
  <c r="O5" i="14"/>
  <c r="W4" i="14"/>
  <c r="AI9" i="14"/>
  <c r="AI4" i="14"/>
  <c r="AG13" i="14"/>
  <c r="AM13" i="14" s="1"/>
  <c r="O13" i="14"/>
  <c r="P24" i="15"/>
  <c r="AA22" i="15" s="1"/>
  <c r="O8" i="13"/>
  <c r="W13" i="14"/>
  <c r="W8" i="13"/>
  <c r="AM3" i="15"/>
  <c r="AG9" i="14"/>
  <c r="AM9" i="14" s="1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M15" i="14" s="1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AM6" i="14" s="1"/>
  <c r="O6" i="14"/>
  <c r="W6" i="14"/>
  <c r="AI15" i="13"/>
  <c r="Y3" i="14"/>
  <c r="U18" i="14"/>
  <c r="AG10" i="12"/>
  <c r="AM10" i="12" s="1"/>
  <c r="W8" i="14"/>
  <c r="O8" i="14"/>
  <c r="AG8" i="14"/>
  <c r="AM8" i="14" s="1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L5" i="13" s="1" a="1"/>
  <c r="AL5" i="13" s="1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AL14" i="13" s="1" a="1"/>
  <c r="AL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AL12" i="13" s="1" a="1"/>
  <c r="AL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AL4" i="13" s="1" a="1"/>
  <c r="AL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M6" i="7" s="1"/>
  <c r="AJ14" i="4"/>
  <c r="X18" i="4"/>
  <c r="X24" i="4" s="1"/>
  <c r="N6" i="7" s="1"/>
  <c r="U12" i="4"/>
  <c r="T18" i="4"/>
  <c r="T24" i="4" s="1"/>
  <c r="U16" i="4"/>
  <c r="U15" i="4"/>
  <c r="U14" i="4"/>
  <c r="U13" i="4"/>
  <c r="AG7" i="4"/>
  <c r="AE9" i="4"/>
  <c r="AL9" i="4" s="1" a="1"/>
  <c r="AL9" i="4" s="1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AL7" i="4" s="1" a="1"/>
  <c r="AL7" i="4" s="1"/>
  <c r="AN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L10" i="4" s="1" a="1"/>
  <c r="AL10" i="4" s="1"/>
  <c r="AI10" i="4"/>
  <c r="O12" i="4"/>
  <c r="AG4" i="4"/>
  <c r="AG6" i="4"/>
  <c r="W6" i="4"/>
  <c r="AE4" i="16" l="1"/>
  <c r="AL4" i="16" s="1" a="1"/>
  <c r="AL4" i="16" s="1"/>
  <c r="AM4" i="16" s="1"/>
  <c r="AE13" i="16"/>
  <c r="AL13" i="16" s="1" a="1"/>
  <c r="AL13" i="16" s="1"/>
  <c r="AP13" i="16" s="1"/>
  <c r="AE15" i="16"/>
  <c r="AL15" i="16" s="1" a="1"/>
  <c r="AL15" i="16" s="1"/>
  <c r="AP15" i="16" s="1"/>
  <c r="AD18" i="16"/>
  <c r="AD24" i="16" s="1"/>
  <c r="AM11" i="16"/>
  <c r="AM8" i="16"/>
  <c r="AM6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P11" i="16"/>
  <c r="AN11" i="16"/>
  <c r="AN5" i="16"/>
  <c r="AP5" i="16"/>
  <c r="AP8" i="16"/>
  <c r="AN8" i="16"/>
  <c r="P24" i="16"/>
  <c r="AA22" i="16" s="1"/>
  <c r="AP7" i="16"/>
  <c r="AN7" i="16"/>
  <c r="AN9" i="16"/>
  <c r="AP9" i="16"/>
  <c r="AP14" i="16"/>
  <c r="AN14" i="16"/>
  <c r="AN6" i="16"/>
  <c r="AP6" i="16"/>
  <c r="AP10" i="16"/>
  <c r="AN10" i="16"/>
  <c r="AP12" i="16"/>
  <c r="AN12" i="16"/>
  <c r="AM11" i="13"/>
  <c r="AM5" i="13"/>
  <c r="AM15" i="12"/>
  <c r="AM11" i="12"/>
  <c r="AE12" i="15"/>
  <c r="AL12" i="15" s="1" a="1"/>
  <c r="AL12" i="15" s="1"/>
  <c r="AP12" i="15" s="1"/>
  <c r="AE4" i="14"/>
  <c r="AL4" i="14" s="1" a="1"/>
  <c r="AL4" i="14" s="1"/>
  <c r="AP4" i="14" s="1"/>
  <c r="AE10" i="12"/>
  <c r="AL10" i="12" s="1" a="1"/>
  <c r="AL10" i="12" s="1"/>
  <c r="AP10" i="12" s="1"/>
  <c r="AE5" i="15"/>
  <c r="AL5" i="15" s="1" a="1"/>
  <c r="AL5" i="15" s="1"/>
  <c r="AN5" i="15" s="1"/>
  <c r="AE8" i="14"/>
  <c r="AL8" i="14" s="1" a="1"/>
  <c r="AL8" i="14" s="1"/>
  <c r="AN8" i="14" s="1"/>
  <c r="AE11" i="15"/>
  <c r="AL11" i="15" s="1" a="1"/>
  <c r="AL11" i="15" s="1"/>
  <c r="AP11" i="15" s="1"/>
  <c r="AE6" i="14"/>
  <c r="AL6" i="14" s="1" a="1"/>
  <c r="AL6" i="14" s="1"/>
  <c r="AP6" i="14" s="1"/>
  <c r="AE6" i="15"/>
  <c r="AL6" i="15" s="1" a="1"/>
  <c r="AL6" i="15" s="1"/>
  <c r="AP6" i="15" s="1"/>
  <c r="AE11" i="14"/>
  <c r="AL11" i="14" s="1" a="1"/>
  <c r="AL11" i="14" s="1"/>
  <c r="AN11" i="14" s="1"/>
  <c r="AE7" i="14"/>
  <c r="AL7" i="14" s="1" a="1"/>
  <c r="AL7" i="14" s="1"/>
  <c r="AN7" i="14" s="1"/>
  <c r="AE4" i="15"/>
  <c r="AL4" i="15" s="1" a="1"/>
  <c r="AL4" i="15" s="1"/>
  <c r="AP4" i="15" s="1"/>
  <c r="AE12" i="12"/>
  <c r="AL12" i="12" s="1" a="1"/>
  <c r="AL12" i="12" s="1"/>
  <c r="AP12" i="12" s="1"/>
  <c r="AE13" i="14"/>
  <c r="AL13" i="14" s="1" a="1"/>
  <c r="AL13" i="14" s="1"/>
  <c r="AP13" i="14" s="1"/>
  <c r="AE8" i="15"/>
  <c r="AL8" i="15" s="1" a="1"/>
  <c r="AL8" i="15" s="1"/>
  <c r="AP8" i="15" s="1"/>
  <c r="AE14" i="15"/>
  <c r="AL14" i="15" s="1" a="1"/>
  <c r="AL14" i="15" s="1"/>
  <c r="AN14" i="15" s="1"/>
  <c r="AE10" i="14"/>
  <c r="AL10" i="14" s="1" a="1"/>
  <c r="AL10" i="14" s="1"/>
  <c r="AN10" i="14" s="1"/>
  <c r="AE10" i="13"/>
  <c r="AL10" i="13" s="1" a="1"/>
  <c r="AL10" i="13" s="1"/>
  <c r="AN10" i="13" s="1"/>
  <c r="AE13" i="12"/>
  <c r="AL13" i="12" s="1" a="1"/>
  <c r="AL13" i="12" s="1"/>
  <c r="AP13" i="12" s="1"/>
  <c r="AE8" i="13"/>
  <c r="AL8" i="13" s="1" a="1"/>
  <c r="AL8" i="13" s="1"/>
  <c r="AE6" i="13"/>
  <c r="AL6" i="13" s="1" a="1"/>
  <c r="AL6" i="13" s="1"/>
  <c r="AN6" i="13" s="1"/>
  <c r="AE16" i="13"/>
  <c r="AL16" i="13" s="1" a="1"/>
  <c r="AL16" i="13" s="1"/>
  <c r="AN16" i="13" s="1"/>
  <c r="E6" i="7"/>
  <c r="Y6" i="7"/>
  <c r="E7" i="7"/>
  <c r="AD7" i="7"/>
  <c r="AA22" i="14"/>
  <c r="G7" i="7"/>
  <c r="AA22" i="13"/>
  <c r="G4" i="7"/>
  <c r="X4" i="7"/>
  <c r="E4" i="7"/>
  <c r="AD4" i="7"/>
  <c r="AA22" i="12"/>
  <c r="G3" i="7"/>
  <c r="E3" i="7"/>
  <c r="AD3" i="7"/>
  <c r="X3" i="7"/>
  <c r="AK17" i="4"/>
  <c r="AE9" i="13"/>
  <c r="AL9" i="13" s="1" a="1"/>
  <c r="AL9" i="13" s="1"/>
  <c r="AP9" i="13" s="1"/>
  <c r="AE10" i="15"/>
  <c r="AL10" i="15" s="1" a="1"/>
  <c r="AL10" i="15" s="1"/>
  <c r="AN10" i="15" s="1"/>
  <c r="AE7" i="15"/>
  <c r="AL7" i="15" s="1" a="1"/>
  <c r="AL7" i="15" s="1"/>
  <c r="AN7" i="15" s="1"/>
  <c r="AE15" i="15"/>
  <c r="AL15" i="15" s="1" a="1"/>
  <c r="AL15" i="15" s="1"/>
  <c r="AN15" i="15" s="1"/>
  <c r="AE16" i="15"/>
  <c r="AL16" i="15" s="1" a="1"/>
  <c r="AL16" i="15" s="1"/>
  <c r="AP16" i="15" s="1"/>
  <c r="AE5" i="12"/>
  <c r="AL5" i="12" s="1" a="1"/>
  <c r="AL5" i="12" s="1"/>
  <c r="AP5" i="12" s="1"/>
  <c r="AE12" i="14"/>
  <c r="AL12" i="14" s="1" a="1"/>
  <c r="AL12" i="14" s="1"/>
  <c r="AP12" i="14" s="1"/>
  <c r="AE9" i="14"/>
  <c r="AL9" i="14" s="1" a="1"/>
  <c r="AL9" i="14" s="1"/>
  <c r="AN9" i="14" s="1"/>
  <c r="AI17" i="15"/>
  <c r="AE13" i="15"/>
  <c r="AL13" i="15" s="1" a="1"/>
  <c r="AL13" i="15" s="1"/>
  <c r="AP13" i="15" s="1"/>
  <c r="AE9" i="15"/>
  <c r="AL9" i="15" s="1" a="1"/>
  <c r="AL9" i="15" s="1"/>
  <c r="AP9" i="15" s="1"/>
  <c r="AD18" i="15"/>
  <c r="AD24" i="15" s="1"/>
  <c r="W18" i="15"/>
  <c r="W24" i="15" s="1"/>
  <c r="AE16" i="14"/>
  <c r="AL16" i="14" s="1" a="1"/>
  <c r="AL16" i="14" s="1"/>
  <c r="AP16" i="14" s="1"/>
  <c r="AE7" i="12"/>
  <c r="AL7" i="12" s="1" a="1"/>
  <c r="AL7" i="12" s="1"/>
  <c r="AP7" i="12" s="1"/>
  <c r="AE3" i="15"/>
  <c r="AM17" i="15"/>
  <c r="AE5" i="14"/>
  <c r="AL5" i="14" s="1" a="1"/>
  <c r="AL5" i="14" s="1"/>
  <c r="AP5" i="14" s="1"/>
  <c r="AG17" i="15"/>
  <c r="AE8" i="12"/>
  <c r="AL8" i="12" s="1" a="1"/>
  <c r="AL8" i="12" s="1"/>
  <c r="AP8" i="12" s="1"/>
  <c r="AA18" i="15"/>
  <c r="AA25" i="15" s="1"/>
  <c r="AK24" i="15" s="1"/>
  <c r="U24" i="15"/>
  <c r="Y18" i="15"/>
  <c r="AD18" i="14"/>
  <c r="AD24" i="14" s="1"/>
  <c r="AI17" i="14"/>
  <c r="AE13" i="13"/>
  <c r="AL13" i="13" s="1" a="1"/>
  <c r="AL13" i="13" s="1"/>
  <c r="AP13" i="13" s="1"/>
  <c r="AN14" i="14"/>
  <c r="AA18" i="14"/>
  <c r="AN15" i="14"/>
  <c r="AE7" i="13"/>
  <c r="AL7" i="13" s="1" a="1"/>
  <c r="AL7" i="13" s="1"/>
  <c r="AN7" i="13" s="1"/>
  <c r="U24" i="14"/>
  <c r="Y18" i="14"/>
  <c r="AN11" i="13"/>
  <c r="AE15" i="13"/>
  <c r="AL15" i="13" s="1" a="1"/>
  <c r="AL15" i="13" s="1"/>
  <c r="AP15" i="13" s="1"/>
  <c r="W18" i="14"/>
  <c r="W24" i="14" s="1"/>
  <c r="L7" i="7" s="1"/>
  <c r="AG17" i="14"/>
  <c r="AD18" i="13"/>
  <c r="AD24" i="13" s="1"/>
  <c r="AE3" i="14"/>
  <c r="AM17" i="14"/>
  <c r="AP5" i="13"/>
  <c r="AN5" i="13"/>
  <c r="AE4" i="12"/>
  <c r="AL4" i="12" s="1" a="1"/>
  <c r="AL4" i="12" s="1"/>
  <c r="AI17" i="13"/>
  <c r="AG17" i="12"/>
  <c r="W18" i="12"/>
  <c r="W24" i="12" s="1"/>
  <c r="L3" i="7" s="1"/>
  <c r="AI17" i="12"/>
  <c r="AE6" i="12"/>
  <c r="AL6" i="12" s="1" a="1"/>
  <c r="AL6" i="12" s="1"/>
  <c r="AP6" i="12" s="1"/>
  <c r="AA18" i="13"/>
  <c r="W18" i="13"/>
  <c r="W24" i="13" s="1"/>
  <c r="L4" i="7" s="1"/>
  <c r="AA4" i="7" s="1"/>
  <c r="AP14" i="13"/>
  <c r="AN14" i="13"/>
  <c r="AN14" i="12"/>
  <c r="U24" i="13"/>
  <c r="Y18" i="13"/>
  <c r="AP4" i="13"/>
  <c r="AN4" i="13"/>
  <c r="AP12" i="13"/>
  <c r="AN12" i="13"/>
  <c r="AE3" i="13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AJ17" i="4"/>
  <c r="AE16" i="4"/>
  <c r="AL16" i="4" s="1" a="1"/>
  <c r="AL16" i="4" s="1"/>
  <c r="AP16" i="4" s="1"/>
  <c r="U18" i="4"/>
  <c r="Y18" i="4" s="1"/>
  <c r="AM7" i="4"/>
  <c r="AD18" i="4"/>
  <c r="AD24" i="4" s="1"/>
  <c r="Y3" i="4"/>
  <c r="AE6" i="4"/>
  <c r="AL6" i="4" s="1" a="1"/>
  <c r="AL6" i="4" s="1"/>
  <c r="AP6" i="4" s="1"/>
  <c r="AP7" i="4"/>
  <c r="AI12" i="4"/>
  <c r="W12" i="4"/>
  <c r="W4" i="4"/>
  <c r="AE4" i="4" s="1"/>
  <c r="AL4" i="4" s="1" a="1"/>
  <c r="AL4" i="4" s="1"/>
  <c r="AM4" i="4" s="1"/>
  <c r="W11" i="4"/>
  <c r="AE11" i="4" s="1"/>
  <c r="AL11" i="4" s="1" a="1"/>
  <c r="AL11" i="4" s="1"/>
  <c r="AP11" i="4" s="1"/>
  <c r="O4" i="4"/>
  <c r="AI11" i="4"/>
  <c r="AG13" i="4"/>
  <c r="AM13" i="4" s="1"/>
  <c r="W13" i="4"/>
  <c r="AE13" i="4" s="1"/>
  <c r="AL13" i="4" s="1" a="1"/>
  <c r="AL13" i="4" s="1"/>
  <c r="AP13" i="4" s="1"/>
  <c r="O13" i="4"/>
  <c r="AI13" i="4"/>
  <c r="AG15" i="4"/>
  <c r="W15" i="4"/>
  <c r="AE15" i="4" s="1"/>
  <c r="AL15" i="4" s="1" a="1"/>
  <c r="AL15" i="4" s="1"/>
  <c r="AI15" i="4"/>
  <c r="O15" i="4"/>
  <c r="W8" i="4"/>
  <c r="AE8" i="4" s="1"/>
  <c r="AL8" i="4" s="1" a="1"/>
  <c r="AL8" i="4" s="1"/>
  <c r="AP8" i="4" s="1"/>
  <c r="O8" i="4"/>
  <c r="AG5" i="4"/>
  <c r="W5" i="4"/>
  <c r="AE5" i="4" s="1"/>
  <c r="AL5" i="4" s="1" a="1"/>
  <c r="AL5" i="4" s="1"/>
  <c r="AN5" i="4" s="1"/>
  <c r="O5" i="4"/>
  <c r="AI5" i="4"/>
  <c r="O14" i="4"/>
  <c r="AI14" i="4"/>
  <c r="W14" i="4"/>
  <c r="AE14" i="4" s="1"/>
  <c r="AL14" i="4" s="1" a="1"/>
  <c r="AL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P10" i="4"/>
  <c r="AN10" i="4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D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N15" i="16" l="1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W18" i="16"/>
  <c r="W24" i="16" s="1"/>
  <c r="AM7" i="13"/>
  <c r="AP8" i="13"/>
  <c r="AM8" i="13"/>
  <c r="AM6" i="13"/>
  <c r="AM15" i="13"/>
  <c r="AN4" i="14"/>
  <c r="AM7" i="12"/>
  <c r="AP4" i="12"/>
  <c r="AM4" i="12"/>
  <c r="AM8" i="12"/>
  <c r="AM6" i="12"/>
  <c r="AN12" i="15"/>
  <c r="AN10" i="12"/>
  <c r="AP8" i="14"/>
  <c r="AP5" i="15"/>
  <c r="AN11" i="15"/>
  <c r="AN6" i="14"/>
  <c r="AP10" i="13"/>
  <c r="AN6" i="15"/>
  <c r="AP10" i="14"/>
  <c r="AP11" i="14"/>
  <c r="AP6" i="13"/>
  <c r="AP16" i="13"/>
  <c r="AN13" i="14"/>
  <c r="AN12" i="12"/>
  <c r="AP7" i="14"/>
  <c r="AN4" i="15"/>
  <c r="AN8" i="13"/>
  <c r="AP14" i="15"/>
  <c r="AN13" i="12"/>
  <c r="AN8" i="15"/>
  <c r="AA25" i="14"/>
  <c r="AK24" i="14" s="1"/>
  <c r="AI17" i="4"/>
  <c r="AB6" i="7"/>
  <c r="AC6" i="7"/>
  <c r="AA25" i="13"/>
  <c r="AK24" i="13" s="1"/>
  <c r="Y3" i="7"/>
  <c r="AB3" i="7" s="1"/>
  <c r="AA7" i="7"/>
  <c r="Y7" i="7"/>
  <c r="AA25" i="12"/>
  <c r="AK24" i="12" s="1"/>
  <c r="Y4" i="7"/>
  <c r="AA3" i="7"/>
  <c r="AN16" i="4"/>
  <c r="AN9" i="13"/>
  <c r="AP10" i="15"/>
  <c r="AP15" i="15"/>
  <c r="AP7" i="15"/>
  <c r="AN16" i="15"/>
  <c r="AN5" i="12"/>
  <c r="AN12" i="14"/>
  <c r="AP9" i="14"/>
  <c r="AN9" i="15"/>
  <c r="AN13" i="15"/>
  <c r="AE18" i="15"/>
  <c r="AE24" i="15" s="1"/>
  <c r="AN5" i="14"/>
  <c r="AN16" i="14"/>
  <c r="AN7" i="12"/>
  <c r="AL3" i="15"/>
  <c r="AL17" i="15" s="1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V18" i="15" s="1"/>
  <c r="V24" i="15" s="1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V18" i="14" s="1"/>
  <c r="V24" i="14" s="1"/>
  <c r="AE18" i="14"/>
  <c r="AE24" i="14" s="1"/>
  <c r="AL3" i="14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N4" i="4"/>
  <c r="AE12" i="4"/>
  <c r="AL12" i="4" s="1" a="1"/>
  <c r="AL12" i="4" s="1"/>
  <c r="AM6" i="4"/>
  <c r="AM11" i="4"/>
  <c r="AM8" i="4"/>
  <c r="AN13" i="4"/>
  <c r="W18" i="4"/>
  <c r="W24" i="4" s="1"/>
  <c r="AE3" i="4"/>
  <c r="AN14" i="4"/>
  <c r="AP14" i="4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L12" i="3" s="1" a="1"/>
  <c r="AL12" i="3" s="1"/>
  <c r="AP12" i="3" s="1"/>
  <c r="AE11" i="3"/>
  <c r="AL11" i="3" s="1" a="1"/>
  <c r="AL11" i="3" s="1"/>
  <c r="AM11" i="3" s="1"/>
  <c r="AE9" i="3"/>
  <c r="AL9" i="3" s="1" a="1"/>
  <c r="AL9" i="3" s="1"/>
  <c r="AP9" i="3" s="1"/>
  <c r="AE13" i="3"/>
  <c r="AL13" i="3" s="1" a="1"/>
  <c r="AL13" i="3" s="1"/>
  <c r="AP13" i="3" s="1"/>
  <c r="O12" i="3"/>
  <c r="O13" i="3"/>
  <c r="O9" i="3"/>
  <c r="O10" i="3"/>
  <c r="T18" i="3"/>
  <c r="T24" i="3" s="1"/>
  <c r="J5" i="7" s="1"/>
  <c r="J8" i="7" s="1"/>
  <c r="AE10" i="3"/>
  <c r="AL10" i="3" s="1" a="1"/>
  <c r="AL10" i="3" s="1"/>
  <c r="AP10" i="3" s="1"/>
  <c r="Z18" i="3"/>
  <c r="Z24" i="3" s="1"/>
  <c r="M5" i="7" s="1"/>
  <c r="M8" i="7" s="1"/>
  <c r="AE14" i="3"/>
  <c r="AL14" i="3" s="1" a="1"/>
  <c r="AL14" i="3" s="1"/>
  <c r="AP14" i="3" s="1"/>
  <c r="X18" i="3"/>
  <c r="X24" i="3" s="1"/>
  <c r="N5" i="7" s="1"/>
  <c r="N8" i="7" s="1"/>
  <c r="Q18" i="3"/>
  <c r="Q24" i="3" s="1"/>
  <c r="H5" i="7" s="1"/>
  <c r="H8" i="7" s="1"/>
  <c r="O16" i="3"/>
  <c r="AI16" i="3"/>
  <c r="AG16" i="3"/>
  <c r="AM16" i="3" s="1"/>
  <c r="R18" i="3"/>
  <c r="AE16" i="3"/>
  <c r="U18" i="3"/>
  <c r="AK16" i="3"/>
  <c r="P18" i="3"/>
  <c r="AJ16" i="3"/>
  <c r="S18" i="3"/>
  <c r="S24" i="3" s="1"/>
  <c r="I5" i="7" s="1"/>
  <c r="K18" i="3"/>
  <c r="K24" i="3" s="1"/>
  <c r="F5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M17" i="13" l="1"/>
  <c r="AK24" i="16"/>
  <c r="V18" i="16"/>
  <c r="V24" i="16" s="1"/>
  <c r="AE18" i="16"/>
  <c r="AE24" i="16" s="1"/>
  <c r="AL3" i="16"/>
  <c r="AM3" i="16" s="1"/>
  <c r="AM17" i="16" s="1"/>
  <c r="V18" i="13"/>
  <c r="V24" i="13" s="1"/>
  <c r="AM17" i="12"/>
  <c r="AC3" i="7"/>
  <c r="AC7" i="7"/>
  <c r="AB7" i="7"/>
  <c r="K5" i="7"/>
  <c r="I8" i="7"/>
  <c r="J10" i="7" s="1"/>
  <c r="AC4" i="7"/>
  <c r="AB4" i="7"/>
  <c r="AE18" i="4"/>
  <c r="AE24" i="4" s="1"/>
  <c r="AN3" i="15"/>
  <c r="AN17" i="15" s="1"/>
  <c r="AP3" i="15"/>
  <c r="AP18" i="15" s="1"/>
  <c r="AP24" i="15" s="1"/>
  <c r="K32" i="15" s="1"/>
  <c r="L32" i="15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P12" i="4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L4" i="3" s="1" a="1"/>
  <c r="AL4" i="3" s="1"/>
  <c r="AN4" i="3" s="1"/>
  <c r="AI7" i="3"/>
  <c r="AE7" i="3"/>
  <c r="AL7" i="3" s="1" a="1"/>
  <c r="AL7" i="3" s="1"/>
  <c r="R24" i="3"/>
  <c r="O8" i="3"/>
  <c r="AE8" i="3"/>
  <c r="AL8" i="3" s="1" a="1"/>
  <c r="AL8" i="3" s="1"/>
  <c r="AM8" i="3" s="1"/>
  <c r="AI8" i="3"/>
  <c r="AE5" i="3"/>
  <c r="AL5" i="3" s="1" a="1"/>
  <c r="AL5" i="3" s="1"/>
  <c r="AN5" i="3" s="1"/>
  <c r="AK17" i="3"/>
  <c r="AE6" i="3"/>
  <c r="AL6" i="3" s="1" a="1"/>
  <c r="AL6" i="3" s="1"/>
  <c r="AP6" i="3" s="1"/>
  <c r="J31" i="3"/>
  <c r="J33" i="3"/>
  <c r="P24" i="3"/>
  <c r="AJ17" i="3"/>
  <c r="AI15" i="3"/>
  <c r="AE15" i="3"/>
  <c r="AL15" i="3" s="1" a="1"/>
  <c r="AL15" i="3" s="1"/>
  <c r="O15" i="3"/>
  <c r="AG15" i="3"/>
  <c r="AP3" i="16" l="1"/>
  <c r="AP18" i="16" s="1"/>
  <c r="AP24" i="16" s="1"/>
  <c r="K32" i="16" s="1"/>
  <c r="L32" i="16" s="1"/>
  <c r="AL17" i="16"/>
  <c r="AN3" i="16"/>
  <c r="AN17" i="16" s="1"/>
  <c r="AD5" i="7"/>
  <c r="E5" i="7"/>
  <c r="E8" i="7" s="1"/>
  <c r="X5" i="7"/>
  <c r="K8" i="7"/>
  <c r="AA22" i="3"/>
  <c r="G5" i="7"/>
  <c r="G8" i="7" s="1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D18" i="3"/>
  <c r="AD24" i="3" s="1"/>
  <c r="AP8" i="3"/>
  <c r="AN3" i="4"/>
  <c r="AN17" i="4" s="1"/>
  <c r="AM3" i="4"/>
  <c r="AM17" i="4" s="1"/>
  <c r="AP3" i="4"/>
  <c r="AP16" i="3"/>
  <c r="AN16" i="3"/>
  <c r="AG17" i="3"/>
  <c r="AM5" i="3"/>
  <c r="AP4" i="3"/>
  <c r="AM4" i="3"/>
  <c r="AM7" i="3"/>
  <c r="AP7" i="3"/>
  <c r="AN8" i="3"/>
  <c r="AI17" i="3"/>
  <c r="AP5" i="3"/>
  <c r="AN6" i="3"/>
  <c r="AN7" i="3"/>
  <c r="AM6" i="3"/>
  <c r="AP15" i="3"/>
  <c r="AN15" i="3"/>
  <c r="AM15" i="3"/>
  <c r="AE3" i="3"/>
  <c r="AE18" i="3" s="1"/>
  <c r="W24" i="3"/>
  <c r="L5" i="7" s="1"/>
  <c r="U24" i="3"/>
  <c r="Y18" i="3"/>
  <c r="AA25" i="3" l="1"/>
  <c r="AK24" i="3" s="1"/>
  <c r="R10" i="7"/>
  <c r="AD8" i="7"/>
  <c r="N10" i="7"/>
  <c r="M10" i="7"/>
  <c r="Y5" i="7"/>
  <c r="X8" i="7"/>
  <c r="X10" i="7" s="1"/>
  <c r="AA5" i="7"/>
  <c r="L8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E24" i="3"/>
  <c r="AL3" i="3"/>
  <c r="Y24" i="3"/>
  <c r="AC5" i="7" l="1"/>
  <c r="AB5" i="7"/>
  <c r="Z3" i="7"/>
  <c r="Z8" i="7" s="1"/>
  <c r="Y8" i="7"/>
  <c r="AE25" i="16" s="1"/>
  <c r="L10" i="7"/>
  <c r="AA8" i="7"/>
  <c r="V18" i="3"/>
  <c r="V24" i="3" s="1"/>
  <c r="AL17" i="3"/>
  <c r="AP3" i="3"/>
  <c r="AP18" i="3" s="1"/>
  <c r="AN3" i="3"/>
  <c r="AN17" i="3" s="1"/>
  <c r="AM3" i="3"/>
  <c r="AM17" i="3" s="1"/>
  <c r="Y10" i="7" l="1"/>
  <c r="AC8" i="7"/>
  <c r="AB8" i="7"/>
  <c r="AP24" i="3"/>
  <c r="K32" i="3" s="1"/>
  <c r="L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<sst xmlns="http://schemas.openxmlformats.org/spreadsheetml/2006/main" count="33375" uniqueCount="1085">
  <si>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</si>
  <si>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</si>
  <si>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</si>
  <si>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</si>
  <si>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</si>
  <si>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</si>
  <si>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</si>
  <si>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</si>
  <si>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</si>
  <si>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</si>
  <si>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</si>
  <si>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</si>
  <si>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</si>
  <si>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</si>
  <si>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</si>
  <si>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</si>
  <si>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</si>
  <si>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</si>
  <si>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</si>
  <si>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</si>
  <si>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</si>
  <si>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</si>
  <si>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</si>
  <si>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</si>
  <si>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</si>
  <si>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</si>
  <si>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</si>
  <si>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</si>
  <si>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Налог 1%+
НДС 5%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</si>
  <si>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</si>
  <si>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</si>
  <si>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</si>
  <si>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</si>
  <si>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</si>
  <si>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</si>
  <si>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</si>
  <si>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</si>
  <si>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</si>
  <si>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</si>
  <si>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</si>
  <si>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</si>
  <si>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</si>
  <si>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</si>
  <si>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</si>
  <si>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</si>
  <si>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</si>
  <si>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</si>
  <si>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</si>
  <si>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</si>
  <si>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</si>
  <si>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</si>
  <si>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</si>
  <si>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</si>
  <si>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</si>
  <si>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</si>
  <si>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</si>
  <si>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</si>
  <si>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</si>
  <si>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</si>
  <si>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</si>
  <si>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</si>
  <si>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</si>
  <si>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</si>
  <si>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</si>
  <si>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</si>
  <si>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</si>
  <si>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</si>
  <si>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</si>
  <si>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</si>
  <si>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</si>
  <si>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</si>
  <si>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</si>
  <si>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</si>
  <si>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</si>
  <si>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</si>
  <si>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</si>
  <si>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</si>
  <si>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</si>
  <si>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</si>
  <si>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</si>
  <si>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</si>
  <si>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</si>
  <si>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</si>
  <si>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</si>
  <si>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</si>
  <si>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</si>
  <si>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</si>
  <si>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</si>
  <si>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</si>
  <si>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</si>
  <si>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</si>
  <si>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</si>
  <si>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</si>
  <si>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</si>
  <si>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</si>
  <si>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</si>
  <si>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</si>
  <si>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</si>
  <si>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</si>
  <si>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</si>
  <si>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</si>
  <si>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</si>
  <si>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</si>
  <si>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</si>
  <si>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</si>
  <si>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</si>
  <si>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</si>
  <si>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</si>
  <si>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</si>
  <si>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</si>
  <si>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</si>
  <si>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</si>
  <si>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</si>
  <si>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</si>
  <si>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</si>
  <si>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</si>
  <si>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</si>
  <si>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</si>
  <si>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</si>
  <si>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</si>
  <si>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</si>
  <si>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</si>
  <si>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</si>
  <si>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</si>
  <si>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</si>
  <si>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</si>
  <si>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</si>
  <si>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</si>
  <si>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</si>
  <si>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</si>
  <si>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</si>
  <si>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</si>
  <si>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</si>
  <si>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</si>
  <si>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</si>
  <si>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</si>
  <si>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</si>
  <si>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</si>
  <si>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</si>
  <si>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</si>
  <si>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</si>
  <si>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</si>
  <si>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</si>
  <si>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</si>
  <si>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</si>
  <si>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</si>
  <si>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</si>
  <si>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</si>
  <si>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</si>
  <si>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</si>
  <si>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</si>
  <si>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</si>
  <si>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</si>
  <si>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</si>
  <si>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</si>
  <si>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</si>
  <si>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</si>
  <si>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</si>
  <si>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</si>
  <si>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</si>
  <si>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</si>
  <si>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</si>
  <si>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</si>
  <si>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</si>
  <si>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</si>
  <si>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</si>
  <si>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</si>
  <si>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</si>
  <si>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</si>
  <si>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</si>
  <si>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</si>
  <si>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</si>
  <si>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</si>
  <si>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</si>
  <si>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</si>
  <si>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</si>
  <si>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</si>
  <si>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</si>
  <si>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</si>
  <si>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</si>
  <si>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</si>
  <si>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</si>
  <si>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</si>
  <si>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</si>
  <si>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</si>
  <si>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</si>
  <si>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</si>
  <si>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</si>
  <si>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</si>
  <si>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</si>
  <si>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</si>
  <si>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</si>
  <si>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</si>
  <si>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</si>
  <si>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</si>
  <si>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</si>
  <si>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</si>
  <si>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</si>
  <si>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</si>
  <si>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</si>
  <si>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</si>
  <si>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</si>
  <si>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</si>
  <si>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</si>
  <si>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</si>
  <si>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</si>
  <si>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</si>
  <si>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</si>
  <si>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</si>
  <si>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</si>
  <si>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</si>
  <si>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</si>
  <si>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</si>
  <si>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</si>
  <si>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</si>
  <si>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</si>
  <si>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</si>
  <si>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</si>
  <si>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</si>
  <si>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</si>
  <si>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</si>
  <si>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</si>
  <si>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</si>
  <si>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</si>
  <si>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</si>
  <si>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</si>
  <si>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</si>
  <si>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</si>
  <si>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</si>
  <si>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</si>
  <si>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</si>
  <si>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</si>
  <si>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</si>
  <si>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</si>
  <si>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</si>
  <si>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</si>
  <si>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</si>
  <si>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</si>
  <si>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</si>
  <si>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</si>
  <si>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</si>
  <si>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</si>
  <si>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</si>
  <si>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</si>
  <si>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</si>
  <si>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</si>
  <si>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</si>
  <si>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</si>
  <si>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</si>
  <si>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</si>
  <si>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</si>
  <si>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</si>
  <si>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</si>
  <si>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</si>
  <si>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</si>
  <si>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</si>
  <si>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</si>
  <si>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</si>
  <si>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</si>
  <si>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</si>
  <si>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</si>
  <si>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</si>
  <si>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</si>
  <si>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</si>
  <si>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</si>
  <si>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</si>
  <si>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</si>
  <si>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</si>
  <si>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</si>
  <si>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</si>
  <si>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</si>
  <si>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</si>
  <si>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</si>
  <si>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</si>
  <si>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</si>
  <si>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</si>
  <si>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</si>
  <si>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</si>
  <si>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</si>
  <si>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</si>
  <si>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</si>
  <si>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</si>
  <si>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</si>
  <si>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</si>
  <si>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</si>
  <si>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</si>
  <si>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</si>
  <si>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</si>
  <si>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</si>
  <si>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</si>
  <si>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</si>
  <si>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</si>
  <si>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</si>
  <si>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</si>
  <si>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</si>
  <si>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</si>
  <si>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</si>
  <si>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</si>
  <si>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</si>
  <si>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</si>
  <si>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</si>
  <si>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</si>
  <si>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</si>
  <si>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</si>
  <si>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</si>
  <si>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</si>
  <si>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</si>
  <si>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</si>
  <si>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</si>
  <si>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</si>
  <si>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</si>
  <si>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</si>
  <si>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</si>
  <si>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</si>
  <si>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</si>
  <si>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</si>
  <si>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</si>
  <si>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</si>
  <si>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</si>
  <si>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</si>
  <si>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</si>
  <si>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</si>
  <si>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</si>
  <si>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</si>
  <si>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</si>
  <si>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</si>
  <si>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</si>
  <si>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</si>
  <si>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</si>
  <si>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</si>
  <si>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</si>
  <si>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</si>
  <si>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</si>
  <si>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</si>
  <si>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</si>
  <si>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</si>
  <si>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</si>
  <si>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</si>
  <si>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</si>
  <si>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</si>
  <si>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</si>
  <si>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</si>
  <si>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</si>
  <si>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</si>
  <si>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</si>
  <si>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</si>
  <si>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Дата поступления дс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</si>
  <si>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</si>
  <si>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</si>
  <si>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</si>
  <si>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</si>
  <si>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</si>
  <si>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</si>
  <si>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</si>
  <si>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</si>
  <si>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</si>
  <si>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Услуги FBO</t>
  </si>
  <si>
    <t>Компенсировано</t>
  </si>
  <si>
    <t>Прочие начисления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</si>
  <si>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</si>
  <si>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</si>
  <si>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</si>
  <si>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</si>
  <si>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</si>
  <si>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</si>
  <si>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</si>
  <si>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</si>
  <si>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</si>
  <si>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</si>
  <si>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</si>
  <si>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</si>
  <si>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</si>
  <si>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</si>
  <si>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24-31.01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</si>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</sst>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[$-419]d\ mmm;@"/>
    <numFmt numFmtId="170" formatCode="#,##0.00_ ;\-#,##0.00\ "/>
    <numFmt numFmtId="171" formatCode="#,##0_ ;\-#,##0\ "/>
    <numFmt numFmtId="172" formatCode="_-* #,##0\ &quot;₽&quot;_-;\-* #,##0\ &quot;₽&quot;_-;_-* &quot;-&quot;??\ &quot;₽&quot;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26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169" fontId="35" fillId="3" borderId="18" xfId="0" applyNumberFormat="1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169" fontId="35" fillId="3" borderId="24" xfId="0" applyNumberFormat="1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49" fontId="36" fillId="2" borderId="27" xfId="0" applyNumberFormat="1" applyFont="1" applyFill="1" applyBorder="1" applyAlignment="1">
      <alignment horizontal="center" vertical="center"/>
    </xf>
    <xf numFmtId="171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28" xfId="6" applyNumberFormat="1" applyFont="1" applyFill="1" applyBorder="1"/>
    <xf numFmtId="2" fontId="34" fillId="12" borderId="29" xfId="0" applyNumberFormat="1" applyFont="1" applyFill="1" applyBorder="1" applyAlignment="1">
      <alignment horizontal="center" vertical="center"/>
    </xf>
    <xf numFmtId="9" fontId="36" fillId="0" borderId="0" xfId="11" applyFont="1" applyBorder="1"/>
    <xf numFmtId="172" fontId="36" fillId="0" borderId="0" xfId="12" applyNumberFormat="1" applyFont="1" applyBorder="1"/>
    <xf numFmtId="49" fontId="36" fillId="2" borderId="7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170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69" fontId="39" fillId="0" borderId="31" xfId="0" applyNumberFormat="1" applyFont="1" applyBorder="1" applyAlignment="1">
      <alignment horizontal="center" vertical="center"/>
    </xf>
    <xf numFmtId="172" fontId="34" fillId="0" borderId="31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169" fontId="36" fillId="0" borderId="0" xfId="0" applyNumberFormat="1" applyFont="1"/>
    <xf numFmtId="0" fontId="36" fillId="0" borderId="0" xfId="0" applyFont="1"/>
    <xf numFmtId="0" fontId="34" fillId="0" borderId="0" xfId="13" applyFont="1" applyAlignment="1">
      <alignment horizontal="left" vertical="center"/>
    </xf>
    <xf numFmtId="172" fontId="36" fillId="0" borderId="0" xfId="0" applyNumberFormat="1" applyFont="1"/>
    <xf numFmtId="49" fontId="36" fillId="0" borderId="0" xfId="0" applyNumberFormat="1" applyFont="1" applyAlignment="1">
      <alignment horizontal="center"/>
    </xf>
    <xf numFmtId="16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133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D10"/>
  <sheetViews>
    <sheetView tabSelected="1" zoomScale="60" zoomScaleNormal="60" workbookViewId="0">
      <selection activeCell="H17" sqref="H17"/>
    </sheetView>
  </sheetViews>
  <sheetFormatPr defaultColWidth="12.08984375" defaultRowHeight="13.5" outlineLevelCol="1"/>
  <cols>
    <col min="1" max="1" width="12.453125" style="234" customWidth="1"/>
    <col min="2" max="2" width="13.81640625" style="234" customWidth="1"/>
    <col min="3" max="3" width="5.7265625" style="235" customWidth="1"/>
    <col min="4" max="4" width="13.6328125" style="236" customWidth="1"/>
    <col min="5" max="5" width="17" style="237" customWidth="1"/>
    <col min="6" max="6" width="10.453125" style="237" customWidth="1"/>
    <col min="7" max="7" width="11.1796875" style="237" customWidth="1"/>
    <col min="8" max="8" width="12.08984375" style="237"/>
    <col min="9" max="9" width="13.6328125" style="237" customWidth="1"/>
    <col min="10" max="10" width="13.26953125" style="237" customWidth="1"/>
    <col min="11" max="11" width="16.26953125" style="237" customWidth="1"/>
    <col min="12" max="14" width="16.54296875" style="237" customWidth="1"/>
    <col min="15" max="15" width="11.36328125" style="237" hidden="1" customWidth="1" outlineLevel="1"/>
    <col min="16" max="16" width="19.7265625" style="237" hidden="1" customWidth="1" outlineLevel="1"/>
    <col min="17" max="17" width="10.26953125" style="237" hidden="1" customWidth="1" outlineLevel="1"/>
    <col min="18" max="18" width="15.81640625" style="237" bestFit="1" customWidth="1" collapsed="1"/>
    <col min="19" max="19" width="13.7265625" style="237" customWidth="1"/>
    <col min="20" max="21" width="12.6328125" style="237" customWidth="1"/>
    <col min="22" max="22" width="13.7265625" style="237" customWidth="1"/>
    <col min="23" max="23" width="14.36328125" style="237" customWidth="1"/>
    <col min="24" max="24" width="15.7265625" style="237" customWidth="1"/>
    <col min="25" max="26" width="16.90625" style="237" customWidth="1"/>
    <col min="27" max="27" width="18.26953125" style="237" customWidth="1"/>
    <col min="28" max="28" width="19.54296875" style="221" customWidth="1"/>
    <col min="29" max="30" width="18.26953125" style="221" customWidth="1"/>
    <col min="31" max="16384" width="12.08984375" style="237"/>
  </cols>
  <sheetData>
    <row r="1" spans="1:30" s="197" customFormat="1" ht="22" customHeight="1">
      <c r="A1" s="181" t="s">
        <v>345</v>
      </c>
      <c r="B1" s="182"/>
      <c r="C1" s="182"/>
      <c r="D1" s="183" t="s">
        <v>346</v>
      </c>
      <c r="E1" s="184" t="s">
        <v>347</v>
      </c>
      <c r="F1" s="185" t="s">
        <v>348</v>
      </c>
      <c r="G1" s="186"/>
      <c r="H1" s="187"/>
      <c r="I1" s="188" t="s">
        <v>102</v>
      </c>
      <c r="J1" s="188"/>
      <c r="K1" s="188"/>
      <c r="L1" s="189" t="s">
        <v>21</v>
      </c>
      <c r="M1" s="190" t="s">
        <v>349</v>
      </c>
      <c r="N1" s="190" t="s">
        <v>350</v>
      </c>
      <c r="O1" s="190" t="s">
        <v>351</v>
      </c>
      <c r="P1" s="190" t="s">
        <v>352</v>
      </c>
      <c r="Q1" s="190" t="s">
        <v>27</v>
      </c>
      <c r="R1" s="190" t="s">
        <v>353</v>
      </c>
      <c r="S1" s="191" t="s">
        <v>354</v>
      </c>
      <c r="T1" s="192" t="s">
        <v>355</v>
      </c>
      <c r="U1" s="191" t="s">
        <v>356</v>
      </c>
      <c r="V1" s="192" t="s">
        <v>357</v>
      </c>
      <c r="W1" s="191" t="s">
        <v>358</v>
      </c>
      <c r="X1" s="189" t="s">
        <v>359</v>
      </c>
      <c r="Y1" s="193" t="s">
        <v>360</v>
      </c>
      <c r="Z1" s="194" t="s">
        <v>361</v>
      </c>
      <c r="AA1" s="195" t="s">
        <v>362</v>
      </c>
      <c r="AB1" s="196" t="s">
        <v>36</v>
      </c>
      <c r="AC1" s="196" t="s">
        <v>37</v>
      </c>
      <c r="AD1" s="196" t="s">
        <v>363</v>
      </c>
    </row>
    <row r="2" spans="1:30" s="197" customFormat="1" ht="25.5" customHeight="1" thickBot="1">
      <c r="A2" s="199" t="s">
        <v>364</v>
      </c>
      <c r="B2" s="199" t="s">
        <v>365</v>
      </c>
      <c r="C2" s="200" t="s">
        <v>366</v>
      </c>
      <c r="D2" s="201"/>
      <c r="E2" s="202"/>
      <c r="F2" s="203" t="s">
        <v>367</v>
      </c>
      <c r="G2" s="203" t="s">
        <v>101</v>
      </c>
      <c r="H2" s="203" t="s">
        <v>167</v>
      </c>
      <c r="I2" s="204" t="s">
        <v>101</v>
      </c>
      <c r="J2" s="204" t="s">
        <v>167</v>
      </c>
      <c r="K2" s="204" t="s">
        <v>368</v>
      </c>
      <c r="L2" s="205"/>
      <c r="M2" s="206"/>
      <c r="N2" s="206"/>
      <c r="O2" s="206"/>
      <c r="P2" s="206"/>
      <c r="Q2" s="206"/>
      <c r="R2" s="206"/>
      <c r="S2" s="207"/>
      <c r="T2" s="208"/>
      <c r="U2" s="207"/>
      <c r="V2" s="208"/>
      <c r="W2" s="207"/>
      <c r="X2" s="205"/>
      <c r="Y2" s="209"/>
      <c r="Z2" s="210"/>
      <c r="AA2" s="195"/>
      <c r="AB2" s="196"/>
      <c r="AC2" s="196"/>
      <c r="AD2" s="196"/>
    </row>
    <row r="3" spans="1:30" s="222" customFormat="1">
      <c r="A3" s="211" t="s">
        <v>369</v>
      </c>
      <c r="B3" s="212" t="s">
        <v>371</v>
      </c>
      <c r="C3" s="212"/>
      <c r="D3" s="212"/>
      <c r="E3" s="225">
        <f t="shared" ref="E3:E7" si="0">K3-SUM(M3:U3)+V3+W3</f>
        <v>1074.7100000000064</v>
      </c>
      <c r="F3" s="212">
        <f>'Юнит 01-04.01'!K24</f>
        <v>122</v>
      </c>
      <c r="G3" s="212">
        <f>'Юнит 01-04.01'!P$24</f>
        <v>51</v>
      </c>
      <c r="H3" s="212">
        <f>'Юнит 01-04.01'!Q$24</f>
        <v>1</v>
      </c>
      <c r="I3" s="213">
        <f>'Юнит 01-04.01'!S$24</f>
        <v>85937</v>
      </c>
      <c r="J3" s="214">
        <f>'Юнит 01-04.01'!T$24</f>
        <v>-1600</v>
      </c>
      <c r="K3" s="214">
        <f>I3+J3</f>
        <v>84337</v>
      </c>
      <c r="L3" s="215">
        <f>'Юнит 01-04.01'!W$24</f>
        <v>6252.96</v>
      </c>
      <c r="M3" s="216">
        <f>'Юнит 01-04.01'!Z$24</f>
        <v>8548.619999999999</v>
      </c>
      <c r="N3" s="215">
        <f>'Юнит 01-04.01'!X$24</f>
        <v>36264.910000000003</v>
      </c>
      <c r="O3" s="215"/>
      <c r="P3" s="217"/>
      <c r="Q3" s="215"/>
      <c r="R3" s="218">
        <f>'Юнит 01-04.01'!AA$24</f>
        <v>36772.949999999997</v>
      </c>
      <c r="S3" s="216">
        <v>1675.81</v>
      </c>
      <c r="T3" s="216">
        <v>0</v>
      </c>
      <c r="U3" s="216">
        <v>0</v>
      </c>
      <c r="V3" s="218"/>
      <c r="W3" s="216"/>
      <c r="X3" s="219">
        <f>(K3)*0.0571</f>
        <v>4815.6426999999994</v>
      </c>
      <c r="Y3" s="246">
        <f t="shared" ref="Y3:Y7" si="1">K3-SUM(M3:U3)-L3-X3+V3+W3</f>
        <v>-9993.8926999999931</v>
      </c>
      <c r="Z3" s="220">
        <f ca="1">SUM(Y3:Y7)</f>
        <v>35805.029300000082</v>
      </c>
      <c r="AA3" s="221">
        <f t="shared" ref="AA3:AA7" si="2">L3/K3</f>
        <v>7.4142547161981098E-2</v>
      </c>
      <c r="AB3" s="221">
        <f t="shared" ref="AB3:AB7" si="3">Y3/L3</f>
        <v>-1.5982658932729448</v>
      </c>
      <c r="AC3" s="221">
        <f t="shared" ref="AC3:AC7" si="4">Y3/K3</f>
        <v>-0.11849950436937516</v>
      </c>
      <c r="AD3" s="221">
        <f t="shared" ref="AD3:AD8" si="5">R3/K3</f>
        <v>0.4360239278134152</v>
      </c>
    </row>
    <row r="4" spans="1:30" s="222" customFormat="1">
      <c r="A4" s="223"/>
      <c r="B4" s="212" t="s">
        <v>338</v>
      </c>
      <c r="C4" s="212"/>
      <c r="D4" s="212"/>
      <c r="E4" s="225">
        <f>K4-SUM(M4:U4)+V4+W4</f>
        <v>57707.570000000094</v>
      </c>
      <c r="F4" s="212">
        <f>'Юнит 05-11.01'!K$24</f>
        <v>183</v>
      </c>
      <c r="G4" s="212">
        <f>'Юнит 05-11.01'!P$24</f>
        <v>168</v>
      </c>
      <c r="H4" s="212">
        <f>'Юнит 05-11.01'!Q$24</f>
        <v>8</v>
      </c>
      <c r="I4" s="213">
        <f>'Юнит 05-11.01'!S$24</f>
        <v>277715</v>
      </c>
      <c r="J4" s="214">
        <f>'Юнит 05-11.01'!T$24</f>
        <v>-13822</v>
      </c>
      <c r="K4" s="214">
        <f t="shared" ref="K4:K7" si="6">I4+J4</f>
        <v>263893</v>
      </c>
      <c r="L4" s="215">
        <f>'Юнит 05-11.01'!W$24</f>
        <v>20205.96</v>
      </c>
      <c r="M4" s="216">
        <f>'Юнит 05-11.01'!Z$24</f>
        <v>28076.329999999991</v>
      </c>
      <c r="N4" s="215">
        <f>'Юнит 05-11.01'!X$24</f>
        <v>113473.98999999993</v>
      </c>
      <c r="O4" s="215"/>
      <c r="P4" s="217"/>
      <c r="Q4" s="215"/>
      <c r="R4" s="218">
        <f>'Юнит 05-11.01'!AA$24</f>
        <v>56365.38</v>
      </c>
      <c r="S4" s="216">
        <v>4144.33</v>
      </c>
      <c r="T4" s="216">
        <v>75</v>
      </c>
      <c r="U4" s="216">
        <v>4050.4</v>
      </c>
      <c r="V4" s="218"/>
      <c r="W4" s="216"/>
      <c r="X4" s="219">
        <f t="shared" ref="X4:X7" si="7">(K4)*0.0571</f>
        <v>15068.290299999999</v>
      </c>
      <c r="Y4" s="246">
        <f t="shared" si="1"/>
        <v>22433.319700000095</v>
      </c>
      <c r="Z4" s="224"/>
      <c r="AA4" s="221">
        <f t="shared" si="2"/>
        <v>7.6568760823515589E-2</v>
      </c>
      <c r="AB4" s="221">
        <f t="shared" si="3"/>
        <v>1.1102328075478767</v>
      </c>
      <c r="AC4" s="221">
        <f t="shared" si="4"/>
        <v>8.5009150299553582E-2</v>
      </c>
      <c r="AD4" s="221">
        <f t="shared" si="5"/>
        <v>0.21359179667516759</v>
      </c>
    </row>
    <row r="5" spans="1:30" s="222" customFormat="1">
      <c r="A5" s="223"/>
      <c r="B5" s="212" t="s">
        <v>52</v>
      </c>
      <c r="C5" s="212"/>
      <c r="D5" s="212"/>
      <c r="E5" s="225">
        <f t="shared" si="0"/>
        <v>36064.149999999994</v>
      </c>
      <c r="F5" s="212">
        <f>'Юнит 12-18.01'!K$24</f>
        <v>144</v>
      </c>
      <c r="G5" s="212">
        <f>'Юнит 12-18.01'!P$24</f>
        <v>122</v>
      </c>
      <c r="H5" s="212">
        <f>'Юнит 12-18.01'!Q$24</f>
        <v>2</v>
      </c>
      <c r="I5" s="213">
        <f>'Юнит 12-18.01'!S$24</f>
        <v>211029</v>
      </c>
      <c r="J5" s="214">
        <f>'Юнит 12-18.01'!T$24</f>
        <v>-3221</v>
      </c>
      <c r="K5" s="214">
        <f t="shared" si="6"/>
        <v>207808</v>
      </c>
      <c r="L5" s="215">
        <f>'Юнит 12-18.01'!W$24</f>
        <v>15093.09</v>
      </c>
      <c r="M5" s="216">
        <f>'Юнит 12-18.01'!Z$24</f>
        <v>24172.28</v>
      </c>
      <c r="N5" s="215">
        <f>'Юнит 12-18.01'!X$24</f>
        <v>89357.439999999988</v>
      </c>
      <c r="O5" s="215"/>
      <c r="P5" s="217"/>
      <c r="Q5" s="215"/>
      <c r="R5" s="218">
        <f>'Юнит 12-18.01'!AA$24</f>
        <v>53249.120000000003</v>
      </c>
      <c r="S5" s="216">
        <v>4025.01</v>
      </c>
      <c r="T5" s="216">
        <v>0</v>
      </c>
      <c r="U5" s="216">
        <v>940</v>
      </c>
      <c r="V5" s="218"/>
      <c r="W5" s="226"/>
      <c r="X5" s="219">
        <f t="shared" si="7"/>
        <v>11865.836799999999</v>
      </c>
      <c r="Y5" s="246">
        <f>K5-SUM(M5:U5)-L5-X5+V5+W5</f>
        <v>9105.2231999999949</v>
      </c>
      <c r="Z5" s="224"/>
      <c r="AA5" s="221">
        <f t="shared" si="2"/>
        <v>7.2629975746843239E-2</v>
      </c>
      <c r="AB5" s="221">
        <f t="shared" si="3"/>
        <v>0.6032709802962809</v>
      </c>
      <c r="AC5" s="221">
        <f t="shared" si="4"/>
        <v>4.3815556667693233E-2</v>
      </c>
      <c r="AD5" s="221">
        <f t="shared" si="5"/>
        <v>0.25624191561441334</v>
      </c>
    </row>
    <row r="6" spans="1:30" s="222" customFormat="1">
      <c r="A6" s="223"/>
      <c r="B6" s="212" t="s">
        <v>372</v>
      </c>
      <c r="C6" s="212"/>
      <c r="D6" s="212"/>
      <c r="E6" s="225">
        <f>K6-SUM(M6:U6)+V6+W6</f>
        <v>34413.469999999987</v>
      </c>
      <c r="F6" s="212">
        <f>'Юнит 19-25.01'!K$24</f>
        <v>154</v>
      </c>
      <c r="G6" s="212">
        <f>'Юнит 19-25.01'!P$24</f>
        <v>91</v>
      </c>
      <c r="H6" s="212">
        <f>'Юнит 19-25.01'!Q$24</f>
        <v>2</v>
      </c>
      <c r="I6" s="213">
        <f>'Юнит 19-25.01'!S$24</f>
        <v>161208</v>
      </c>
      <c r="J6" s="214">
        <f>'Юнит 19-25.01'!T$24</f>
        <v>-3229</v>
      </c>
      <c r="K6" s="214">
        <f t="shared" si="6"/>
        <v>157979</v>
      </c>
      <c r="L6" s="215">
        <f>'Юнит 19-25.01'!W$24</f>
        <v>11132.49</v>
      </c>
      <c r="M6" s="216">
        <f>'Юнит 19-25.01'!Z$24</f>
        <v>16989.460000000003</v>
      </c>
      <c r="N6" s="215">
        <f>'Юнит 19-25.01'!X$24</f>
        <v>67930.97</v>
      </c>
      <c r="O6" s="215"/>
      <c r="P6" s="217"/>
      <c r="Q6" s="215"/>
      <c r="R6" s="218">
        <f>'Юнит 19-25.01'!AA$24</f>
        <v>42151.21</v>
      </c>
      <c r="S6" s="216">
        <v>3468.89</v>
      </c>
      <c r="T6" s="216">
        <v>25</v>
      </c>
      <c r="U6" s="216">
        <v>0</v>
      </c>
      <c r="V6" s="218"/>
      <c r="W6" s="226">
        <v>7000</v>
      </c>
      <c r="X6" s="219">
        <f t="shared" si="7"/>
        <v>9020.6008999999995</v>
      </c>
      <c r="Y6" s="246">
        <f t="shared" si="1"/>
        <v>14260.379099999987</v>
      </c>
      <c r="Z6" s="224"/>
      <c r="AA6" s="221">
        <f t="shared" si="2"/>
        <v>7.0468163490084126E-2</v>
      </c>
      <c r="AB6" s="221">
        <f t="shared" si="3"/>
        <v>1.2809694057663639</v>
      </c>
      <c r="AC6" s="221">
        <f t="shared" si="4"/>
        <v>9.0267561511340036E-2</v>
      </c>
      <c r="AD6" s="221">
        <f t="shared" si="5"/>
        <v>0.26681527291602047</v>
      </c>
    </row>
    <row r="7" spans="1:30" s="222" customFormat="1" ht="14" thickBot="1">
      <c r="A7" s="223"/>
      <c r="B7" s="212" t="s">
        <v>373</v>
      </c>
      <c r="C7" s="212"/>
      <c r="D7" s="212"/>
      <c r="E7" s="225">
        <f t="shared" ca="1" si="0"/>
        <v>0</v>
      </c>
      <c r="F7" s="212">
        <f>'Юнит 26-31.01'!K$24</f>
        <v>0</v>
      </c>
      <c r="G7" s="212">
        <f ca="1">'Юнит 26-31.01'!P$24</f>
        <v>0</v>
      </c>
      <c r="H7" s="212">
        <f ca="1">'Юнит 26-31.01'!Q$24</f>
        <v>0</v>
      </c>
      <c r="I7" s="213">
        <f ca="1">'Юнит 26-31.01'!S$24</f>
        <v>0</v>
      </c>
      <c r="J7" s="214">
        <f ca="1">'Юнит 26-31.01'!T$24</f>
        <v>0</v>
      </c>
      <c r="K7" s="214">
        <f t="shared" ca="1" si="6"/>
        <v>0</v>
      </c>
      <c r="L7" s="215">
        <f ca="1">'Юнит 26-31.01'!W$24</f>
        <v>0</v>
      </c>
      <c r="M7" s="216">
        <f ca="1">'Юнит 26-31.01'!Z$24</f>
        <v>0</v>
      </c>
      <c r="N7" s="215">
        <f ca="1">'Юнит 26-31.01'!X$24</f>
        <v>0</v>
      </c>
      <c r="O7" s="215"/>
      <c r="P7" s="217"/>
      <c r="Q7" s="215"/>
      <c r="R7" s="218">
        <f>'Юнит 26-31.01'!AA$24</f>
        <v>0</v>
      </c>
      <c r="S7" s="216"/>
      <c r="T7" s="216"/>
      <c r="U7" s="216"/>
      <c r="V7" s="218"/>
      <c r="W7" s="216"/>
      <c r="X7" s="219">
        <f t="shared" ca="1" si="7"/>
        <v>0</v>
      </c>
      <c r="Y7" s="246">
        <f t="shared" ca="1" si="1"/>
        <v>0</v>
      </c>
      <c r="Z7" s="224"/>
      <c r="AA7" s="221" t="e">
        <f t="shared" ca="1" si="2"/>
        <v>#DIV/0!</v>
      </c>
      <c r="AB7" s="221" t="e">
        <f t="shared" ca="1" si="3"/>
        <v>#DIV/0!</v>
      </c>
      <c r="AC7" s="221" t="e">
        <f t="shared" ca="1" si="4"/>
        <v>#DIV/0!</v>
      </c>
      <c r="AD7" s="221" t="e">
        <f t="shared" ca="1" si="5"/>
        <v>#DIV/0!</v>
      </c>
    </row>
    <row r="8" spans="1:30" s="233" customFormat="1" ht="14" thickBot="1">
      <c r="A8" s="227" t="s">
        <v>360</v>
      </c>
      <c r="B8" s="228"/>
      <c r="C8" s="229"/>
      <c r="D8" s="230"/>
      <c r="E8" s="231">
        <f ca="1">SUM(E3:E7)</f>
        <v>129259.90000000008</v>
      </c>
      <c r="F8" s="231">
        <f>SUM(F3:F7)</f>
        <v>603</v>
      </c>
      <c r="G8" s="231">
        <f ca="1">SUM(G3:G7)</f>
        <v>432</v>
      </c>
      <c r="H8" s="231">
        <f ca="1">SUM(H3:H7)</f>
        <v>13</v>
      </c>
      <c r="I8" s="231">
        <f ca="1">SUM(I3:I7)</f>
        <v>735889</v>
      </c>
      <c r="J8" s="231">
        <f ca="1">SUM(J3:J7)</f>
        <v>-21872</v>
      </c>
      <c r="K8" s="231">
        <f ca="1">SUM(K3:K7)</f>
        <v>714017</v>
      </c>
      <c r="L8" s="231">
        <f ca="1">SUM(L3:L7)</f>
        <v>52684.499999999993</v>
      </c>
      <c r="M8" s="231">
        <f ca="1">SUM(M3:M7)</f>
        <v>77786.689999999988</v>
      </c>
      <c r="N8" s="231">
        <f ca="1">SUM(N3:N7)</f>
        <v>307027.30999999994</v>
      </c>
      <c r="O8" s="231">
        <f>SUM(O3:O7)</f>
        <v>0</v>
      </c>
      <c r="P8" s="231">
        <f>SUM(P3:P7)</f>
        <v>0</v>
      </c>
      <c r="Q8" s="231">
        <f>SUM(Q3:Q7)</f>
        <v>0</v>
      </c>
      <c r="R8" s="231">
        <f>SUM(R3:R7)</f>
        <v>188538.65999999997</v>
      </c>
      <c r="S8" s="231">
        <f>SUM(S3:S7)</f>
        <v>13314.039999999999</v>
      </c>
      <c r="T8" s="231">
        <f>SUM(T3:T7)</f>
        <v>100</v>
      </c>
      <c r="U8" s="231">
        <f>SUM(U3:U7)</f>
        <v>4990.3999999999996</v>
      </c>
      <c r="V8" s="231">
        <f>SUM(V3:V7)</f>
        <v>0</v>
      </c>
      <c r="W8" s="231">
        <f>SUM(W3:W7)</f>
        <v>7000</v>
      </c>
      <c r="X8" s="231">
        <f ca="1">SUM(X3:X7)</f>
        <v>40770.370699999992</v>
      </c>
      <c r="Y8" s="231">
        <f ca="1">SUM(Y3:Y7)</f>
        <v>35805.029300000082</v>
      </c>
      <c r="Z8" s="231">
        <f ca="1">SUM(Z3:Z7)</f>
        <v>35805.029300000082</v>
      </c>
      <c r="AA8" s="232">
        <f ca="1">L8/K8</f>
        <v>7.3786058315138139E-2</v>
      </c>
      <c r="AB8" s="232">
        <f ca="1">Y8/L8</f>
        <v>0.679612206626239</v>
      </c>
      <c r="AC8" s="232">
        <f ca="1">Y8/K8</f>
        <v>5.0145905909803383E-2</v>
      </c>
      <c r="AD8" s="232">
        <f t="shared" ca="1" si="5"/>
        <v>0.26405346091199505</v>
      </c>
    </row>
    <row r="9" spans="1:30">
      <c r="I9" s="238" t="s">
        <v>370</v>
      </c>
      <c r="K9" s="239"/>
      <c r="N9" s="239"/>
      <c r="S9" s="239"/>
      <c r="T9" s="239"/>
      <c r="U9" s="239"/>
      <c r="X9" s="239"/>
    </row>
    <row r="10" spans="1:30" s="235" customFormat="1">
      <c r="A10" s="240"/>
      <c r="B10" s="240"/>
      <c r="D10" s="241"/>
      <c r="E10" s="242"/>
      <c r="F10" s="242"/>
      <c r="G10" s="242"/>
      <c r="H10" s="242"/>
      <c r="J10" s="243">
        <f ca="1">-J8/I8</f>
        <v>2.9721873815208542E-2</v>
      </c>
      <c r="K10" s="244">
        <v>0</v>
      </c>
      <c r="L10" s="243">
        <f ca="1">L8/$K$8</f>
        <v>7.3786058315138139E-2</v>
      </c>
      <c r="M10" s="243">
        <f ca="1">M8/$K$8</f>
        <v>0.10894235011211216</v>
      </c>
      <c r="N10" s="243">
        <f ca="1">N8/$K$8</f>
        <v>0.42999999999999994</v>
      </c>
      <c r="O10" s="243"/>
      <c r="P10" s="243"/>
      <c r="Q10" s="243"/>
      <c r="R10" s="243">
        <f ca="1">R8/$K$8</f>
        <v>0.26405346091199505</v>
      </c>
      <c r="S10" s="243"/>
      <c r="T10" s="243"/>
      <c r="U10" s="243"/>
      <c r="V10" s="233"/>
      <c r="W10" s="233"/>
      <c r="X10" s="243">
        <f ca="1">X8/$K$8</f>
        <v>5.7099999999999991E-2</v>
      </c>
      <c r="Y10" s="243">
        <f ca="1">Y8/L8</f>
        <v>0.679612206626239</v>
      </c>
      <c r="Z10" s="198" t="s">
        <v>36</v>
      </c>
      <c r="AA10" s="233"/>
      <c r="AB10" s="245"/>
      <c r="AC10" s="245"/>
      <c r="AD10" s="245"/>
    </row>
  </sheetData>
  <mergeCells count="26">
    <mergeCell ref="A3:A7"/>
    <mergeCell ref="Z3:Z7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A1:C1"/>
    <mergeCell ref="D1:D2"/>
    <mergeCell ref="E1:E2"/>
    <mergeCell ref="F1:H1"/>
    <mergeCell ref="I1:K1"/>
    <mergeCell ref="L1:L2"/>
  </mergeCells>
  <conditionalFormatting sqref="K2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B8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C8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D8"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M5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N5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M5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N5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K5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K5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K5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M5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N5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M5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N5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K5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K5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M5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N5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K5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M5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N5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M5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N5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K5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M3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N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M3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N3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K3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K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K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M3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N3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M3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N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K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K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M3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N3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K3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M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N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M3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N3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K3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M4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N4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M4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N4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K4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K4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K4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M4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N4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M4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N4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K4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K4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M4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N4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K4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M4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N4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M4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N4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K4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M6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N6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M6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N6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K6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K6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K6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M6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N6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M6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N6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K6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K6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M6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N6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K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M6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N6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M6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N6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K6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M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N7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M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N7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K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K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K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M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N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M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N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K7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K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M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N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K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M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N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M7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N7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K7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B3:AB7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C3:AC7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D3:AD7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AB8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AC8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AD8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AB3:AB7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AC3:AC7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E7" sqref="E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49" t="s">
        <v>1078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3" ht="28.5" customHeight="1" outlineLevel="1" thickBot="1">
      <c r="C3" s="252" t="s">
        <v>29</v>
      </c>
      <c r="D3" s="253" t="s">
        <v>1079</v>
      </c>
      <c r="E3" s="254" t="s">
        <v>1080</v>
      </c>
      <c r="F3" s="253" t="s">
        <v>1081</v>
      </c>
      <c r="G3" s="253" t="s">
        <v>1082</v>
      </c>
      <c r="J3" s="252" t="s">
        <v>1083</v>
      </c>
      <c r="K3" s="253" t="s">
        <v>1084</v>
      </c>
      <c r="L3" s="254" t="s">
        <v>1080</v>
      </c>
      <c r="M3" s="255" t="s">
        <v>1082</v>
      </c>
    </row>
    <row r="4" spans="2:13" ht="28.5" customHeight="1" outlineLevel="1" thickBot="1">
      <c r="B4" s="256" t="s">
        <v>39</v>
      </c>
      <c r="C4" s="257"/>
      <c r="D4" s="258" t="e">
        <f>C4/C$18</f>
        <v>#DIV/0!</v>
      </c>
      <c r="E4" s="258" t="e">
        <f>D4</f>
        <v>#DIV/0!</v>
      </c>
      <c r="F4" s="259" t="e">
        <f>IF(AND(E4&lt;=0),"C",IF(E4&lt;=0.8,"A",IF(E4&lt;=0.95,"B","C")))</f>
        <v>#DIV/0!</v>
      </c>
      <c r="G4" s="259" t="e">
        <f>VLOOKUP(B$4:B$17,I$4:M$17,5,0)</f>
        <v>#DIV/0!</v>
      </c>
      <c r="I4" s="256" t="s">
        <v>39</v>
      </c>
      <c r="J4" s="257"/>
      <c r="K4" s="258" t="e">
        <f>J4/J$18</f>
        <v>#DIV/0!</v>
      </c>
      <c r="L4" s="258" t="e">
        <f>K4</f>
        <v>#DIV/0!</v>
      </c>
      <c r="M4" s="259" t="e">
        <f t="shared" ref="M4:M17" si="0">_xlfn.IFS(L4&lt;80%,"A",L4&lt;=95%,"B",L4&gt;95%,"C")</f>
        <v>#DIV/0!</v>
      </c>
    </row>
    <row r="5" spans="2:13" ht="28.5" customHeight="1" outlineLevel="1" thickBot="1">
      <c r="B5" s="256" t="s">
        <v>40</v>
      </c>
      <c r="C5" s="257"/>
      <c r="D5" s="258" t="e">
        <f>C5/C$18</f>
        <v>#DIV/0!</v>
      </c>
      <c r="E5" s="258" t="e">
        <f>D5+E4</f>
        <v>#DIV/0!</v>
      </c>
      <c r="F5" s="259" t="e">
        <f t="shared" ref="F5:F17" si="1">IF(AND(E5&lt;=0),"C",IF(E5&lt;=0.8,"A",IF(E5&lt;=0.95,"B","C")))</f>
        <v>#DIV/0!</v>
      </c>
      <c r="G5" s="259" t="e">
        <f>VLOOKUP(B$4:B$17,I$4:M$17,5,0)</f>
        <v>#DIV/0!</v>
      </c>
      <c r="I5" s="256" t="s">
        <v>40</v>
      </c>
      <c r="J5" s="257"/>
      <c r="K5" s="258" t="e">
        <f>J5/J$18</f>
        <v>#DIV/0!</v>
      </c>
      <c r="L5" s="258" t="e">
        <f>K5+L4</f>
        <v>#DIV/0!</v>
      </c>
      <c r="M5" s="259" t="e">
        <f t="shared" si="0"/>
        <v>#DIV/0!</v>
      </c>
    </row>
    <row r="6" spans="2:13" ht="28.5" customHeight="1" outlineLevel="1" thickBot="1">
      <c r="B6" s="256" t="s">
        <v>41</v>
      </c>
      <c r="C6" s="257"/>
      <c r="D6" s="258" t="e">
        <f t="shared" ref="D6:D11" si="2">C6/C$18</f>
        <v>#DIV/0!</v>
      </c>
      <c r="E6" s="258" t="e">
        <f t="shared" ref="E6:E11" si="3">D6+E5</f>
        <v>#DIV/0!</v>
      </c>
      <c r="F6" s="259" t="e">
        <f t="shared" si="1"/>
        <v>#DIV/0!</v>
      </c>
      <c r="G6" s="259" t="e">
        <f t="shared" ref="G6:G11" si="4">VLOOKUP(B$4:B$17,I$4:M$17,5,0)</f>
        <v>#DIV/0!</v>
      </c>
      <c r="I6" s="256" t="s">
        <v>41</v>
      </c>
      <c r="J6" s="257"/>
      <c r="K6" s="258" t="e">
        <f t="shared" ref="K6:K11" si="5">J6/J$18</f>
        <v>#DIV/0!</v>
      </c>
      <c r="L6" s="258" t="e">
        <f t="shared" ref="L6:L11" si="6">K6+L5</f>
        <v>#DIV/0!</v>
      </c>
      <c r="M6" s="259" t="e">
        <f t="shared" si="0"/>
        <v>#DIV/0!</v>
      </c>
    </row>
    <row r="7" spans="2:13" ht="28.5" customHeight="1" outlineLevel="1" thickBot="1">
      <c r="B7" s="256" t="s">
        <v>42</v>
      </c>
      <c r="C7" s="257"/>
      <c r="D7" s="258" t="e">
        <f t="shared" si="2"/>
        <v>#DIV/0!</v>
      </c>
      <c r="E7" s="258" t="e">
        <f t="shared" si="3"/>
        <v>#DIV/0!</v>
      </c>
      <c r="F7" s="259" t="e">
        <f t="shared" si="1"/>
        <v>#DIV/0!</v>
      </c>
      <c r="G7" s="259" t="e">
        <f t="shared" si="4"/>
        <v>#DIV/0!</v>
      </c>
      <c r="I7" s="256" t="s">
        <v>42</v>
      </c>
      <c r="J7" s="257"/>
      <c r="K7" s="258" t="e">
        <f t="shared" si="5"/>
        <v>#DIV/0!</v>
      </c>
      <c r="L7" s="258" t="e">
        <f t="shared" si="6"/>
        <v>#DIV/0!</v>
      </c>
      <c r="M7" s="259" t="e">
        <f t="shared" si="0"/>
        <v>#DIV/0!</v>
      </c>
    </row>
    <row r="8" spans="2:13" ht="28.5" customHeight="1" outlineLevel="1" thickBot="1">
      <c r="B8" s="256" t="s">
        <v>43</v>
      </c>
      <c r="C8" s="257"/>
      <c r="D8" s="258" t="e">
        <f t="shared" si="2"/>
        <v>#DIV/0!</v>
      </c>
      <c r="E8" s="258" t="e">
        <f t="shared" si="3"/>
        <v>#DIV/0!</v>
      </c>
      <c r="F8" s="259" t="e">
        <f t="shared" si="1"/>
        <v>#DIV/0!</v>
      </c>
      <c r="G8" s="259" t="e">
        <f t="shared" si="4"/>
        <v>#DIV/0!</v>
      </c>
      <c r="I8" s="256" t="s">
        <v>43</v>
      </c>
      <c r="J8" s="257"/>
      <c r="K8" s="258" t="e">
        <f t="shared" si="5"/>
        <v>#DIV/0!</v>
      </c>
      <c r="L8" s="258" t="e">
        <f t="shared" si="6"/>
        <v>#DIV/0!</v>
      </c>
      <c r="M8" s="259" t="e">
        <f t="shared" si="0"/>
        <v>#DIV/0!</v>
      </c>
    </row>
    <row r="9" spans="2:13" ht="28.5" customHeight="1" outlineLevel="1" thickBot="1">
      <c r="B9" s="256" t="s">
        <v>44</v>
      </c>
      <c r="C9" s="257"/>
      <c r="D9" s="258" t="e">
        <f t="shared" si="2"/>
        <v>#DIV/0!</v>
      </c>
      <c r="E9" s="258" t="e">
        <f t="shared" si="3"/>
        <v>#DIV/0!</v>
      </c>
      <c r="F9" s="259" t="e">
        <f t="shared" si="1"/>
        <v>#DIV/0!</v>
      </c>
      <c r="G9" s="259" t="e">
        <f t="shared" si="4"/>
        <v>#DIV/0!</v>
      </c>
      <c r="I9" s="256" t="s">
        <v>44</v>
      </c>
      <c r="J9" s="257"/>
      <c r="K9" s="258" t="e">
        <f t="shared" si="5"/>
        <v>#DIV/0!</v>
      </c>
      <c r="L9" s="258" t="e">
        <f t="shared" si="6"/>
        <v>#DIV/0!</v>
      </c>
      <c r="M9" s="259" t="e">
        <f t="shared" si="0"/>
        <v>#DIV/0!</v>
      </c>
    </row>
    <row r="10" spans="2:13" ht="28.5" customHeight="1" outlineLevel="1" thickBot="1">
      <c r="B10" s="256" t="s">
        <v>56</v>
      </c>
      <c r="C10" s="257"/>
      <c r="D10" s="258" t="e">
        <f t="shared" si="2"/>
        <v>#DIV/0!</v>
      </c>
      <c r="E10" s="258" t="e">
        <f t="shared" si="3"/>
        <v>#DIV/0!</v>
      </c>
      <c r="F10" s="259" t="e">
        <f t="shared" si="1"/>
        <v>#DIV/0!</v>
      </c>
      <c r="G10" s="259" t="e">
        <f t="shared" si="4"/>
        <v>#DIV/0!</v>
      </c>
      <c r="I10" s="256" t="s">
        <v>56</v>
      </c>
      <c r="J10" s="257"/>
      <c r="K10" s="258" t="e">
        <f t="shared" si="5"/>
        <v>#DIV/0!</v>
      </c>
      <c r="L10" s="258" t="e">
        <f t="shared" si="6"/>
        <v>#DIV/0!</v>
      </c>
      <c r="M10" s="259" t="e">
        <f t="shared" si="0"/>
        <v>#DIV/0!</v>
      </c>
    </row>
    <row r="11" spans="2:13" ht="28.5" customHeight="1" outlineLevel="1" thickBot="1">
      <c r="B11" s="256" t="s">
        <v>57</v>
      </c>
      <c r="C11" s="257"/>
      <c r="D11" s="258" t="e">
        <f t="shared" si="2"/>
        <v>#DIV/0!</v>
      </c>
      <c r="E11" s="258" t="e">
        <f t="shared" si="3"/>
        <v>#DIV/0!</v>
      </c>
      <c r="F11" s="259" t="e">
        <f t="shared" si="1"/>
        <v>#DIV/0!</v>
      </c>
      <c r="G11" s="259" t="e">
        <f t="shared" si="4"/>
        <v>#DIV/0!</v>
      </c>
      <c r="I11" s="256" t="s">
        <v>57</v>
      </c>
      <c r="J11" s="257"/>
      <c r="K11" s="258" t="e">
        <f t="shared" si="5"/>
        <v>#DIV/0!</v>
      </c>
      <c r="L11" s="258" t="e">
        <f t="shared" si="6"/>
        <v>#DIV/0!</v>
      </c>
      <c r="M11" s="259" t="e">
        <f t="shared" si="0"/>
        <v>#DIV/0!</v>
      </c>
    </row>
    <row r="12" spans="2:13" ht="28.5" customHeight="1" outlineLevel="1" thickBot="1">
      <c r="B12" s="256" t="s">
        <v>53</v>
      </c>
      <c r="C12" s="257"/>
      <c r="D12" s="258" t="e">
        <f>C12/C$18</f>
        <v>#DIV/0!</v>
      </c>
      <c r="E12" s="258" t="e">
        <f>D12+E5</f>
        <v>#DIV/0!</v>
      </c>
      <c r="F12" s="259" t="e">
        <f t="shared" si="1"/>
        <v>#DIV/0!</v>
      </c>
      <c r="G12" s="259" t="e">
        <f>VLOOKUP(B$4:B$17,I$4:M$17,5,0)</f>
        <v>#DIV/0!</v>
      </c>
      <c r="I12" s="256" t="s">
        <v>53</v>
      </c>
      <c r="J12" s="257"/>
      <c r="K12" s="258" t="e">
        <f>J12/J$18</f>
        <v>#DIV/0!</v>
      </c>
      <c r="L12" s="258" t="e">
        <f>K12+L5</f>
        <v>#DIV/0!</v>
      </c>
      <c r="M12" s="259" t="e">
        <f t="shared" si="0"/>
        <v>#DIV/0!</v>
      </c>
    </row>
    <row r="13" spans="2:13" ht="28.5" customHeight="1" outlineLevel="1" thickBot="1">
      <c r="B13" s="256" t="s">
        <v>58</v>
      </c>
      <c r="C13" s="257"/>
      <c r="D13" s="258" t="e">
        <f>C13/C$18</f>
        <v>#DIV/0!</v>
      </c>
      <c r="E13" s="258" t="e">
        <f t="shared" ref="E13:E16" si="7">D13+E12</f>
        <v>#DIV/0!</v>
      </c>
      <c r="F13" s="259" t="e">
        <f t="shared" si="1"/>
        <v>#DIV/0!</v>
      </c>
      <c r="G13" s="259" t="e">
        <f>VLOOKUP(B$4:B$17,I$4:M$17,5,0)</f>
        <v>#DIV/0!</v>
      </c>
      <c r="I13" s="256" t="s">
        <v>58</v>
      </c>
      <c r="J13" s="257"/>
      <c r="K13" s="258" t="e">
        <f>J13/J$18</f>
        <v>#DIV/0!</v>
      </c>
      <c r="L13" s="258" t="e">
        <f t="shared" ref="L13:L16" si="8">K13+L12</f>
        <v>#DIV/0!</v>
      </c>
      <c r="M13" s="259" t="e">
        <f t="shared" si="0"/>
        <v>#DIV/0!</v>
      </c>
    </row>
    <row r="14" spans="2:13" ht="28.5" customHeight="1" outlineLevel="1" thickBot="1">
      <c r="B14" s="256" t="s">
        <v>59</v>
      </c>
      <c r="C14" s="257"/>
      <c r="D14" s="258" t="e">
        <f>C14/C$18</f>
        <v>#DIV/0!</v>
      </c>
      <c r="E14" s="258" t="e">
        <f t="shared" si="7"/>
        <v>#DIV/0!</v>
      </c>
      <c r="F14" s="259" t="e">
        <f t="shared" si="1"/>
        <v>#DIV/0!</v>
      </c>
      <c r="G14" s="259" t="e">
        <f>VLOOKUP(B$4:B$17,I$4:M$17,5,0)</f>
        <v>#DIV/0!</v>
      </c>
      <c r="I14" s="256" t="s">
        <v>59</v>
      </c>
      <c r="J14" s="257"/>
      <c r="K14" s="258" t="e">
        <f>J14/J$18</f>
        <v>#DIV/0!</v>
      </c>
      <c r="L14" s="258" t="e">
        <f t="shared" si="8"/>
        <v>#DIV/0!</v>
      </c>
      <c r="M14" s="259" t="e">
        <f t="shared" si="0"/>
        <v>#DIV/0!</v>
      </c>
    </row>
    <row r="15" spans="2:13" ht="28.5" customHeight="1" outlineLevel="1" thickBot="1">
      <c r="B15" s="256" t="s">
        <v>60</v>
      </c>
      <c r="C15" s="257"/>
      <c r="D15" s="258" t="e">
        <f>C15/C$18</f>
        <v>#DIV/0!</v>
      </c>
      <c r="E15" s="258" t="e">
        <f t="shared" si="7"/>
        <v>#DIV/0!</v>
      </c>
      <c r="F15" s="259" t="e">
        <f t="shared" si="1"/>
        <v>#DIV/0!</v>
      </c>
      <c r="G15" s="259" t="e">
        <f>VLOOKUP(B$4:B$17,I$4:M$17,5,0)</f>
        <v>#DIV/0!</v>
      </c>
      <c r="I15" s="256" t="s">
        <v>60</v>
      </c>
      <c r="J15" s="257"/>
      <c r="K15" s="258" t="e">
        <f>J15/J$18</f>
        <v>#DIV/0!</v>
      </c>
      <c r="L15" s="258" t="e">
        <f t="shared" si="8"/>
        <v>#DIV/0!</v>
      </c>
      <c r="M15" s="259" t="e">
        <f t="shared" si="0"/>
        <v>#DIV/0!</v>
      </c>
    </row>
    <row r="16" spans="2:13" ht="28.5" customHeight="1" outlineLevel="1" thickBot="1">
      <c r="B16" s="256" t="s">
        <v>54</v>
      </c>
      <c r="C16" s="257"/>
      <c r="D16" s="258" t="e">
        <f>C16/C$18</f>
        <v>#DIV/0!</v>
      </c>
      <c r="E16" s="258" t="e">
        <f t="shared" si="7"/>
        <v>#DIV/0!</v>
      </c>
      <c r="F16" s="259" t="e">
        <f t="shared" si="1"/>
        <v>#DIV/0!</v>
      </c>
      <c r="G16" s="259" t="e">
        <f>VLOOKUP(B$4:B$17,I$4:M$17,5,0)</f>
        <v>#DIV/0!</v>
      </c>
      <c r="I16" s="256" t="s">
        <v>54</v>
      </c>
      <c r="J16" s="257"/>
      <c r="K16" s="258" t="e">
        <f>J16/J$18</f>
        <v>#DIV/0!</v>
      </c>
      <c r="L16" s="258" t="e">
        <f t="shared" si="8"/>
        <v>#DIV/0!</v>
      </c>
      <c r="M16" s="259" t="e">
        <f t="shared" si="0"/>
        <v>#DIV/0!</v>
      </c>
    </row>
    <row r="17" spans="2:13" ht="28.5" customHeight="1" outlineLevel="1" thickBot="1">
      <c r="B17" s="256" t="s">
        <v>61</v>
      </c>
      <c r="C17" s="257"/>
      <c r="D17" s="258" t="e">
        <f>C17/C$18</f>
        <v>#DIV/0!</v>
      </c>
      <c r="E17" s="258" t="e">
        <f>D17+E14</f>
        <v>#DIV/0!</v>
      </c>
      <c r="F17" s="259" t="e">
        <f t="shared" si="1"/>
        <v>#DIV/0!</v>
      </c>
      <c r="G17" s="259" t="e">
        <f>VLOOKUP(B$4:B$17,I$4:M$17,5,0)</f>
        <v>#DIV/0!</v>
      </c>
      <c r="I17" s="256" t="s">
        <v>61</v>
      </c>
      <c r="J17" s="257"/>
      <c r="K17" s="258" t="e">
        <f>J17/J$18</f>
        <v>#DIV/0!</v>
      </c>
      <c r="L17" s="258" t="e">
        <f>K17+L14</f>
        <v>#DIV/0!</v>
      </c>
      <c r="M17" s="259" t="e">
        <f t="shared" si="0"/>
        <v>#DIV/0!</v>
      </c>
    </row>
    <row r="18" spans="2:13" outlineLevel="1">
      <c r="C18" s="260">
        <f>SUM(C4:C17)</f>
        <v>0</v>
      </c>
      <c r="D18" s="261" t="e">
        <f>SUM(D4:D17)</f>
        <v>#DIV/0!</v>
      </c>
      <c r="J18" s="260">
        <f>SUM(J4:J17)</f>
        <v>0</v>
      </c>
      <c r="K18" s="261" t="e">
        <f>SUM(K4:K17)</f>
        <v>#DIV/0!</v>
      </c>
    </row>
    <row r="20" spans="2:13" ht="15" hidden="1" outlineLevel="1" thickBot="1"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4"/>
    </row>
    <row r="21" spans="2:13" ht="23.5" hidden="1" outlineLevel="1" thickBot="1">
      <c r="C21" s="252" t="s">
        <v>29</v>
      </c>
      <c r="D21" s="253" t="s">
        <v>1079</v>
      </c>
      <c r="E21" s="254" t="s">
        <v>1080</v>
      </c>
      <c r="F21" s="253" t="s">
        <v>1081</v>
      </c>
      <c r="G21" s="253" t="s">
        <v>1082</v>
      </c>
      <c r="J21" s="252" t="s">
        <v>1083</v>
      </c>
      <c r="K21" s="253" t="s">
        <v>1084</v>
      </c>
      <c r="L21" s="254" t="s">
        <v>1080</v>
      </c>
      <c r="M21" s="255" t="s">
        <v>1082</v>
      </c>
    </row>
    <row r="22" spans="2:13" ht="15" hidden="1" outlineLevel="1" thickBot="1">
      <c r="B22" s="256"/>
      <c r="C22" s="257"/>
      <c r="D22" s="258" t="e">
        <f>C22/C$42</f>
        <v>#DIV/0!</v>
      </c>
      <c r="E22" s="258" t="e">
        <f>D22</f>
        <v>#DIV/0!</v>
      </c>
      <c r="F22" s="259" t="e">
        <f t="shared" ref="F22:F28" si="9">IF(AND(E22&lt;=0),"C",IF(E22&lt;=0.8,"A",IF(E22&lt;=0.95,"B","C")))</f>
        <v>#DIV/0!</v>
      </c>
      <c r="G22" s="259" t="e">
        <f>VLOOKUP(B$22:B$42,I$22:M$42,5,0)</f>
        <v>#N/A</v>
      </c>
      <c r="I22" s="256"/>
      <c r="J22" s="257"/>
      <c r="K22" s="258" t="e">
        <f>J22/J$42</f>
        <v>#DIV/0!</v>
      </c>
      <c r="L22" s="258" t="e">
        <f>K22</f>
        <v>#DIV/0!</v>
      </c>
      <c r="M22" s="259" t="e">
        <f t="shared" ref="M22:M28" si="10">_xlfn.IFS(L22&lt;80%,"A",L22&lt;=95%,"B",L22&gt;95%,"C")</f>
        <v>#DIV/0!</v>
      </c>
    </row>
    <row r="23" spans="2:13" ht="15" hidden="1" outlineLevel="1" thickBot="1">
      <c r="B23" s="256"/>
      <c r="C23" s="257"/>
      <c r="D23" s="258" t="e">
        <f t="shared" ref="D23:D41" si="11">C23/C$42</f>
        <v>#DIV/0!</v>
      </c>
      <c r="E23" s="258" t="e">
        <f>D23+E22</f>
        <v>#DIV/0!</v>
      </c>
      <c r="F23" s="259" t="e">
        <f t="shared" si="9"/>
        <v>#DIV/0!</v>
      </c>
      <c r="G23" s="259" t="e">
        <f t="shared" ref="G23:G41" si="12">VLOOKUP(B$22:B$42,I$22:M$42,5,0)</f>
        <v>#N/A</v>
      </c>
      <c r="I23" s="256"/>
      <c r="J23" s="257"/>
      <c r="K23" s="258" t="e">
        <f t="shared" ref="K23:K41" si="13">J23/J$42</f>
        <v>#DIV/0!</v>
      </c>
      <c r="L23" s="258" t="e">
        <f>K23+L22</f>
        <v>#DIV/0!</v>
      </c>
      <c r="M23" s="259" t="e">
        <f t="shared" si="10"/>
        <v>#DIV/0!</v>
      </c>
    </row>
    <row r="24" spans="2:13" ht="15" hidden="1" outlineLevel="1" thickBot="1">
      <c r="B24" s="256"/>
      <c r="C24" s="257"/>
      <c r="D24" s="258" t="e">
        <f t="shared" si="11"/>
        <v>#DIV/0!</v>
      </c>
      <c r="E24" s="258" t="e">
        <f t="shared" ref="E24:E41" si="14">D24+E23</f>
        <v>#DIV/0!</v>
      </c>
      <c r="F24" s="259" t="e">
        <f t="shared" si="9"/>
        <v>#DIV/0!</v>
      </c>
      <c r="G24" s="259" t="e">
        <f t="shared" si="12"/>
        <v>#N/A</v>
      </c>
      <c r="I24" s="256"/>
      <c r="J24" s="257"/>
      <c r="K24" s="258" t="e">
        <f t="shared" si="13"/>
        <v>#DIV/0!</v>
      </c>
      <c r="L24" s="258" t="e">
        <f t="shared" ref="L24:L41" si="15">K24+L23</f>
        <v>#DIV/0!</v>
      </c>
      <c r="M24" s="259" t="e">
        <f t="shared" si="10"/>
        <v>#DIV/0!</v>
      </c>
    </row>
    <row r="25" spans="2:13" ht="15" hidden="1" outlineLevel="1" thickBot="1">
      <c r="B25" s="256"/>
      <c r="C25" s="257"/>
      <c r="D25" s="258" t="e">
        <f t="shared" si="11"/>
        <v>#DIV/0!</v>
      </c>
      <c r="E25" s="258" t="e">
        <f t="shared" si="14"/>
        <v>#DIV/0!</v>
      </c>
      <c r="F25" s="259" t="e">
        <f t="shared" si="9"/>
        <v>#DIV/0!</v>
      </c>
      <c r="G25" s="259" t="e">
        <f t="shared" si="12"/>
        <v>#N/A</v>
      </c>
      <c r="I25" s="256"/>
      <c r="J25" s="257"/>
      <c r="K25" s="258" t="e">
        <f t="shared" si="13"/>
        <v>#DIV/0!</v>
      </c>
      <c r="L25" s="258" t="e">
        <f t="shared" si="15"/>
        <v>#DIV/0!</v>
      </c>
      <c r="M25" s="259" t="e">
        <f t="shared" si="10"/>
        <v>#DIV/0!</v>
      </c>
    </row>
    <row r="26" spans="2:13" ht="15" hidden="1" outlineLevel="1" thickBot="1">
      <c r="B26" s="256"/>
      <c r="C26" s="257"/>
      <c r="D26" s="258" t="e">
        <f t="shared" si="11"/>
        <v>#DIV/0!</v>
      </c>
      <c r="E26" s="258" t="e">
        <f t="shared" si="14"/>
        <v>#DIV/0!</v>
      </c>
      <c r="F26" s="259" t="e">
        <f t="shared" si="9"/>
        <v>#DIV/0!</v>
      </c>
      <c r="G26" s="259" t="e">
        <f t="shared" si="12"/>
        <v>#N/A</v>
      </c>
      <c r="I26" s="256"/>
      <c r="J26" s="257"/>
      <c r="K26" s="258" t="e">
        <f t="shared" si="13"/>
        <v>#DIV/0!</v>
      </c>
      <c r="L26" s="258" t="e">
        <f t="shared" si="15"/>
        <v>#DIV/0!</v>
      </c>
      <c r="M26" s="259" t="e">
        <f t="shared" si="10"/>
        <v>#DIV/0!</v>
      </c>
    </row>
    <row r="27" spans="2:13" ht="15" hidden="1" outlineLevel="1" thickBot="1">
      <c r="B27" s="256"/>
      <c r="C27" s="257"/>
      <c r="D27" s="258" t="e">
        <f t="shared" si="11"/>
        <v>#DIV/0!</v>
      </c>
      <c r="E27" s="258" t="e">
        <f t="shared" si="14"/>
        <v>#DIV/0!</v>
      </c>
      <c r="F27" s="259" t="e">
        <f t="shared" si="9"/>
        <v>#DIV/0!</v>
      </c>
      <c r="G27" s="259" t="e">
        <f t="shared" si="12"/>
        <v>#N/A</v>
      </c>
      <c r="I27" s="256"/>
      <c r="J27" s="257"/>
      <c r="K27" s="258" t="e">
        <f t="shared" si="13"/>
        <v>#DIV/0!</v>
      </c>
      <c r="L27" s="258" t="e">
        <f t="shared" si="15"/>
        <v>#DIV/0!</v>
      </c>
      <c r="M27" s="259" t="e">
        <f t="shared" si="10"/>
        <v>#DIV/0!</v>
      </c>
    </row>
    <row r="28" spans="2:13" ht="15" hidden="1" outlineLevel="1" thickBot="1">
      <c r="B28" s="256"/>
      <c r="C28" s="257"/>
      <c r="D28" s="258" t="e">
        <f t="shared" si="11"/>
        <v>#DIV/0!</v>
      </c>
      <c r="E28" s="258" t="e">
        <f t="shared" si="14"/>
        <v>#DIV/0!</v>
      </c>
      <c r="F28" s="259" t="e">
        <f t="shared" si="9"/>
        <v>#DIV/0!</v>
      </c>
      <c r="G28" s="259" t="e">
        <f t="shared" si="12"/>
        <v>#N/A</v>
      </c>
      <c r="I28" s="256"/>
      <c r="J28" s="257"/>
      <c r="K28" s="258" t="e">
        <f t="shared" si="13"/>
        <v>#DIV/0!</v>
      </c>
      <c r="L28" s="258" t="e">
        <f t="shared" si="15"/>
        <v>#DIV/0!</v>
      </c>
      <c r="M28" s="259" t="e">
        <f t="shared" si="10"/>
        <v>#DIV/0!</v>
      </c>
    </row>
    <row r="29" spans="2:13" ht="15" hidden="1" outlineLevel="1" thickBot="1">
      <c r="B29" s="256"/>
      <c r="C29" s="257"/>
      <c r="D29" s="258" t="e">
        <f t="shared" si="11"/>
        <v>#DIV/0!</v>
      </c>
      <c r="E29" s="258" t="e">
        <f t="shared" si="14"/>
        <v>#DIV/0!</v>
      </c>
      <c r="F29" s="259" t="e">
        <f>IF(AND(E29&lt;=0),"C",IF(E29&lt;=0.8,"A",IF(E29&lt;=0.95,"B","C")))</f>
        <v>#DIV/0!</v>
      </c>
      <c r="G29" s="259" t="e">
        <f t="shared" si="12"/>
        <v>#N/A</v>
      </c>
      <c r="I29" s="256"/>
      <c r="J29" s="257"/>
      <c r="K29" s="258" t="e">
        <f t="shared" si="13"/>
        <v>#DIV/0!</v>
      </c>
      <c r="L29" s="258" t="e">
        <f t="shared" si="15"/>
        <v>#DIV/0!</v>
      </c>
      <c r="M29" s="259" t="e">
        <f>_xlfn.IFS(L29&lt;80%,"A",L29&lt;=95%,"B",L29&gt;95%,"C")</f>
        <v>#DIV/0!</v>
      </c>
    </row>
    <row r="30" spans="2:13" ht="15" hidden="1" outlineLevel="1" thickBot="1">
      <c r="B30" s="256"/>
      <c r="C30" s="257"/>
      <c r="D30" s="258" t="e">
        <f t="shared" si="11"/>
        <v>#DIV/0!</v>
      </c>
      <c r="E30" s="258" t="e">
        <f t="shared" si="14"/>
        <v>#DIV/0!</v>
      </c>
      <c r="F30" s="259" t="e">
        <f t="shared" ref="F30:F41" si="16">IF(AND(E30&lt;=0),"C",IF(E30&lt;=0.8,"A",IF(E30&lt;=0.95,"B","C")))</f>
        <v>#DIV/0!</v>
      </c>
      <c r="G30" s="259" t="e">
        <f t="shared" si="12"/>
        <v>#N/A</v>
      </c>
      <c r="I30" s="256"/>
      <c r="J30" s="257"/>
      <c r="K30" s="258" t="e">
        <f t="shared" si="13"/>
        <v>#DIV/0!</v>
      </c>
      <c r="L30" s="258" t="e">
        <f t="shared" si="15"/>
        <v>#DIV/0!</v>
      </c>
      <c r="M30" s="259" t="e">
        <f t="shared" ref="M30:M41" si="17">_xlfn.IFS(L30&lt;80%,"A",L30&lt;=95%,"B",L30&gt;95%,"C")</f>
        <v>#DIV/0!</v>
      </c>
    </row>
    <row r="31" spans="2:13" ht="15" hidden="1" outlineLevel="1" thickBot="1">
      <c r="B31" s="256"/>
      <c r="C31" s="257"/>
      <c r="D31" s="258" t="e">
        <f t="shared" si="11"/>
        <v>#DIV/0!</v>
      </c>
      <c r="E31" s="258" t="e">
        <f t="shared" si="14"/>
        <v>#DIV/0!</v>
      </c>
      <c r="F31" s="259" t="e">
        <f t="shared" si="16"/>
        <v>#DIV/0!</v>
      </c>
      <c r="G31" s="259" t="e">
        <f t="shared" si="12"/>
        <v>#N/A</v>
      </c>
      <c r="I31" s="256"/>
      <c r="J31" s="257"/>
      <c r="K31" s="258" t="e">
        <f t="shared" si="13"/>
        <v>#DIV/0!</v>
      </c>
      <c r="L31" s="258" t="e">
        <f t="shared" si="15"/>
        <v>#DIV/0!</v>
      </c>
      <c r="M31" s="259" t="e">
        <f t="shared" si="17"/>
        <v>#DIV/0!</v>
      </c>
    </row>
    <row r="32" spans="2:13" ht="15" hidden="1" outlineLevel="1" thickBot="1">
      <c r="B32" s="256"/>
      <c r="C32" s="257"/>
      <c r="D32" s="258" t="e">
        <f t="shared" si="11"/>
        <v>#DIV/0!</v>
      </c>
      <c r="E32" s="258" t="e">
        <f t="shared" si="14"/>
        <v>#DIV/0!</v>
      </c>
      <c r="F32" s="259" t="e">
        <f t="shared" si="16"/>
        <v>#DIV/0!</v>
      </c>
      <c r="G32" s="259" t="e">
        <f t="shared" si="12"/>
        <v>#N/A</v>
      </c>
      <c r="I32" s="256"/>
      <c r="J32" s="257"/>
      <c r="K32" s="258" t="e">
        <f t="shared" si="13"/>
        <v>#DIV/0!</v>
      </c>
      <c r="L32" s="258" t="e">
        <f t="shared" si="15"/>
        <v>#DIV/0!</v>
      </c>
      <c r="M32" s="259" t="e">
        <f t="shared" si="17"/>
        <v>#DIV/0!</v>
      </c>
    </row>
    <row r="33" spans="2:13" ht="15" hidden="1" outlineLevel="1" thickBot="1">
      <c r="B33" s="256"/>
      <c r="C33" s="257"/>
      <c r="D33" s="258" t="e">
        <f t="shared" si="11"/>
        <v>#DIV/0!</v>
      </c>
      <c r="E33" s="258" t="e">
        <f t="shared" si="14"/>
        <v>#DIV/0!</v>
      </c>
      <c r="F33" s="259" t="e">
        <f t="shared" si="16"/>
        <v>#DIV/0!</v>
      </c>
      <c r="G33" s="259" t="e">
        <f t="shared" si="12"/>
        <v>#N/A</v>
      </c>
      <c r="I33" s="256"/>
      <c r="J33" s="257"/>
      <c r="K33" s="258" t="e">
        <f t="shared" si="13"/>
        <v>#DIV/0!</v>
      </c>
      <c r="L33" s="258" t="e">
        <f t="shared" si="15"/>
        <v>#DIV/0!</v>
      </c>
      <c r="M33" s="259" t="e">
        <f t="shared" si="17"/>
        <v>#DIV/0!</v>
      </c>
    </row>
    <row r="34" spans="2:13" ht="15" hidden="1" outlineLevel="1" thickBot="1">
      <c r="B34" s="256"/>
      <c r="C34" s="257"/>
      <c r="D34" s="258" t="e">
        <f t="shared" si="11"/>
        <v>#DIV/0!</v>
      </c>
      <c r="E34" s="258" t="e">
        <f t="shared" si="14"/>
        <v>#DIV/0!</v>
      </c>
      <c r="F34" s="259" t="e">
        <f t="shared" si="16"/>
        <v>#DIV/0!</v>
      </c>
      <c r="G34" s="259" t="e">
        <f t="shared" si="12"/>
        <v>#N/A</v>
      </c>
      <c r="I34" s="256"/>
      <c r="J34" s="257"/>
      <c r="K34" s="258" t="e">
        <f t="shared" si="13"/>
        <v>#DIV/0!</v>
      </c>
      <c r="L34" s="258" t="e">
        <f t="shared" si="15"/>
        <v>#DIV/0!</v>
      </c>
      <c r="M34" s="259" t="e">
        <f t="shared" si="17"/>
        <v>#DIV/0!</v>
      </c>
    </row>
    <row r="35" spans="2:13" ht="15" hidden="1" outlineLevel="1" thickBot="1">
      <c r="B35" s="256"/>
      <c r="C35" s="257"/>
      <c r="D35" s="258" t="e">
        <f t="shared" si="11"/>
        <v>#DIV/0!</v>
      </c>
      <c r="E35" s="258" t="e">
        <f t="shared" si="14"/>
        <v>#DIV/0!</v>
      </c>
      <c r="F35" s="259" t="e">
        <f t="shared" si="16"/>
        <v>#DIV/0!</v>
      </c>
      <c r="G35" s="259" t="e">
        <f t="shared" si="12"/>
        <v>#N/A</v>
      </c>
      <c r="I35" s="256"/>
      <c r="J35" s="257"/>
      <c r="K35" s="258" t="e">
        <f t="shared" si="13"/>
        <v>#DIV/0!</v>
      </c>
      <c r="L35" s="258" t="e">
        <f t="shared" si="15"/>
        <v>#DIV/0!</v>
      </c>
      <c r="M35" s="259" t="e">
        <f t="shared" si="17"/>
        <v>#DIV/0!</v>
      </c>
    </row>
    <row r="36" spans="2:13" ht="15" hidden="1" outlineLevel="1" thickBot="1">
      <c r="B36" s="256"/>
      <c r="C36" s="257"/>
      <c r="D36" s="258" t="e">
        <f t="shared" si="11"/>
        <v>#DIV/0!</v>
      </c>
      <c r="E36" s="258" t="e">
        <f t="shared" si="14"/>
        <v>#DIV/0!</v>
      </c>
      <c r="F36" s="259" t="e">
        <f t="shared" si="16"/>
        <v>#DIV/0!</v>
      </c>
      <c r="G36" s="259" t="e">
        <f t="shared" si="12"/>
        <v>#N/A</v>
      </c>
      <c r="I36" s="256"/>
      <c r="J36" s="257"/>
      <c r="K36" s="258" t="e">
        <f t="shared" si="13"/>
        <v>#DIV/0!</v>
      </c>
      <c r="L36" s="258" t="e">
        <f t="shared" si="15"/>
        <v>#DIV/0!</v>
      </c>
      <c r="M36" s="259" t="e">
        <f t="shared" si="17"/>
        <v>#DIV/0!</v>
      </c>
    </row>
    <row r="37" spans="2:13" ht="15" hidden="1" outlineLevel="1" thickBot="1">
      <c r="B37" s="256"/>
      <c r="C37" s="257"/>
      <c r="D37" s="258" t="e">
        <f t="shared" si="11"/>
        <v>#DIV/0!</v>
      </c>
      <c r="E37" s="258" t="e">
        <f t="shared" si="14"/>
        <v>#DIV/0!</v>
      </c>
      <c r="F37" s="259" t="e">
        <f t="shared" si="16"/>
        <v>#DIV/0!</v>
      </c>
      <c r="G37" s="259" t="e">
        <f t="shared" si="12"/>
        <v>#N/A</v>
      </c>
      <c r="I37" s="256"/>
      <c r="J37" s="257"/>
      <c r="K37" s="258" t="e">
        <f t="shared" si="13"/>
        <v>#DIV/0!</v>
      </c>
      <c r="L37" s="258" t="e">
        <f t="shared" si="15"/>
        <v>#DIV/0!</v>
      </c>
      <c r="M37" s="259" t="e">
        <f t="shared" si="17"/>
        <v>#DIV/0!</v>
      </c>
    </row>
    <row r="38" spans="2:13" ht="15" hidden="1" outlineLevel="1" thickBot="1">
      <c r="B38" s="256"/>
      <c r="C38" s="257"/>
      <c r="D38" s="258" t="e">
        <f t="shared" si="11"/>
        <v>#DIV/0!</v>
      </c>
      <c r="E38" s="258" t="e">
        <f t="shared" si="14"/>
        <v>#DIV/0!</v>
      </c>
      <c r="F38" s="259" t="e">
        <f t="shared" si="16"/>
        <v>#DIV/0!</v>
      </c>
      <c r="G38" s="259" t="e">
        <f t="shared" si="12"/>
        <v>#N/A</v>
      </c>
      <c r="I38" s="256"/>
      <c r="J38" s="257"/>
      <c r="K38" s="258" t="e">
        <f t="shared" si="13"/>
        <v>#DIV/0!</v>
      </c>
      <c r="L38" s="258" t="e">
        <f t="shared" si="15"/>
        <v>#DIV/0!</v>
      </c>
      <c r="M38" s="259" t="e">
        <f t="shared" si="17"/>
        <v>#DIV/0!</v>
      </c>
    </row>
    <row r="39" spans="2:13" ht="15" hidden="1" outlineLevel="1" thickBot="1">
      <c r="B39" s="256"/>
      <c r="C39" s="257"/>
      <c r="D39" s="258" t="e">
        <f t="shared" si="11"/>
        <v>#DIV/0!</v>
      </c>
      <c r="E39" s="258" t="e">
        <f t="shared" si="14"/>
        <v>#DIV/0!</v>
      </c>
      <c r="F39" s="259" t="e">
        <f t="shared" si="16"/>
        <v>#DIV/0!</v>
      </c>
      <c r="G39" s="259" t="e">
        <f t="shared" si="12"/>
        <v>#N/A</v>
      </c>
      <c r="I39" s="256"/>
      <c r="J39" s="257"/>
      <c r="K39" s="258" t="e">
        <f t="shared" si="13"/>
        <v>#DIV/0!</v>
      </c>
      <c r="L39" s="258" t="e">
        <f t="shared" si="15"/>
        <v>#DIV/0!</v>
      </c>
      <c r="M39" s="259" t="e">
        <f t="shared" si="17"/>
        <v>#DIV/0!</v>
      </c>
    </row>
    <row r="40" spans="2:13" ht="15" hidden="1" outlineLevel="1" thickBot="1">
      <c r="B40" s="256"/>
      <c r="C40" s="257"/>
      <c r="D40" s="258" t="e">
        <f t="shared" si="11"/>
        <v>#DIV/0!</v>
      </c>
      <c r="E40" s="258" t="e">
        <f t="shared" si="14"/>
        <v>#DIV/0!</v>
      </c>
      <c r="F40" s="259" t="e">
        <f t="shared" si="16"/>
        <v>#DIV/0!</v>
      </c>
      <c r="G40" s="259" t="e">
        <f t="shared" si="12"/>
        <v>#N/A</v>
      </c>
      <c r="I40" s="256"/>
      <c r="J40" s="257"/>
      <c r="K40" s="258" t="e">
        <f t="shared" si="13"/>
        <v>#DIV/0!</v>
      </c>
      <c r="L40" s="258" t="e">
        <f t="shared" si="15"/>
        <v>#DIV/0!</v>
      </c>
      <c r="M40" s="259" t="e">
        <f t="shared" si="17"/>
        <v>#DIV/0!</v>
      </c>
    </row>
    <row r="41" spans="2:13" ht="15" hidden="1" outlineLevel="1" thickBot="1">
      <c r="B41" s="256"/>
      <c r="C41" s="257"/>
      <c r="D41" s="258" t="e">
        <f t="shared" si="11"/>
        <v>#DIV/0!</v>
      </c>
      <c r="E41" s="258" t="e">
        <f t="shared" si="14"/>
        <v>#DIV/0!</v>
      </c>
      <c r="F41" s="259" t="e">
        <f t="shared" si="16"/>
        <v>#DIV/0!</v>
      </c>
      <c r="G41" s="259" t="e">
        <f t="shared" si="12"/>
        <v>#N/A</v>
      </c>
      <c r="I41" s="256"/>
      <c r="J41" s="257"/>
      <c r="K41" s="258" t="e">
        <f t="shared" si="13"/>
        <v>#DIV/0!</v>
      </c>
      <c r="L41" s="258" t="e">
        <f t="shared" si="15"/>
        <v>#DIV/0!</v>
      </c>
      <c r="M41" s="259" t="e">
        <f t="shared" si="17"/>
        <v>#DIV/0!</v>
      </c>
    </row>
    <row r="42" spans="2:13" hidden="1" outlineLevel="1">
      <c r="C42" s="260">
        <f>SUM(C22:C41)</f>
        <v>0</v>
      </c>
      <c r="D42" s="261" t="e">
        <f>SUM(D22:D41)</f>
        <v>#DIV/0!</v>
      </c>
      <c r="J42" s="260">
        <f>SUM(J22:J41)</f>
        <v>0</v>
      </c>
      <c r="K42" s="261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22:M41 D22:D41 K22:K41 F22:G41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B8" sqref="B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49" t="s">
        <v>1078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3" ht="28.5" customHeight="1" outlineLevel="1" thickBot="1">
      <c r="C3" s="252" t="s">
        <v>29</v>
      </c>
      <c r="D3" s="253" t="s">
        <v>1079</v>
      </c>
      <c r="E3" s="254" t="s">
        <v>1080</v>
      </c>
      <c r="F3" s="253" t="s">
        <v>1081</v>
      </c>
      <c r="G3" s="253" t="s">
        <v>1082</v>
      </c>
      <c r="J3" s="252" t="s">
        <v>1083</v>
      </c>
      <c r="K3" s="253" t="s">
        <v>1084</v>
      </c>
      <c r="L3" s="254" t="s">
        <v>1080</v>
      </c>
      <c r="M3" s="255" t="s">
        <v>1082</v>
      </c>
    </row>
    <row r="4" spans="2:13" ht="28.5" customHeight="1" outlineLevel="1" thickBot="1">
      <c r="B4" s="256" t="s">
        <v>39</v>
      </c>
      <c r="C4" s="257"/>
      <c r="D4" s="258" t="e">
        <f>C4/C$18</f>
        <v>#DIV/0!</v>
      </c>
      <c r="E4" s="258" t="e">
        <f>D4</f>
        <v>#DIV/0!</v>
      </c>
      <c r="F4" s="259" t="e">
        <f>IF(AND(E4&lt;=0),"C",IF(E4&lt;=0.8,"A",IF(E4&lt;=0.95,"B","C")))</f>
        <v>#DIV/0!</v>
      </c>
      <c r="G4" s="259" t="e">
        <f>VLOOKUP(B$4:B$17,I$4:M$17,5,0)</f>
        <v>#DIV/0!</v>
      </c>
      <c r="I4" s="256" t="s">
        <v>39</v>
      </c>
      <c r="J4" s="257"/>
      <c r="K4" s="258" t="e">
        <f>J4/J$18</f>
        <v>#DIV/0!</v>
      </c>
      <c r="L4" s="258" t="e">
        <f>K4</f>
        <v>#DIV/0!</v>
      </c>
      <c r="M4" s="259" t="e">
        <f t="shared" ref="M4:M17" si="0">_xlfn.IFS(L4&lt;80%,"A",L4&lt;=95%,"B",L4&gt;95%,"C")</f>
        <v>#DIV/0!</v>
      </c>
    </row>
    <row r="5" spans="2:13" ht="28.5" customHeight="1" outlineLevel="1" thickBot="1">
      <c r="B5" s="256" t="s">
        <v>40</v>
      </c>
      <c r="C5" s="257"/>
      <c r="D5" s="258" t="e">
        <f>C5/C$18</f>
        <v>#DIV/0!</v>
      </c>
      <c r="E5" s="258" t="e">
        <f>D5+E4</f>
        <v>#DIV/0!</v>
      </c>
      <c r="F5" s="259" t="e">
        <f t="shared" ref="F5:F17" si="1">IF(AND(E5&lt;=0),"C",IF(E5&lt;=0.8,"A",IF(E5&lt;=0.95,"B","C")))</f>
        <v>#DIV/0!</v>
      </c>
      <c r="G5" s="259" t="e">
        <f>VLOOKUP(B$4:B$17,I$4:M$17,5,0)</f>
        <v>#DIV/0!</v>
      </c>
      <c r="I5" s="256" t="s">
        <v>40</v>
      </c>
      <c r="J5" s="257"/>
      <c r="K5" s="258" t="e">
        <f>J5/J$18</f>
        <v>#DIV/0!</v>
      </c>
      <c r="L5" s="258" t="e">
        <f>K5+L4</f>
        <v>#DIV/0!</v>
      </c>
      <c r="M5" s="259" t="e">
        <f t="shared" si="0"/>
        <v>#DIV/0!</v>
      </c>
    </row>
    <row r="6" spans="2:13" ht="28.5" customHeight="1" outlineLevel="1" thickBot="1">
      <c r="B6" s="256" t="s">
        <v>41</v>
      </c>
      <c r="C6" s="257"/>
      <c r="D6" s="258" t="e">
        <f t="shared" ref="D6:D11" si="2">C6/C$18</f>
        <v>#DIV/0!</v>
      </c>
      <c r="E6" s="258" t="e">
        <f t="shared" ref="E6:E11" si="3">D6+E5</f>
        <v>#DIV/0!</v>
      </c>
      <c r="F6" s="259" t="e">
        <f t="shared" si="1"/>
        <v>#DIV/0!</v>
      </c>
      <c r="G6" s="259" t="e">
        <f t="shared" ref="G6:G11" si="4">VLOOKUP(B$4:B$17,I$4:M$17,5,0)</f>
        <v>#DIV/0!</v>
      </c>
      <c r="I6" s="256" t="s">
        <v>41</v>
      </c>
      <c r="J6" s="257"/>
      <c r="K6" s="258" t="e">
        <f t="shared" ref="K6:K11" si="5">J6/J$18</f>
        <v>#DIV/0!</v>
      </c>
      <c r="L6" s="258" t="e">
        <f t="shared" ref="L6:L11" si="6">K6+L5</f>
        <v>#DIV/0!</v>
      </c>
      <c r="M6" s="259" t="e">
        <f t="shared" si="0"/>
        <v>#DIV/0!</v>
      </c>
    </row>
    <row r="7" spans="2:13" ht="28.5" customHeight="1" outlineLevel="1" thickBot="1">
      <c r="B7" s="256" t="s">
        <v>42</v>
      </c>
      <c r="C7" s="257"/>
      <c r="D7" s="258" t="e">
        <f t="shared" si="2"/>
        <v>#DIV/0!</v>
      </c>
      <c r="E7" s="258" t="e">
        <f t="shared" si="3"/>
        <v>#DIV/0!</v>
      </c>
      <c r="F7" s="259" t="e">
        <f t="shared" si="1"/>
        <v>#DIV/0!</v>
      </c>
      <c r="G7" s="259" t="e">
        <f t="shared" si="4"/>
        <v>#DIV/0!</v>
      </c>
      <c r="I7" s="256" t="s">
        <v>42</v>
      </c>
      <c r="J7" s="257"/>
      <c r="K7" s="258" t="e">
        <f t="shared" si="5"/>
        <v>#DIV/0!</v>
      </c>
      <c r="L7" s="258" t="e">
        <f t="shared" si="6"/>
        <v>#DIV/0!</v>
      </c>
      <c r="M7" s="259" t="e">
        <f t="shared" si="0"/>
        <v>#DIV/0!</v>
      </c>
    </row>
    <row r="8" spans="2:13" ht="28.5" customHeight="1" outlineLevel="1" thickBot="1">
      <c r="B8" s="256" t="s">
        <v>43</v>
      </c>
      <c r="C8" s="257"/>
      <c r="D8" s="258" t="e">
        <f t="shared" si="2"/>
        <v>#DIV/0!</v>
      </c>
      <c r="E8" s="258" t="e">
        <f t="shared" si="3"/>
        <v>#DIV/0!</v>
      </c>
      <c r="F8" s="259" t="e">
        <f t="shared" si="1"/>
        <v>#DIV/0!</v>
      </c>
      <c r="G8" s="259" t="e">
        <f t="shared" si="4"/>
        <v>#DIV/0!</v>
      </c>
      <c r="I8" s="256" t="s">
        <v>43</v>
      </c>
      <c r="J8" s="257"/>
      <c r="K8" s="258" t="e">
        <f t="shared" si="5"/>
        <v>#DIV/0!</v>
      </c>
      <c r="L8" s="258" t="e">
        <f t="shared" si="6"/>
        <v>#DIV/0!</v>
      </c>
      <c r="M8" s="259" t="e">
        <f t="shared" si="0"/>
        <v>#DIV/0!</v>
      </c>
    </row>
    <row r="9" spans="2:13" ht="28.5" customHeight="1" outlineLevel="1" thickBot="1">
      <c r="B9" s="256" t="s">
        <v>44</v>
      </c>
      <c r="C9" s="257"/>
      <c r="D9" s="258" t="e">
        <f t="shared" si="2"/>
        <v>#DIV/0!</v>
      </c>
      <c r="E9" s="258" t="e">
        <f t="shared" si="3"/>
        <v>#DIV/0!</v>
      </c>
      <c r="F9" s="259" t="e">
        <f t="shared" si="1"/>
        <v>#DIV/0!</v>
      </c>
      <c r="G9" s="259" t="e">
        <f t="shared" si="4"/>
        <v>#DIV/0!</v>
      </c>
      <c r="I9" s="256" t="s">
        <v>44</v>
      </c>
      <c r="J9" s="257"/>
      <c r="K9" s="258" t="e">
        <f t="shared" si="5"/>
        <v>#DIV/0!</v>
      </c>
      <c r="L9" s="258" t="e">
        <f t="shared" si="6"/>
        <v>#DIV/0!</v>
      </c>
      <c r="M9" s="259" t="e">
        <f t="shared" si="0"/>
        <v>#DIV/0!</v>
      </c>
    </row>
    <row r="10" spans="2:13" ht="28.5" customHeight="1" outlineLevel="1" thickBot="1">
      <c r="B10" s="256" t="s">
        <v>56</v>
      </c>
      <c r="C10" s="257"/>
      <c r="D10" s="258" t="e">
        <f t="shared" si="2"/>
        <v>#DIV/0!</v>
      </c>
      <c r="E10" s="258" t="e">
        <f t="shared" si="3"/>
        <v>#DIV/0!</v>
      </c>
      <c r="F10" s="259" t="e">
        <f t="shared" si="1"/>
        <v>#DIV/0!</v>
      </c>
      <c r="G10" s="259" t="e">
        <f t="shared" si="4"/>
        <v>#DIV/0!</v>
      </c>
      <c r="I10" s="256" t="s">
        <v>56</v>
      </c>
      <c r="J10" s="257"/>
      <c r="K10" s="258" t="e">
        <f t="shared" si="5"/>
        <v>#DIV/0!</v>
      </c>
      <c r="L10" s="258" t="e">
        <f t="shared" si="6"/>
        <v>#DIV/0!</v>
      </c>
      <c r="M10" s="259" t="e">
        <f t="shared" si="0"/>
        <v>#DIV/0!</v>
      </c>
    </row>
    <row r="11" spans="2:13" ht="28.5" customHeight="1" outlineLevel="1" thickBot="1">
      <c r="B11" s="256" t="s">
        <v>57</v>
      </c>
      <c r="C11" s="257"/>
      <c r="D11" s="258" t="e">
        <f t="shared" si="2"/>
        <v>#DIV/0!</v>
      </c>
      <c r="E11" s="258" t="e">
        <f t="shared" si="3"/>
        <v>#DIV/0!</v>
      </c>
      <c r="F11" s="259" t="e">
        <f t="shared" si="1"/>
        <v>#DIV/0!</v>
      </c>
      <c r="G11" s="259" t="e">
        <f t="shared" si="4"/>
        <v>#DIV/0!</v>
      </c>
      <c r="I11" s="256" t="s">
        <v>57</v>
      </c>
      <c r="J11" s="257"/>
      <c r="K11" s="258" t="e">
        <f t="shared" si="5"/>
        <v>#DIV/0!</v>
      </c>
      <c r="L11" s="258" t="e">
        <f t="shared" si="6"/>
        <v>#DIV/0!</v>
      </c>
      <c r="M11" s="259" t="e">
        <f t="shared" si="0"/>
        <v>#DIV/0!</v>
      </c>
    </row>
    <row r="12" spans="2:13" ht="28.5" customHeight="1" outlineLevel="1" thickBot="1">
      <c r="B12" s="256" t="s">
        <v>53</v>
      </c>
      <c r="C12" s="257"/>
      <c r="D12" s="258" t="e">
        <f>C12/C$18</f>
        <v>#DIV/0!</v>
      </c>
      <c r="E12" s="258" t="e">
        <f>D12+E5</f>
        <v>#DIV/0!</v>
      </c>
      <c r="F12" s="259" t="e">
        <f t="shared" si="1"/>
        <v>#DIV/0!</v>
      </c>
      <c r="G12" s="259" t="e">
        <f>VLOOKUP(B$4:B$17,I$4:M$17,5,0)</f>
        <v>#DIV/0!</v>
      </c>
      <c r="I12" s="256" t="s">
        <v>53</v>
      </c>
      <c r="J12" s="257"/>
      <c r="K12" s="258" t="e">
        <f>J12/J$18</f>
        <v>#DIV/0!</v>
      </c>
      <c r="L12" s="258" t="e">
        <f>K12+L5</f>
        <v>#DIV/0!</v>
      </c>
      <c r="M12" s="259" t="e">
        <f t="shared" si="0"/>
        <v>#DIV/0!</v>
      </c>
    </row>
    <row r="13" spans="2:13" ht="28.5" customHeight="1" outlineLevel="1" thickBot="1">
      <c r="B13" s="256" t="s">
        <v>58</v>
      </c>
      <c r="C13" s="257"/>
      <c r="D13" s="258" t="e">
        <f>C13/C$18</f>
        <v>#DIV/0!</v>
      </c>
      <c r="E13" s="258" t="e">
        <f t="shared" ref="E13:E16" si="7">D13+E12</f>
        <v>#DIV/0!</v>
      </c>
      <c r="F13" s="259" t="e">
        <f t="shared" si="1"/>
        <v>#DIV/0!</v>
      </c>
      <c r="G13" s="259" t="e">
        <f>VLOOKUP(B$4:B$17,I$4:M$17,5,0)</f>
        <v>#DIV/0!</v>
      </c>
      <c r="I13" s="256" t="s">
        <v>58</v>
      </c>
      <c r="J13" s="257"/>
      <c r="K13" s="258" t="e">
        <f>J13/J$18</f>
        <v>#DIV/0!</v>
      </c>
      <c r="L13" s="258" t="e">
        <f t="shared" ref="L13:L16" si="8">K13+L12</f>
        <v>#DIV/0!</v>
      </c>
      <c r="M13" s="259" t="e">
        <f t="shared" si="0"/>
        <v>#DIV/0!</v>
      </c>
    </row>
    <row r="14" spans="2:13" ht="28.5" customHeight="1" outlineLevel="1" thickBot="1">
      <c r="B14" s="256" t="s">
        <v>59</v>
      </c>
      <c r="C14" s="257"/>
      <c r="D14" s="258" t="e">
        <f>C14/C$18</f>
        <v>#DIV/0!</v>
      </c>
      <c r="E14" s="258" t="e">
        <f t="shared" si="7"/>
        <v>#DIV/0!</v>
      </c>
      <c r="F14" s="259" t="e">
        <f t="shared" si="1"/>
        <v>#DIV/0!</v>
      </c>
      <c r="G14" s="259" t="e">
        <f>VLOOKUP(B$4:B$17,I$4:M$17,5,0)</f>
        <v>#DIV/0!</v>
      </c>
      <c r="I14" s="256" t="s">
        <v>59</v>
      </c>
      <c r="J14" s="257"/>
      <c r="K14" s="258" t="e">
        <f>J14/J$18</f>
        <v>#DIV/0!</v>
      </c>
      <c r="L14" s="258" t="e">
        <f t="shared" si="8"/>
        <v>#DIV/0!</v>
      </c>
      <c r="M14" s="259" t="e">
        <f t="shared" si="0"/>
        <v>#DIV/0!</v>
      </c>
    </row>
    <row r="15" spans="2:13" ht="28.5" customHeight="1" outlineLevel="1" thickBot="1">
      <c r="B15" s="256" t="s">
        <v>60</v>
      </c>
      <c r="C15" s="257"/>
      <c r="D15" s="258" t="e">
        <f>C15/C$18</f>
        <v>#DIV/0!</v>
      </c>
      <c r="E15" s="258" t="e">
        <f t="shared" si="7"/>
        <v>#DIV/0!</v>
      </c>
      <c r="F15" s="259" t="e">
        <f t="shared" si="1"/>
        <v>#DIV/0!</v>
      </c>
      <c r="G15" s="259" t="e">
        <f>VLOOKUP(B$4:B$17,I$4:M$17,5,0)</f>
        <v>#DIV/0!</v>
      </c>
      <c r="I15" s="256" t="s">
        <v>60</v>
      </c>
      <c r="J15" s="257"/>
      <c r="K15" s="258" t="e">
        <f>J15/J$18</f>
        <v>#DIV/0!</v>
      </c>
      <c r="L15" s="258" t="e">
        <f t="shared" si="8"/>
        <v>#DIV/0!</v>
      </c>
      <c r="M15" s="259" t="e">
        <f t="shared" si="0"/>
        <v>#DIV/0!</v>
      </c>
    </row>
    <row r="16" spans="2:13" ht="28.5" customHeight="1" outlineLevel="1" thickBot="1">
      <c r="B16" s="256" t="s">
        <v>54</v>
      </c>
      <c r="C16" s="257"/>
      <c r="D16" s="258" t="e">
        <f>C16/C$18</f>
        <v>#DIV/0!</v>
      </c>
      <c r="E16" s="258" t="e">
        <f t="shared" si="7"/>
        <v>#DIV/0!</v>
      </c>
      <c r="F16" s="259" t="e">
        <f t="shared" si="1"/>
        <v>#DIV/0!</v>
      </c>
      <c r="G16" s="259" t="e">
        <f>VLOOKUP(B$4:B$17,I$4:M$17,5,0)</f>
        <v>#DIV/0!</v>
      </c>
      <c r="I16" s="256" t="s">
        <v>54</v>
      </c>
      <c r="J16" s="257"/>
      <c r="K16" s="258" t="e">
        <f>J16/J$18</f>
        <v>#DIV/0!</v>
      </c>
      <c r="L16" s="258" t="e">
        <f t="shared" si="8"/>
        <v>#DIV/0!</v>
      </c>
      <c r="M16" s="259" t="e">
        <f t="shared" si="0"/>
        <v>#DIV/0!</v>
      </c>
    </row>
    <row r="17" spans="2:13" ht="28.5" customHeight="1" outlineLevel="1" thickBot="1">
      <c r="B17" s="256" t="s">
        <v>61</v>
      </c>
      <c r="C17" s="257"/>
      <c r="D17" s="258" t="e">
        <f>C17/C$18</f>
        <v>#DIV/0!</v>
      </c>
      <c r="E17" s="258" t="e">
        <f>D17+E14</f>
        <v>#DIV/0!</v>
      </c>
      <c r="F17" s="259" t="e">
        <f t="shared" si="1"/>
        <v>#DIV/0!</v>
      </c>
      <c r="G17" s="259" t="e">
        <f>VLOOKUP(B$4:B$17,I$4:M$17,5,0)</f>
        <v>#DIV/0!</v>
      </c>
      <c r="I17" s="256" t="s">
        <v>61</v>
      </c>
      <c r="J17" s="257"/>
      <c r="K17" s="258" t="e">
        <f>J17/J$18</f>
        <v>#DIV/0!</v>
      </c>
      <c r="L17" s="258" t="e">
        <f>K17+L14</f>
        <v>#DIV/0!</v>
      </c>
      <c r="M17" s="259" t="e">
        <f t="shared" si="0"/>
        <v>#DIV/0!</v>
      </c>
    </row>
    <row r="18" spans="2:13" outlineLevel="1">
      <c r="C18" s="260">
        <f>SUM(C4:C17)</f>
        <v>0</v>
      </c>
      <c r="D18" s="261" t="e">
        <f>SUM(D4:D17)</f>
        <v>#DIV/0!</v>
      </c>
      <c r="J18" s="260">
        <f>SUM(J4:J17)</f>
        <v>0</v>
      </c>
      <c r="K18" s="261" t="e">
        <f>SUM(K4:K17)</f>
        <v>#DIV/0!</v>
      </c>
    </row>
    <row r="20" spans="2:13" ht="15" hidden="1" outlineLevel="1" thickBot="1"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4"/>
    </row>
    <row r="21" spans="2:13" ht="23.5" hidden="1" outlineLevel="1" thickBot="1">
      <c r="C21" s="252" t="s">
        <v>29</v>
      </c>
      <c r="D21" s="253" t="s">
        <v>1079</v>
      </c>
      <c r="E21" s="254" t="s">
        <v>1080</v>
      </c>
      <c r="F21" s="253" t="s">
        <v>1081</v>
      </c>
      <c r="G21" s="253" t="s">
        <v>1082</v>
      </c>
      <c r="J21" s="252" t="s">
        <v>1083</v>
      </c>
      <c r="K21" s="253" t="s">
        <v>1084</v>
      </c>
      <c r="L21" s="254" t="s">
        <v>1080</v>
      </c>
      <c r="M21" s="255" t="s">
        <v>1082</v>
      </c>
    </row>
    <row r="22" spans="2:13" ht="15" hidden="1" outlineLevel="1" thickBot="1">
      <c r="B22" s="256"/>
      <c r="C22" s="257"/>
      <c r="D22" s="258" t="e">
        <f>C22/C$42</f>
        <v>#DIV/0!</v>
      </c>
      <c r="E22" s="258" t="e">
        <f>D22</f>
        <v>#DIV/0!</v>
      </c>
      <c r="F22" s="259" t="e">
        <f t="shared" ref="F22:F28" si="9">IF(AND(E22&lt;=0),"C",IF(E22&lt;=0.8,"A",IF(E22&lt;=0.95,"B","C")))</f>
        <v>#DIV/0!</v>
      </c>
      <c r="G22" s="259" t="e">
        <f>VLOOKUP(B$22:B$42,I$22:M$42,5,0)</f>
        <v>#N/A</v>
      </c>
      <c r="I22" s="256"/>
      <c r="J22" s="257"/>
      <c r="K22" s="258" t="e">
        <f>J22/J$42</f>
        <v>#DIV/0!</v>
      </c>
      <c r="L22" s="258" t="e">
        <f>K22</f>
        <v>#DIV/0!</v>
      </c>
      <c r="M22" s="259" t="e">
        <f t="shared" ref="M22:M28" si="10">_xlfn.IFS(L22&lt;80%,"A",L22&lt;=95%,"B",L22&gt;95%,"C")</f>
        <v>#DIV/0!</v>
      </c>
    </row>
    <row r="23" spans="2:13" ht="15" hidden="1" outlineLevel="1" thickBot="1">
      <c r="B23" s="256"/>
      <c r="C23" s="257"/>
      <c r="D23" s="258" t="e">
        <f t="shared" ref="D23:D41" si="11">C23/C$42</f>
        <v>#DIV/0!</v>
      </c>
      <c r="E23" s="258" t="e">
        <f>D23+E22</f>
        <v>#DIV/0!</v>
      </c>
      <c r="F23" s="259" t="e">
        <f t="shared" si="9"/>
        <v>#DIV/0!</v>
      </c>
      <c r="G23" s="259" t="e">
        <f t="shared" ref="G23:G41" si="12">VLOOKUP(B$22:B$42,I$22:M$42,5,0)</f>
        <v>#N/A</v>
      </c>
      <c r="I23" s="256"/>
      <c r="J23" s="257"/>
      <c r="K23" s="258" t="e">
        <f t="shared" ref="K23:K41" si="13">J23/J$42</f>
        <v>#DIV/0!</v>
      </c>
      <c r="L23" s="258" t="e">
        <f>K23+L22</f>
        <v>#DIV/0!</v>
      </c>
      <c r="M23" s="259" t="e">
        <f t="shared" si="10"/>
        <v>#DIV/0!</v>
      </c>
    </row>
    <row r="24" spans="2:13" ht="15" hidden="1" outlineLevel="1" thickBot="1">
      <c r="B24" s="256"/>
      <c r="C24" s="257"/>
      <c r="D24" s="258" t="e">
        <f t="shared" si="11"/>
        <v>#DIV/0!</v>
      </c>
      <c r="E24" s="258" t="e">
        <f t="shared" ref="E24:E41" si="14">D24+E23</f>
        <v>#DIV/0!</v>
      </c>
      <c r="F24" s="259" t="e">
        <f t="shared" si="9"/>
        <v>#DIV/0!</v>
      </c>
      <c r="G24" s="259" t="e">
        <f t="shared" si="12"/>
        <v>#N/A</v>
      </c>
      <c r="I24" s="256"/>
      <c r="J24" s="257"/>
      <c r="K24" s="258" t="e">
        <f t="shared" si="13"/>
        <v>#DIV/0!</v>
      </c>
      <c r="L24" s="258" t="e">
        <f t="shared" ref="L24:L41" si="15">K24+L23</f>
        <v>#DIV/0!</v>
      </c>
      <c r="M24" s="259" t="e">
        <f t="shared" si="10"/>
        <v>#DIV/0!</v>
      </c>
    </row>
    <row r="25" spans="2:13" ht="15" hidden="1" outlineLevel="1" thickBot="1">
      <c r="B25" s="256"/>
      <c r="C25" s="257"/>
      <c r="D25" s="258" t="e">
        <f t="shared" si="11"/>
        <v>#DIV/0!</v>
      </c>
      <c r="E25" s="258" t="e">
        <f t="shared" si="14"/>
        <v>#DIV/0!</v>
      </c>
      <c r="F25" s="259" t="e">
        <f t="shared" si="9"/>
        <v>#DIV/0!</v>
      </c>
      <c r="G25" s="259" t="e">
        <f t="shared" si="12"/>
        <v>#N/A</v>
      </c>
      <c r="I25" s="256"/>
      <c r="J25" s="257"/>
      <c r="K25" s="258" t="e">
        <f t="shared" si="13"/>
        <v>#DIV/0!</v>
      </c>
      <c r="L25" s="258" t="e">
        <f t="shared" si="15"/>
        <v>#DIV/0!</v>
      </c>
      <c r="M25" s="259" t="e">
        <f t="shared" si="10"/>
        <v>#DIV/0!</v>
      </c>
    </row>
    <row r="26" spans="2:13" ht="15" hidden="1" outlineLevel="1" thickBot="1">
      <c r="B26" s="256"/>
      <c r="C26" s="257"/>
      <c r="D26" s="258" t="e">
        <f t="shared" si="11"/>
        <v>#DIV/0!</v>
      </c>
      <c r="E26" s="258" t="e">
        <f t="shared" si="14"/>
        <v>#DIV/0!</v>
      </c>
      <c r="F26" s="259" t="e">
        <f t="shared" si="9"/>
        <v>#DIV/0!</v>
      </c>
      <c r="G26" s="259" t="e">
        <f t="shared" si="12"/>
        <v>#N/A</v>
      </c>
      <c r="I26" s="256"/>
      <c r="J26" s="257"/>
      <c r="K26" s="258" t="e">
        <f t="shared" si="13"/>
        <v>#DIV/0!</v>
      </c>
      <c r="L26" s="258" t="e">
        <f t="shared" si="15"/>
        <v>#DIV/0!</v>
      </c>
      <c r="M26" s="259" t="e">
        <f t="shared" si="10"/>
        <v>#DIV/0!</v>
      </c>
    </row>
    <row r="27" spans="2:13" ht="15" hidden="1" outlineLevel="1" thickBot="1">
      <c r="B27" s="256"/>
      <c r="C27" s="257"/>
      <c r="D27" s="258" t="e">
        <f t="shared" si="11"/>
        <v>#DIV/0!</v>
      </c>
      <c r="E27" s="258" t="e">
        <f t="shared" si="14"/>
        <v>#DIV/0!</v>
      </c>
      <c r="F27" s="259" t="e">
        <f t="shared" si="9"/>
        <v>#DIV/0!</v>
      </c>
      <c r="G27" s="259" t="e">
        <f t="shared" si="12"/>
        <v>#N/A</v>
      </c>
      <c r="I27" s="256"/>
      <c r="J27" s="257"/>
      <c r="K27" s="258" t="e">
        <f t="shared" si="13"/>
        <v>#DIV/0!</v>
      </c>
      <c r="L27" s="258" t="e">
        <f t="shared" si="15"/>
        <v>#DIV/0!</v>
      </c>
      <c r="M27" s="259" t="e">
        <f t="shared" si="10"/>
        <v>#DIV/0!</v>
      </c>
    </row>
    <row r="28" spans="2:13" ht="15" hidden="1" outlineLevel="1" thickBot="1">
      <c r="B28" s="256"/>
      <c r="C28" s="257"/>
      <c r="D28" s="258" t="e">
        <f t="shared" si="11"/>
        <v>#DIV/0!</v>
      </c>
      <c r="E28" s="258" t="e">
        <f t="shared" si="14"/>
        <v>#DIV/0!</v>
      </c>
      <c r="F28" s="259" t="e">
        <f t="shared" si="9"/>
        <v>#DIV/0!</v>
      </c>
      <c r="G28" s="259" t="e">
        <f t="shared" si="12"/>
        <v>#N/A</v>
      </c>
      <c r="I28" s="256"/>
      <c r="J28" s="257"/>
      <c r="K28" s="258" t="e">
        <f t="shared" si="13"/>
        <v>#DIV/0!</v>
      </c>
      <c r="L28" s="258" t="e">
        <f t="shared" si="15"/>
        <v>#DIV/0!</v>
      </c>
      <c r="M28" s="259" t="e">
        <f t="shared" si="10"/>
        <v>#DIV/0!</v>
      </c>
    </row>
    <row r="29" spans="2:13" ht="15" hidden="1" outlineLevel="1" thickBot="1">
      <c r="B29" s="256"/>
      <c r="C29" s="257"/>
      <c r="D29" s="258" t="e">
        <f t="shared" si="11"/>
        <v>#DIV/0!</v>
      </c>
      <c r="E29" s="258" t="e">
        <f t="shared" si="14"/>
        <v>#DIV/0!</v>
      </c>
      <c r="F29" s="259" t="e">
        <f>IF(AND(E29&lt;=0),"C",IF(E29&lt;=0.8,"A",IF(E29&lt;=0.95,"B","C")))</f>
        <v>#DIV/0!</v>
      </c>
      <c r="G29" s="259" t="e">
        <f t="shared" si="12"/>
        <v>#N/A</v>
      </c>
      <c r="I29" s="256"/>
      <c r="J29" s="257"/>
      <c r="K29" s="258" t="e">
        <f t="shared" si="13"/>
        <v>#DIV/0!</v>
      </c>
      <c r="L29" s="258" t="e">
        <f t="shared" si="15"/>
        <v>#DIV/0!</v>
      </c>
      <c r="M29" s="259" t="e">
        <f>_xlfn.IFS(L29&lt;80%,"A",L29&lt;=95%,"B",L29&gt;95%,"C")</f>
        <v>#DIV/0!</v>
      </c>
    </row>
    <row r="30" spans="2:13" ht="15" hidden="1" outlineLevel="1" thickBot="1">
      <c r="B30" s="256"/>
      <c r="C30" s="257"/>
      <c r="D30" s="258" t="e">
        <f t="shared" si="11"/>
        <v>#DIV/0!</v>
      </c>
      <c r="E30" s="258" t="e">
        <f t="shared" si="14"/>
        <v>#DIV/0!</v>
      </c>
      <c r="F30" s="259" t="e">
        <f t="shared" ref="F30:F41" si="16">IF(AND(E30&lt;=0),"C",IF(E30&lt;=0.8,"A",IF(E30&lt;=0.95,"B","C")))</f>
        <v>#DIV/0!</v>
      </c>
      <c r="G30" s="259" t="e">
        <f t="shared" si="12"/>
        <v>#N/A</v>
      </c>
      <c r="I30" s="256"/>
      <c r="J30" s="257"/>
      <c r="K30" s="258" t="e">
        <f t="shared" si="13"/>
        <v>#DIV/0!</v>
      </c>
      <c r="L30" s="258" t="e">
        <f t="shared" si="15"/>
        <v>#DIV/0!</v>
      </c>
      <c r="M30" s="259" t="e">
        <f t="shared" ref="M30:M41" si="17">_xlfn.IFS(L30&lt;80%,"A",L30&lt;=95%,"B",L30&gt;95%,"C")</f>
        <v>#DIV/0!</v>
      </c>
    </row>
    <row r="31" spans="2:13" ht="15" hidden="1" outlineLevel="1" thickBot="1">
      <c r="B31" s="256"/>
      <c r="C31" s="257"/>
      <c r="D31" s="258" t="e">
        <f t="shared" si="11"/>
        <v>#DIV/0!</v>
      </c>
      <c r="E31" s="258" t="e">
        <f t="shared" si="14"/>
        <v>#DIV/0!</v>
      </c>
      <c r="F31" s="259" t="e">
        <f t="shared" si="16"/>
        <v>#DIV/0!</v>
      </c>
      <c r="G31" s="259" t="e">
        <f t="shared" si="12"/>
        <v>#N/A</v>
      </c>
      <c r="I31" s="256"/>
      <c r="J31" s="257"/>
      <c r="K31" s="258" t="e">
        <f t="shared" si="13"/>
        <v>#DIV/0!</v>
      </c>
      <c r="L31" s="258" t="e">
        <f t="shared" si="15"/>
        <v>#DIV/0!</v>
      </c>
      <c r="M31" s="259" t="e">
        <f t="shared" si="17"/>
        <v>#DIV/0!</v>
      </c>
    </row>
    <row r="32" spans="2:13" ht="15" hidden="1" outlineLevel="1" thickBot="1">
      <c r="B32" s="256"/>
      <c r="C32" s="257"/>
      <c r="D32" s="258" t="e">
        <f t="shared" si="11"/>
        <v>#DIV/0!</v>
      </c>
      <c r="E32" s="258" t="e">
        <f t="shared" si="14"/>
        <v>#DIV/0!</v>
      </c>
      <c r="F32" s="259" t="e">
        <f t="shared" si="16"/>
        <v>#DIV/0!</v>
      </c>
      <c r="G32" s="259" t="e">
        <f t="shared" si="12"/>
        <v>#N/A</v>
      </c>
      <c r="I32" s="256"/>
      <c r="J32" s="257"/>
      <c r="K32" s="258" t="e">
        <f t="shared" si="13"/>
        <v>#DIV/0!</v>
      </c>
      <c r="L32" s="258" t="e">
        <f t="shared" si="15"/>
        <v>#DIV/0!</v>
      </c>
      <c r="M32" s="259" t="e">
        <f t="shared" si="17"/>
        <v>#DIV/0!</v>
      </c>
    </row>
    <row r="33" spans="2:13" ht="15" hidden="1" outlineLevel="1" thickBot="1">
      <c r="B33" s="256"/>
      <c r="C33" s="257"/>
      <c r="D33" s="258" t="e">
        <f t="shared" si="11"/>
        <v>#DIV/0!</v>
      </c>
      <c r="E33" s="258" t="e">
        <f t="shared" si="14"/>
        <v>#DIV/0!</v>
      </c>
      <c r="F33" s="259" t="e">
        <f t="shared" si="16"/>
        <v>#DIV/0!</v>
      </c>
      <c r="G33" s="259" t="e">
        <f t="shared" si="12"/>
        <v>#N/A</v>
      </c>
      <c r="I33" s="256"/>
      <c r="J33" s="257"/>
      <c r="K33" s="258" t="e">
        <f t="shared" si="13"/>
        <v>#DIV/0!</v>
      </c>
      <c r="L33" s="258" t="e">
        <f t="shared" si="15"/>
        <v>#DIV/0!</v>
      </c>
      <c r="M33" s="259" t="e">
        <f t="shared" si="17"/>
        <v>#DIV/0!</v>
      </c>
    </row>
    <row r="34" spans="2:13" ht="15" hidden="1" outlineLevel="1" thickBot="1">
      <c r="B34" s="256"/>
      <c r="C34" s="257"/>
      <c r="D34" s="258" t="e">
        <f t="shared" si="11"/>
        <v>#DIV/0!</v>
      </c>
      <c r="E34" s="258" t="e">
        <f t="shared" si="14"/>
        <v>#DIV/0!</v>
      </c>
      <c r="F34" s="259" t="e">
        <f t="shared" si="16"/>
        <v>#DIV/0!</v>
      </c>
      <c r="G34" s="259" t="e">
        <f t="shared" si="12"/>
        <v>#N/A</v>
      </c>
      <c r="I34" s="256"/>
      <c r="J34" s="257"/>
      <c r="K34" s="258" t="e">
        <f t="shared" si="13"/>
        <v>#DIV/0!</v>
      </c>
      <c r="L34" s="258" t="e">
        <f t="shared" si="15"/>
        <v>#DIV/0!</v>
      </c>
      <c r="M34" s="259" t="e">
        <f t="shared" si="17"/>
        <v>#DIV/0!</v>
      </c>
    </row>
    <row r="35" spans="2:13" ht="15" hidden="1" outlineLevel="1" thickBot="1">
      <c r="B35" s="256"/>
      <c r="C35" s="257"/>
      <c r="D35" s="258" t="e">
        <f t="shared" si="11"/>
        <v>#DIV/0!</v>
      </c>
      <c r="E35" s="258" t="e">
        <f t="shared" si="14"/>
        <v>#DIV/0!</v>
      </c>
      <c r="F35" s="259" t="e">
        <f t="shared" si="16"/>
        <v>#DIV/0!</v>
      </c>
      <c r="G35" s="259" t="e">
        <f t="shared" si="12"/>
        <v>#N/A</v>
      </c>
      <c r="I35" s="256"/>
      <c r="J35" s="257"/>
      <c r="K35" s="258" t="e">
        <f t="shared" si="13"/>
        <v>#DIV/0!</v>
      </c>
      <c r="L35" s="258" t="e">
        <f t="shared" si="15"/>
        <v>#DIV/0!</v>
      </c>
      <c r="M35" s="259" t="e">
        <f t="shared" si="17"/>
        <v>#DIV/0!</v>
      </c>
    </row>
    <row r="36" spans="2:13" ht="15" hidden="1" outlineLevel="1" thickBot="1">
      <c r="B36" s="256"/>
      <c r="C36" s="257"/>
      <c r="D36" s="258" t="e">
        <f t="shared" si="11"/>
        <v>#DIV/0!</v>
      </c>
      <c r="E36" s="258" t="e">
        <f t="shared" si="14"/>
        <v>#DIV/0!</v>
      </c>
      <c r="F36" s="259" t="e">
        <f t="shared" si="16"/>
        <v>#DIV/0!</v>
      </c>
      <c r="G36" s="259" t="e">
        <f t="shared" si="12"/>
        <v>#N/A</v>
      </c>
      <c r="I36" s="256"/>
      <c r="J36" s="257"/>
      <c r="K36" s="258" t="e">
        <f t="shared" si="13"/>
        <v>#DIV/0!</v>
      </c>
      <c r="L36" s="258" t="e">
        <f t="shared" si="15"/>
        <v>#DIV/0!</v>
      </c>
      <c r="M36" s="259" t="e">
        <f t="shared" si="17"/>
        <v>#DIV/0!</v>
      </c>
    </row>
    <row r="37" spans="2:13" ht="15" hidden="1" outlineLevel="1" thickBot="1">
      <c r="B37" s="256"/>
      <c r="C37" s="257"/>
      <c r="D37" s="258" t="e">
        <f t="shared" si="11"/>
        <v>#DIV/0!</v>
      </c>
      <c r="E37" s="258" t="e">
        <f t="shared" si="14"/>
        <v>#DIV/0!</v>
      </c>
      <c r="F37" s="259" t="e">
        <f t="shared" si="16"/>
        <v>#DIV/0!</v>
      </c>
      <c r="G37" s="259" t="e">
        <f t="shared" si="12"/>
        <v>#N/A</v>
      </c>
      <c r="I37" s="256"/>
      <c r="J37" s="257"/>
      <c r="K37" s="258" t="e">
        <f t="shared" si="13"/>
        <v>#DIV/0!</v>
      </c>
      <c r="L37" s="258" t="e">
        <f t="shared" si="15"/>
        <v>#DIV/0!</v>
      </c>
      <c r="M37" s="259" t="e">
        <f t="shared" si="17"/>
        <v>#DIV/0!</v>
      </c>
    </row>
    <row r="38" spans="2:13" ht="15" hidden="1" outlineLevel="1" thickBot="1">
      <c r="B38" s="256"/>
      <c r="C38" s="257"/>
      <c r="D38" s="258" t="e">
        <f t="shared" si="11"/>
        <v>#DIV/0!</v>
      </c>
      <c r="E38" s="258" t="e">
        <f t="shared" si="14"/>
        <v>#DIV/0!</v>
      </c>
      <c r="F38" s="259" t="e">
        <f t="shared" si="16"/>
        <v>#DIV/0!</v>
      </c>
      <c r="G38" s="259" t="e">
        <f t="shared" si="12"/>
        <v>#N/A</v>
      </c>
      <c r="I38" s="256"/>
      <c r="J38" s="257"/>
      <c r="K38" s="258" t="e">
        <f t="shared" si="13"/>
        <v>#DIV/0!</v>
      </c>
      <c r="L38" s="258" t="e">
        <f t="shared" si="15"/>
        <v>#DIV/0!</v>
      </c>
      <c r="M38" s="259" t="e">
        <f t="shared" si="17"/>
        <v>#DIV/0!</v>
      </c>
    </row>
    <row r="39" spans="2:13" ht="15" hidden="1" outlineLevel="1" thickBot="1">
      <c r="B39" s="256"/>
      <c r="C39" s="257"/>
      <c r="D39" s="258" t="e">
        <f t="shared" si="11"/>
        <v>#DIV/0!</v>
      </c>
      <c r="E39" s="258" t="e">
        <f t="shared" si="14"/>
        <v>#DIV/0!</v>
      </c>
      <c r="F39" s="259" t="e">
        <f t="shared" si="16"/>
        <v>#DIV/0!</v>
      </c>
      <c r="G39" s="259" t="e">
        <f t="shared" si="12"/>
        <v>#N/A</v>
      </c>
      <c r="I39" s="256"/>
      <c r="J39" s="257"/>
      <c r="K39" s="258" t="e">
        <f t="shared" si="13"/>
        <v>#DIV/0!</v>
      </c>
      <c r="L39" s="258" t="e">
        <f t="shared" si="15"/>
        <v>#DIV/0!</v>
      </c>
      <c r="M39" s="259" t="e">
        <f t="shared" si="17"/>
        <v>#DIV/0!</v>
      </c>
    </row>
    <row r="40" spans="2:13" ht="15" hidden="1" outlineLevel="1" thickBot="1">
      <c r="B40" s="256"/>
      <c r="C40" s="257"/>
      <c r="D40" s="258" t="e">
        <f t="shared" si="11"/>
        <v>#DIV/0!</v>
      </c>
      <c r="E40" s="258" t="e">
        <f t="shared" si="14"/>
        <v>#DIV/0!</v>
      </c>
      <c r="F40" s="259" t="e">
        <f t="shared" si="16"/>
        <v>#DIV/0!</v>
      </c>
      <c r="G40" s="259" t="e">
        <f t="shared" si="12"/>
        <v>#N/A</v>
      </c>
      <c r="I40" s="256"/>
      <c r="J40" s="257"/>
      <c r="K40" s="258" t="e">
        <f t="shared" si="13"/>
        <v>#DIV/0!</v>
      </c>
      <c r="L40" s="258" t="e">
        <f t="shared" si="15"/>
        <v>#DIV/0!</v>
      </c>
      <c r="M40" s="259" t="e">
        <f t="shared" si="17"/>
        <v>#DIV/0!</v>
      </c>
    </row>
    <row r="41" spans="2:13" ht="15" hidden="1" outlineLevel="1" thickBot="1">
      <c r="B41" s="256"/>
      <c r="C41" s="257"/>
      <c r="D41" s="258" t="e">
        <f t="shared" si="11"/>
        <v>#DIV/0!</v>
      </c>
      <c r="E41" s="258" t="e">
        <f t="shared" si="14"/>
        <v>#DIV/0!</v>
      </c>
      <c r="F41" s="259" t="e">
        <f t="shared" si="16"/>
        <v>#DIV/0!</v>
      </c>
      <c r="G41" s="259" t="e">
        <f t="shared" si="12"/>
        <v>#N/A</v>
      </c>
      <c r="I41" s="256"/>
      <c r="J41" s="257"/>
      <c r="K41" s="258" t="e">
        <f t="shared" si="13"/>
        <v>#DIV/0!</v>
      </c>
      <c r="L41" s="258" t="e">
        <f t="shared" si="15"/>
        <v>#DIV/0!</v>
      </c>
      <c r="M41" s="259" t="e">
        <f t="shared" si="17"/>
        <v>#DIV/0!</v>
      </c>
    </row>
    <row r="42" spans="2:13" hidden="1" outlineLevel="1">
      <c r="C42" s="260">
        <f>SUM(C22:C41)</f>
        <v>0</v>
      </c>
      <c r="D42" s="261" t="e">
        <f>SUM(D22:D41)</f>
        <v>#DIV/0!</v>
      </c>
      <c r="J42" s="260">
        <f>SUM(J22:J41)</f>
        <v>0</v>
      </c>
      <c r="K42" s="261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11" priority="4" operator="equal">
      <formula>"C"</formula>
    </cfRule>
    <cfRule type="cellIs" dxfId="10" priority="5" operator="equal">
      <formula>"B"</formula>
    </cfRule>
    <cfRule type="cellIs" dxfId="9" priority="6" operator="equal">
      <formula>"A"</formula>
    </cfRule>
  </conditionalFormatting>
  <conditionalFormatting sqref="M22:M41 D22:D41 K22:K41 F22:G41">
    <cfRule type="cellIs" dxfId="8" priority="1" operator="equal">
      <formula>"C"</formula>
    </cfRule>
    <cfRule type="cellIs" dxfId="7" priority="2" operator="equal">
      <formula>"B"</formula>
    </cfRule>
    <cfRule type="cellIs" dxfId="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D7" sqref="D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49" t="s">
        <v>1078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3" ht="28.5" customHeight="1" outlineLevel="1" thickBot="1">
      <c r="C3" s="252" t="s">
        <v>29</v>
      </c>
      <c r="D3" s="253" t="s">
        <v>1079</v>
      </c>
      <c r="E3" s="254" t="s">
        <v>1080</v>
      </c>
      <c r="F3" s="253" t="s">
        <v>1081</v>
      </c>
      <c r="G3" s="253" t="s">
        <v>1082</v>
      </c>
      <c r="J3" s="252" t="s">
        <v>1083</v>
      </c>
      <c r="K3" s="253" t="s">
        <v>1084</v>
      </c>
      <c r="L3" s="254" t="s">
        <v>1080</v>
      </c>
      <c r="M3" s="255" t="s">
        <v>1082</v>
      </c>
    </row>
    <row r="4" spans="2:13" ht="28.5" customHeight="1" outlineLevel="1" thickBot="1">
      <c r="B4" s="256" t="s">
        <v>39</v>
      </c>
      <c r="C4" s="257"/>
      <c r="D4" s="258" t="e">
        <f>C4/C$18</f>
        <v>#DIV/0!</v>
      </c>
      <c r="E4" s="258" t="e">
        <f>D4</f>
        <v>#DIV/0!</v>
      </c>
      <c r="F4" s="259" t="e">
        <f>IF(AND(E4&lt;=0),"C",IF(E4&lt;=0.8,"A",IF(E4&lt;=0.95,"B","C")))</f>
        <v>#DIV/0!</v>
      </c>
      <c r="G4" s="259" t="e">
        <f>VLOOKUP(B$4:B$17,I$4:M$17,5,0)</f>
        <v>#DIV/0!</v>
      </c>
      <c r="I4" s="256" t="s">
        <v>39</v>
      </c>
      <c r="J4" s="257"/>
      <c r="K4" s="258" t="e">
        <f>J4/J$18</f>
        <v>#DIV/0!</v>
      </c>
      <c r="L4" s="258" t="e">
        <f>K4</f>
        <v>#DIV/0!</v>
      </c>
      <c r="M4" s="259" t="e">
        <f t="shared" ref="M4:M17" si="0">_xlfn.IFS(L4&lt;80%,"A",L4&lt;=95%,"B",L4&gt;95%,"C")</f>
        <v>#DIV/0!</v>
      </c>
    </row>
    <row r="5" spans="2:13" ht="28.5" customHeight="1" outlineLevel="1" thickBot="1">
      <c r="B5" s="256" t="s">
        <v>40</v>
      </c>
      <c r="C5" s="257"/>
      <c r="D5" s="258" t="e">
        <f>C5/C$18</f>
        <v>#DIV/0!</v>
      </c>
      <c r="E5" s="258" t="e">
        <f>D5+E4</f>
        <v>#DIV/0!</v>
      </c>
      <c r="F5" s="259" t="e">
        <f t="shared" ref="F5:F17" si="1">IF(AND(E5&lt;=0),"C",IF(E5&lt;=0.8,"A",IF(E5&lt;=0.95,"B","C")))</f>
        <v>#DIV/0!</v>
      </c>
      <c r="G5" s="259" t="e">
        <f>VLOOKUP(B$4:B$17,I$4:M$17,5,0)</f>
        <v>#DIV/0!</v>
      </c>
      <c r="I5" s="256" t="s">
        <v>40</v>
      </c>
      <c r="J5" s="257"/>
      <c r="K5" s="258" t="e">
        <f>J5/J$18</f>
        <v>#DIV/0!</v>
      </c>
      <c r="L5" s="258" t="e">
        <f>K5+L4</f>
        <v>#DIV/0!</v>
      </c>
      <c r="M5" s="259" t="e">
        <f t="shared" si="0"/>
        <v>#DIV/0!</v>
      </c>
    </row>
    <row r="6" spans="2:13" ht="28.5" customHeight="1" outlineLevel="1" thickBot="1">
      <c r="B6" s="256" t="s">
        <v>41</v>
      </c>
      <c r="C6" s="257"/>
      <c r="D6" s="258" t="e">
        <f t="shared" ref="D6:D11" si="2">C6/C$18</f>
        <v>#DIV/0!</v>
      </c>
      <c r="E6" s="258" t="e">
        <f t="shared" ref="E6:E11" si="3">D6+E5</f>
        <v>#DIV/0!</v>
      </c>
      <c r="F6" s="259" t="e">
        <f t="shared" si="1"/>
        <v>#DIV/0!</v>
      </c>
      <c r="G6" s="259" t="e">
        <f t="shared" ref="G6:G11" si="4">VLOOKUP(B$4:B$17,I$4:M$17,5,0)</f>
        <v>#DIV/0!</v>
      </c>
      <c r="I6" s="256" t="s">
        <v>41</v>
      </c>
      <c r="J6" s="257"/>
      <c r="K6" s="258" t="e">
        <f t="shared" ref="K6:K11" si="5">J6/J$18</f>
        <v>#DIV/0!</v>
      </c>
      <c r="L6" s="258" t="e">
        <f t="shared" ref="L6:L11" si="6">K6+L5</f>
        <v>#DIV/0!</v>
      </c>
      <c r="M6" s="259" t="e">
        <f t="shared" si="0"/>
        <v>#DIV/0!</v>
      </c>
    </row>
    <row r="7" spans="2:13" ht="28.5" customHeight="1" outlineLevel="1" thickBot="1">
      <c r="B7" s="256" t="s">
        <v>42</v>
      </c>
      <c r="C7" s="257"/>
      <c r="D7" s="258" t="e">
        <f t="shared" si="2"/>
        <v>#DIV/0!</v>
      </c>
      <c r="E7" s="258" t="e">
        <f t="shared" si="3"/>
        <v>#DIV/0!</v>
      </c>
      <c r="F7" s="259" t="e">
        <f t="shared" si="1"/>
        <v>#DIV/0!</v>
      </c>
      <c r="G7" s="259" t="e">
        <f t="shared" si="4"/>
        <v>#DIV/0!</v>
      </c>
      <c r="I7" s="256" t="s">
        <v>42</v>
      </c>
      <c r="J7" s="257"/>
      <c r="K7" s="258" t="e">
        <f t="shared" si="5"/>
        <v>#DIV/0!</v>
      </c>
      <c r="L7" s="258" t="e">
        <f t="shared" si="6"/>
        <v>#DIV/0!</v>
      </c>
      <c r="M7" s="259" t="e">
        <f t="shared" si="0"/>
        <v>#DIV/0!</v>
      </c>
    </row>
    <row r="8" spans="2:13" ht="28.5" customHeight="1" outlineLevel="1" thickBot="1">
      <c r="B8" s="256" t="s">
        <v>43</v>
      </c>
      <c r="C8" s="257"/>
      <c r="D8" s="258" t="e">
        <f t="shared" si="2"/>
        <v>#DIV/0!</v>
      </c>
      <c r="E8" s="258" t="e">
        <f t="shared" si="3"/>
        <v>#DIV/0!</v>
      </c>
      <c r="F8" s="259" t="e">
        <f t="shared" si="1"/>
        <v>#DIV/0!</v>
      </c>
      <c r="G8" s="259" t="e">
        <f t="shared" si="4"/>
        <v>#DIV/0!</v>
      </c>
      <c r="I8" s="256" t="s">
        <v>43</v>
      </c>
      <c r="J8" s="257"/>
      <c r="K8" s="258" t="e">
        <f t="shared" si="5"/>
        <v>#DIV/0!</v>
      </c>
      <c r="L8" s="258" t="e">
        <f t="shared" si="6"/>
        <v>#DIV/0!</v>
      </c>
      <c r="M8" s="259" t="e">
        <f t="shared" si="0"/>
        <v>#DIV/0!</v>
      </c>
    </row>
    <row r="9" spans="2:13" ht="28.5" customHeight="1" outlineLevel="1" thickBot="1">
      <c r="B9" s="256" t="s">
        <v>44</v>
      </c>
      <c r="C9" s="257"/>
      <c r="D9" s="258" t="e">
        <f t="shared" si="2"/>
        <v>#DIV/0!</v>
      </c>
      <c r="E9" s="258" t="e">
        <f t="shared" si="3"/>
        <v>#DIV/0!</v>
      </c>
      <c r="F9" s="259" t="e">
        <f t="shared" si="1"/>
        <v>#DIV/0!</v>
      </c>
      <c r="G9" s="259" t="e">
        <f t="shared" si="4"/>
        <v>#DIV/0!</v>
      </c>
      <c r="I9" s="256" t="s">
        <v>44</v>
      </c>
      <c r="J9" s="257"/>
      <c r="K9" s="258" t="e">
        <f t="shared" si="5"/>
        <v>#DIV/0!</v>
      </c>
      <c r="L9" s="258" t="e">
        <f t="shared" si="6"/>
        <v>#DIV/0!</v>
      </c>
      <c r="M9" s="259" t="e">
        <f t="shared" si="0"/>
        <v>#DIV/0!</v>
      </c>
    </row>
    <row r="10" spans="2:13" ht="28.5" customHeight="1" outlineLevel="1" thickBot="1">
      <c r="B10" s="256" t="s">
        <v>56</v>
      </c>
      <c r="C10" s="257"/>
      <c r="D10" s="258" t="e">
        <f t="shared" si="2"/>
        <v>#DIV/0!</v>
      </c>
      <c r="E10" s="258" t="e">
        <f t="shared" si="3"/>
        <v>#DIV/0!</v>
      </c>
      <c r="F10" s="259" t="e">
        <f t="shared" si="1"/>
        <v>#DIV/0!</v>
      </c>
      <c r="G10" s="259" t="e">
        <f t="shared" si="4"/>
        <v>#DIV/0!</v>
      </c>
      <c r="I10" s="256" t="s">
        <v>56</v>
      </c>
      <c r="J10" s="257"/>
      <c r="K10" s="258" t="e">
        <f t="shared" si="5"/>
        <v>#DIV/0!</v>
      </c>
      <c r="L10" s="258" t="e">
        <f t="shared" si="6"/>
        <v>#DIV/0!</v>
      </c>
      <c r="M10" s="259" t="e">
        <f t="shared" si="0"/>
        <v>#DIV/0!</v>
      </c>
    </row>
    <row r="11" spans="2:13" ht="28.5" customHeight="1" outlineLevel="1" thickBot="1">
      <c r="B11" s="256" t="s">
        <v>57</v>
      </c>
      <c r="C11" s="257"/>
      <c r="D11" s="258" t="e">
        <f t="shared" si="2"/>
        <v>#DIV/0!</v>
      </c>
      <c r="E11" s="258" t="e">
        <f t="shared" si="3"/>
        <v>#DIV/0!</v>
      </c>
      <c r="F11" s="259" t="e">
        <f t="shared" si="1"/>
        <v>#DIV/0!</v>
      </c>
      <c r="G11" s="259" t="e">
        <f t="shared" si="4"/>
        <v>#DIV/0!</v>
      </c>
      <c r="I11" s="256" t="s">
        <v>57</v>
      </c>
      <c r="J11" s="257"/>
      <c r="K11" s="258" t="e">
        <f t="shared" si="5"/>
        <v>#DIV/0!</v>
      </c>
      <c r="L11" s="258" t="e">
        <f t="shared" si="6"/>
        <v>#DIV/0!</v>
      </c>
      <c r="M11" s="259" t="e">
        <f t="shared" si="0"/>
        <v>#DIV/0!</v>
      </c>
    </row>
    <row r="12" spans="2:13" ht="28.5" customHeight="1" outlineLevel="1" thickBot="1">
      <c r="B12" s="256" t="s">
        <v>53</v>
      </c>
      <c r="C12" s="257"/>
      <c r="D12" s="258" t="e">
        <f>C12/C$18</f>
        <v>#DIV/0!</v>
      </c>
      <c r="E12" s="258" t="e">
        <f>D12+E5</f>
        <v>#DIV/0!</v>
      </c>
      <c r="F12" s="259" t="e">
        <f t="shared" si="1"/>
        <v>#DIV/0!</v>
      </c>
      <c r="G12" s="259" t="e">
        <f>VLOOKUP(B$4:B$17,I$4:M$17,5,0)</f>
        <v>#DIV/0!</v>
      </c>
      <c r="I12" s="256" t="s">
        <v>53</v>
      </c>
      <c r="J12" s="257"/>
      <c r="K12" s="258" t="e">
        <f>J12/J$18</f>
        <v>#DIV/0!</v>
      </c>
      <c r="L12" s="258" t="e">
        <f>K12+L5</f>
        <v>#DIV/0!</v>
      </c>
      <c r="M12" s="259" t="e">
        <f t="shared" si="0"/>
        <v>#DIV/0!</v>
      </c>
    </row>
    <row r="13" spans="2:13" ht="28.5" customHeight="1" outlineLevel="1" thickBot="1">
      <c r="B13" s="256" t="s">
        <v>58</v>
      </c>
      <c r="C13" s="257"/>
      <c r="D13" s="258" t="e">
        <f>C13/C$18</f>
        <v>#DIV/0!</v>
      </c>
      <c r="E13" s="258" t="e">
        <f t="shared" ref="E13:E16" si="7">D13+E12</f>
        <v>#DIV/0!</v>
      </c>
      <c r="F13" s="259" t="e">
        <f t="shared" si="1"/>
        <v>#DIV/0!</v>
      </c>
      <c r="G13" s="259" t="e">
        <f>VLOOKUP(B$4:B$17,I$4:M$17,5,0)</f>
        <v>#DIV/0!</v>
      </c>
      <c r="I13" s="256" t="s">
        <v>58</v>
      </c>
      <c r="J13" s="257"/>
      <c r="K13" s="258" t="e">
        <f>J13/J$18</f>
        <v>#DIV/0!</v>
      </c>
      <c r="L13" s="258" t="e">
        <f t="shared" ref="L13:L16" si="8">K13+L12</f>
        <v>#DIV/0!</v>
      </c>
      <c r="M13" s="259" t="e">
        <f t="shared" si="0"/>
        <v>#DIV/0!</v>
      </c>
    </row>
    <row r="14" spans="2:13" ht="28.5" customHeight="1" outlineLevel="1" thickBot="1">
      <c r="B14" s="256" t="s">
        <v>59</v>
      </c>
      <c r="C14" s="257"/>
      <c r="D14" s="258" t="e">
        <f>C14/C$18</f>
        <v>#DIV/0!</v>
      </c>
      <c r="E14" s="258" t="e">
        <f t="shared" si="7"/>
        <v>#DIV/0!</v>
      </c>
      <c r="F14" s="259" t="e">
        <f t="shared" si="1"/>
        <v>#DIV/0!</v>
      </c>
      <c r="G14" s="259" t="e">
        <f>VLOOKUP(B$4:B$17,I$4:M$17,5,0)</f>
        <v>#DIV/0!</v>
      </c>
      <c r="I14" s="256" t="s">
        <v>59</v>
      </c>
      <c r="J14" s="257"/>
      <c r="K14" s="258" t="e">
        <f>J14/J$18</f>
        <v>#DIV/0!</v>
      </c>
      <c r="L14" s="258" t="e">
        <f t="shared" si="8"/>
        <v>#DIV/0!</v>
      </c>
      <c r="M14" s="259" t="e">
        <f t="shared" si="0"/>
        <v>#DIV/0!</v>
      </c>
    </row>
    <row r="15" spans="2:13" ht="28.5" customHeight="1" outlineLevel="1" thickBot="1">
      <c r="B15" s="256" t="s">
        <v>60</v>
      </c>
      <c r="C15" s="257"/>
      <c r="D15" s="258" t="e">
        <f>C15/C$18</f>
        <v>#DIV/0!</v>
      </c>
      <c r="E15" s="258" t="e">
        <f t="shared" si="7"/>
        <v>#DIV/0!</v>
      </c>
      <c r="F15" s="259" t="e">
        <f t="shared" si="1"/>
        <v>#DIV/0!</v>
      </c>
      <c r="G15" s="259" t="e">
        <f>VLOOKUP(B$4:B$17,I$4:M$17,5,0)</f>
        <v>#DIV/0!</v>
      </c>
      <c r="I15" s="256" t="s">
        <v>60</v>
      </c>
      <c r="J15" s="257"/>
      <c r="K15" s="258" t="e">
        <f>J15/J$18</f>
        <v>#DIV/0!</v>
      </c>
      <c r="L15" s="258" t="e">
        <f t="shared" si="8"/>
        <v>#DIV/0!</v>
      </c>
      <c r="M15" s="259" t="e">
        <f t="shared" si="0"/>
        <v>#DIV/0!</v>
      </c>
    </row>
    <row r="16" spans="2:13" ht="28.5" customHeight="1" outlineLevel="1" thickBot="1">
      <c r="B16" s="256" t="s">
        <v>54</v>
      </c>
      <c r="C16" s="257"/>
      <c r="D16" s="258" t="e">
        <f>C16/C$18</f>
        <v>#DIV/0!</v>
      </c>
      <c r="E16" s="258" t="e">
        <f t="shared" si="7"/>
        <v>#DIV/0!</v>
      </c>
      <c r="F16" s="259" t="e">
        <f t="shared" si="1"/>
        <v>#DIV/0!</v>
      </c>
      <c r="G16" s="259" t="e">
        <f>VLOOKUP(B$4:B$17,I$4:M$17,5,0)</f>
        <v>#DIV/0!</v>
      </c>
      <c r="I16" s="256" t="s">
        <v>54</v>
      </c>
      <c r="J16" s="257"/>
      <c r="K16" s="258" t="e">
        <f>J16/J$18</f>
        <v>#DIV/0!</v>
      </c>
      <c r="L16" s="258" t="e">
        <f t="shared" si="8"/>
        <v>#DIV/0!</v>
      </c>
      <c r="M16" s="259" t="e">
        <f t="shared" si="0"/>
        <v>#DIV/0!</v>
      </c>
    </row>
    <row r="17" spans="2:13" ht="28.5" customHeight="1" outlineLevel="1" thickBot="1">
      <c r="B17" s="256" t="s">
        <v>61</v>
      </c>
      <c r="C17" s="257"/>
      <c r="D17" s="258" t="e">
        <f>C17/C$18</f>
        <v>#DIV/0!</v>
      </c>
      <c r="E17" s="258" t="e">
        <f>D17+E14</f>
        <v>#DIV/0!</v>
      </c>
      <c r="F17" s="259" t="e">
        <f t="shared" si="1"/>
        <v>#DIV/0!</v>
      </c>
      <c r="G17" s="259" t="e">
        <f>VLOOKUP(B$4:B$17,I$4:M$17,5,0)</f>
        <v>#DIV/0!</v>
      </c>
      <c r="I17" s="256" t="s">
        <v>61</v>
      </c>
      <c r="J17" s="257"/>
      <c r="K17" s="258" t="e">
        <f>J17/J$18</f>
        <v>#DIV/0!</v>
      </c>
      <c r="L17" s="258" t="e">
        <f>K17+L14</f>
        <v>#DIV/0!</v>
      </c>
      <c r="M17" s="259" t="e">
        <f t="shared" si="0"/>
        <v>#DIV/0!</v>
      </c>
    </row>
    <row r="18" spans="2:13" outlineLevel="1">
      <c r="C18" s="260">
        <f>SUM(C4:C17)</f>
        <v>0</v>
      </c>
      <c r="D18" s="261" t="e">
        <f>SUM(D4:D17)</f>
        <v>#DIV/0!</v>
      </c>
      <c r="J18" s="260">
        <f>SUM(J4:J17)</f>
        <v>0</v>
      </c>
      <c r="K18" s="261" t="e">
        <f>SUM(K4:K17)</f>
        <v>#DIV/0!</v>
      </c>
    </row>
    <row r="20" spans="2:13" ht="15" hidden="1" outlineLevel="1" thickBot="1"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4"/>
    </row>
    <row r="21" spans="2:13" ht="23.5" hidden="1" outlineLevel="1" thickBot="1">
      <c r="C21" s="252" t="s">
        <v>29</v>
      </c>
      <c r="D21" s="253" t="s">
        <v>1079</v>
      </c>
      <c r="E21" s="254" t="s">
        <v>1080</v>
      </c>
      <c r="F21" s="253" t="s">
        <v>1081</v>
      </c>
      <c r="G21" s="253" t="s">
        <v>1082</v>
      </c>
      <c r="J21" s="252" t="s">
        <v>1083</v>
      </c>
      <c r="K21" s="253" t="s">
        <v>1084</v>
      </c>
      <c r="L21" s="254" t="s">
        <v>1080</v>
      </c>
      <c r="M21" s="255" t="s">
        <v>1082</v>
      </c>
    </row>
    <row r="22" spans="2:13" ht="15" hidden="1" outlineLevel="1" thickBot="1">
      <c r="B22" s="256"/>
      <c r="C22" s="257"/>
      <c r="D22" s="258" t="e">
        <f>C22/C$42</f>
        <v>#DIV/0!</v>
      </c>
      <c r="E22" s="258" t="e">
        <f>D22</f>
        <v>#DIV/0!</v>
      </c>
      <c r="F22" s="259" t="e">
        <f t="shared" ref="F22:F28" si="9">IF(AND(E22&lt;=0),"C",IF(E22&lt;=0.8,"A",IF(E22&lt;=0.95,"B","C")))</f>
        <v>#DIV/0!</v>
      </c>
      <c r="G22" s="259" t="e">
        <f>VLOOKUP(B$22:B$42,I$22:M$42,5,0)</f>
        <v>#N/A</v>
      </c>
      <c r="I22" s="256"/>
      <c r="J22" s="257"/>
      <c r="K22" s="258" t="e">
        <f>J22/J$42</f>
        <v>#DIV/0!</v>
      </c>
      <c r="L22" s="258" t="e">
        <f>K22</f>
        <v>#DIV/0!</v>
      </c>
      <c r="M22" s="259" t="e">
        <f t="shared" ref="M22:M28" si="10">_xlfn.IFS(L22&lt;80%,"A",L22&lt;=95%,"B",L22&gt;95%,"C")</f>
        <v>#DIV/0!</v>
      </c>
    </row>
    <row r="23" spans="2:13" ht="15" hidden="1" outlineLevel="1" thickBot="1">
      <c r="B23" s="256"/>
      <c r="C23" s="257"/>
      <c r="D23" s="258" t="e">
        <f t="shared" ref="D23:D41" si="11">C23/C$42</f>
        <v>#DIV/0!</v>
      </c>
      <c r="E23" s="258" t="e">
        <f>D23+E22</f>
        <v>#DIV/0!</v>
      </c>
      <c r="F23" s="259" t="e">
        <f t="shared" si="9"/>
        <v>#DIV/0!</v>
      </c>
      <c r="G23" s="259" t="e">
        <f t="shared" ref="G23:G41" si="12">VLOOKUP(B$22:B$42,I$22:M$42,5,0)</f>
        <v>#N/A</v>
      </c>
      <c r="I23" s="256"/>
      <c r="J23" s="257"/>
      <c r="K23" s="258" t="e">
        <f t="shared" ref="K23:K41" si="13">J23/J$42</f>
        <v>#DIV/0!</v>
      </c>
      <c r="L23" s="258" t="e">
        <f>K23+L22</f>
        <v>#DIV/0!</v>
      </c>
      <c r="M23" s="259" t="e">
        <f t="shared" si="10"/>
        <v>#DIV/0!</v>
      </c>
    </row>
    <row r="24" spans="2:13" ht="15" hidden="1" outlineLevel="1" thickBot="1">
      <c r="B24" s="256"/>
      <c r="C24" s="257"/>
      <c r="D24" s="258" t="e">
        <f t="shared" si="11"/>
        <v>#DIV/0!</v>
      </c>
      <c r="E24" s="258" t="e">
        <f t="shared" ref="E24:E41" si="14">D24+E23</f>
        <v>#DIV/0!</v>
      </c>
      <c r="F24" s="259" t="e">
        <f t="shared" si="9"/>
        <v>#DIV/0!</v>
      </c>
      <c r="G24" s="259" t="e">
        <f t="shared" si="12"/>
        <v>#N/A</v>
      </c>
      <c r="I24" s="256"/>
      <c r="J24" s="257"/>
      <c r="K24" s="258" t="e">
        <f t="shared" si="13"/>
        <v>#DIV/0!</v>
      </c>
      <c r="L24" s="258" t="e">
        <f t="shared" ref="L24:L41" si="15">K24+L23</f>
        <v>#DIV/0!</v>
      </c>
      <c r="M24" s="259" t="e">
        <f t="shared" si="10"/>
        <v>#DIV/0!</v>
      </c>
    </row>
    <row r="25" spans="2:13" ht="15" hidden="1" outlineLevel="1" thickBot="1">
      <c r="B25" s="256"/>
      <c r="C25" s="257"/>
      <c r="D25" s="258" t="e">
        <f t="shared" si="11"/>
        <v>#DIV/0!</v>
      </c>
      <c r="E25" s="258" t="e">
        <f t="shared" si="14"/>
        <v>#DIV/0!</v>
      </c>
      <c r="F25" s="259" t="e">
        <f t="shared" si="9"/>
        <v>#DIV/0!</v>
      </c>
      <c r="G25" s="259" t="e">
        <f t="shared" si="12"/>
        <v>#N/A</v>
      </c>
      <c r="I25" s="256"/>
      <c r="J25" s="257"/>
      <c r="K25" s="258" t="e">
        <f t="shared" si="13"/>
        <v>#DIV/0!</v>
      </c>
      <c r="L25" s="258" t="e">
        <f t="shared" si="15"/>
        <v>#DIV/0!</v>
      </c>
      <c r="M25" s="259" t="e">
        <f t="shared" si="10"/>
        <v>#DIV/0!</v>
      </c>
    </row>
    <row r="26" spans="2:13" ht="15" hidden="1" outlineLevel="1" thickBot="1">
      <c r="B26" s="256"/>
      <c r="C26" s="257"/>
      <c r="D26" s="258" t="e">
        <f t="shared" si="11"/>
        <v>#DIV/0!</v>
      </c>
      <c r="E26" s="258" t="e">
        <f t="shared" si="14"/>
        <v>#DIV/0!</v>
      </c>
      <c r="F26" s="259" t="e">
        <f t="shared" si="9"/>
        <v>#DIV/0!</v>
      </c>
      <c r="G26" s="259" t="e">
        <f t="shared" si="12"/>
        <v>#N/A</v>
      </c>
      <c r="I26" s="256"/>
      <c r="J26" s="257"/>
      <c r="K26" s="258" t="e">
        <f t="shared" si="13"/>
        <v>#DIV/0!</v>
      </c>
      <c r="L26" s="258" t="e">
        <f t="shared" si="15"/>
        <v>#DIV/0!</v>
      </c>
      <c r="M26" s="259" t="e">
        <f t="shared" si="10"/>
        <v>#DIV/0!</v>
      </c>
    </row>
    <row r="27" spans="2:13" ht="15" hidden="1" outlineLevel="1" thickBot="1">
      <c r="B27" s="256"/>
      <c r="C27" s="257"/>
      <c r="D27" s="258" t="e">
        <f t="shared" si="11"/>
        <v>#DIV/0!</v>
      </c>
      <c r="E27" s="258" t="e">
        <f t="shared" si="14"/>
        <v>#DIV/0!</v>
      </c>
      <c r="F27" s="259" t="e">
        <f t="shared" si="9"/>
        <v>#DIV/0!</v>
      </c>
      <c r="G27" s="259" t="e">
        <f t="shared" si="12"/>
        <v>#N/A</v>
      </c>
      <c r="I27" s="256"/>
      <c r="J27" s="257"/>
      <c r="K27" s="258" t="e">
        <f t="shared" si="13"/>
        <v>#DIV/0!</v>
      </c>
      <c r="L27" s="258" t="e">
        <f t="shared" si="15"/>
        <v>#DIV/0!</v>
      </c>
      <c r="M27" s="259" t="e">
        <f t="shared" si="10"/>
        <v>#DIV/0!</v>
      </c>
    </row>
    <row r="28" spans="2:13" ht="15" hidden="1" outlineLevel="1" thickBot="1">
      <c r="B28" s="256"/>
      <c r="C28" s="257"/>
      <c r="D28" s="258" t="e">
        <f t="shared" si="11"/>
        <v>#DIV/0!</v>
      </c>
      <c r="E28" s="258" t="e">
        <f t="shared" si="14"/>
        <v>#DIV/0!</v>
      </c>
      <c r="F28" s="259" t="e">
        <f t="shared" si="9"/>
        <v>#DIV/0!</v>
      </c>
      <c r="G28" s="259" t="e">
        <f t="shared" si="12"/>
        <v>#N/A</v>
      </c>
      <c r="I28" s="256"/>
      <c r="J28" s="257"/>
      <c r="K28" s="258" t="e">
        <f t="shared" si="13"/>
        <v>#DIV/0!</v>
      </c>
      <c r="L28" s="258" t="e">
        <f t="shared" si="15"/>
        <v>#DIV/0!</v>
      </c>
      <c r="M28" s="259" t="e">
        <f t="shared" si="10"/>
        <v>#DIV/0!</v>
      </c>
    </row>
    <row r="29" spans="2:13" ht="15" hidden="1" outlineLevel="1" thickBot="1">
      <c r="B29" s="256"/>
      <c r="C29" s="257"/>
      <c r="D29" s="258" t="e">
        <f t="shared" si="11"/>
        <v>#DIV/0!</v>
      </c>
      <c r="E29" s="258" t="e">
        <f t="shared" si="14"/>
        <v>#DIV/0!</v>
      </c>
      <c r="F29" s="259" t="e">
        <f>IF(AND(E29&lt;=0),"C",IF(E29&lt;=0.8,"A",IF(E29&lt;=0.95,"B","C")))</f>
        <v>#DIV/0!</v>
      </c>
      <c r="G29" s="259" t="e">
        <f t="shared" si="12"/>
        <v>#N/A</v>
      </c>
      <c r="I29" s="256"/>
      <c r="J29" s="257"/>
      <c r="K29" s="258" t="e">
        <f t="shared" si="13"/>
        <v>#DIV/0!</v>
      </c>
      <c r="L29" s="258" t="e">
        <f t="shared" si="15"/>
        <v>#DIV/0!</v>
      </c>
      <c r="M29" s="259" t="e">
        <f>_xlfn.IFS(L29&lt;80%,"A",L29&lt;=95%,"B",L29&gt;95%,"C")</f>
        <v>#DIV/0!</v>
      </c>
    </row>
    <row r="30" spans="2:13" ht="15" hidden="1" outlineLevel="1" thickBot="1">
      <c r="B30" s="256"/>
      <c r="C30" s="257"/>
      <c r="D30" s="258" t="e">
        <f t="shared" si="11"/>
        <v>#DIV/0!</v>
      </c>
      <c r="E30" s="258" t="e">
        <f t="shared" si="14"/>
        <v>#DIV/0!</v>
      </c>
      <c r="F30" s="259" t="e">
        <f t="shared" ref="F30:F41" si="16">IF(AND(E30&lt;=0),"C",IF(E30&lt;=0.8,"A",IF(E30&lt;=0.95,"B","C")))</f>
        <v>#DIV/0!</v>
      </c>
      <c r="G30" s="259" t="e">
        <f t="shared" si="12"/>
        <v>#N/A</v>
      </c>
      <c r="I30" s="256"/>
      <c r="J30" s="257"/>
      <c r="K30" s="258" t="e">
        <f t="shared" si="13"/>
        <v>#DIV/0!</v>
      </c>
      <c r="L30" s="258" t="e">
        <f t="shared" si="15"/>
        <v>#DIV/0!</v>
      </c>
      <c r="M30" s="259" t="e">
        <f t="shared" ref="M30:M41" si="17">_xlfn.IFS(L30&lt;80%,"A",L30&lt;=95%,"B",L30&gt;95%,"C")</f>
        <v>#DIV/0!</v>
      </c>
    </row>
    <row r="31" spans="2:13" ht="15" hidden="1" outlineLevel="1" thickBot="1">
      <c r="B31" s="256"/>
      <c r="C31" s="257"/>
      <c r="D31" s="258" t="e">
        <f t="shared" si="11"/>
        <v>#DIV/0!</v>
      </c>
      <c r="E31" s="258" t="e">
        <f t="shared" si="14"/>
        <v>#DIV/0!</v>
      </c>
      <c r="F31" s="259" t="e">
        <f t="shared" si="16"/>
        <v>#DIV/0!</v>
      </c>
      <c r="G31" s="259" t="e">
        <f t="shared" si="12"/>
        <v>#N/A</v>
      </c>
      <c r="I31" s="256"/>
      <c r="J31" s="257"/>
      <c r="K31" s="258" t="e">
        <f t="shared" si="13"/>
        <v>#DIV/0!</v>
      </c>
      <c r="L31" s="258" t="e">
        <f t="shared" si="15"/>
        <v>#DIV/0!</v>
      </c>
      <c r="M31" s="259" t="e">
        <f t="shared" si="17"/>
        <v>#DIV/0!</v>
      </c>
    </row>
    <row r="32" spans="2:13" ht="15" hidden="1" outlineLevel="1" thickBot="1">
      <c r="B32" s="256"/>
      <c r="C32" s="257"/>
      <c r="D32" s="258" t="e">
        <f t="shared" si="11"/>
        <v>#DIV/0!</v>
      </c>
      <c r="E32" s="258" t="e">
        <f t="shared" si="14"/>
        <v>#DIV/0!</v>
      </c>
      <c r="F32" s="259" t="e">
        <f t="shared" si="16"/>
        <v>#DIV/0!</v>
      </c>
      <c r="G32" s="259" t="e">
        <f t="shared" si="12"/>
        <v>#N/A</v>
      </c>
      <c r="I32" s="256"/>
      <c r="J32" s="257"/>
      <c r="K32" s="258" t="e">
        <f t="shared" si="13"/>
        <v>#DIV/0!</v>
      </c>
      <c r="L32" s="258" t="e">
        <f t="shared" si="15"/>
        <v>#DIV/0!</v>
      </c>
      <c r="M32" s="259" t="e">
        <f t="shared" si="17"/>
        <v>#DIV/0!</v>
      </c>
    </row>
    <row r="33" spans="2:13" ht="15" hidden="1" outlineLevel="1" thickBot="1">
      <c r="B33" s="256"/>
      <c r="C33" s="257"/>
      <c r="D33" s="258" t="e">
        <f t="shared" si="11"/>
        <v>#DIV/0!</v>
      </c>
      <c r="E33" s="258" t="e">
        <f t="shared" si="14"/>
        <v>#DIV/0!</v>
      </c>
      <c r="F33" s="259" t="e">
        <f t="shared" si="16"/>
        <v>#DIV/0!</v>
      </c>
      <c r="G33" s="259" t="e">
        <f t="shared" si="12"/>
        <v>#N/A</v>
      </c>
      <c r="I33" s="256"/>
      <c r="J33" s="257"/>
      <c r="K33" s="258" t="e">
        <f t="shared" si="13"/>
        <v>#DIV/0!</v>
      </c>
      <c r="L33" s="258" t="e">
        <f t="shared" si="15"/>
        <v>#DIV/0!</v>
      </c>
      <c r="M33" s="259" t="e">
        <f t="shared" si="17"/>
        <v>#DIV/0!</v>
      </c>
    </row>
    <row r="34" spans="2:13" ht="15" hidden="1" outlineLevel="1" thickBot="1">
      <c r="B34" s="256"/>
      <c r="C34" s="257"/>
      <c r="D34" s="258" t="e">
        <f t="shared" si="11"/>
        <v>#DIV/0!</v>
      </c>
      <c r="E34" s="258" t="e">
        <f t="shared" si="14"/>
        <v>#DIV/0!</v>
      </c>
      <c r="F34" s="259" t="e">
        <f t="shared" si="16"/>
        <v>#DIV/0!</v>
      </c>
      <c r="G34" s="259" t="e">
        <f t="shared" si="12"/>
        <v>#N/A</v>
      </c>
      <c r="I34" s="256"/>
      <c r="J34" s="257"/>
      <c r="K34" s="258" t="e">
        <f t="shared" si="13"/>
        <v>#DIV/0!</v>
      </c>
      <c r="L34" s="258" t="e">
        <f t="shared" si="15"/>
        <v>#DIV/0!</v>
      </c>
      <c r="M34" s="259" t="e">
        <f t="shared" si="17"/>
        <v>#DIV/0!</v>
      </c>
    </row>
    <row r="35" spans="2:13" ht="15" hidden="1" outlineLevel="1" thickBot="1">
      <c r="B35" s="256"/>
      <c r="C35" s="257"/>
      <c r="D35" s="258" t="e">
        <f t="shared" si="11"/>
        <v>#DIV/0!</v>
      </c>
      <c r="E35" s="258" t="e">
        <f t="shared" si="14"/>
        <v>#DIV/0!</v>
      </c>
      <c r="F35" s="259" t="e">
        <f t="shared" si="16"/>
        <v>#DIV/0!</v>
      </c>
      <c r="G35" s="259" t="e">
        <f t="shared" si="12"/>
        <v>#N/A</v>
      </c>
      <c r="I35" s="256"/>
      <c r="J35" s="257"/>
      <c r="K35" s="258" t="e">
        <f t="shared" si="13"/>
        <v>#DIV/0!</v>
      </c>
      <c r="L35" s="258" t="e">
        <f t="shared" si="15"/>
        <v>#DIV/0!</v>
      </c>
      <c r="M35" s="259" t="e">
        <f t="shared" si="17"/>
        <v>#DIV/0!</v>
      </c>
    </row>
    <row r="36" spans="2:13" ht="15" hidden="1" outlineLevel="1" thickBot="1">
      <c r="B36" s="256"/>
      <c r="C36" s="257"/>
      <c r="D36" s="258" t="e">
        <f t="shared" si="11"/>
        <v>#DIV/0!</v>
      </c>
      <c r="E36" s="258" t="e">
        <f t="shared" si="14"/>
        <v>#DIV/0!</v>
      </c>
      <c r="F36" s="259" t="e">
        <f t="shared" si="16"/>
        <v>#DIV/0!</v>
      </c>
      <c r="G36" s="259" t="e">
        <f t="shared" si="12"/>
        <v>#N/A</v>
      </c>
      <c r="I36" s="256"/>
      <c r="J36" s="257"/>
      <c r="K36" s="258" t="e">
        <f t="shared" si="13"/>
        <v>#DIV/0!</v>
      </c>
      <c r="L36" s="258" t="e">
        <f t="shared" si="15"/>
        <v>#DIV/0!</v>
      </c>
      <c r="M36" s="259" t="e">
        <f t="shared" si="17"/>
        <v>#DIV/0!</v>
      </c>
    </row>
    <row r="37" spans="2:13" ht="15" hidden="1" outlineLevel="1" thickBot="1">
      <c r="B37" s="256"/>
      <c r="C37" s="257"/>
      <c r="D37" s="258" t="e">
        <f t="shared" si="11"/>
        <v>#DIV/0!</v>
      </c>
      <c r="E37" s="258" t="e">
        <f t="shared" si="14"/>
        <v>#DIV/0!</v>
      </c>
      <c r="F37" s="259" t="e">
        <f t="shared" si="16"/>
        <v>#DIV/0!</v>
      </c>
      <c r="G37" s="259" t="e">
        <f t="shared" si="12"/>
        <v>#N/A</v>
      </c>
      <c r="I37" s="256"/>
      <c r="J37" s="257"/>
      <c r="K37" s="258" t="e">
        <f t="shared" si="13"/>
        <v>#DIV/0!</v>
      </c>
      <c r="L37" s="258" t="e">
        <f t="shared" si="15"/>
        <v>#DIV/0!</v>
      </c>
      <c r="M37" s="259" t="e">
        <f t="shared" si="17"/>
        <v>#DIV/0!</v>
      </c>
    </row>
    <row r="38" spans="2:13" ht="15" hidden="1" outlineLevel="1" thickBot="1">
      <c r="B38" s="256"/>
      <c r="C38" s="257"/>
      <c r="D38" s="258" t="e">
        <f t="shared" si="11"/>
        <v>#DIV/0!</v>
      </c>
      <c r="E38" s="258" t="e">
        <f t="shared" si="14"/>
        <v>#DIV/0!</v>
      </c>
      <c r="F38" s="259" t="e">
        <f t="shared" si="16"/>
        <v>#DIV/0!</v>
      </c>
      <c r="G38" s="259" t="e">
        <f t="shared" si="12"/>
        <v>#N/A</v>
      </c>
      <c r="I38" s="256"/>
      <c r="J38" s="257"/>
      <c r="K38" s="258" t="e">
        <f t="shared" si="13"/>
        <v>#DIV/0!</v>
      </c>
      <c r="L38" s="258" t="e">
        <f t="shared" si="15"/>
        <v>#DIV/0!</v>
      </c>
      <c r="M38" s="259" t="e">
        <f t="shared" si="17"/>
        <v>#DIV/0!</v>
      </c>
    </row>
    <row r="39" spans="2:13" ht="15" hidden="1" outlineLevel="1" thickBot="1">
      <c r="B39" s="256"/>
      <c r="C39" s="257"/>
      <c r="D39" s="258" t="e">
        <f t="shared" si="11"/>
        <v>#DIV/0!</v>
      </c>
      <c r="E39" s="258" t="e">
        <f t="shared" si="14"/>
        <v>#DIV/0!</v>
      </c>
      <c r="F39" s="259" t="e">
        <f t="shared" si="16"/>
        <v>#DIV/0!</v>
      </c>
      <c r="G39" s="259" t="e">
        <f t="shared" si="12"/>
        <v>#N/A</v>
      </c>
      <c r="I39" s="256"/>
      <c r="J39" s="257"/>
      <c r="K39" s="258" t="e">
        <f t="shared" si="13"/>
        <v>#DIV/0!</v>
      </c>
      <c r="L39" s="258" t="e">
        <f t="shared" si="15"/>
        <v>#DIV/0!</v>
      </c>
      <c r="M39" s="259" t="e">
        <f t="shared" si="17"/>
        <v>#DIV/0!</v>
      </c>
    </row>
    <row r="40" spans="2:13" ht="15" hidden="1" outlineLevel="1" thickBot="1">
      <c r="B40" s="256"/>
      <c r="C40" s="257"/>
      <c r="D40" s="258" t="e">
        <f t="shared" si="11"/>
        <v>#DIV/0!</v>
      </c>
      <c r="E40" s="258" t="e">
        <f t="shared" si="14"/>
        <v>#DIV/0!</v>
      </c>
      <c r="F40" s="259" t="e">
        <f t="shared" si="16"/>
        <v>#DIV/0!</v>
      </c>
      <c r="G40" s="259" t="e">
        <f t="shared" si="12"/>
        <v>#N/A</v>
      </c>
      <c r="I40" s="256"/>
      <c r="J40" s="257"/>
      <c r="K40" s="258" t="e">
        <f t="shared" si="13"/>
        <v>#DIV/0!</v>
      </c>
      <c r="L40" s="258" t="e">
        <f t="shared" si="15"/>
        <v>#DIV/0!</v>
      </c>
      <c r="M40" s="259" t="e">
        <f t="shared" si="17"/>
        <v>#DIV/0!</v>
      </c>
    </row>
    <row r="41" spans="2:13" ht="15" hidden="1" outlineLevel="1" thickBot="1">
      <c r="B41" s="256"/>
      <c r="C41" s="257"/>
      <c r="D41" s="258" t="e">
        <f t="shared" si="11"/>
        <v>#DIV/0!</v>
      </c>
      <c r="E41" s="258" t="e">
        <f t="shared" si="14"/>
        <v>#DIV/0!</v>
      </c>
      <c r="F41" s="259" t="e">
        <f t="shared" si="16"/>
        <v>#DIV/0!</v>
      </c>
      <c r="G41" s="259" t="e">
        <f t="shared" si="12"/>
        <v>#N/A</v>
      </c>
      <c r="I41" s="256"/>
      <c r="J41" s="257"/>
      <c r="K41" s="258" t="e">
        <f t="shared" si="13"/>
        <v>#DIV/0!</v>
      </c>
      <c r="L41" s="258" t="e">
        <f t="shared" si="15"/>
        <v>#DIV/0!</v>
      </c>
      <c r="M41" s="259" t="e">
        <f t="shared" si="17"/>
        <v>#DIV/0!</v>
      </c>
    </row>
    <row r="42" spans="2:13" hidden="1" outlineLevel="1">
      <c r="C42" s="260">
        <f>SUM(C22:C41)</f>
        <v>0</v>
      </c>
      <c r="D42" s="261" t="e">
        <f>SUM(D22:D41)</f>
        <v>#DIV/0!</v>
      </c>
      <c r="J42" s="260">
        <f>SUM(J22:J41)</f>
        <v>0</v>
      </c>
      <c r="K42" s="261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17" priority="4" operator="equal">
      <formula>"C"</formula>
    </cfRule>
    <cfRule type="cellIs" dxfId="16" priority="5" operator="equal">
      <formula>"B"</formula>
    </cfRule>
    <cfRule type="cellIs" dxfId="15" priority="6" operator="equal">
      <formula>"A"</formula>
    </cfRule>
  </conditionalFormatting>
  <conditionalFormatting sqref="M22:M41 D22:D41 K22:K41 F22:G41">
    <cfRule type="cellIs" dxfId="14" priority="1" operator="equal">
      <formula>"C"</formula>
    </cfRule>
    <cfRule type="cellIs" dxfId="13" priority="2" operator="equal">
      <formula>"B"</formula>
    </cfRule>
    <cfRule type="cellIs" dxfId="12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49" t="s">
        <v>1078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3" ht="28.5" customHeight="1" outlineLevel="1" thickBot="1">
      <c r="C3" s="252" t="s">
        <v>29</v>
      </c>
      <c r="D3" s="253" t="s">
        <v>1079</v>
      </c>
      <c r="E3" s="254" t="s">
        <v>1080</v>
      </c>
      <c r="F3" s="253" t="s">
        <v>1081</v>
      </c>
      <c r="G3" s="253" t="s">
        <v>1082</v>
      </c>
      <c r="J3" s="252" t="s">
        <v>1083</v>
      </c>
      <c r="K3" s="253" t="s">
        <v>1084</v>
      </c>
      <c r="L3" s="254" t="s">
        <v>1080</v>
      </c>
      <c r="M3" s="255" t="s">
        <v>1082</v>
      </c>
    </row>
    <row r="4" spans="2:13" ht="28.5" customHeight="1" outlineLevel="1" thickBot="1">
      <c r="B4" s="256" t="s">
        <v>42</v>
      </c>
      <c r="C4" s="257">
        <f>'Юнит 19-25.01'!AE6</f>
        <v>8682.3350000000028</v>
      </c>
      <c r="D4" s="258">
        <f>C4/C$18</f>
        <v>0.73552395322418274</v>
      </c>
      <c r="E4" s="258">
        <f>D4</f>
        <v>0.73552395322418274</v>
      </c>
      <c r="F4" s="259" t="str">
        <f>IF(AND(E4&lt;=0),"C",IF(E4&lt;=0.8,"A",IF(E4&lt;=0.95,"B","C")))</f>
        <v>A</v>
      </c>
      <c r="G4" s="259" t="str">
        <f>VLOOKUP(B$4:B$17,I$4:M$17,5,0)</f>
        <v>A</v>
      </c>
      <c r="I4" s="256" t="s">
        <v>53</v>
      </c>
      <c r="J4" s="257">
        <f>'Юнит 19-25.01'!R11</f>
        <v>26</v>
      </c>
      <c r="K4" s="258">
        <f>J4/J$18</f>
        <v>0.29213483146067415</v>
      </c>
      <c r="L4" s="258">
        <f>K4</f>
        <v>0.29213483146067415</v>
      </c>
      <c r="M4" s="259" t="str">
        <f t="shared" ref="M4:M17" si="0">_xlfn.IFS(L4&lt;80%,"A",L4&lt;=95%,"B",L4&gt;95%,"C")</f>
        <v>A</v>
      </c>
    </row>
    <row r="5" spans="2:13" ht="28.5" customHeight="1" outlineLevel="1" thickBot="1">
      <c r="B5" s="256" t="s">
        <v>40</v>
      </c>
      <c r="C5" s="257">
        <f>'Юнит 19-25.01'!AE4</f>
        <v>4302.4767290000009</v>
      </c>
      <c r="D5" s="258">
        <f>C5/C$18</f>
        <v>0.36448428819771761</v>
      </c>
      <c r="E5" s="258">
        <f>D5+E4</f>
        <v>1.1000082414219003</v>
      </c>
      <c r="F5" s="259" t="str">
        <f t="shared" ref="F5:F17" si="1">IF(AND(E5&lt;=0),"C",IF(E5&lt;=0.8,"A",IF(E5&lt;=0.95,"B","C")))</f>
        <v>C</v>
      </c>
      <c r="G5" s="259" t="str">
        <f>VLOOKUP(B$4:B$17,I$4:M$17,5,0)</f>
        <v>B</v>
      </c>
      <c r="I5" s="256" t="s">
        <v>42</v>
      </c>
      <c r="J5" s="257">
        <f>'Юнит 19-25.01'!R6</f>
        <v>18</v>
      </c>
      <c r="K5" s="258">
        <f>J5/J$18</f>
        <v>0.20224719101123595</v>
      </c>
      <c r="L5" s="258">
        <f>K5+L4</f>
        <v>0.4943820224719101</v>
      </c>
      <c r="M5" s="259" t="str">
        <f t="shared" si="0"/>
        <v>A</v>
      </c>
    </row>
    <row r="6" spans="2:13" ht="28.5" customHeight="1" outlineLevel="1" thickBot="1">
      <c r="B6" s="256" t="s">
        <v>39</v>
      </c>
      <c r="C6" s="257">
        <f>'Юнит 19-25.01'!AE3</f>
        <v>2675.943400000001</v>
      </c>
      <c r="D6" s="258">
        <f t="shared" ref="D6:D11" si="2">C6/C$18</f>
        <v>0.22669252777877849</v>
      </c>
      <c r="E6" s="258">
        <f t="shared" ref="E6:E11" si="3">D6+E5</f>
        <v>1.3267007692006789</v>
      </c>
      <c r="F6" s="259" t="str">
        <f t="shared" si="1"/>
        <v>C</v>
      </c>
      <c r="G6" s="259" t="str">
        <f t="shared" ref="G6:G11" si="4">VLOOKUP(B$4:B$17,I$4:M$17,5,0)</f>
        <v>B</v>
      </c>
      <c r="I6" s="256" t="s">
        <v>54</v>
      </c>
      <c r="J6" s="257">
        <f>'Юнит 19-25.01'!R15</f>
        <v>17</v>
      </c>
      <c r="K6" s="258">
        <f t="shared" ref="K6:K11" si="5">J6/J$18</f>
        <v>0.19101123595505617</v>
      </c>
      <c r="L6" s="258">
        <f t="shared" ref="L6:L11" si="6">K6+L5</f>
        <v>0.6853932584269663</v>
      </c>
      <c r="M6" s="259" t="str">
        <f t="shared" si="0"/>
        <v>A</v>
      </c>
    </row>
    <row r="7" spans="2:13" ht="28.5" customHeight="1" outlineLevel="1" thickBot="1">
      <c r="B7" s="256" t="s">
        <v>41</v>
      </c>
      <c r="C7" s="257">
        <f>'Юнит 19-25.01'!AE5</f>
        <v>1839.8449999999993</v>
      </c>
      <c r="D7" s="258">
        <f t="shared" si="2"/>
        <v>0.15586245724447922</v>
      </c>
      <c r="E7" s="258">
        <f t="shared" si="3"/>
        <v>1.482563226445158</v>
      </c>
      <c r="F7" s="259" t="str">
        <f t="shared" si="1"/>
        <v>C</v>
      </c>
      <c r="G7" s="259" t="str">
        <f t="shared" si="4"/>
        <v>C</v>
      </c>
      <c r="I7" s="256" t="s">
        <v>43</v>
      </c>
      <c r="J7" s="257">
        <f>'Юнит 19-25.01'!R7</f>
        <v>10</v>
      </c>
      <c r="K7" s="258">
        <f t="shared" si="5"/>
        <v>0.11235955056179775</v>
      </c>
      <c r="L7" s="258">
        <f t="shared" si="6"/>
        <v>0.797752808988764</v>
      </c>
      <c r="M7" s="259" t="str">
        <f t="shared" si="0"/>
        <v>A</v>
      </c>
    </row>
    <row r="8" spans="2:13" ht="28.5" customHeight="1" outlineLevel="1" thickBot="1">
      <c r="B8" s="256" t="s">
        <v>43</v>
      </c>
      <c r="C8" s="257">
        <f>'Юнит 19-25.01'!AE7</f>
        <v>811.75819600000068</v>
      </c>
      <c r="D8" s="258">
        <f t="shared" si="2"/>
        <v>6.8768090310273824E-2</v>
      </c>
      <c r="E8" s="258">
        <f t="shared" si="3"/>
        <v>1.5513313167554319</v>
      </c>
      <c r="F8" s="259" t="str">
        <f t="shared" si="1"/>
        <v>C</v>
      </c>
      <c r="G8" s="259" t="str">
        <f t="shared" si="4"/>
        <v>A</v>
      </c>
      <c r="I8" s="256" t="s">
        <v>40</v>
      </c>
      <c r="J8" s="257">
        <f>'Юнит 19-25.01'!R4</f>
        <v>7</v>
      </c>
      <c r="K8" s="258">
        <f t="shared" si="5"/>
        <v>7.8651685393258425E-2</v>
      </c>
      <c r="L8" s="258">
        <f t="shared" si="6"/>
        <v>0.87640449438202239</v>
      </c>
      <c r="M8" s="259" t="str">
        <f t="shared" si="0"/>
        <v>B</v>
      </c>
    </row>
    <row r="9" spans="2:13" ht="28.5" customHeight="1" outlineLevel="1" thickBot="1">
      <c r="B9" s="256" t="s">
        <v>53</v>
      </c>
      <c r="C9" s="257">
        <f>'Юнит 19-25.01'!AE11</f>
        <v>470.19917300000088</v>
      </c>
      <c r="D9" s="258">
        <f t="shared" si="2"/>
        <v>3.9832919891676831E-2</v>
      </c>
      <c r="E9" s="258">
        <f t="shared" si="3"/>
        <v>1.5911642366471088</v>
      </c>
      <c r="F9" s="259" t="str">
        <f t="shared" si="1"/>
        <v>C</v>
      </c>
      <c r="G9" s="259" t="str">
        <f t="shared" si="4"/>
        <v>A</v>
      </c>
      <c r="I9" s="256" t="s">
        <v>39</v>
      </c>
      <c r="J9" s="257">
        <f>'Юнит 19-25.01'!R3</f>
        <v>5</v>
      </c>
      <c r="K9" s="258">
        <f t="shared" si="5"/>
        <v>5.6179775280898875E-2</v>
      </c>
      <c r="L9" s="258">
        <f t="shared" si="6"/>
        <v>0.93258426966292129</v>
      </c>
      <c r="M9" s="259" t="str">
        <f t="shared" si="0"/>
        <v>B</v>
      </c>
    </row>
    <row r="10" spans="2:13" ht="28.5" customHeight="1" outlineLevel="1" thickBot="1">
      <c r="B10" s="256" t="s">
        <v>56</v>
      </c>
      <c r="C10" s="257">
        <f>'Юнит 19-25.01'!AE9</f>
        <v>0</v>
      </c>
      <c r="D10" s="258">
        <f t="shared" si="2"/>
        <v>0</v>
      </c>
      <c r="E10" s="258">
        <f t="shared" si="3"/>
        <v>1.5911642366471088</v>
      </c>
      <c r="F10" s="259" t="str">
        <f t="shared" si="1"/>
        <v>C</v>
      </c>
      <c r="G10" s="259" t="str">
        <f t="shared" si="4"/>
        <v>A</v>
      </c>
      <c r="I10" s="256" t="s">
        <v>41</v>
      </c>
      <c r="J10" s="257">
        <f>'Юнит 19-25.01'!R5</f>
        <v>3</v>
      </c>
      <c r="K10" s="258">
        <f t="shared" si="5"/>
        <v>3.3707865168539325E-2</v>
      </c>
      <c r="L10" s="258">
        <f t="shared" si="6"/>
        <v>0.96629213483146059</v>
      </c>
      <c r="M10" s="259" t="str">
        <f t="shared" si="0"/>
        <v>C</v>
      </c>
    </row>
    <row r="11" spans="2:13" ht="28.5" customHeight="1" outlineLevel="1" thickBot="1">
      <c r="B11" s="256" t="s">
        <v>57</v>
      </c>
      <c r="C11" s="257">
        <f>'Юнит 19-25.01'!AE10</f>
        <v>0</v>
      </c>
      <c r="D11" s="258">
        <f t="shared" si="2"/>
        <v>0</v>
      </c>
      <c r="E11" s="258">
        <f t="shared" si="3"/>
        <v>1.5911642366471088</v>
      </c>
      <c r="F11" s="259" t="str">
        <f t="shared" si="1"/>
        <v>C</v>
      </c>
      <c r="G11" s="259" t="str">
        <f t="shared" si="4"/>
        <v>A</v>
      </c>
      <c r="I11" s="256" t="s">
        <v>44</v>
      </c>
      <c r="J11" s="257">
        <f>'Юнит 19-25.01'!R8</f>
        <v>3</v>
      </c>
      <c r="K11" s="258">
        <f t="shared" si="5"/>
        <v>3.3707865168539325E-2</v>
      </c>
      <c r="L11" s="258">
        <f t="shared" si="6"/>
        <v>0.99999999999999989</v>
      </c>
      <c r="M11" s="259" t="str">
        <f t="shared" si="0"/>
        <v>C</v>
      </c>
    </row>
    <row r="12" spans="2:13" ht="28.5" customHeight="1" outlineLevel="1" thickBot="1">
      <c r="B12" s="256" t="s">
        <v>58</v>
      </c>
      <c r="C12" s="257">
        <f>'Юнит 19-25.01'!AE12</f>
        <v>0</v>
      </c>
      <c r="D12" s="258">
        <f>C12/C$18</f>
        <v>0</v>
      </c>
      <c r="E12" s="258">
        <f>D12+E5</f>
        <v>1.1000082414219003</v>
      </c>
      <c r="F12" s="259" t="str">
        <f t="shared" si="1"/>
        <v>C</v>
      </c>
      <c r="G12" s="259" t="str">
        <f>VLOOKUP(B$4:B$17,I$4:M$17,5,0)</f>
        <v>A</v>
      </c>
      <c r="I12" s="256" t="s">
        <v>56</v>
      </c>
      <c r="J12" s="257">
        <f>'Юнит 19-25.01'!R9</f>
        <v>0</v>
      </c>
      <c r="K12" s="258">
        <f>J12/J$18</f>
        <v>0</v>
      </c>
      <c r="L12" s="258">
        <f>K12+L5</f>
        <v>0.4943820224719101</v>
      </c>
      <c r="M12" s="259" t="str">
        <f t="shared" si="0"/>
        <v>A</v>
      </c>
    </row>
    <row r="13" spans="2:13" ht="28.5" customHeight="1" outlineLevel="1" thickBot="1">
      <c r="B13" s="256" t="s">
        <v>59</v>
      </c>
      <c r="C13" s="257">
        <f>'Юнит 19-25.01'!AE13</f>
        <v>0</v>
      </c>
      <c r="D13" s="258">
        <f>C13/C$18</f>
        <v>0</v>
      </c>
      <c r="E13" s="258">
        <f t="shared" ref="E13:E16" si="7">D13+E12</f>
        <v>1.1000082414219003</v>
      </c>
      <c r="F13" s="259" t="str">
        <f t="shared" si="1"/>
        <v>C</v>
      </c>
      <c r="G13" s="259" t="str">
        <f>VLOOKUP(B$4:B$17,I$4:M$17,5,0)</f>
        <v>A</v>
      </c>
      <c r="I13" s="256" t="s">
        <v>57</v>
      </c>
      <c r="J13" s="257">
        <f>'Юнит 19-25.01'!R10</f>
        <v>0</v>
      </c>
      <c r="K13" s="258">
        <f>J13/J$18</f>
        <v>0</v>
      </c>
      <c r="L13" s="258">
        <f t="shared" ref="L13:L16" si="8">K13+L12</f>
        <v>0.4943820224719101</v>
      </c>
      <c r="M13" s="259" t="str">
        <f t="shared" si="0"/>
        <v>A</v>
      </c>
    </row>
    <row r="14" spans="2:13" ht="28.5" customHeight="1" outlineLevel="1" thickBot="1">
      <c r="B14" s="256" t="s">
        <v>60</v>
      </c>
      <c r="C14" s="257">
        <f>'Юнит 19-25.01'!AE14</f>
        <v>0</v>
      </c>
      <c r="D14" s="258">
        <f>C14/C$18</f>
        <v>0</v>
      </c>
      <c r="E14" s="258">
        <f t="shared" si="7"/>
        <v>1.1000082414219003</v>
      </c>
      <c r="F14" s="259" t="str">
        <f t="shared" si="1"/>
        <v>C</v>
      </c>
      <c r="G14" s="259" t="str">
        <f>VLOOKUP(B$4:B$17,I$4:M$17,5,0)</f>
        <v>A</v>
      </c>
      <c r="I14" s="256" t="s">
        <v>58</v>
      </c>
      <c r="J14" s="257">
        <f>'Юнит 19-25.01'!R12</f>
        <v>0</v>
      </c>
      <c r="K14" s="258">
        <f>J14/J$18</f>
        <v>0</v>
      </c>
      <c r="L14" s="258">
        <f t="shared" si="8"/>
        <v>0.4943820224719101</v>
      </c>
      <c r="M14" s="259" t="str">
        <f t="shared" si="0"/>
        <v>A</v>
      </c>
    </row>
    <row r="15" spans="2:13" ht="28.5" customHeight="1" outlineLevel="1" thickBot="1">
      <c r="B15" s="256" t="s">
        <v>61</v>
      </c>
      <c r="C15" s="257">
        <f>'Юнит 19-25.01'!AE16</f>
        <v>0</v>
      </c>
      <c r="D15" s="258">
        <f>C15/C$18</f>
        <v>0</v>
      </c>
      <c r="E15" s="258">
        <f t="shared" si="7"/>
        <v>1.1000082414219003</v>
      </c>
      <c r="F15" s="259" t="str">
        <f t="shared" si="1"/>
        <v>C</v>
      </c>
      <c r="G15" s="259" t="str">
        <f>VLOOKUP(B$4:B$17,I$4:M$17,5,0)</f>
        <v>A</v>
      </c>
      <c r="I15" s="256" t="s">
        <v>59</v>
      </c>
      <c r="J15" s="257">
        <f>'Юнит 19-25.01'!R13</f>
        <v>0</v>
      </c>
      <c r="K15" s="258">
        <f>J15/J$18</f>
        <v>0</v>
      </c>
      <c r="L15" s="258">
        <f t="shared" si="8"/>
        <v>0.4943820224719101</v>
      </c>
      <c r="M15" s="259" t="str">
        <f t="shared" si="0"/>
        <v>A</v>
      </c>
    </row>
    <row r="16" spans="2:13" ht="28.5" customHeight="1" outlineLevel="1" thickBot="1">
      <c r="B16" s="256" t="s">
        <v>44</v>
      </c>
      <c r="C16" s="257">
        <f>'Юнит 19-25.01'!AE8</f>
        <v>-1062.6707779999986</v>
      </c>
      <c r="D16" s="258">
        <f>C16/C$18</f>
        <v>-9.0024148067354759E-2</v>
      </c>
      <c r="E16" s="258">
        <f t="shared" si="7"/>
        <v>1.0099840933545456</v>
      </c>
      <c r="F16" s="259" t="str">
        <f t="shared" si="1"/>
        <v>C</v>
      </c>
      <c r="G16" s="259" t="str">
        <f>VLOOKUP(B$4:B$17,I$4:M$17,5,0)</f>
        <v>C</v>
      </c>
      <c r="I16" s="256" t="s">
        <v>60</v>
      </c>
      <c r="J16" s="257">
        <f>'Юнит 19-25.01'!R14</f>
        <v>0</v>
      </c>
      <c r="K16" s="258">
        <f>J16/J$18</f>
        <v>0</v>
      </c>
      <c r="L16" s="258">
        <f t="shared" si="8"/>
        <v>0.4943820224719101</v>
      </c>
      <c r="M16" s="259" t="str">
        <f t="shared" si="0"/>
        <v>A</v>
      </c>
    </row>
    <row r="17" spans="2:13" ht="28.5" customHeight="1" outlineLevel="1" thickBot="1">
      <c r="B17" s="256" t="s">
        <v>54</v>
      </c>
      <c r="C17" s="257">
        <f>'Юнит 19-25.01'!AE15</f>
        <v>-5915.6008610000026</v>
      </c>
      <c r="D17" s="258">
        <f>C17/C$18</f>
        <v>-0.50114008857975412</v>
      </c>
      <c r="E17" s="258">
        <f>D17+E14</f>
        <v>0.59886815284214623</v>
      </c>
      <c r="F17" s="259" t="str">
        <f t="shared" si="1"/>
        <v>A</v>
      </c>
      <c r="G17" s="259" t="str">
        <f>VLOOKUP(B$4:B$17,I$4:M$17,5,0)</f>
        <v>A</v>
      </c>
      <c r="I17" s="256" t="s">
        <v>61</v>
      </c>
      <c r="J17" s="257">
        <f>'Юнит 19-25.01'!R16</f>
        <v>0</v>
      </c>
      <c r="K17" s="258">
        <f>J17/J$18</f>
        <v>0</v>
      </c>
      <c r="L17" s="258">
        <f>K17+L14</f>
        <v>0.4943820224719101</v>
      </c>
      <c r="M17" s="259" t="str">
        <f t="shared" si="0"/>
        <v>A</v>
      </c>
    </row>
    <row r="18" spans="2:13" outlineLevel="1">
      <c r="C18" s="260">
        <f>SUM(C4:C17)</f>
        <v>11804.285859000007</v>
      </c>
      <c r="D18" s="261">
        <f>SUM(D4:D17)</f>
        <v>1</v>
      </c>
      <c r="J18" s="260">
        <f>SUM(J4:J17)</f>
        <v>89</v>
      </c>
      <c r="K18" s="261">
        <f>SUM(K4:K17)</f>
        <v>0.99999999999999989</v>
      </c>
    </row>
    <row r="20" spans="2:13" ht="15" hidden="1" outlineLevel="1" thickBot="1"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4"/>
    </row>
    <row r="21" spans="2:13" ht="23.5" hidden="1" outlineLevel="1" thickBot="1">
      <c r="C21" s="252" t="s">
        <v>29</v>
      </c>
      <c r="D21" s="253" t="s">
        <v>1079</v>
      </c>
      <c r="E21" s="254" t="s">
        <v>1080</v>
      </c>
      <c r="F21" s="253" t="s">
        <v>1081</v>
      </c>
      <c r="G21" s="253" t="s">
        <v>1082</v>
      </c>
      <c r="J21" s="252" t="s">
        <v>1083</v>
      </c>
      <c r="K21" s="253" t="s">
        <v>1084</v>
      </c>
      <c r="L21" s="254" t="s">
        <v>1080</v>
      </c>
      <c r="M21" s="255" t="s">
        <v>1082</v>
      </c>
    </row>
    <row r="22" spans="2:13" ht="15" hidden="1" outlineLevel="1" thickBot="1">
      <c r="B22" s="256"/>
      <c r="C22" s="257"/>
      <c r="D22" s="258" t="e">
        <f>C22/C$42</f>
        <v>#DIV/0!</v>
      </c>
      <c r="E22" s="258" t="e">
        <f>D22</f>
        <v>#DIV/0!</v>
      </c>
      <c r="F22" s="259" t="e">
        <f t="shared" ref="F22:F28" si="9">IF(AND(E22&lt;=0),"C",IF(E22&lt;=0.8,"A",IF(E22&lt;=0.95,"B","C")))</f>
        <v>#DIV/0!</v>
      </c>
      <c r="G22" s="259" t="e">
        <f>VLOOKUP(B$22:B$42,I$22:M$42,5,0)</f>
        <v>#N/A</v>
      </c>
      <c r="I22" s="256"/>
      <c r="J22" s="257"/>
      <c r="K22" s="258" t="e">
        <f>J22/J$42</f>
        <v>#DIV/0!</v>
      </c>
      <c r="L22" s="258" t="e">
        <f>K22</f>
        <v>#DIV/0!</v>
      </c>
      <c r="M22" s="259" t="e">
        <f t="shared" ref="M22:M28" si="10">_xlfn.IFS(L22&lt;80%,"A",L22&lt;=95%,"B",L22&gt;95%,"C")</f>
        <v>#DIV/0!</v>
      </c>
    </row>
    <row r="23" spans="2:13" ht="15" hidden="1" outlineLevel="1" thickBot="1">
      <c r="B23" s="256"/>
      <c r="C23" s="257"/>
      <c r="D23" s="258" t="e">
        <f t="shared" ref="D23:D41" si="11">C23/C$42</f>
        <v>#DIV/0!</v>
      </c>
      <c r="E23" s="258" t="e">
        <f>D23+E22</f>
        <v>#DIV/0!</v>
      </c>
      <c r="F23" s="259" t="e">
        <f t="shared" si="9"/>
        <v>#DIV/0!</v>
      </c>
      <c r="G23" s="259" t="e">
        <f t="shared" ref="G23:G41" si="12">VLOOKUP(B$22:B$42,I$22:M$42,5,0)</f>
        <v>#N/A</v>
      </c>
      <c r="I23" s="256"/>
      <c r="J23" s="257"/>
      <c r="K23" s="258" t="e">
        <f t="shared" ref="K23:K41" si="13">J23/J$42</f>
        <v>#DIV/0!</v>
      </c>
      <c r="L23" s="258" t="e">
        <f>K23+L22</f>
        <v>#DIV/0!</v>
      </c>
      <c r="M23" s="259" t="e">
        <f t="shared" si="10"/>
        <v>#DIV/0!</v>
      </c>
    </row>
    <row r="24" spans="2:13" ht="15" hidden="1" outlineLevel="1" thickBot="1">
      <c r="B24" s="256"/>
      <c r="C24" s="257"/>
      <c r="D24" s="258" t="e">
        <f t="shared" si="11"/>
        <v>#DIV/0!</v>
      </c>
      <c r="E24" s="258" t="e">
        <f t="shared" ref="E24:E41" si="14">D24+E23</f>
        <v>#DIV/0!</v>
      </c>
      <c r="F24" s="259" t="e">
        <f t="shared" si="9"/>
        <v>#DIV/0!</v>
      </c>
      <c r="G24" s="259" t="e">
        <f t="shared" si="12"/>
        <v>#N/A</v>
      </c>
      <c r="I24" s="256"/>
      <c r="J24" s="257"/>
      <c r="K24" s="258" t="e">
        <f t="shared" si="13"/>
        <v>#DIV/0!</v>
      </c>
      <c r="L24" s="258" t="e">
        <f t="shared" ref="L24:L41" si="15">K24+L23</f>
        <v>#DIV/0!</v>
      </c>
      <c r="M24" s="259" t="e">
        <f t="shared" si="10"/>
        <v>#DIV/0!</v>
      </c>
    </row>
    <row r="25" spans="2:13" ht="15" hidden="1" outlineLevel="1" thickBot="1">
      <c r="B25" s="256"/>
      <c r="C25" s="257"/>
      <c r="D25" s="258" t="e">
        <f t="shared" si="11"/>
        <v>#DIV/0!</v>
      </c>
      <c r="E25" s="258" t="e">
        <f t="shared" si="14"/>
        <v>#DIV/0!</v>
      </c>
      <c r="F25" s="259" t="e">
        <f t="shared" si="9"/>
        <v>#DIV/0!</v>
      </c>
      <c r="G25" s="259" t="e">
        <f t="shared" si="12"/>
        <v>#N/A</v>
      </c>
      <c r="I25" s="256"/>
      <c r="J25" s="257"/>
      <c r="K25" s="258" t="e">
        <f t="shared" si="13"/>
        <v>#DIV/0!</v>
      </c>
      <c r="L25" s="258" t="e">
        <f t="shared" si="15"/>
        <v>#DIV/0!</v>
      </c>
      <c r="M25" s="259" t="e">
        <f t="shared" si="10"/>
        <v>#DIV/0!</v>
      </c>
    </row>
    <row r="26" spans="2:13" ht="15" hidden="1" outlineLevel="1" thickBot="1">
      <c r="B26" s="256"/>
      <c r="C26" s="257"/>
      <c r="D26" s="258" t="e">
        <f t="shared" si="11"/>
        <v>#DIV/0!</v>
      </c>
      <c r="E26" s="258" t="e">
        <f t="shared" si="14"/>
        <v>#DIV/0!</v>
      </c>
      <c r="F26" s="259" t="e">
        <f t="shared" si="9"/>
        <v>#DIV/0!</v>
      </c>
      <c r="G26" s="259" t="e">
        <f t="shared" si="12"/>
        <v>#N/A</v>
      </c>
      <c r="I26" s="256"/>
      <c r="J26" s="257"/>
      <c r="K26" s="258" t="e">
        <f t="shared" si="13"/>
        <v>#DIV/0!</v>
      </c>
      <c r="L26" s="258" t="e">
        <f t="shared" si="15"/>
        <v>#DIV/0!</v>
      </c>
      <c r="M26" s="259" t="e">
        <f t="shared" si="10"/>
        <v>#DIV/0!</v>
      </c>
    </row>
    <row r="27" spans="2:13" ht="15" hidden="1" outlineLevel="1" thickBot="1">
      <c r="B27" s="256"/>
      <c r="C27" s="257"/>
      <c r="D27" s="258" t="e">
        <f t="shared" si="11"/>
        <v>#DIV/0!</v>
      </c>
      <c r="E27" s="258" t="e">
        <f t="shared" si="14"/>
        <v>#DIV/0!</v>
      </c>
      <c r="F27" s="259" t="e">
        <f t="shared" si="9"/>
        <v>#DIV/0!</v>
      </c>
      <c r="G27" s="259" t="e">
        <f t="shared" si="12"/>
        <v>#N/A</v>
      </c>
      <c r="I27" s="256"/>
      <c r="J27" s="257"/>
      <c r="K27" s="258" t="e">
        <f t="shared" si="13"/>
        <v>#DIV/0!</v>
      </c>
      <c r="L27" s="258" t="e">
        <f t="shared" si="15"/>
        <v>#DIV/0!</v>
      </c>
      <c r="M27" s="259" t="e">
        <f t="shared" si="10"/>
        <v>#DIV/0!</v>
      </c>
    </row>
    <row r="28" spans="2:13" ht="15" hidden="1" outlineLevel="1" thickBot="1">
      <c r="B28" s="256"/>
      <c r="C28" s="257"/>
      <c r="D28" s="258" t="e">
        <f t="shared" si="11"/>
        <v>#DIV/0!</v>
      </c>
      <c r="E28" s="258" t="e">
        <f t="shared" si="14"/>
        <v>#DIV/0!</v>
      </c>
      <c r="F28" s="259" t="e">
        <f t="shared" si="9"/>
        <v>#DIV/0!</v>
      </c>
      <c r="G28" s="259" t="e">
        <f t="shared" si="12"/>
        <v>#N/A</v>
      </c>
      <c r="I28" s="256"/>
      <c r="J28" s="257"/>
      <c r="K28" s="258" t="e">
        <f t="shared" si="13"/>
        <v>#DIV/0!</v>
      </c>
      <c r="L28" s="258" t="e">
        <f t="shared" si="15"/>
        <v>#DIV/0!</v>
      </c>
      <c r="M28" s="259" t="e">
        <f t="shared" si="10"/>
        <v>#DIV/0!</v>
      </c>
    </row>
    <row r="29" spans="2:13" ht="15" hidden="1" outlineLevel="1" thickBot="1">
      <c r="B29" s="256"/>
      <c r="C29" s="257"/>
      <c r="D29" s="258" t="e">
        <f t="shared" si="11"/>
        <v>#DIV/0!</v>
      </c>
      <c r="E29" s="258" t="e">
        <f t="shared" si="14"/>
        <v>#DIV/0!</v>
      </c>
      <c r="F29" s="259" t="e">
        <f>IF(AND(E29&lt;=0),"C",IF(E29&lt;=0.8,"A",IF(E29&lt;=0.95,"B","C")))</f>
        <v>#DIV/0!</v>
      </c>
      <c r="G29" s="259" t="e">
        <f t="shared" si="12"/>
        <v>#N/A</v>
      </c>
      <c r="I29" s="256"/>
      <c r="J29" s="257"/>
      <c r="K29" s="258" t="e">
        <f t="shared" si="13"/>
        <v>#DIV/0!</v>
      </c>
      <c r="L29" s="258" t="e">
        <f t="shared" si="15"/>
        <v>#DIV/0!</v>
      </c>
      <c r="M29" s="259" t="e">
        <f>_xlfn.IFS(L29&lt;80%,"A",L29&lt;=95%,"B",L29&gt;95%,"C")</f>
        <v>#DIV/0!</v>
      </c>
    </row>
    <row r="30" spans="2:13" ht="15" hidden="1" outlineLevel="1" thickBot="1">
      <c r="B30" s="256"/>
      <c r="C30" s="257"/>
      <c r="D30" s="258" t="e">
        <f t="shared" si="11"/>
        <v>#DIV/0!</v>
      </c>
      <c r="E30" s="258" t="e">
        <f t="shared" si="14"/>
        <v>#DIV/0!</v>
      </c>
      <c r="F30" s="259" t="e">
        <f t="shared" ref="F30:F41" si="16">IF(AND(E30&lt;=0),"C",IF(E30&lt;=0.8,"A",IF(E30&lt;=0.95,"B","C")))</f>
        <v>#DIV/0!</v>
      </c>
      <c r="G30" s="259" t="e">
        <f t="shared" si="12"/>
        <v>#N/A</v>
      </c>
      <c r="I30" s="256"/>
      <c r="J30" s="257"/>
      <c r="K30" s="258" t="e">
        <f t="shared" si="13"/>
        <v>#DIV/0!</v>
      </c>
      <c r="L30" s="258" t="e">
        <f t="shared" si="15"/>
        <v>#DIV/0!</v>
      </c>
      <c r="M30" s="259" t="e">
        <f t="shared" ref="M30:M41" si="17">_xlfn.IFS(L30&lt;80%,"A",L30&lt;=95%,"B",L30&gt;95%,"C")</f>
        <v>#DIV/0!</v>
      </c>
    </row>
    <row r="31" spans="2:13" ht="15" hidden="1" outlineLevel="1" thickBot="1">
      <c r="B31" s="256"/>
      <c r="C31" s="257"/>
      <c r="D31" s="258" t="e">
        <f t="shared" si="11"/>
        <v>#DIV/0!</v>
      </c>
      <c r="E31" s="258" t="e">
        <f t="shared" si="14"/>
        <v>#DIV/0!</v>
      </c>
      <c r="F31" s="259" t="e">
        <f t="shared" si="16"/>
        <v>#DIV/0!</v>
      </c>
      <c r="G31" s="259" t="e">
        <f t="shared" si="12"/>
        <v>#N/A</v>
      </c>
      <c r="I31" s="256"/>
      <c r="J31" s="257"/>
      <c r="K31" s="258" t="e">
        <f t="shared" si="13"/>
        <v>#DIV/0!</v>
      </c>
      <c r="L31" s="258" t="e">
        <f t="shared" si="15"/>
        <v>#DIV/0!</v>
      </c>
      <c r="M31" s="259" t="e">
        <f t="shared" si="17"/>
        <v>#DIV/0!</v>
      </c>
    </row>
    <row r="32" spans="2:13" ht="15" hidden="1" outlineLevel="1" thickBot="1">
      <c r="B32" s="256"/>
      <c r="C32" s="257"/>
      <c r="D32" s="258" t="e">
        <f t="shared" si="11"/>
        <v>#DIV/0!</v>
      </c>
      <c r="E32" s="258" t="e">
        <f t="shared" si="14"/>
        <v>#DIV/0!</v>
      </c>
      <c r="F32" s="259" t="e">
        <f t="shared" si="16"/>
        <v>#DIV/0!</v>
      </c>
      <c r="G32" s="259" t="e">
        <f t="shared" si="12"/>
        <v>#N/A</v>
      </c>
      <c r="I32" s="256"/>
      <c r="J32" s="257"/>
      <c r="K32" s="258" t="e">
        <f t="shared" si="13"/>
        <v>#DIV/0!</v>
      </c>
      <c r="L32" s="258" t="e">
        <f t="shared" si="15"/>
        <v>#DIV/0!</v>
      </c>
      <c r="M32" s="259" t="e">
        <f t="shared" si="17"/>
        <v>#DIV/0!</v>
      </c>
    </row>
    <row r="33" spans="2:13" ht="15" hidden="1" outlineLevel="1" thickBot="1">
      <c r="B33" s="256"/>
      <c r="C33" s="257"/>
      <c r="D33" s="258" t="e">
        <f t="shared" si="11"/>
        <v>#DIV/0!</v>
      </c>
      <c r="E33" s="258" t="e">
        <f t="shared" si="14"/>
        <v>#DIV/0!</v>
      </c>
      <c r="F33" s="259" t="e">
        <f t="shared" si="16"/>
        <v>#DIV/0!</v>
      </c>
      <c r="G33" s="259" t="e">
        <f t="shared" si="12"/>
        <v>#N/A</v>
      </c>
      <c r="I33" s="256"/>
      <c r="J33" s="257"/>
      <c r="K33" s="258" t="e">
        <f t="shared" si="13"/>
        <v>#DIV/0!</v>
      </c>
      <c r="L33" s="258" t="e">
        <f t="shared" si="15"/>
        <v>#DIV/0!</v>
      </c>
      <c r="M33" s="259" t="e">
        <f t="shared" si="17"/>
        <v>#DIV/0!</v>
      </c>
    </row>
    <row r="34" spans="2:13" ht="15" hidden="1" outlineLevel="1" thickBot="1">
      <c r="B34" s="256"/>
      <c r="C34" s="257"/>
      <c r="D34" s="258" t="e">
        <f t="shared" si="11"/>
        <v>#DIV/0!</v>
      </c>
      <c r="E34" s="258" t="e">
        <f t="shared" si="14"/>
        <v>#DIV/0!</v>
      </c>
      <c r="F34" s="259" t="e">
        <f t="shared" si="16"/>
        <v>#DIV/0!</v>
      </c>
      <c r="G34" s="259" t="e">
        <f t="shared" si="12"/>
        <v>#N/A</v>
      </c>
      <c r="I34" s="256"/>
      <c r="J34" s="257"/>
      <c r="K34" s="258" t="e">
        <f t="shared" si="13"/>
        <v>#DIV/0!</v>
      </c>
      <c r="L34" s="258" t="e">
        <f t="shared" si="15"/>
        <v>#DIV/0!</v>
      </c>
      <c r="M34" s="259" t="e">
        <f t="shared" si="17"/>
        <v>#DIV/0!</v>
      </c>
    </row>
    <row r="35" spans="2:13" ht="15" hidden="1" outlineLevel="1" thickBot="1">
      <c r="B35" s="256"/>
      <c r="C35" s="257"/>
      <c r="D35" s="258" t="e">
        <f t="shared" si="11"/>
        <v>#DIV/0!</v>
      </c>
      <c r="E35" s="258" t="e">
        <f t="shared" si="14"/>
        <v>#DIV/0!</v>
      </c>
      <c r="F35" s="259" t="e">
        <f t="shared" si="16"/>
        <v>#DIV/0!</v>
      </c>
      <c r="G35" s="259" t="e">
        <f t="shared" si="12"/>
        <v>#N/A</v>
      </c>
      <c r="I35" s="256"/>
      <c r="J35" s="257"/>
      <c r="K35" s="258" t="e">
        <f t="shared" si="13"/>
        <v>#DIV/0!</v>
      </c>
      <c r="L35" s="258" t="e">
        <f t="shared" si="15"/>
        <v>#DIV/0!</v>
      </c>
      <c r="M35" s="259" t="e">
        <f t="shared" si="17"/>
        <v>#DIV/0!</v>
      </c>
    </row>
    <row r="36" spans="2:13" ht="15" hidden="1" outlineLevel="1" thickBot="1">
      <c r="B36" s="256"/>
      <c r="C36" s="257"/>
      <c r="D36" s="258" t="e">
        <f t="shared" si="11"/>
        <v>#DIV/0!</v>
      </c>
      <c r="E36" s="258" t="e">
        <f t="shared" si="14"/>
        <v>#DIV/0!</v>
      </c>
      <c r="F36" s="259" t="e">
        <f t="shared" si="16"/>
        <v>#DIV/0!</v>
      </c>
      <c r="G36" s="259" t="e">
        <f t="shared" si="12"/>
        <v>#N/A</v>
      </c>
      <c r="I36" s="256"/>
      <c r="J36" s="257"/>
      <c r="K36" s="258" t="e">
        <f t="shared" si="13"/>
        <v>#DIV/0!</v>
      </c>
      <c r="L36" s="258" t="e">
        <f t="shared" si="15"/>
        <v>#DIV/0!</v>
      </c>
      <c r="M36" s="259" t="e">
        <f t="shared" si="17"/>
        <v>#DIV/0!</v>
      </c>
    </row>
    <row r="37" spans="2:13" ht="15" hidden="1" outlineLevel="1" thickBot="1">
      <c r="B37" s="256"/>
      <c r="C37" s="257"/>
      <c r="D37" s="258" t="e">
        <f t="shared" si="11"/>
        <v>#DIV/0!</v>
      </c>
      <c r="E37" s="258" t="e">
        <f t="shared" si="14"/>
        <v>#DIV/0!</v>
      </c>
      <c r="F37" s="259" t="e">
        <f t="shared" si="16"/>
        <v>#DIV/0!</v>
      </c>
      <c r="G37" s="259" t="e">
        <f t="shared" si="12"/>
        <v>#N/A</v>
      </c>
      <c r="I37" s="256"/>
      <c r="J37" s="257"/>
      <c r="K37" s="258" t="e">
        <f t="shared" si="13"/>
        <v>#DIV/0!</v>
      </c>
      <c r="L37" s="258" t="e">
        <f t="shared" si="15"/>
        <v>#DIV/0!</v>
      </c>
      <c r="M37" s="259" t="e">
        <f t="shared" si="17"/>
        <v>#DIV/0!</v>
      </c>
    </row>
    <row r="38" spans="2:13" ht="15" hidden="1" outlineLevel="1" thickBot="1">
      <c r="B38" s="256"/>
      <c r="C38" s="257"/>
      <c r="D38" s="258" t="e">
        <f t="shared" si="11"/>
        <v>#DIV/0!</v>
      </c>
      <c r="E38" s="258" t="e">
        <f t="shared" si="14"/>
        <v>#DIV/0!</v>
      </c>
      <c r="F38" s="259" t="e">
        <f t="shared" si="16"/>
        <v>#DIV/0!</v>
      </c>
      <c r="G38" s="259" t="e">
        <f t="shared" si="12"/>
        <v>#N/A</v>
      </c>
      <c r="I38" s="256"/>
      <c r="J38" s="257"/>
      <c r="K38" s="258" t="e">
        <f t="shared" si="13"/>
        <v>#DIV/0!</v>
      </c>
      <c r="L38" s="258" t="e">
        <f t="shared" si="15"/>
        <v>#DIV/0!</v>
      </c>
      <c r="M38" s="259" t="e">
        <f t="shared" si="17"/>
        <v>#DIV/0!</v>
      </c>
    </row>
    <row r="39" spans="2:13" ht="15" hidden="1" outlineLevel="1" thickBot="1">
      <c r="B39" s="256"/>
      <c r="C39" s="257"/>
      <c r="D39" s="258" t="e">
        <f t="shared" si="11"/>
        <v>#DIV/0!</v>
      </c>
      <c r="E39" s="258" t="e">
        <f t="shared" si="14"/>
        <v>#DIV/0!</v>
      </c>
      <c r="F39" s="259" t="e">
        <f t="shared" si="16"/>
        <v>#DIV/0!</v>
      </c>
      <c r="G39" s="259" t="e">
        <f t="shared" si="12"/>
        <v>#N/A</v>
      </c>
      <c r="I39" s="256"/>
      <c r="J39" s="257"/>
      <c r="K39" s="258" t="e">
        <f t="shared" si="13"/>
        <v>#DIV/0!</v>
      </c>
      <c r="L39" s="258" t="e">
        <f t="shared" si="15"/>
        <v>#DIV/0!</v>
      </c>
      <c r="M39" s="259" t="e">
        <f t="shared" si="17"/>
        <v>#DIV/0!</v>
      </c>
    </row>
    <row r="40" spans="2:13" ht="15" hidden="1" outlineLevel="1" thickBot="1">
      <c r="B40" s="256"/>
      <c r="C40" s="257"/>
      <c r="D40" s="258" t="e">
        <f t="shared" si="11"/>
        <v>#DIV/0!</v>
      </c>
      <c r="E40" s="258" t="e">
        <f t="shared" si="14"/>
        <v>#DIV/0!</v>
      </c>
      <c r="F40" s="259" t="e">
        <f t="shared" si="16"/>
        <v>#DIV/0!</v>
      </c>
      <c r="G40" s="259" t="e">
        <f t="shared" si="12"/>
        <v>#N/A</v>
      </c>
      <c r="I40" s="256"/>
      <c r="J40" s="257"/>
      <c r="K40" s="258" t="e">
        <f t="shared" si="13"/>
        <v>#DIV/0!</v>
      </c>
      <c r="L40" s="258" t="e">
        <f t="shared" si="15"/>
        <v>#DIV/0!</v>
      </c>
      <c r="M40" s="259" t="e">
        <f t="shared" si="17"/>
        <v>#DIV/0!</v>
      </c>
    </row>
    <row r="41" spans="2:13" ht="15" hidden="1" outlineLevel="1" thickBot="1">
      <c r="B41" s="256"/>
      <c r="C41" s="257"/>
      <c r="D41" s="258" t="e">
        <f t="shared" si="11"/>
        <v>#DIV/0!</v>
      </c>
      <c r="E41" s="258" t="e">
        <f t="shared" si="14"/>
        <v>#DIV/0!</v>
      </c>
      <c r="F41" s="259" t="e">
        <f t="shared" si="16"/>
        <v>#DIV/0!</v>
      </c>
      <c r="G41" s="259" t="e">
        <f t="shared" si="12"/>
        <v>#N/A</v>
      </c>
      <c r="I41" s="256"/>
      <c r="J41" s="257"/>
      <c r="K41" s="258" t="e">
        <f t="shared" si="13"/>
        <v>#DIV/0!</v>
      </c>
      <c r="L41" s="258" t="e">
        <f t="shared" si="15"/>
        <v>#DIV/0!</v>
      </c>
      <c r="M41" s="259" t="e">
        <f t="shared" si="17"/>
        <v>#DIV/0!</v>
      </c>
    </row>
    <row r="42" spans="2:13" hidden="1" outlineLevel="1">
      <c r="C42" s="260">
        <f>SUM(C22:C41)</f>
        <v>0</v>
      </c>
      <c r="D42" s="261" t="e">
        <f>SUM(D22:D41)</f>
        <v>#DIV/0!</v>
      </c>
      <c r="J42" s="260">
        <f>SUM(J22:J41)</f>
        <v>0</v>
      </c>
      <c r="K42" s="261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3" priority="4" operator="equal">
      <formula>"C"</formula>
    </cfRule>
    <cfRule type="cellIs" dxfId="22" priority="5" operator="equal">
      <formula>"B"</formula>
    </cfRule>
    <cfRule type="cellIs" dxfId="21" priority="6" operator="equal">
      <formula>"A"</formula>
    </cfRule>
  </conditionalFormatting>
  <conditionalFormatting sqref="M22:M41 D22:D41 K22:K41 F22:G41">
    <cfRule type="cellIs" dxfId="20" priority="1" operator="equal">
      <formula>"C"</formula>
    </cfRule>
    <cfRule type="cellIs" dxfId="19" priority="2" operator="equal">
      <formula>"B"</formula>
    </cfRule>
    <cfRule type="cellIs" dxfId="18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49" t="s">
        <v>1078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3" ht="28.5" customHeight="1" outlineLevel="1" thickBot="1">
      <c r="C3" s="252" t="s">
        <v>29</v>
      </c>
      <c r="D3" s="253" t="s">
        <v>1079</v>
      </c>
      <c r="E3" s="254" t="s">
        <v>1080</v>
      </c>
      <c r="F3" s="253" t="s">
        <v>1081</v>
      </c>
      <c r="G3" s="253" t="s">
        <v>1082</v>
      </c>
      <c r="J3" s="252" t="s">
        <v>1083</v>
      </c>
      <c r="K3" s="253" t="s">
        <v>1084</v>
      </c>
      <c r="L3" s="254" t="s">
        <v>1080</v>
      </c>
      <c r="M3" s="255" t="s">
        <v>1082</v>
      </c>
    </row>
    <row r="4" spans="2:13" ht="28.5" customHeight="1" outlineLevel="1" thickBot="1">
      <c r="B4" s="256" t="s">
        <v>54</v>
      </c>
      <c r="C4" s="257">
        <f>'Юнит 12-18.01'!AE15</f>
        <v>4630.2450000000299</v>
      </c>
      <c r="D4" s="258">
        <f>C4/C$18</f>
        <v>0.30622783132598996</v>
      </c>
      <c r="E4" s="258">
        <f>D4</f>
        <v>0.30622783132598996</v>
      </c>
      <c r="F4" s="259" t="str">
        <f>IF(AND(E4&lt;=0),"C",IF(E4&lt;=0.8,"A",IF(E4&lt;=0.95,"B","C")))</f>
        <v>A</v>
      </c>
      <c r="G4" s="259" t="str">
        <f>VLOOKUP(B$4:B$17,I$4:M$17,5,0)</f>
        <v>A</v>
      </c>
      <c r="I4" s="256" t="s">
        <v>54</v>
      </c>
      <c r="J4" s="257">
        <f>'Юнит 12-18.01'!R15</f>
        <v>37</v>
      </c>
      <c r="K4" s="258">
        <f>J4/J$18</f>
        <v>0.30833333333333335</v>
      </c>
      <c r="L4" s="258">
        <f>K4</f>
        <v>0.30833333333333335</v>
      </c>
      <c r="M4" s="259" t="str">
        <f t="shared" ref="M4:M17" si="0">_xlfn.IFS(L4&lt;80%,"A",L4&lt;=95%,"B",L4&gt;95%,"C")</f>
        <v>A</v>
      </c>
    </row>
    <row r="5" spans="2:13" ht="28.5" customHeight="1" outlineLevel="1" thickBot="1">
      <c r="B5" s="256" t="s">
        <v>42</v>
      </c>
      <c r="C5" s="257">
        <f>'Юнит 12-18.01'!AE6</f>
        <v>3366.030415000007</v>
      </c>
      <c r="D5" s="258">
        <f>C5/C$18</f>
        <v>0.22261720366044724</v>
      </c>
      <c r="E5" s="258">
        <f>D5+E4</f>
        <v>0.5288450349864372</v>
      </c>
      <c r="F5" s="259" t="str">
        <f t="shared" ref="F5:F17" si="1">IF(AND(E5&lt;=0),"C",IF(E5&lt;=0.8,"A",IF(E5&lt;=0.95,"B","C")))</f>
        <v>A</v>
      </c>
      <c r="G5" s="259" t="str">
        <f>VLOOKUP(B$4:B$17,I$4:M$17,5,0)</f>
        <v>A</v>
      </c>
      <c r="I5" s="256" t="s">
        <v>53</v>
      </c>
      <c r="J5" s="257">
        <f>'Юнит 12-18.01'!R11</f>
        <v>35</v>
      </c>
      <c r="K5" s="258">
        <f>J5/J$18</f>
        <v>0.29166666666666669</v>
      </c>
      <c r="L5" s="258">
        <f>K5+L4</f>
        <v>0.60000000000000009</v>
      </c>
      <c r="M5" s="259" t="str">
        <f t="shared" si="0"/>
        <v>A</v>
      </c>
    </row>
    <row r="6" spans="2:13" ht="28.5" customHeight="1" outlineLevel="1" thickBot="1">
      <c r="B6" s="256" t="s">
        <v>43</v>
      </c>
      <c r="C6" s="257">
        <f>'Юнит 12-18.01'!AE7</f>
        <v>3012.4098000000035</v>
      </c>
      <c r="D6" s="258">
        <f t="shared" ref="D6:D11" si="2">C6/C$18</f>
        <v>0.19923000189388559</v>
      </c>
      <c r="E6" s="258">
        <f t="shared" ref="E6:E11" si="3">D6+E5</f>
        <v>0.72807503688032282</v>
      </c>
      <c r="F6" s="259" t="str">
        <f t="shared" si="1"/>
        <v>A</v>
      </c>
      <c r="G6" s="259" t="str">
        <f t="shared" ref="G6:G11" si="4">VLOOKUP(B$4:B$17,I$4:M$17,5,0)</f>
        <v>B</v>
      </c>
      <c r="I6" s="256" t="s">
        <v>42</v>
      </c>
      <c r="J6" s="257">
        <f>'Юнит 12-18.01'!R6</f>
        <v>20</v>
      </c>
      <c r="K6" s="258">
        <f t="shared" ref="K6:K11" si="5">J6/J$18</f>
        <v>0.16666666666666666</v>
      </c>
      <c r="L6" s="258">
        <f t="shared" ref="L6:L11" si="6">K6+L5</f>
        <v>0.76666666666666672</v>
      </c>
      <c r="M6" s="259" t="str">
        <f t="shared" si="0"/>
        <v>A</v>
      </c>
    </row>
    <row r="7" spans="2:13" ht="28.5" customHeight="1" outlineLevel="1" thickBot="1">
      <c r="B7" s="256" t="s">
        <v>41</v>
      </c>
      <c r="C7" s="257">
        <f>'Юнит 12-18.01'!AE5</f>
        <v>1765.207411000001</v>
      </c>
      <c r="D7" s="258">
        <f t="shared" si="2"/>
        <v>0.11674449998025856</v>
      </c>
      <c r="E7" s="258">
        <f t="shared" si="3"/>
        <v>0.84481953686058142</v>
      </c>
      <c r="F7" s="259" t="str">
        <f t="shared" si="1"/>
        <v>B</v>
      </c>
      <c r="G7" s="259" t="str">
        <f t="shared" si="4"/>
        <v>C</v>
      </c>
      <c r="I7" s="256" t="s">
        <v>43</v>
      </c>
      <c r="J7" s="257">
        <f>'Юнит 12-18.01'!R7</f>
        <v>10</v>
      </c>
      <c r="K7" s="258">
        <f t="shared" si="5"/>
        <v>8.3333333333333329E-2</v>
      </c>
      <c r="L7" s="258">
        <f t="shared" si="6"/>
        <v>0.85000000000000009</v>
      </c>
      <c r="M7" s="259" t="str">
        <f t="shared" si="0"/>
        <v>B</v>
      </c>
    </row>
    <row r="8" spans="2:13" ht="28.5" customHeight="1" outlineLevel="1" thickBot="1">
      <c r="B8" s="256" t="s">
        <v>39</v>
      </c>
      <c r="C8" s="257">
        <f>'Юнит 12-18.01'!AE3</f>
        <v>924.26734000000033</v>
      </c>
      <c r="D8" s="258">
        <f t="shared" si="2"/>
        <v>6.1127733649869433E-2</v>
      </c>
      <c r="E8" s="258">
        <f t="shared" si="3"/>
        <v>0.90594727051045087</v>
      </c>
      <c r="F8" s="259" t="str">
        <f t="shared" si="1"/>
        <v>B</v>
      </c>
      <c r="G8" s="259" t="str">
        <f t="shared" si="4"/>
        <v>C</v>
      </c>
      <c r="I8" s="256" t="s">
        <v>44</v>
      </c>
      <c r="J8" s="257">
        <f>'Юнит 12-18.01'!R8</f>
        <v>7</v>
      </c>
      <c r="K8" s="258">
        <f t="shared" si="5"/>
        <v>5.8333333333333334E-2</v>
      </c>
      <c r="L8" s="258">
        <f t="shared" si="6"/>
        <v>0.90833333333333344</v>
      </c>
      <c r="M8" s="259" t="str">
        <f t="shared" si="0"/>
        <v>B</v>
      </c>
    </row>
    <row r="9" spans="2:13" ht="28.5" customHeight="1" outlineLevel="1" thickBot="1">
      <c r="B9" s="256" t="s">
        <v>53</v>
      </c>
      <c r="C9" s="257">
        <f>'Юнит 12-18.01'!AE11</f>
        <v>889.82966299999453</v>
      </c>
      <c r="D9" s="258">
        <f t="shared" si="2"/>
        <v>5.8850148955405829E-2</v>
      </c>
      <c r="E9" s="258">
        <f t="shared" si="3"/>
        <v>0.96479741946585673</v>
      </c>
      <c r="F9" s="259" t="str">
        <f t="shared" si="1"/>
        <v>C</v>
      </c>
      <c r="G9" s="259" t="str">
        <f t="shared" si="4"/>
        <v>A</v>
      </c>
      <c r="I9" s="256" t="s">
        <v>40</v>
      </c>
      <c r="J9" s="257">
        <f>'Юнит 12-18.01'!R4</f>
        <v>4</v>
      </c>
      <c r="K9" s="258">
        <f t="shared" si="5"/>
        <v>3.3333333333333333E-2</v>
      </c>
      <c r="L9" s="258">
        <f t="shared" si="6"/>
        <v>0.94166666666666676</v>
      </c>
      <c r="M9" s="259" t="str">
        <f t="shared" si="0"/>
        <v>B</v>
      </c>
    </row>
    <row r="10" spans="2:13" ht="28.5" customHeight="1" outlineLevel="1" thickBot="1">
      <c r="B10" s="256" t="s">
        <v>40</v>
      </c>
      <c r="C10" s="257">
        <f>'Юнит 12-18.01'!AE4</f>
        <v>420.619268000001</v>
      </c>
      <c r="D10" s="258">
        <f t="shared" si="2"/>
        <v>2.7818252868598712E-2</v>
      </c>
      <c r="E10" s="258">
        <f t="shared" si="3"/>
        <v>0.99261567233445547</v>
      </c>
      <c r="F10" s="259" t="str">
        <f t="shared" si="1"/>
        <v>C</v>
      </c>
      <c r="G10" s="259" t="str">
        <f t="shared" si="4"/>
        <v>B</v>
      </c>
      <c r="I10" s="256" t="s">
        <v>41</v>
      </c>
      <c r="J10" s="257">
        <f>'Юнит 12-18.01'!R5</f>
        <v>4</v>
      </c>
      <c r="K10" s="258">
        <f t="shared" si="5"/>
        <v>3.3333333333333333E-2</v>
      </c>
      <c r="L10" s="258">
        <f t="shared" si="6"/>
        <v>0.97500000000000009</v>
      </c>
      <c r="M10" s="259" t="str">
        <f t="shared" si="0"/>
        <v>C</v>
      </c>
    </row>
    <row r="11" spans="2:13" ht="28.5" customHeight="1" outlineLevel="1" thickBot="1">
      <c r="B11" s="256" t="s">
        <v>44</v>
      </c>
      <c r="C11" s="257">
        <f>'Юнит 12-18.01'!AE8</f>
        <v>111.65296800000101</v>
      </c>
      <c r="D11" s="258">
        <f t="shared" si="2"/>
        <v>7.3843276655447491E-3</v>
      </c>
      <c r="E11" s="258">
        <f t="shared" si="3"/>
        <v>1.0000000000000002</v>
      </c>
      <c r="F11" s="259" t="str">
        <f t="shared" si="1"/>
        <v>C</v>
      </c>
      <c r="G11" s="259" t="str">
        <f t="shared" si="4"/>
        <v>B</v>
      </c>
      <c r="I11" s="256" t="s">
        <v>39</v>
      </c>
      <c r="J11" s="257">
        <f>'Юнит 12-18.01'!R3</f>
        <v>3</v>
      </c>
      <c r="K11" s="258">
        <f t="shared" si="5"/>
        <v>2.5000000000000001E-2</v>
      </c>
      <c r="L11" s="258">
        <f t="shared" si="6"/>
        <v>1</v>
      </c>
      <c r="M11" s="259" t="str">
        <f t="shared" si="0"/>
        <v>C</v>
      </c>
    </row>
    <row r="12" spans="2:13" ht="28.5" customHeight="1" outlineLevel="1" thickBot="1">
      <c r="B12" s="256" t="s">
        <v>56</v>
      </c>
      <c r="C12" s="257">
        <f>'Юнит 12-18.01'!AE9</f>
        <v>0</v>
      </c>
      <c r="D12" s="258">
        <f>C12/C$18</f>
        <v>0</v>
      </c>
      <c r="E12" s="258">
        <f>D12+E5</f>
        <v>0.5288450349864372</v>
      </c>
      <c r="F12" s="259" t="str">
        <f t="shared" si="1"/>
        <v>A</v>
      </c>
      <c r="G12" s="259" t="str">
        <f>VLOOKUP(B$4:B$17,I$4:M$17,5,0)</f>
        <v>A</v>
      </c>
      <c r="I12" s="256" t="s">
        <v>56</v>
      </c>
      <c r="J12" s="257">
        <f>'Юнит 12-18.01'!R9</f>
        <v>0</v>
      </c>
      <c r="K12" s="258">
        <f>J12/J$18</f>
        <v>0</v>
      </c>
      <c r="L12" s="258">
        <f>K12+L5</f>
        <v>0.60000000000000009</v>
      </c>
      <c r="M12" s="259" t="str">
        <f t="shared" si="0"/>
        <v>A</v>
      </c>
    </row>
    <row r="13" spans="2:13" ht="28.5" customHeight="1" outlineLevel="1" thickBot="1">
      <c r="B13" s="256" t="s">
        <v>57</v>
      </c>
      <c r="C13" s="257">
        <f>'Юнит 12-18.01'!AE10</f>
        <v>0</v>
      </c>
      <c r="D13" s="258">
        <f>C13/C$18</f>
        <v>0</v>
      </c>
      <c r="E13" s="258">
        <f t="shared" ref="E13:E16" si="7">D13+E12</f>
        <v>0.5288450349864372</v>
      </c>
      <c r="F13" s="259" t="str">
        <f t="shared" si="1"/>
        <v>A</v>
      </c>
      <c r="G13" s="259" t="str">
        <f>VLOOKUP(B$4:B$17,I$4:M$17,5,0)</f>
        <v>A</v>
      </c>
      <c r="I13" s="256" t="s">
        <v>57</v>
      </c>
      <c r="J13" s="257">
        <f>'Юнит 12-18.01'!R10</f>
        <v>0</v>
      </c>
      <c r="K13" s="258">
        <f>J13/J$18</f>
        <v>0</v>
      </c>
      <c r="L13" s="258">
        <f t="shared" ref="L13:L16" si="8">K13+L12</f>
        <v>0.60000000000000009</v>
      </c>
      <c r="M13" s="259" t="str">
        <f t="shared" si="0"/>
        <v>A</v>
      </c>
    </row>
    <row r="14" spans="2:13" ht="28.5" customHeight="1" outlineLevel="1" thickBot="1">
      <c r="B14" s="256" t="s">
        <v>58</v>
      </c>
      <c r="C14" s="257">
        <f>'Юнит 12-18.01'!AE12</f>
        <v>0</v>
      </c>
      <c r="D14" s="258">
        <f>C14/C$18</f>
        <v>0</v>
      </c>
      <c r="E14" s="258">
        <f t="shared" si="7"/>
        <v>0.5288450349864372</v>
      </c>
      <c r="F14" s="259" t="str">
        <f t="shared" si="1"/>
        <v>A</v>
      </c>
      <c r="G14" s="259" t="str">
        <f>VLOOKUP(B$4:B$17,I$4:M$17,5,0)</f>
        <v>A</v>
      </c>
      <c r="I14" s="256" t="s">
        <v>58</v>
      </c>
      <c r="J14" s="257">
        <f>'Юнит 12-18.01'!R12</f>
        <v>0</v>
      </c>
      <c r="K14" s="258">
        <f>J14/J$18</f>
        <v>0</v>
      </c>
      <c r="L14" s="258">
        <f t="shared" si="8"/>
        <v>0.60000000000000009</v>
      </c>
      <c r="M14" s="259" t="str">
        <f t="shared" si="0"/>
        <v>A</v>
      </c>
    </row>
    <row r="15" spans="2:13" ht="28.5" customHeight="1" outlineLevel="1" thickBot="1">
      <c r="B15" s="256" t="s">
        <v>59</v>
      </c>
      <c r="C15" s="257">
        <f>'Юнит 12-18.01'!AE13</f>
        <v>0</v>
      </c>
      <c r="D15" s="258">
        <f>C15/C$18</f>
        <v>0</v>
      </c>
      <c r="E15" s="258">
        <f t="shared" si="7"/>
        <v>0.5288450349864372</v>
      </c>
      <c r="F15" s="259" t="str">
        <f t="shared" si="1"/>
        <v>A</v>
      </c>
      <c r="G15" s="259" t="str">
        <f>VLOOKUP(B$4:B$17,I$4:M$17,5,0)</f>
        <v>A</v>
      </c>
      <c r="I15" s="256" t="s">
        <v>59</v>
      </c>
      <c r="J15" s="257">
        <f>'Юнит 12-18.01'!R13</f>
        <v>0</v>
      </c>
      <c r="K15" s="258">
        <f>J15/J$18</f>
        <v>0</v>
      </c>
      <c r="L15" s="258">
        <f t="shared" si="8"/>
        <v>0.60000000000000009</v>
      </c>
      <c r="M15" s="259" t="str">
        <f t="shared" si="0"/>
        <v>A</v>
      </c>
    </row>
    <row r="16" spans="2:13" ht="28.5" customHeight="1" outlineLevel="1" thickBot="1">
      <c r="B16" s="256" t="s">
        <v>60</v>
      </c>
      <c r="C16" s="257">
        <f>'Юнит 12-18.01'!AE14</f>
        <v>0</v>
      </c>
      <c r="D16" s="258">
        <f>C16/C$18</f>
        <v>0</v>
      </c>
      <c r="E16" s="258">
        <f t="shared" si="7"/>
        <v>0.5288450349864372</v>
      </c>
      <c r="F16" s="259" t="str">
        <f t="shared" si="1"/>
        <v>A</v>
      </c>
      <c r="G16" s="259" t="str">
        <f>VLOOKUP(B$4:B$17,I$4:M$17,5,0)</f>
        <v>A</v>
      </c>
      <c r="I16" s="256" t="s">
        <v>60</v>
      </c>
      <c r="J16" s="257">
        <f>'Юнит 12-18.01'!R14</f>
        <v>0</v>
      </c>
      <c r="K16" s="258">
        <f>J16/J$18</f>
        <v>0</v>
      </c>
      <c r="L16" s="258">
        <f t="shared" si="8"/>
        <v>0.60000000000000009</v>
      </c>
      <c r="M16" s="259" t="str">
        <f t="shared" si="0"/>
        <v>A</v>
      </c>
    </row>
    <row r="17" spans="2:13" ht="28.5" customHeight="1" outlineLevel="1" thickBot="1">
      <c r="B17" s="256" t="s">
        <v>61</v>
      </c>
      <c r="C17" s="257">
        <f>'Юнит 12-18.01'!AE16</f>
        <v>0</v>
      </c>
      <c r="D17" s="258">
        <f>C17/C$18</f>
        <v>0</v>
      </c>
      <c r="E17" s="258">
        <f>D17+E14</f>
        <v>0.5288450349864372</v>
      </c>
      <c r="F17" s="259" t="str">
        <f t="shared" si="1"/>
        <v>A</v>
      </c>
      <c r="G17" s="259" t="str">
        <f>VLOOKUP(B$4:B$17,I$4:M$17,5,0)</f>
        <v>A</v>
      </c>
      <c r="I17" s="256" t="s">
        <v>61</v>
      </c>
      <c r="J17" s="257">
        <f>'Юнит 12-18.01'!R16</f>
        <v>0</v>
      </c>
      <c r="K17" s="258">
        <f>J17/J$18</f>
        <v>0</v>
      </c>
      <c r="L17" s="258">
        <f>K17+L14</f>
        <v>0.60000000000000009</v>
      </c>
      <c r="M17" s="259" t="str">
        <f t="shared" si="0"/>
        <v>A</v>
      </c>
    </row>
    <row r="18" spans="2:13" outlineLevel="1">
      <c r="C18" s="260">
        <f>SUM(C4:C17)</f>
        <v>15120.261865000037</v>
      </c>
      <c r="D18" s="261">
        <f>SUM(D4:D17)</f>
        <v>1.0000000000000002</v>
      </c>
      <c r="J18" s="260">
        <f>SUM(J4:J17)</f>
        <v>120</v>
      </c>
      <c r="K18" s="261">
        <f>SUM(K4:K17)</f>
        <v>1</v>
      </c>
    </row>
    <row r="20" spans="2:13" ht="15" hidden="1" outlineLevel="1" thickBot="1"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4"/>
    </row>
    <row r="21" spans="2:13" ht="23.5" hidden="1" outlineLevel="1" thickBot="1">
      <c r="C21" s="252" t="s">
        <v>29</v>
      </c>
      <c r="D21" s="253" t="s">
        <v>1079</v>
      </c>
      <c r="E21" s="254" t="s">
        <v>1080</v>
      </c>
      <c r="F21" s="253" t="s">
        <v>1081</v>
      </c>
      <c r="G21" s="253" t="s">
        <v>1082</v>
      </c>
      <c r="J21" s="252" t="s">
        <v>1083</v>
      </c>
      <c r="K21" s="253" t="s">
        <v>1084</v>
      </c>
      <c r="L21" s="254" t="s">
        <v>1080</v>
      </c>
      <c r="M21" s="255" t="s">
        <v>1082</v>
      </c>
    </row>
    <row r="22" spans="2:13" ht="15" hidden="1" outlineLevel="1" thickBot="1">
      <c r="B22" s="256"/>
      <c r="C22" s="257"/>
      <c r="D22" s="258" t="e">
        <f>C22/C$42</f>
        <v>#DIV/0!</v>
      </c>
      <c r="E22" s="258" t="e">
        <f>D22</f>
        <v>#DIV/0!</v>
      </c>
      <c r="F22" s="259" t="e">
        <f t="shared" ref="F22:F28" si="9">IF(AND(E22&lt;=0),"C",IF(E22&lt;=0.8,"A",IF(E22&lt;=0.95,"B","C")))</f>
        <v>#DIV/0!</v>
      </c>
      <c r="G22" s="259" t="e">
        <f>VLOOKUP(B$22:B$42,I$22:M$42,5,0)</f>
        <v>#N/A</v>
      </c>
      <c r="I22" s="256"/>
      <c r="J22" s="257"/>
      <c r="K22" s="258" t="e">
        <f>J22/J$42</f>
        <v>#DIV/0!</v>
      </c>
      <c r="L22" s="258" t="e">
        <f>K22</f>
        <v>#DIV/0!</v>
      </c>
      <c r="M22" s="259" t="e">
        <f t="shared" ref="M22:M28" si="10">_xlfn.IFS(L22&lt;80%,"A",L22&lt;=95%,"B",L22&gt;95%,"C")</f>
        <v>#DIV/0!</v>
      </c>
    </row>
    <row r="23" spans="2:13" ht="15" hidden="1" outlineLevel="1" thickBot="1">
      <c r="B23" s="256"/>
      <c r="C23" s="257"/>
      <c r="D23" s="258" t="e">
        <f t="shared" ref="D23:D41" si="11">C23/C$42</f>
        <v>#DIV/0!</v>
      </c>
      <c r="E23" s="258" t="e">
        <f>D23+E22</f>
        <v>#DIV/0!</v>
      </c>
      <c r="F23" s="259" t="e">
        <f t="shared" si="9"/>
        <v>#DIV/0!</v>
      </c>
      <c r="G23" s="259" t="e">
        <f t="shared" ref="G23:G41" si="12">VLOOKUP(B$22:B$42,I$22:M$42,5,0)</f>
        <v>#N/A</v>
      </c>
      <c r="I23" s="256"/>
      <c r="J23" s="257"/>
      <c r="K23" s="258" t="e">
        <f t="shared" ref="K23:K41" si="13">J23/J$42</f>
        <v>#DIV/0!</v>
      </c>
      <c r="L23" s="258" t="e">
        <f>K23+L22</f>
        <v>#DIV/0!</v>
      </c>
      <c r="M23" s="259" t="e">
        <f t="shared" si="10"/>
        <v>#DIV/0!</v>
      </c>
    </row>
    <row r="24" spans="2:13" ht="15" hidden="1" outlineLevel="1" thickBot="1">
      <c r="B24" s="256"/>
      <c r="C24" s="257"/>
      <c r="D24" s="258" t="e">
        <f t="shared" si="11"/>
        <v>#DIV/0!</v>
      </c>
      <c r="E24" s="258" t="e">
        <f t="shared" ref="E24:E41" si="14">D24+E23</f>
        <v>#DIV/0!</v>
      </c>
      <c r="F24" s="259" t="e">
        <f t="shared" si="9"/>
        <v>#DIV/0!</v>
      </c>
      <c r="G24" s="259" t="e">
        <f t="shared" si="12"/>
        <v>#N/A</v>
      </c>
      <c r="I24" s="256"/>
      <c r="J24" s="257"/>
      <c r="K24" s="258" t="e">
        <f t="shared" si="13"/>
        <v>#DIV/0!</v>
      </c>
      <c r="L24" s="258" t="e">
        <f t="shared" ref="L24:L41" si="15">K24+L23</f>
        <v>#DIV/0!</v>
      </c>
      <c r="M24" s="259" t="e">
        <f t="shared" si="10"/>
        <v>#DIV/0!</v>
      </c>
    </row>
    <row r="25" spans="2:13" ht="15" hidden="1" outlineLevel="1" thickBot="1">
      <c r="B25" s="256"/>
      <c r="C25" s="257"/>
      <c r="D25" s="258" t="e">
        <f t="shared" si="11"/>
        <v>#DIV/0!</v>
      </c>
      <c r="E25" s="258" t="e">
        <f t="shared" si="14"/>
        <v>#DIV/0!</v>
      </c>
      <c r="F25" s="259" t="e">
        <f t="shared" si="9"/>
        <v>#DIV/0!</v>
      </c>
      <c r="G25" s="259" t="e">
        <f t="shared" si="12"/>
        <v>#N/A</v>
      </c>
      <c r="I25" s="256"/>
      <c r="J25" s="257"/>
      <c r="K25" s="258" t="e">
        <f t="shared" si="13"/>
        <v>#DIV/0!</v>
      </c>
      <c r="L25" s="258" t="e">
        <f t="shared" si="15"/>
        <v>#DIV/0!</v>
      </c>
      <c r="M25" s="259" t="e">
        <f t="shared" si="10"/>
        <v>#DIV/0!</v>
      </c>
    </row>
    <row r="26" spans="2:13" ht="15" hidden="1" outlineLevel="1" thickBot="1">
      <c r="B26" s="256"/>
      <c r="C26" s="257"/>
      <c r="D26" s="258" t="e">
        <f t="shared" si="11"/>
        <v>#DIV/0!</v>
      </c>
      <c r="E26" s="258" t="e">
        <f t="shared" si="14"/>
        <v>#DIV/0!</v>
      </c>
      <c r="F26" s="259" t="e">
        <f t="shared" si="9"/>
        <v>#DIV/0!</v>
      </c>
      <c r="G26" s="259" t="e">
        <f t="shared" si="12"/>
        <v>#N/A</v>
      </c>
      <c r="I26" s="256"/>
      <c r="J26" s="257"/>
      <c r="K26" s="258" t="e">
        <f t="shared" si="13"/>
        <v>#DIV/0!</v>
      </c>
      <c r="L26" s="258" t="e">
        <f t="shared" si="15"/>
        <v>#DIV/0!</v>
      </c>
      <c r="M26" s="259" t="e">
        <f t="shared" si="10"/>
        <v>#DIV/0!</v>
      </c>
    </row>
    <row r="27" spans="2:13" ht="15" hidden="1" outlineLevel="1" thickBot="1">
      <c r="B27" s="256"/>
      <c r="C27" s="257"/>
      <c r="D27" s="258" t="e">
        <f t="shared" si="11"/>
        <v>#DIV/0!</v>
      </c>
      <c r="E27" s="258" t="e">
        <f t="shared" si="14"/>
        <v>#DIV/0!</v>
      </c>
      <c r="F27" s="259" t="e">
        <f t="shared" si="9"/>
        <v>#DIV/0!</v>
      </c>
      <c r="G27" s="259" t="e">
        <f t="shared" si="12"/>
        <v>#N/A</v>
      </c>
      <c r="I27" s="256"/>
      <c r="J27" s="257"/>
      <c r="K27" s="258" t="e">
        <f t="shared" si="13"/>
        <v>#DIV/0!</v>
      </c>
      <c r="L27" s="258" t="e">
        <f t="shared" si="15"/>
        <v>#DIV/0!</v>
      </c>
      <c r="M27" s="259" t="e">
        <f t="shared" si="10"/>
        <v>#DIV/0!</v>
      </c>
    </row>
    <row r="28" spans="2:13" ht="15" hidden="1" outlineLevel="1" thickBot="1">
      <c r="B28" s="256"/>
      <c r="C28" s="257"/>
      <c r="D28" s="258" t="e">
        <f t="shared" si="11"/>
        <v>#DIV/0!</v>
      </c>
      <c r="E28" s="258" t="e">
        <f t="shared" si="14"/>
        <v>#DIV/0!</v>
      </c>
      <c r="F28" s="259" t="e">
        <f t="shared" si="9"/>
        <v>#DIV/0!</v>
      </c>
      <c r="G28" s="259" t="e">
        <f t="shared" si="12"/>
        <v>#N/A</v>
      </c>
      <c r="I28" s="256"/>
      <c r="J28" s="257"/>
      <c r="K28" s="258" t="e">
        <f t="shared" si="13"/>
        <v>#DIV/0!</v>
      </c>
      <c r="L28" s="258" t="e">
        <f t="shared" si="15"/>
        <v>#DIV/0!</v>
      </c>
      <c r="M28" s="259" t="e">
        <f t="shared" si="10"/>
        <v>#DIV/0!</v>
      </c>
    </row>
    <row r="29" spans="2:13" ht="15" hidden="1" outlineLevel="1" thickBot="1">
      <c r="B29" s="256"/>
      <c r="C29" s="257"/>
      <c r="D29" s="258" t="e">
        <f t="shared" si="11"/>
        <v>#DIV/0!</v>
      </c>
      <c r="E29" s="258" t="e">
        <f t="shared" si="14"/>
        <v>#DIV/0!</v>
      </c>
      <c r="F29" s="259" t="e">
        <f>IF(AND(E29&lt;=0),"C",IF(E29&lt;=0.8,"A",IF(E29&lt;=0.95,"B","C")))</f>
        <v>#DIV/0!</v>
      </c>
      <c r="G29" s="259" t="e">
        <f t="shared" si="12"/>
        <v>#N/A</v>
      </c>
      <c r="I29" s="256"/>
      <c r="J29" s="257"/>
      <c r="K29" s="258" t="e">
        <f t="shared" si="13"/>
        <v>#DIV/0!</v>
      </c>
      <c r="L29" s="258" t="e">
        <f t="shared" si="15"/>
        <v>#DIV/0!</v>
      </c>
      <c r="M29" s="259" t="e">
        <f>_xlfn.IFS(L29&lt;80%,"A",L29&lt;=95%,"B",L29&gt;95%,"C")</f>
        <v>#DIV/0!</v>
      </c>
    </row>
    <row r="30" spans="2:13" ht="15" hidden="1" outlineLevel="1" thickBot="1">
      <c r="B30" s="256"/>
      <c r="C30" s="257"/>
      <c r="D30" s="258" t="e">
        <f t="shared" si="11"/>
        <v>#DIV/0!</v>
      </c>
      <c r="E30" s="258" t="e">
        <f t="shared" si="14"/>
        <v>#DIV/0!</v>
      </c>
      <c r="F30" s="259" t="e">
        <f t="shared" ref="F30:F41" si="16">IF(AND(E30&lt;=0),"C",IF(E30&lt;=0.8,"A",IF(E30&lt;=0.95,"B","C")))</f>
        <v>#DIV/0!</v>
      </c>
      <c r="G30" s="259" t="e">
        <f t="shared" si="12"/>
        <v>#N/A</v>
      </c>
      <c r="I30" s="256"/>
      <c r="J30" s="257"/>
      <c r="K30" s="258" t="e">
        <f t="shared" si="13"/>
        <v>#DIV/0!</v>
      </c>
      <c r="L30" s="258" t="e">
        <f t="shared" si="15"/>
        <v>#DIV/0!</v>
      </c>
      <c r="M30" s="259" t="e">
        <f t="shared" ref="M30:M41" si="17">_xlfn.IFS(L30&lt;80%,"A",L30&lt;=95%,"B",L30&gt;95%,"C")</f>
        <v>#DIV/0!</v>
      </c>
    </row>
    <row r="31" spans="2:13" ht="15" hidden="1" outlineLevel="1" thickBot="1">
      <c r="B31" s="256"/>
      <c r="C31" s="257"/>
      <c r="D31" s="258" t="e">
        <f t="shared" si="11"/>
        <v>#DIV/0!</v>
      </c>
      <c r="E31" s="258" t="e">
        <f t="shared" si="14"/>
        <v>#DIV/0!</v>
      </c>
      <c r="F31" s="259" t="e">
        <f t="shared" si="16"/>
        <v>#DIV/0!</v>
      </c>
      <c r="G31" s="259" t="e">
        <f t="shared" si="12"/>
        <v>#N/A</v>
      </c>
      <c r="I31" s="256"/>
      <c r="J31" s="257"/>
      <c r="K31" s="258" t="e">
        <f t="shared" si="13"/>
        <v>#DIV/0!</v>
      </c>
      <c r="L31" s="258" t="e">
        <f t="shared" si="15"/>
        <v>#DIV/0!</v>
      </c>
      <c r="M31" s="259" t="e">
        <f t="shared" si="17"/>
        <v>#DIV/0!</v>
      </c>
    </row>
    <row r="32" spans="2:13" ht="15" hidden="1" outlineLevel="1" thickBot="1">
      <c r="B32" s="256"/>
      <c r="C32" s="257"/>
      <c r="D32" s="258" t="e">
        <f t="shared" si="11"/>
        <v>#DIV/0!</v>
      </c>
      <c r="E32" s="258" t="e">
        <f t="shared" si="14"/>
        <v>#DIV/0!</v>
      </c>
      <c r="F32" s="259" t="e">
        <f t="shared" si="16"/>
        <v>#DIV/0!</v>
      </c>
      <c r="G32" s="259" t="e">
        <f t="shared" si="12"/>
        <v>#N/A</v>
      </c>
      <c r="I32" s="256"/>
      <c r="J32" s="257"/>
      <c r="K32" s="258" t="e">
        <f t="shared" si="13"/>
        <v>#DIV/0!</v>
      </c>
      <c r="L32" s="258" t="e">
        <f t="shared" si="15"/>
        <v>#DIV/0!</v>
      </c>
      <c r="M32" s="259" t="e">
        <f t="shared" si="17"/>
        <v>#DIV/0!</v>
      </c>
    </row>
    <row r="33" spans="2:13" ht="15" hidden="1" outlineLevel="1" thickBot="1">
      <c r="B33" s="256"/>
      <c r="C33" s="257"/>
      <c r="D33" s="258" t="e">
        <f t="shared" si="11"/>
        <v>#DIV/0!</v>
      </c>
      <c r="E33" s="258" t="e">
        <f t="shared" si="14"/>
        <v>#DIV/0!</v>
      </c>
      <c r="F33" s="259" t="e">
        <f t="shared" si="16"/>
        <v>#DIV/0!</v>
      </c>
      <c r="G33" s="259" t="e">
        <f t="shared" si="12"/>
        <v>#N/A</v>
      </c>
      <c r="I33" s="256"/>
      <c r="J33" s="257"/>
      <c r="K33" s="258" t="e">
        <f t="shared" si="13"/>
        <v>#DIV/0!</v>
      </c>
      <c r="L33" s="258" t="e">
        <f t="shared" si="15"/>
        <v>#DIV/0!</v>
      </c>
      <c r="M33" s="259" t="e">
        <f t="shared" si="17"/>
        <v>#DIV/0!</v>
      </c>
    </row>
    <row r="34" spans="2:13" ht="15" hidden="1" outlineLevel="1" thickBot="1">
      <c r="B34" s="256"/>
      <c r="C34" s="257"/>
      <c r="D34" s="258" t="e">
        <f t="shared" si="11"/>
        <v>#DIV/0!</v>
      </c>
      <c r="E34" s="258" t="e">
        <f t="shared" si="14"/>
        <v>#DIV/0!</v>
      </c>
      <c r="F34" s="259" t="e">
        <f t="shared" si="16"/>
        <v>#DIV/0!</v>
      </c>
      <c r="G34" s="259" t="e">
        <f t="shared" si="12"/>
        <v>#N/A</v>
      </c>
      <c r="I34" s="256"/>
      <c r="J34" s="257"/>
      <c r="K34" s="258" t="e">
        <f t="shared" si="13"/>
        <v>#DIV/0!</v>
      </c>
      <c r="L34" s="258" t="e">
        <f t="shared" si="15"/>
        <v>#DIV/0!</v>
      </c>
      <c r="M34" s="259" t="e">
        <f t="shared" si="17"/>
        <v>#DIV/0!</v>
      </c>
    </row>
    <row r="35" spans="2:13" ht="15" hidden="1" outlineLevel="1" thickBot="1">
      <c r="B35" s="256"/>
      <c r="C35" s="257"/>
      <c r="D35" s="258" t="e">
        <f t="shared" si="11"/>
        <v>#DIV/0!</v>
      </c>
      <c r="E35" s="258" t="e">
        <f t="shared" si="14"/>
        <v>#DIV/0!</v>
      </c>
      <c r="F35" s="259" t="e">
        <f t="shared" si="16"/>
        <v>#DIV/0!</v>
      </c>
      <c r="G35" s="259" t="e">
        <f t="shared" si="12"/>
        <v>#N/A</v>
      </c>
      <c r="I35" s="256"/>
      <c r="J35" s="257"/>
      <c r="K35" s="258" t="e">
        <f t="shared" si="13"/>
        <v>#DIV/0!</v>
      </c>
      <c r="L35" s="258" t="e">
        <f t="shared" si="15"/>
        <v>#DIV/0!</v>
      </c>
      <c r="M35" s="259" t="e">
        <f t="shared" si="17"/>
        <v>#DIV/0!</v>
      </c>
    </row>
    <row r="36" spans="2:13" ht="15" hidden="1" outlineLevel="1" thickBot="1">
      <c r="B36" s="256"/>
      <c r="C36" s="257"/>
      <c r="D36" s="258" t="e">
        <f t="shared" si="11"/>
        <v>#DIV/0!</v>
      </c>
      <c r="E36" s="258" t="e">
        <f t="shared" si="14"/>
        <v>#DIV/0!</v>
      </c>
      <c r="F36" s="259" t="e">
        <f t="shared" si="16"/>
        <v>#DIV/0!</v>
      </c>
      <c r="G36" s="259" t="e">
        <f t="shared" si="12"/>
        <v>#N/A</v>
      </c>
      <c r="I36" s="256"/>
      <c r="J36" s="257"/>
      <c r="K36" s="258" t="e">
        <f t="shared" si="13"/>
        <v>#DIV/0!</v>
      </c>
      <c r="L36" s="258" t="e">
        <f t="shared" si="15"/>
        <v>#DIV/0!</v>
      </c>
      <c r="M36" s="259" t="e">
        <f t="shared" si="17"/>
        <v>#DIV/0!</v>
      </c>
    </row>
    <row r="37" spans="2:13" ht="15" hidden="1" outlineLevel="1" thickBot="1">
      <c r="B37" s="256"/>
      <c r="C37" s="257"/>
      <c r="D37" s="258" t="e">
        <f t="shared" si="11"/>
        <v>#DIV/0!</v>
      </c>
      <c r="E37" s="258" t="e">
        <f t="shared" si="14"/>
        <v>#DIV/0!</v>
      </c>
      <c r="F37" s="259" t="e">
        <f t="shared" si="16"/>
        <v>#DIV/0!</v>
      </c>
      <c r="G37" s="259" t="e">
        <f t="shared" si="12"/>
        <v>#N/A</v>
      </c>
      <c r="I37" s="256"/>
      <c r="J37" s="257"/>
      <c r="K37" s="258" t="e">
        <f t="shared" si="13"/>
        <v>#DIV/0!</v>
      </c>
      <c r="L37" s="258" t="e">
        <f t="shared" si="15"/>
        <v>#DIV/0!</v>
      </c>
      <c r="M37" s="259" t="e">
        <f t="shared" si="17"/>
        <v>#DIV/0!</v>
      </c>
    </row>
    <row r="38" spans="2:13" ht="15" hidden="1" outlineLevel="1" thickBot="1">
      <c r="B38" s="256"/>
      <c r="C38" s="257"/>
      <c r="D38" s="258" t="e">
        <f t="shared" si="11"/>
        <v>#DIV/0!</v>
      </c>
      <c r="E38" s="258" t="e">
        <f t="shared" si="14"/>
        <v>#DIV/0!</v>
      </c>
      <c r="F38" s="259" t="e">
        <f t="shared" si="16"/>
        <v>#DIV/0!</v>
      </c>
      <c r="G38" s="259" t="e">
        <f t="shared" si="12"/>
        <v>#N/A</v>
      </c>
      <c r="I38" s="256"/>
      <c r="J38" s="257"/>
      <c r="K38" s="258" t="e">
        <f t="shared" si="13"/>
        <v>#DIV/0!</v>
      </c>
      <c r="L38" s="258" t="e">
        <f t="shared" si="15"/>
        <v>#DIV/0!</v>
      </c>
      <c r="M38" s="259" t="e">
        <f t="shared" si="17"/>
        <v>#DIV/0!</v>
      </c>
    </row>
    <row r="39" spans="2:13" ht="15" hidden="1" outlineLevel="1" thickBot="1">
      <c r="B39" s="256"/>
      <c r="C39" s="257"/>
      <c r="D39" s="258" t="e">
        <f t="shared" si="11"/>
        <v>#DIV/0!</v>
      </c>
      <c r="E39" s="258" t="e">
        <f t="shared" si="14"/>
        <v>#DIV/0!</v>
      </c>
      <c r="F39" s="259" t="e">
        <f t="shared" si="16"/>
        <v>#DIV/0!</v>
      </c>
      <c r="G39" s="259" t="e">
        <f t="shared" si="12"/>
        <v>#N/A</v>
      </c>
      <c r="I39" s="256"/>
      <c r="J39" s="257"/>
      <c r="K39" s="258" t="e">
        <f t="shared" si="13"/>
        <v>#DIV/0!</v>
      </c>
      <c r="L39" s="258" t="e">
        <f t="shared" si="15"/>
        <v>#DIV/0!</v>
      </c>
      <c r="M39" s="259" t="e">
        <f t="shared" si="17"/>
        <v>#DIV/0!</v>
      </c>
    </row>
    <row r="40" spans="2:13" ht="15" hidden="1" outlineLevel="1" thickBot="1">
      <c r="B40" s="256"/>
      <c r="C40" s="257"/>
      <c r="D40" s="258" t="e">
        <f t="shared" si="11"/>
        <v>#DIV/0!</v>
      </c>
      <c r="E40" s="258" t="e">
        <f t="shared" si="14"/>
        <v>#DIV/0!</v>
      </c>
      <c r="F40" s="259" t="e">
        <f t="shared" si="16"/>
        <v>#DIV/0!</v>
      </c>
      <c r="G40" s="259" t="e">
        <f t="shared" si="12"/>
        <v>#N/A</v>
      </c>
      <c r="I40" s="256"/>
      <c r="J40" s="257"/>
      <c r="K40" s="258" t="e">
        <f t="shared" si="13"/>
        <v>#DIV/0!</v>
      </c>
      <c r="L40" s="258" t="e">
        <f t="shared" si="15"/>
        <v>#DIV/0!</v>
      </c>
      <c r="M40" s="259" t="e">
        <f t="shared" si="17"/>
        <v>#DIV/0!</v>
      </c>
    </row>
    <row r="41" spans="2:13" ht="15" hidden="1" outlineLevel="1" thickBot="1">
      <c r="B41" s="256"/>
      <c r="C41" s="257"/>
      <c r="D41" s="258" t="e">
        <f t="shared" si="11"/>
        <v>#DIV/0!</v>
      </c>
      <c r="E41" s="258" t="e">
        <f t="shared" si="14"/>
        <v>#DIV/0!</v>
      </c>
      <c r="F41" s="259" t="e">
        <f t="shared" si="16"/>
        <v>#DIV/0!</v>
      </c>
      <c r="G41" s="259" t="e">
        <f t="shared" si="12"/>
        <v>#N/A</v>
      </c>
      <c r="I41" s="256"/>
      <c r="J41" s="257"/>
      <c r="K41" s="258" t="e">
        <f t="shared" si="13"/>
        <v>#DIV/0!</v>
      </c>
      <c r="L41" s="258" t="e">
        <f t="shared" si="15"/>
        <v>#DIV/0!</v>
      </c>
      <c r="M41" s="259" t="e">
        <f t="shared" si="17"/>
        <v>#DIV/0!</v>
      </c>
    </row>
    <row r="42" spans="2:13" hidden="1" outlineLevel="1">
      <c r="C42" s="260">
        <f>SUM(C22:C41)</f>
        <v>0</v>
      </c>
      <c r="D42" s="261" t="e">
        <f>SUM(D22:D41)</f>
        <v>#DIV/0!</v>
      </c>
      <c r="J42" s="260">
        <f>SUM(J22:J41)</f>
        <v>0</v>
      </c>
      <c r="K42" s="261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9" priority="4" operator="equal">
      <formula>"C"</formula>
    </cfRule>
    <cfRule type="cellIs" dxfId="28" priority="5" operator="equal">
      <formula>"B"</formula>
    </cfRule>
    <cfRule type="cellIs" dxfId="27" priority="6" operator="equal">
      <formula>"A"</formula>
    </cfRule>
  </conditionalFormatting>
  <conditionalFormatting sqref="M22:M41 D22:D41 K22:K41 F22:G41">
    <cfRule type="cellIs" dxfId="26" priority="1" operator="equal">
      <formula>"C"</formula>
    </cfRule>
    <cfRule type="cellIs" dxfId="25" priority="2" operator="equal">
      <formula>"B"</formula>
    </cfRule>
    <cfRule type="cellIs" dxfId="24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49" t="s">
        <v>1078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3" ht="28.5" customHeight="1" outlineLevel="1" thickBot="1">
      <c r="C3" s="252" t="s">
        <v>29</v>
      </c>
      <c r="D3" s="253" t="s">
        <v>1079</v>
      </c>
      <c r="E3" s="254" t="s">
        <v>1080</v>
      </c>
      <c r="F3" s="253" t="s">
        <v>1081</v>
      </c>
      <c r="G3" s="253" t="s">
        <v>1082</v>
      </c>
      <c r="J3" s="252" t="s">
        <v>1083</v>
      </c>
      <c r="K3" s="253" t="s">
        <v>1084</v>
      </c>
      <c r="L3" s="254" t="s">
        <v>1080</v>
      </c>
      <c r="M3" s="255" t="s">
        <v>1082</v>
      </c>
    </row>
    <row r="4" spans="2:13" ht="28.5" customHeight="1" outlineLevel="1" thickBot="1">
      <c r="B4" s="256" t="s">
        <v>53</v>
      </c>
      <c r="C4" s="257">
        <f>'Юнит 05-11.01'!AE11</f>
        <v>10607.526218000028</v>
      </c>
      <c r="D4" s="258">
        <f>C4/C$18</f>
        <v>0.33406592258036527</v>
      </c>
      <c r="E4" s="258">
        <f>D4</f>
        <v>0.33406592258036527</v>
      </c>
      <c r="F4" s="259" t="str">
        <f>IF(AND(E4&lt;=0),"C",IF(E4&lt;=0.8,"A",IF(E4&lt;=0.95,"B","C")))</f>
        <v>A</v>
      </c>
      <c r="G4" s="259" t="str">
        <f>VLOOKUP(B$4:B$17,I$4:M$17,5,0)</f>
        <v>A</v>
      </c>
      <c r="I4" s="256" t="s">
        <v>53</v>
      </c>
      <c r="J4" s="257">
        <f>'Юнит 05-11.01'!R11</f>
        <v>52</v>
      </c>
      <c r="K4" s="258">
        <f>J4/J$18</f>
        <v>0.32500000000000001</v>
      </c>
      <c r="L4" s="258">
        <f>K4</f>
        <v>0.32500000000000001</v>
      </c>
      <c r="M4" s="259" t="str">
        <f t="shared" ref="M4:M17" si="0">_xlfn.IFS(L4&lt;80%,"A",L4&lt;=95%,"B",L4&gt;95%,"C")</f>
        <v>A</v>
      </c>
    </row>
    <row r="5" spans="2:13" ht="28.5" customHeight="1" outlineLevel="1" thickBot="1">
      <c r="B5" s="256" t="s">
        <v>54</v>
      </c>
      <c r="C5" s="257">
        <f>'Юнит 05-11.01'!AE15</f>
        <v>9475.9191490000285</v>
      </c>
      <c r="D5" s="258">
        <f>C5/C$18</f>
        <v>0.29842789051380647</v>
      </c>
      <c r="E5" s="258">
        <f>D5+E4</f>
        <v>0.63249381309417174</v>
      </c>
      <c r="F5" s="259" t="str">
        <f t="shared" ref="F5:F17" si="1">IF(AND(E5&lt;=0),"C",IF(E5&lt;=0.8,"A",IF(E5&lt;=0.95,"B","C")))</f>
        <v>A</v>
      </c>
      <c r="G5" s="259" t="str">
        <f>VLOOKUP(B$4:B$17,I$4:M$17,5,0)</f>
        <v>A</v>
      </c>
      <c r="I5" s="256" t="s">
        <v>54</v>
      </c>
      <c r="J5" s="257">
        <f>'Юнит 05-11.01'!R15</f>
        <v>49</v>
      </c>
      <c r="K5" s="258">
        <f>J5/J$18</f>
        <v>0.30625000000000002</v>
      </c>
      <c r="L5" s="258">
        <f>K5+L4</f>
        <v>0.63125000000000009</v>
      </c>
      <c r="M5" s="259" t="str">
        <f t="shared" si="0"/>
        <v>A</v>
      </c>
    </row>
    <row r="6" spans="2:13" ht="28.5" customHeight="1" outlineLevel="1" thickBot="1">
      <c r="B6" s="256" t="s">
        <v>42</v>
      </c>
      <c r="C6" s="257">
        <f>'Юнит 05-11.01'!AE6</f>
        <v>4582.8565999999992</v>
      </c>
      <c r="D6" s="258">
        <f t="shared" ref="D6:D11" si="2">C6/C$18</f>
        <v>0.14432924196167296</v>
      </c>
      <c r="E6" s="258">
        <f t="shared" ref="E6:E11" si="3">D6+E5</f>
        <v>0.7768230550558447</v>
      </c>
      <c r="F6" s="259" t="str">
        <f t="shared" si="1"/>
        <v>A</v>
      </c>
      <c r="G6" s="259" t="str">
        <f t="shared" ref="G6:G11" si="4">VLOOKUP(B$4:B$17,I$4:M$17,5,0)</f>
        <v>B</v>
      </c>
      <c r="I6" s="256" t="s">
        <v>42</v>
      </c>
      <c r="J6" s="257">
        <f>'Юнит 05-11.01'!R6</f>
        <v>31</v>
      </c>
      <c r="K6" s="258">
        <f t="shared" ref="K6:K11" si="5">J6/J$18</f>
        <v>0.19375000000000001</v>
      </c>
      <c r="L6" s="258">
        <f t="shared" ref="L6:L11" si="6">K6+L5</f>
        <v>0.82500000000000007</v>
      </c>
      <c r="M6" s="259" t="str">
        <f t="shared" si="0"/>
        <v>B</v>
      </c>
    </row>
    <row r="7" spans="2:13" ht="28.5" customHeight="1" outlineLevel="1" thickBot="1">
      <c r="B7" s="256" t="s">
        <v>43</v>
      </c>
      <c r="C7" s="257">
        <f>'Юнит 05-11.01'!AE7</f>
        <v>2064.4032120000002</v>
      </c>
      <c r="D7" s="258">
        <f t="shared" si="2"/>
        <v>6.5014853550338647E-2</v>
      </c>
      <c r="E7" s="258">
        <f t="shared" si="3"/>
        <v>0.84183790860618335</v>
      </c>
      <c r="F7" s="259" t="str">
        <f t="shared" si="1"/>
        <v>B</v>
      </c>
      <c r="G7" s="259" t="str">
        <f t="shared" si="4"/>
        <v>B</v>
      </c>
      <c r="I7" s="256" t="s">
        <v>44</v>
      </c>
      <c r="J7" s="257">
        <f>'Юнит 05-11.01'!R8</f>
        <v>10</v>
      </c>
      <c r="K7" s="258">
        <f t="shared" si="5"/>
        <v>6.25E-2</v>
      </c>
      <c r="L7" s="258">
        <f t="shared" si="6"/>
        <v>0.88750000000000007</v>
      </c>
      <c r="M7" s="259" t="str">
        <f t="shared" si="0"/>
        <v>B</v>
      </c>
    </row>
    <row r="8" spans="2:13" ht="28.5" customHeight="1" outlineLevel="1" thickBot="1">
      <c r="B8" s="256" t="s">
        <v>44</v>
      </c>
      <c r="C8" s="257">
        <f>'Юнит 05-11.01'!AE8</f>
        <v>1951.2156420000006</v>
      </c>
      <c r="D8" s="258">
        <f t="shared" si="2"/>
        <v>6.1450204336225396E-2</v>
      </c>
      <c r="E8" s="258">
        <f t="shared" si="3"/>
        <v>0.90328811294240874</v>
      </c>
      <c r="F8" s="259" t="str">
        <f t="shared" si="1"/>
        <v>B</v>
      </c>
      <c r="G8" s="259" t="str">
        <f t="shared" si="4"/>
        <v>B</v>
      </c>
      <c r="I8" s="256" t="s">
        <v>43</v>
      </c>
      <c r="J8" s="257">
        <f>'Юнит 05-11.01'!R7</f>
        <v>8</v>
      </c>
      <c r="K8" s="258">
        <f t="shared" si="5"/>
        <v>0.05</v>
      </c>
      <c r="L8" s="258">
        <f t="shared" si="6"/>
        <v>0.93750000000000011</v>
      </c>
      <c r="M8" s="259" t="str">
        <f t="shared" si="0"/>
        <v>B</v>
      </c>
    </row>
    <row r="9" spans="2:13" ht="28.5" customHeight="1" outlineLevel="1" thickBot="1">
      <c r="B9" s="256" t="s">
        <v>39</v>
      </c>
      <c r="C9" s="257">
        <f>'Юнит 05-11.01'!AE3</f>
        <v>1482.4709959999989</v>
      </c>
      <c r="D9" s="258">
        <f t="shared" si="2"/>
        <v>4.6687892237964893E-2</v>
      </c>
      <c r="E9" s="258">
        <f t="shared" si="3"/>
        <v>0.94997600518037362</v>
      </c>
      <c r="F9" s="259" t="str">
        <f t="shared" si="1"/>
        <v>B</v>
      </c>
      <c r="G9" s="259" t="str">
        <f t="shared" si="4"/>
        <v>C</v>
      </c>
      <c r="I9" s="256" t="s">
        <v>39</v>
      </c>
      <c r="J9" s="257">
        <f>'Юнит 05-11.01'!R3</f>
        <v>5</v>
      </c>
      <c r="K9" s="258">
        <f t="shared" si="5"/>
        <v>3.125E-2</v>
      </c>
      <c r="L9" s="258">
        <f t="shared" si="6"/>
        <v>0.96875000000000011</v>
      </c>
      <c r="M9" s="259" t="str">
        <f t="shared" si="0"/>
        <v>C</v>
      </c>
    </row>
    <row r="10" spans="2:13" ht="28.5" customHeight="1" outlineLevel="1" thickBot="1">
      <c r="B10" s="256" t="s">
        <v>40</v>
      </c>
      <c r="C10" s="257">
        <f>'Юнит 05-11.01'!AE4</f>
        <v>1287.9956939999995</v>
      </c>
      <c r="D10" s="258">
        <f t="shared" si="2"/>
        <v>4.056322472863734E-2</v>
      </c>
      <c r="E10" s="258">
        <f t="shared" si="3"/>
        <v>0.990539229909011</v>
      </c>
      <c r="F10" s="259" t="str">
        <f t="shared" si="1"/>
        <v>C</v>
      </c>
      <c r="G10" s="259" t="str">
        <f t="shared" si="4"/>
        <v>C</v>
      </c>
      <c r="I10" s="256" t="s">
        <v>40</v>
      </c>
      <c r="J10" s="257">
        <f>'Юнит 05-11.01'!R4</f>
        <v>3</v>
      </c>
      <c r="K10" s="258">
        <f t="shared" si="5"/>
        <v>1.8749999999999999E-2</v>
      </c>
      <c r="L10" s="258">
        <f t="shared" si="6"/>
        <v>0.98750000000000016</v>
      </c>
      <c r="M10" s="259" t="str">
        <f t="shared" si="0"/>
        <v>C</v>
      </c>
    </row>
    <row r="11" spans="2:13" ht="28.5" customHeight="1" outlineLevel="1" thickBot="1">
      <c r="B11" s="256" t="s">
        <v>41</v>
      </c>
      <c r="C11" s="257">
        <f>'Юнит 05-11.01'!AE5</f>
        <v>300.40587800000009</v>
      </c>
      <c r="D11" s="258">
        <f t="shared" si="2"/>
        <v>9.4607700909888452E-3</v>
      </c>
      <c r="E11" s="258">
        <f t="shared" si="3"/>
        <v>0.99999999999999989</v>
      </c>
      <c r="F11" s="259" t="str">
        <f t="shared" si="1"/>
        <v>C</v>
      </c>
      <c r="G11" s="259" t="str">
        <f t="shared" si="4"/>
        <v>C</v>
      </c>
      <c r="I11" s="256" t="s">
        <v>41</v>
      </c>
      <c r="J11" s="257">
        <f>'Юнит 05-11.01'!R5</f>
        <v>2</v>
      </c>
      <c r="K11" s="258">
        <f t="shared" si="5"/>
        <v>1.2500000000000001E-2</v>
      </c>
      <c r="L11" s="258">
        <f t="shared" si="6"/>
        <v>1.0000000000000002</v>
      </c>
      <c r="M11" s="259" t="str">
        <f t="shared" si="0"/>
        <v>C</v>
      </c>
    </row>
    <row r="12" spans="2:13" ht="28.5" customHeight="1" outlineLevel="1" thickBot="1">
      <c r="B12" s="256" t="s">
        <v>56</v>
      </c>
      <c r="C12" s="257">
        <f>'Юнит 05-11.01'!AE9</f>
        <v>0</v>
      </c>
      <c r="D12" s="258">
        <f>C12/C$18</f>
        <v>0</v>
      </c>
      <c r="E12" s="258">
        <f>D12+E5</f>
        <v>0.63249381309417174</v>
      </c>
      <c r="F12" s="259" t="str">
        <f t="shared" si="1"/>
        <v>A</v>
      </c>
      <c r="G12" s="259" t="str">
        <f>VLOOKUP(B$4:B$17,I$4:M$17,5,0)</f>
        <v>A</v>
      </c>
      <c r="I12" s="256" t="s">
        <v>56</v>
      </c>
      <c r="J12" s="257">
        <f>'Юнит 05-11.01'!R9</f>
        <v>0</v>
      </c>
      <c r="K12" s="258">
        <f>J12/J$18</f>
        <v>0</v>
      </c>
      <c r="L12" s="258">
        <f>K12+L5</f>
        <v>0.63125000000000009</v>
      </c>
      <c r="M12" s="259" t="str">
        <f t="shared" si="0"/>
        <v>A</v>
      </c>
    </row>
    <row r="13" spans="2:13" ht="28.5" customHeight="1" outlineLevel="1" thickBot="1">
      <c r="B13" s="256" t="s">
        <v>57</v>
      </c>
      <c r="C13" s="257">
        <f>'Юнит 05-11.01'!AE10</f>
        <v>0</v>
      </c>
      <c r="D13" s="258">
        <f>C13/C$18</f>
        <v>0</v>
      </c>
      <c r="E13" s="258">
        <f t="shared" ref="E13:E16" si="7">D13+E12</f>
        <v>0.63249381309417174</v>
      </c>
      <c r="F13" s="259" t="str">
        <f t="shared" si="1"/>
        <v>A</v>
      </c>
      <c r="G13" s="259" t="str">
        <f>VLOOKUP(B$4:B$17,I$4:M$17,5,0)</f>
        <v>A</v>
      </c>
      <c r="I13" s="256" t="s">
        <v>57</v>
      </c>
      <c r="J13" s="257">
        <f>'Юнит 05-11.01'!R10</f>
        <v>0</v>
      </c>
      <c r="K13" s="258">
        <f>J13/J$18</f>
        <v>0</v>
      </c>
      <c r="L13" s="258">
        <f t="shared" ref="L13:L16" si="8">K13+L12</f>
        <v>0.63125000000000009</v>
      </c>
      <c r="M13" s="259" t="str">
        <f t="shared" si="0"/>
        <v>A</v>
      </c>
    </row>
    <row r="14" spans="2:13" ht="28.5" customHeight="1" outlineLevel="1" thickBot="1">
      <c r="B14" s="256" t="s">
        <v>58</v>
      </c>
      <c r="C14" s="257">
        <f>'Юнит 05-11.01'!AE12</f>
        <v>0</v>
      </c>
      <c r="D14" s="258">
        <f>C14/C$18</f>
        <v>0</v>
      </c>
      <c r="E14" s="258">
        <f t="shared" si="7"/>
        <v>0.63249381309417174</v>
      </c>
      <c r="F14" s="259" t="str">
        <f t="shared" si="1"/>
        <v>A</v>
      </c>
      <c r="G14" s="259" t="str">
        <f>VLOOKUP(B$4:B$17,I$4:M$17,5,0)</f>
        <v>A</v>
      </c>
      <c r="I14" s="256" t="s">
        <v>58</v>
      </c>
      <c r="J14" s="257">
        <f>'Юнит 05-11.01'!R12</f>
        <v>0</v>
      </c>
      <c r="K14" s="258">
        <f>J14/J$18</f>
        <v>0</v>
      </c>
      <c r="L14" s="258">
        <f t="shared" si="8"/>
        <v>0.63125000000000009</v>
      </c>
      <c r="M14" s="259" t="str">
        <f t="shared" si="0"/>
        <v>A</v>
      </c>
    </row>
    <row r="15" spans="2:13" ht="28.5" customHeight="1" outlineLevel="1" thickBot="1">
      <c r="B15" s="256" t="s">
        <v>59</v>
      </c>
      <c r="C15" s="257">
        <f>'Юнит 05-11.01'!AE13</f>
        <v>0</v>
      </c>
      <c r="D15" s="258">
        <f>C15/C$18</f>
        <v>0</v>
      </c>
      <c r="E15" s="258">
        <f t="shared" si="7"/>
        <v>0.63249381309417174</v>
      </c>
      <c r="F15" s="259" t="str">
        <f t="shared" si="1"/>
        <v>A</v>
      </c>
      <c r="G15" s="259" t="str">
        <f>VLOOKUP(B$4:B$17,I$4:M$17,5,0)</f>
        <v>A</v>
      </c>
      <c r="I15" s="256" t="s">
        <v>59</v>
      </c>
      <c r="J15" s="257">
        <f>'Юнит 05-11.01'!R13</f>
        <v>0</v>
      </c>
      <c r="K15" s="258">
        <f>J15/J$18</f>
        <v>0</v>
      </c>
      <c r="L15" s="258">
        <f t="shared" si="8"/>
        <v>0.63125000000000009</v>
      </c>
      <c r="M15" s="259" t="str">
        <f t="shared" si="0"/>
        <v>A</v>
      </c>
    </row>
    <row r="16" spans="2:13" ht="28.5" customHeight="1" outlineLevel="1" thickBot="1">
      <c r="B16" s="256" t="s">
        <v>60</v>
      </c>
      <c r="C16" s="257">
        <f>'Юнит 05-11.01'!AE14</f>
        <v>0</v>
      </c>
      <c r="D16" s="258">
        <f>C16/C$18</f>
        <v>0</v>
      </c>
      <c r="E16" s="258">
        <f t="shared" si="7"/>
        <v>0.63249381309417174</v>
      </c>
      <c r="F16" s="259" t="str">
        <f t="shared" si="1"/>
        <v>A</v>
      </c>
      <c r="G16" s="259" t="str">
        <f>VLOOKUP(B$4:B$17,I$4:M$17,5,0)</f>
        <v>A</v>
      </c>
      <c r="I16" s="256" t="s">
        <v>60</v>
      </c>
      <c r="J16" s="257">
        <f>'Юнит 05-11.01'!R14</f>
        <v>0</v>
      </c>
      <c r="K16" s="258">
        <f>J16/J$18</f>
        <v>0</v>
      </c>
      <c r="L16" s="258">
        <f t="shared" si="8"/>
        <v>0.63125000000000009</v>
      </c>
      <c r="M16" s="259" t="str">
        <f t="shared" si="0"/>
        <v>A</v>
      </c>
    </row>
    <row r="17" spans="2:13" ht="28.5" customHeight="1" outlineLevel="1" thickBot="1">
      <c r="B17" s="256" t="s">
        <v>61</v>
      </c>
      <c r="C17" s="257">
        <f>'Юнит 05-11.01'!AE16</f>
        <v>0</v>
      </c>
      <c r="D17" s="258">
        <f>C17/C$18</f>
        <v>0</v>
      </c>
      <c r="E17" s="258">
        <f>D17+E14</f>
        <v>0.63249381309417174</v>
      </c>
      <c r="F17" s="259" t="str">
        <f t="shared" si="1"/>
        <v>A</v>
      </c>
      <c r="G17" s="259" t="str">
        <f>VLOOKUP(B$4:B$17,I$4:M$17,5,0)</f>
        <v>A</v>
      </c>
      <c r="I17" s="256" t="s">
        <v>61</v>
      </c>
      <c r="J17" s="257">
        <f>'Юнит 05-11.01'!R16</f>
        <v>0</v>
      </c>
      <c r="K17" s="258">
        <f>J17/J$18</f>
        <v>0</v>
      </c>
      <c r="L17" s="258">
        <f>K17+L14</f>
        <v>0.63125000000000009</v>
      </c>
      <c r="M17" s="259" t="str">
        <f t="shared" si="0"/>
        <v>A</v>
      </c>
    </row>
    <row r="18" spans="2:13" outlineLevel="1">
      <c r="C18" s="260">
        <f>SUM(C4:C17)</f>
        <v>31752.79338900006</v>
      </c>
      <c r="D18" s="261">
        <f>SUM(D4:D17)</f>
        <v>0.99999999999999989</v>
      </c>
      <c r="J18" s="260">
        <f>SUM(J4:J17)</f>
        <v>160</v>
      </c>
      <c r="K18" s="261">
        <f>SUM(K4:K17)</f>
        <v>1.0000000000000002</v>
      </c>
    </row>
    <row r="20" spans="2:13" ht="15" hidden="1" outlineLevel="1" thickBot="1"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4"/>
    </row>
    <row r="21" spans="2:13" ht="23.5" hidden="1" outlineLevel="1" thickBot="1">
      <c r="C21" s="252" t="s">
        <v>29</v>
      </c>
      <c r="D21" s="253" t="s">
        <v>1079</v>
      </c>
      <c r="E21" s="254" t="s">
        <v>1080</v>
      </c>
      <c r="F21" s="253" t="s">
        <v>1081</v>
      </c>
      <c r="G21" s="253" t="s">
        <v>1082</v>
      </c>
      <c r="J21" s="252" t="s">
        <v>1083</v>
      </c>
      <c r="K21" s="253" t="s">
        <v>1084</v>
      </c>
      <c r="L21" s="254" t="s">
        <v>1080</v>
      </c>
      <c r="M21" s="255" t="s">
        <v>1082</v>
      </c>
    </row>
    <row r="22" spans="2:13" ht="15" hidden="1" outlineLevel="1" thickBot="1">
      <c r="B22" s="256"/>
      <c r="C22" s="257"/>
      <c r="D22" s="258" t="e">
        <f>C22/C$42</f>
        <v>#DIV/0!</v>
      </c>
      <c r="E22" s="258" t="e">
        <f>D22</f>
        <v>#DIV/0!</v>
      </c>
      <c r="F22" s="259" t="e">
        <f t="shared" ref="F22:F28" si="9">IF(AND(E22&lt;=0),"C",IF(E22&lt;=0.8,"A",IF(E22&lt;=0.95,"B","C")))</f>
        <v>#DIV/0!</v>
      </c>
      <c r="G22" s="259" t="e">
        <f>VLOOKUP(B$22:B$42,I$22:M$42,5,0)</f>
        <v>#N/A</v>
      </c>
      <c r="I22" s="256"/>
      <c r="J22" s="257"/>
      <c r="K22" s="258" t="e">
        <f>J22/J$42</f>
        <v>#DIV/0!</v>
      </c>
      <c r="L22" s="258" t="e">
        <f>K22</f>
        <v>#DIV/0!</v>
      </c>
      <c r="M22" s="259" t="e">
        <f t="shared" ref="M22:M28" si="10">_xlfn.IFS(L22&lt;80%,"A",L22&lt;=95%,"B",L22&gt;95%,"C")</f>
        <v>#DIV/0!</v>
      </c>
    </row>
    <row r="23" spans="2:13" ht="15" hidden="1" outlineLevel="1" thickBot="1">
      <c r="B23" s="256"/>
      <c r="C23" s="257"/>
      <c r="D23" s="258" t="e">
        <f t="shared" ref="D23:D41" si="11">C23/C$42</f>
        <v>#DIV/0!</v>
      </c>
      <c r="E23" s="258" t="e">
        <f>D23+E22</f>
        <v>#DIV/0!</v>
      </c>
      <c r="F23" s="259" t="e">
        <f t="shared" si="9"/>
        <v>#DIV/0!</v>
      </c>
      <c r="G23" s="259" t="e">
        <f t="shared" ref="G23:G41" si="12">VLOOKUP(B$22:B$42,I$22:M$42,5,0)</f>
        <v>#N/A</v>
      </c>
      <c r="I23" s="256"/>
      <c r="J23" s="257"/>
      <c r="K23" s="258" t="e">
        <f t="shared" ref="K23:K41" si="13">J23/J$42</f>
        <v>#DIV/0!</v>
      </c>
      <c r="L23" s="258" t="e">
        <f>K23+L22</f>
        <v>#DIV/0!</v>
      </c>
      <c r="M23" s="259" t="e">
        <f t="shared" si="10"/>
        <v>#DIV/0!</v>
      </c>
    </row>
    <row r="24" spans="2:13" ht="15" hidden="1" outlineLevel="1" thickBot="1">
      <c r="B24" s="256"/>
      <c r="C24" s="257"/>
      <c r="D24" s="258" t="e">
        <f t="shared" si="11"/>
        <v>#DIV/0!</v>
      </c>
      <c r="E24" s="258" t="e">
        <f t="shared" ref="E24:E41" si="14">D24+E23</f>
        <v>#DIV/0!</v>
      </c>
      <c r="F24" s="259" t="e">
        <f t="shared" si="9"/>
        <v>#DIV/0!</v>
      </c>
      <c r="G24" s="259" t="e">
        <f t="shared" si="12"/>
        <v>#N/A</v>
      </c>
      <c r="I24" s="256"/>
      <c r="J24" s="257"/>
      <c r="K24" s="258" t="e">
        <f t="shared" si="13"/>
        <v>#DIV/0!</v>
      </c>
      <c r="L24" s="258" t="e">
        <f t="shared" ref="L24:L41" si="15">K24+L23</f>
        <v>#DIV/0!</v>
      </c>
      <c r="M24" s="259" t="e">
        <f t="shared" si="10"/>
        <v>#DIV/0!</v>
      </c>
    </row>
    <row r="25" spans="2:13" ht="15" hidden="1" outlineLevel="1" thickBot="1">
      <c r="B25" s="256"/>
      <c r="C25" s="257"/>
      <c r="D25" s="258" t="e">
        <f t="shared" si="11"/>
        <v>#DIV/0!</v>
      </c>
      <c r="E25" s="258" t="e">
        <f t="shared" si="14"/>
        <v>#DIV/0!</v>
      </c>
      <c r="F25" s="259" t="e">
        <f t="shared" si="9"/>
        <v>#DIV/0!</v>
      </c>
      <c r="G25" s="259" t="e">
        <f t="shared" si="12"/>
        <v>#N/A</v>
      </c>
      <c r="I25" s="256"/>
      <c r="J25" s="257"/>
      <c r="K25" s="258" t="e">
        <f t="shared" si="13"/>
        <v>#DIV/0!</v>
      </c>
      <c r="L25" s="258" t="e">
        <f t="shared" si="15"/>
        <v>#DIV/0!</v>
      </c>
      <c r="M25" s="259" t="e">
        <f t="shared" si="10"/>
        <v>#DIV/0!</v>
      </c>
    </row>
    <row r="26" spans="2:13" ht="15" hidden="1" outlineLevel="1" thickBot="1">
      <c r="B26" s="256"/>
      <c r="C26" s="257"/>
      <c r="D26" s="258" t="e">
        <f t="shared" si="11"/>
        <v>#DIV/0!</v>
      </c>
      <c r="E26" s="258" t="e">
        <f t="shared" si="14"/>
        <v>#DIV/0!</v>
      </c>
      <c r="F26" s="259" t="e">
        <f t="shared" si="9"/>
        <v>#DIV/0!</v>
      </c>
      <c r="G26" s="259" t="e">
        <f t="shared" si="12"/>
        <v>#N/A</v>
      </c>
      <c r="I26" s="256"/>
      <c r="J26" s="257"/>
      <c r="K26" s="258" t="e">
        <f t="shared" si="13"/>
        <v>#DIV/0!</v>
      </c>
      <c r="L26" s="258" t="e">
        <f t="shared" si="15"/>
        <v>#DIV/0!</v>
      </c>
      <c r="M26" s="259" t="e">
        <f t="shared" si="10"/>
        <v>#DIV/0!</v>
      </c>
    </row>
    <row r="27" spans="2:13" ht="15" hidden="1" outlineLevel="1" thickBot="1">
      <c r="B27" s="256"/>
      <c r="C27" s="257"/>
      <c r="D27" s="258" t="e">
        <f t="shared" si="11"/>
        <v>#DIV/0!</v>
      </c>
      <c r="E27" s="258" t="e">
        <f t="shared" si="14"/>
        <v>#DIV/0!</v>
      </c>
      <c r="F27" s="259" t="e">
        <f t="shared" si="9"/>
        <v>#DIV/0!</v>
      </c>
      <c r="G27" s="259" t="e">
        <f t="shared" si="12"/>
        <v>#N/A</v>
      </c>
      <c r="I27" s="256"/>
      <c r="J27" s="257"/>
      <c r="K27" s="258" t="e">
        <f t="shared" si="13"/>
        <v>#DIV/0!</v>
      </c>
      <c r="L27" s="258" t="e">
        <f t="shared" si="15"/>
        <v>#DIV/0!</v>
      </c>
      <c r="M27" s="259" t="e">
        <f t="shared" si="10"/>
        <v>#DIV/0!</v>
      </c>
    </row>
    <row r="28" spans="2:13" ht="15" hidden="1" outlineLevel="1" thickBot="1">
      <c r="B28" s="256"/>
      <c r="C28" s="257"/>
      <c r="D28" s="258" t="e">
        <f t="shared" si="11"/>
        <v>#DIV/0!</v>
      </c>
      <c r="E28" s="258" t="e">
        <f t="shared" si="14"/>
        <v>#DIV/0!</v>
      </c>
      <c r="F28" s="259" t="e">
        <f t="shared" si="9"/>
        <v>#DIV/0!</v>
      </c>
      <c r="G28" s="259" t="e">
        <f t="shared" si="12"/>
        <v>#N/A</v>
      </c>
      <c r="I28" s="256"/>
      <c r="J28" s="257"/>
      <c r="K28" s="258" t="e">
        <f t="shared" si="13"/>
        <v>#DIV/0!</v>
      </c>
      <c r="L28" s="258" t="e">
        <f t="shared" si="15"/>
        <v>#DIV/0!</v>
      </c>
      <c r="M28" s="259" t="e">
        <f t="shared" si="10"/>
        <v>#DIV/0!</v>
      </c>
    </row>
    <row r="29" spans="2:13" ht="15" hidden="1" outlineLevel="1" thickBot="1">
      <c r="B29" s="256"/>
      <c r="C29" s="257"/>
      <c r="D29" s="258" t="e">
        <f t="shared" si="11"/>
        <v>#DIV/0!</v>
      </c>
      <c r="E29" s="258" t="e">
        <f t="shared" si="14"/>
        <v>#DIV/0!</v>
      </c>
      <c r="F29" s="259" t="e">
        <f>IF(AND(E29&lt;=0),"C",IF(E29&lt;=0.8,"A",IF(E29&lt;=0.95,"B","C")))</f>
        <v>#DIV/0!</v>
      </c>
      <c r="G29" s="259" t="e">
        <f t="shared" si="12"/>
        <v>#N/A</v>
      </c>
      <c r="I29" s="256"/>
      <c r="J29" s="257"/>
      <c r="K29" s="258" t="e">
        <f t="shared" si="13"/>
        <v>#DIV/0!</v>
      </c>
      <c r="L29" s="258" t="e">
        <f t="shared" si="15"/>
        <v>#DIV/0!</v>
      </c>
      <c r="M29" s="259" t="e">
        <f>_xlfn.IFS(L29&lt;80%,"A",L29&lt;=95%,"B",L29&gt;95%,"C")</f>
        <v>#DIV/0!</v>
      </c>
    </row>
    <row r="30" spans="2:13" ht="15" hidden="1" outlineLevel="1" thickBot="1">
      <c r="B30" s="256"/>
      <c r="C30" s="257"/>
      <c r="D30" s="258" t="e">
        <f t="shared" si="11"/>
        <v>#DIV/0!</v>
      </c>
      <c r="E30" s="258" t="e">
        <f t="shared" si="14"/>
        <v>#DIV/0!</v>
      </c>
      <c r="F30" s="259" t="e">
        <f t="shared" ref="F30:F41" si="16">IF(AND(E30&lt;=0),"C",IF(E30&lt;=0.8,"A",IF(E30&lt;=0.95,"B","C")))</f>
        <v>#DIV/0!</v>
      </c>
      <c r="G30" s="259" t="e">
        <f t="shared" si="12"/>
        <v>#N/A</v>
      </c>
      <c r="I30" s="256"/>
      <c r="J30" s="257"/>
      <c r="K30" s="258" t="e">
        <f t="shared" si="13"/>
        <v>#DIV/0!</v>
      </c>
      <c r="L30" s="258" t="e">
        <f t="shared" si="15"/>
        <v>#DIV/0!</v>
      </c>
      <c r="M30" s="259" t="e">
        <f t="shared" ref="M30:M41" si="17">_xlfn.IFS(L30&lt;80%,"A",L30&lt;=95%,"B",L30&gt;95%,"C")</f>
        <v>#DIV/0!</v>
      </c>
    </row>
    <row r="31" spans="2:13" ht="15" hidden="1" outlineLevel="1" thickBot="1">
      <c r="B31" s="256"/>
      <c r="C31" s="257"/>
      <c r="D31" s="258" t="e">
        <f t="shared" si="11"/>
        <v>#DIV/0!</v>
      </c>
      <c r="E31" s="258" t="e">
        <f t="shared" si="14"/>
        <v>#DIV/0!</v>
      </c>
      <c r="F31" s="259" t="e">
        <f t="shared" si="16"/>
        <v>#DIV/0!</v>
      </c>
      <c r="G31" s="259" t="e">
        <f t="shared" si="12"/>
        <v>#N/A</v>
      </c>
      <c r="I31" s="256"/>
      <c r="J31" s="257"/>
      <c r="K31" s="258" t="e">
        <f t="shared" si="13"/>
        <v>#DIV/0!</v>
      </c>
      <c r="L31" s="258" t="e">
        <f t="shared" si="15"/>
        <v>#DIV/0!</v>
      </c>
      <c r="M31" s="259" t="e">
        <f t="shared" si="17"/>
        <v>#DIV/0!</v>
      </c>
    </row>
    <row r="32" spans="2:13" ht="15" hidden="1" outlineLevel="1" thickBot="1">
      <c r="B32" s="256"/>
      <c r="C32" s="257"/>
      <c r="D32" s="258" t="e">
        <f t="shared" si="11"/>
        <v>#DIV/0!</v>
      </c>
      <c r="E32" s="258" t="e">
        <f t="shared" si="14"/>
        <v>#DIV/0!</v>
      </c>
      <c r="F32" s="259" t="e">
        <f t="shared" si="16"/>
        <v>#DIV/0!</v>
      </c>
      <c r="G32" s="259" t="e">
        <f t="shared" si="12"/>
        <v>#N/A</v>
      </c>
      <c r="I32" s="256"/>
      <c r="J32" s="257"/>
      <c r="K32" s="258" t="e">
        <f t="shared" si="13"/>
        <v>#DIV/0!</v>
      </c>
      <c r="L32" s="258" t="e">
        <f t="shared" si="15"/>
        <v>#DIV/0!</v>
      </c>
      <c r="M32" s="259" t="e">
        <f t="shared" si="17"/>
        <v>#DIV/0!</v>
      </c>
    </row>
    <row r="33" spans="2:13" ht="15" hidden="1" outlineLevel="1" thickBot="1">
      <c r="B33" s="256"/>
      <c r="C33" s="257"/>
      <c r="D33" s="258" t="e">
        <f t="shared" si="11"/>
        <v>#DIV/0!</v>
      </c>
      <c r="E33" s="258" t="e">
        <f t="shared" si="14"/>
        <v>#DIV/0!</v>
      </c>
      <c r="F33" s="259" t="e">
        <f t="shared" si="16"/>
        <v>#DIV/0!</v>
      </c>
      <c r="G33" s="259" t="e">
        <f t="shared" si="12"/>
        <v>#N/A</v>
      </c>
      <c r="I33" s="256"/>
      <c r="J33" s="257"/>
      <c r="K33" s="258" t="e">
        <f t="shared" si="13"/>
        <v>#DIV/0!</v>
      </c>
      <c r="L33" s="258" t="e">
        <f t="shared" si="15"/>
        <v>#DIV/0!</v>
      </c>
      <c r="M33" s="259" t="e">
        <f t="shared" si="17"/>
        <v>#DIV/0!</v>
      </c>
    </row>
    <row r="34" spans="2:13" ht="15" hidden="1" outlineLevel="1" thickBot="1">
      <c r="B34" s="256"/>
      <c r="C34" s="257"/>
      <c r="D34" s="258" t="e">
        <f t="shared" si="11"/>
        <v>#DIV/0!</v>
      </c>
      <c r="E34" s="258" t="e">
        <f t="shared" si="14"/>
        <v>#DIV/0!</v>
      </c>
      <c r="F34" s="259" t="e">
        <f t="shared" si="16"/>
        <v>#DIV/0!</v>
      </c>
      <c r="G34" s="259" t="e">
        <f t="shared" si="12"/>
        <v>#N/A</v>
      </c>
      <c r="I34" s="256"/>
      <c r="J34" s="257"/>
      <c r="K34" s="258" t="e">
        <f t="shared" si="13"/>
        <v>#DIV/0!</v>
      </c>
      <c r="L34" s="258" t="e">
        <f t="shared" si="15"/>
        <v>#DIV/0!</v>
      </c>
      <c r="M34" s="259" t="e">
        <f t="shared" si="17"/>
        <v>#DIV/0!</v>
      </c>
    </row>
    <row r="35" spans="2:13" ht="15" hidden="1" outlineLevel="1" thickBot="1">
      <c r="B35" s="256"/>
      <c r="C35" s="257"/>
      <c r="D35" s="258" t="e">
        <f t="shared" si="11"/>
        <v>#DIV/0!</v>
      </c>
      <c r="E35" s="258" t="e">
        <f t="shared" si="14"/>
        <v>#DIV/0!</v>
      </c>
      <c r="F35" s="259" t="e">
        <f t="shared" si="16"/>
        <v>#DIV/0!</v>
      </c>
      <c r="G35" s="259" t="e">
        <f t="shared" si="12"/>
        <v>#N/A</v>
      </c>
      <c r="I35" s="256"/>
      <c r="J35" s="257"/>
      <c r="K35" s="258" t="e">
        <f t="shared" si="13"/>
        <v>#DIV/0!</v>
      </c>
      <c r="L35" s="258" t="e">
        <f t="shared" si="15"/>
        <v>#DIV/0!</v>
      </c>
      <c r="M35" s="259" t="e">
        <f t="shared" si="17"/>
        <v>#DIV/0!</v>
      </c>
    </row>
    <row r="36" spans="2:13" ht="15" hidden="1" outlineLevel="1" thickBot="1">
      <c r="B36" s="256"/>
      <c r="C36" s="257"/>
      <c r="D36" s="258" t="e">
        <f t="shared" si="11"/>
        <v>#DIV/0!</v>
      </c>
      <c r="E36" s="258" t="e">
        <f t="shared" si="14"/>
        <v>#DIV/0!</v>
      </c>
      <c r="F36" s="259" t="e">
        <f t="shared" si="16"/>
        <v>#DIV/0!</v>
      </c>
      <c r="G36" s="259" t="e">
        <f t="shared" si="12"/>
        <v>#N/A</v>
      </c>
      <c r="I36" s="256"/>
      <c r="J36" s="257"/>
      <c r="K36" s="258" t="e">
        <f t="shared" si="13"/>
        <v>#DIV/0!</v>
      </c>
      <c r="L36" s="258" t="e">
        <f t="shared" si="15"/>
        <v>#DIV/0!</v>
      </c>
      <c r="M36" s="259" t="e">
        <f t="shared" si="17"/>
        <v>#DIV/0!</v>
      </c>
    </row>
    <row r="37" spans="2:13" ht="15" hidden="1" outlineLevel="1" thickBot="1">
      <c r="B37" s="256"/>
      <c r="C37" s="257"/>
      <c r="D37" s="258" t="e">
        <f t="shared" si="11"/>
        <v>#DIV/0!</v>
      </c>
      <c r="E37" s="258" t="e">
        <f t="shared" si="14"/>
        <v>#DIV/0!</v>
      </c>
      <c r="F37" s="259" t="e">
        <f t="shared" si="16"/>
        <v>#DIV/0!</v>
      </c>
      <c r="G37" s="259" t="e">
        <f t="shared" si="12"/>
        <v>#N/A</v>
      </c>
      <c r="I37" s="256"/>
      <c r="J37" s="257"/>
      <c r="K37" s="258" t="e">
        <f t="shared" si="13"/>
        <v>#DIV/0!</v>
      </c>
      <c r="L37" s="258" t="e">
        <f t="shared" si="15"/>
        <v>#DIV/0!</v>
      </c>
      <c r="M37" s="259" t="e">
        <f t="shared" si="17"/>
        <v>#DIV/0!</v>
      </c>
    </row>
    <row r="38" spans="2:13" ht="15" hidden="1" outlineLevel="1" thickBot="1">
      <c r="B38" s="256"/>
      <c r="C38" s="257"/>
      <c r="D38" s="258" t="e">
        <f t="shared" si="11"/>
        <v>#DIV/0!</v>
      </c>
      <c r="E38" s="258" t="e">
        <f t="shared" si="14"/>
        <v>#DIV/0!</v>
      </c>
      <c r="F38" s="259" t="e">
        <f t="shared" si="16"/>
        <v>#DIV/0!</v>
      </c>
      <c r="G38" s="259" t="e">
        <f t="shared" si="12"/>
        <v>#N/A</v>
      </c>
      <c r="I38" s="256"/>
      <c r="J38" s="257"/>
      <c r="K38" s="258" t="e">
        <f t="shared" si="13"/>
        <v>#DIV/0!</v>
      </c>
      <c r="L38" s="258" t="e">
        <f t="shared" si="15"/>
        <v>#DIV/0!</v>
      </c>
      <c r="M38" s="259" t="e">
        <f t="shared" si="17"/>
        <v>#DIV/0!</v>
      </c>
    </row>
    <row r="39" spans="2:13" ht="15" hidden="1" outlineLevel="1" thickBot="1">
      <c r="B39" s="256"/>
      <c r="C39" s="257"/>
      <c r="D39" s="258" t="e">
        <f t="shared" si="11"/>
        <v>#DIV/0!</v>
      </c>
      <c r="E39" s="258" t="e">
        <f t="shared" si="14"/>
        <v>#DIV/0!</v>
      </c>
      <c r="F39" s="259" t="e">
        <f t="shared" si="16"/>
        <v>#DIV/0!</v>
      </c>
      <c r="G39" s="259" t="e">
        <f t="shared" si="12"/>
        <v>#N/A</v>
      </c>
      <c r="I39" s="256"/>
      <c r="J39" s="257"/>
      <c r="K39" s="258" t="e">
        <f t="shared" si="13"/>
        <v>#DIV/0!</v>
      </c>
      <c r="L39" s="258" t="e">
        <f t="shared" si="15"/>
        <v>#DIV/0!</v>
      </c>
      <c r="M39" s="259" t="e">
        <f t="shared" si="17"/>
        <v>#DIV/0!</v>
      </c>
    </row>
    <row r="40" spans="2:13" ht="15" hidden="1" outlineLevel="1" thickBot="1">
      <c r="B40" s="256"/>
      <c r="C40" s="257"/>
      <c r="D40" s="258" t="e">
        <f t="shared" si="11"/>
        <v>#DIV/0!</v>
      </c>
      <c r="E40" s="258" t="e">
        <f t="shared" si="14"/>
        <v>#DIV/0!</v>
      </c>
      <c r="F40" s="259" t="e">
        <f t="shared" si="16"/>
        <v>#DIV/0!</v>
      </c>
      <c r="G40" s="259" t="e">
        <f t="shared" si="12"/>
        <v>#N/A</v>
      </c>
      <c r="I40" s="256"/>
      <c r="J40" s="257"/>
      <c r="K40" s="258" t="e">
        <f t="shared" si="13"/>
        <v>#DIV/0!</v>
      </c>
      <c r="L40" s="258" t="e">
        <f t="shared" si="15"/>
        <v>#DIV/0!</v>
      </c>
      <c r="M40" s="259" t="e">
        <f t="shared" si="17"/>
        <v>#DIV/0!</v>
      </c>
    </row>
    <row r="41" spans="2:13" ht="15" hidden="1" outlineLevel="1" thickBot="1">
      <c r="B41" s="256"/>
      <c r="C41" s="257"/>
      <c r="D41" s="258" t="e">
        <f t="shared" si="11"/>
        <v>#DIV/0!</v>
      </c>
      <c r="E41" s="258" t="e">
        <f t="shared" si="14"/>
        <v>#DIV/0!</v>
      </c>
      <c r="F41" s="259" t="e">
        <f t="shared" si="16"/>
        <v>#DIV/0!</v>
      </c>
      <c r="G41" s="259" t="e">
        <f t="shared" si="12"/>
        <v>#N/A</v>
      </c>
      <c r="I41" s="256"/>
      <c r="J41" s="257"/>
      <c r="K41" s="258" t="e">
        <f t="shared" si="13"/>
        <v>#DIV/0!</v>
      </c>
      <c r="L41" s="258" t="e">
        <f t="shared" si="15"/>
        <v>#DIV/0!</v>
      </c>
      <c r="M41" s="259" t="e">
        <f t="shared" si="17"/>
        <v>#DIV/0!</v>
      </c>
    </row>
    <row r="42" spans="2:13" hidden="1" outlineLevel="1">
      <c r="C42" s="260">
        <f>SUM(C22:C41)</f>
        <v>0</v>
      </c>
      <c r="D42" s="261" t="e">
        <f>SUM(D22:D41)</f>
        <v>#DIV/0!</v>
      </c>
      <c r="J42" s="260">
        <f>SUM(J22:J41)</f>
        <v>0</v>
      </c>
      <c r="K42" s="261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5" priority="4" operator="equal">
      <formula>"C"</formula>
    </cfRule>
    <cfRule type="cellIs" dxfId="34" priority="5" operator="equal">
      <formula>"B"</formula>
    </cfRule>
    <cfRule type="cellIs" dxfId="33" priority="6" operator="equal">
      <formula>"A"</formula>
    </cfRule>
  </conditionalFormatting>
  <conditionalFormatting sqref="M22:M41 D22:D41 K22:K41 F22:G41">
    <cfRule type="cellIs" dxfId="32" priority="1" operator="equal">
      <formula>"C"</formula>
    </cfRule>
    <cfRule type="cellIs" dxfId="31" priority="2" operator="equal">
      <formula>"B"</formula>
    </cfRule>
    <cfRule type="cellIs" dxfId="3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49" t="s">
        <v>1078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3" ht="28.5" customHeight="1" outlineLevel="1" thickBot="1">
      <c r="C3" s="252" t="s">
        <v>29</v>
      </c>
      <c r="D3" s="253" t="s">
        <v>1079</v>
      </c>
      <c r="E3" s="254" t="s">
        <v>1080</v>
      </c>
      <c r="F3" s="253" t="s">
        <v>1081</v>
      </c>
      <c r="G3" s="253" t="s">
        <v>1082</v>
      </c>
      <c r="J3" s="252" t="s">
        <v>1083</v>
      </c>
      <c r="K3" s="253" t="s">
        <v>1084</v>
      </c>
      <c r="L3" s="254" t="s">
        <v>1080</v>
      </c>
      <c r="M3" s="255" t="s">
        <v>1082</v>
      </c>
    </row>
    <row r="4" spans="2:13" ht="28.5" customHeight="1" outlineLevel="1" thickBot="1">
      <c r="B4" s="256" t="s">
        <v>54</v>
      </c>
      <c r="C4" s="257">
        <f>'Юнит 01-04.01'!AE15</f>
        <v>814.08012700000108</v>
      </c>
      <c r="D4" s="258">
        <f>C4/C$18</f>
        <v>-0.10547698652611112</v>
      </c>
      <c r="E4" s="258">
        <f>D4</f>
        <v>-0.10547698652611112</v>
      </c>
      <c r="F4" s="259" t="str">
        <f>IF(AND(E4&lt;=0),"C",IF(E4&lt;=0.8,"A",IF(E4&lt;=0.95,"B","C")))</f>
        <v>C</v>
      </c>
      <c r="G4" s="259" t="str">
        <f>VLOOKUP(B$4:B$17,I$4:M$17,5,0)</f>
        <v>A</v>
      </c>
      <c r="I4" s="256" t="s">
        <v>54</v>
      </c>
      <c r="J4" s="257">
        <f>'Юнит 01-04.01'!R15</f>
        <v>25</v>
      </c>
      <c r="K4" s="258">
        <f>J4/J$18</f>
        <v>0.5</v>
      </c>
      <c r="L4" s="258">
        <f>K4</f>
        <v>0.5</v>
      </c>
      <c r="M4" s="259" t="str">
        <f t="shared" ref="M4:M17" si="0">_xlfn.IFS(L4&lt;80%,"A",L4&lt;=95%,"B",L4&gt;95%,"C")</f>
        <v>A</v>
      </c>
    </row>
    <row r="5" spans="2:13" ht="28.5" customHeight="1" outlineLevel="1" thickBot="1">
      <c r="B5" s="256" t="s">
        <v>40</v>
      </c>
      <c r="C5" s="257">
        <f>'Юнит 01-04.01'!AE4</f>
        <v>606.61500000000001</v>
      </c>
      <c r="D5" s="258">
        <f>C5/C$18</f>
        <v>-7.859659026111665E-2</v>
      </c>
      <c r="E5" s="258">
        <f>D5+E4</f>
        <v>-0.18407357678722777</v>
      </c>
      <c r="F5" s="259" t="str">
        <f t="shared" ref="F5:F17" si="1">IF(AND(E5&lt;=0),"C",IF(E5&lt;=0.8,"A",IF(E5&lt;=0.95,"B","C")))</f>
        <v>C</v>
      </c>
      <c r="G5" s="259" t="str">
        <f>VLOOKUP(B$4:B$17,I$4:M$17,5,0)</f>
        <v>C</v>
      </c>
      <c r="I5" s="256" t="s">
        <v>53</v>
      </c>
      <c r="J5" s="257">
        <f>'Юнит 01-04.01'!R11</f>
        <v>12</v>
      </c>
      <c r="K5" s="258">
        <f>J5/J$18</f>
        <v>0.24</v>
      </c>
      <c r="L5" s="258">
        <f>K5+L4</f>
        <v>0.74</v>
      </c>
      <c r="M5" s="259" t="str">
        <f t="shared" si="0"/>
        <v>A</v>
      </c>
    </row>
    <row r="6" spans="2:13" ht="28.5" customHeight="1" outlineLevel="1" thickBot="1">
      <c r="B6" s="256" t="s">
        <v>43</v>
      </c>
      <c r="C6" s="257">
        <f>'Юнит 01-04.01'!AE7</f>
        <v>602.25</v>
      </c>
      <c r="D6" s="258">
        <f t="shared" ref="D6:D11" si="2">C6/C$18</f>
        <v>-7.8031035310299784E-2</v>
      </c>
      <c r="E6" s="258">
        <f t="shared" ref="E6:E11" si="3">D6+E5</f>
        <v>-0.26210461209752756</v>
      </c>
      <c r="F6" s="259" t="str">
        <f t="shared" ref="F6:F11" si="4">IF(AND(E6&lt;=0),"C",IF(E6&lt;=0.8,"A",IF(E6&lt;=0.95,"B","C")))</f>
        <v>C</v>
      </c>
      <c r="G6" s="259" t="str">
        <f t="shared" ref="G6:G11" si="5">VLOOKUP(B$4:B$17,I$4:M$17,5,0)</f>
        <v>B</v>
      </c>
      <c r="I6" s="256" t="s">
        <v>42</v>
      </c>
      <c r="J6" s="257">
        <f>'Юнит 01-04.01'!R6</f>
        <v>7</v>
      </c>
      <c r="K6" s="258">
        <f t="shared" ref="K6:K11" si="6">J6/J$18</f>
        <v>0.14000000000000001</v>
      </c>
      <c r="L6" s="258">
        <f t="shared" ref="L6:L11" si="7">K6+L5</f>
        <v>0.88</v>
      </c>
      <c r="M6" s="259" t="str">
        <f t="shared" ref="M6:M11" si="8">_xlfn.IFS(L6&lt;80%,"A",L6&lt;=95%,"B",L6&gt;95%,"C")</f>
        <v>B</v>
      </c>
    </row>
    <row r="7" spans="2:13" ht="28.5" customHeight="1" outlineLevel="1" thickBot="1">
      <c r="B7" s="256" t="s">
        <v>39</v>
      </c>
      <c r="C7" s="257">
        <f>'Юнит 01-04.01'!AE3</f>
        <v>199.47499999999994</v>
      </c>
      <c r="D7" s="258">
        <f t="shared" si="2"/>
        <v>-2.5845148640136231E-2</v>
      </c>
      <c r="E7" s="258">
        <f t="shared" si="3"/>
        <v>-0.28794976073766376</v>
      </c>
      <c r="F7" s="259" t="str">
        <f t="shared" si="4"/>
        <v>C</v>
      </c>
      <c r="G7" s="259" t="str">
        <f t="shared" si="5"/>
        <v>C</v>
      </c>
      <c r="I7" s="256" t="s">
        <v>43</v>
      </c>
      <c r="J7" s="257">
        <f>'Юнит 01-04.01'!R7</f>
        <v>2</v>
      </c>
      <c r="K7" s="258">
        <f t="shared" si="6"/>
        <v>0.04</v>
      </c>
      <c r="L7" s="258">
        <f t="shared" si="7"/>
        <v>0.92</v>
      </c>
      <c r="M7" s="259" t="str">
        <f t="shared" si="8"/>
        <v>B</v>
      </c>
    </row>
    <row r="8" spans="2:13" ht="28.5" customHeight="1" outlineLevel="1" thickBot="1">
      <c r="B8" s="256" t="s">
        <v>41</v>
      </c>
      <c r="C8" s="257">
        <f>'Юнит 01-04.01'!AE5</f>
        <v>0</v>
      </c>
      <c r="D8" s="258">
        <f t="shared" si="2"/>
        <v>0</v>
      </c>
      <c r="E8" s="258">
        <f t="shared" si="3"/>
        <v>-0.28794976073766376</v>
      </c>
      <c r="F8" s="259" t="str">
        <f t="shared" si="4"/>
        <v>C</v>
      </c>
      <c r="G8" s="259" t="str">
        <f t="shared" si="5"/>
        <v>C</v>
      </c>
      <c r="I8" s="256" t="s">
        <v>44</v>
      </c>
      <c r="J8" s="257">
        <f>'Юнит 01-04.01'!R8</f>
        <v>2</v>
      </c>
      <c r="K8" s="258">
        <f t="shared" si="6"/>
        <v>0.04</v>
      </c>
      <c r="L8" s="258">
        <f t="shared" si="7"/>
        <v>0.96000000000000008</v>
      </c>
      <c r="M8" s="259" t="str">
        <f t="shared" si="8"/>
        <v>C</v>
      </c>
    </row>
    <row r="9" spans="2:13" ht="28.5" customHeight="1" outlineLevel="1" thickBot="1">
      <c r="B9" s="256" t="s">
        <v>56</v>
      </c>
      <c r="C9" s="257">
        <f>'Юнит 01-04.01'!AE9</f>
        <v>0</v>
      </c>
      <c r="D9" s="258">
        <f t="shared" si="2"/>
        <v>0</v>
      </c>
      <c r="E9" s="258">
        <f t="shared" si="3"/>
        <v>-0.28794976073766376</v>
      </c>
      <c r="F9" s="259" t="str">
        <f t="shared" si="4"/>
        <v>C</v>
      </c>
      <c r="G9" s="259" t="str">
        <f t="shared" si="5"/>
        <v>A</v>
      </c>
      <c r="I9" s="256" t="s">
        <v>39</v>
      </c>
      <c r="J9" s="257">
        <f>'Юнит 01-04.01'!R3</f>
        <v>1</v>
      </c>
      <c r="K9" s="258">
        <f t="shared" si="6"/>
        <v>0.02</v>
      </c>
      <c r="L9" s="258">
        <f t="shared" si="7"/>
        <v>0.98000000000000009</v>
      </c>
      <c r="M9" s="259" t="str">
        <f t="shared" si="8"/>
        <v>C</v>
      </c>
    </row>
    <row r="10" spans="2:13" ht="28.5" customHeight="1" outlineLevel="1" thickBot="1">
      <c r="B10" s="256" t="s">
        <v>57</v>
      </c>
      <c r="C10" s="257">
        <f>'Юнит 01-04.01'!AE10</f>
        <v>0</v>
      </c>
      <c r="D10" s="258">
        <f t="shared" si="2"/>
        <v>0</v>
      </c>
      <c r="E10" s="258">
        <f t="shared" si="3"/>
        <v>-0.28794976073766376</v>
      </c>
      <c r="F10" s="259" t="str">
        <f t="shared" si="4"/>
        <v>C</v>
      </c>
      <c r="G10" s="259" t="str">
        <f t="shared" si="5"/>
        <v>A</v>
      </c>
      <c r="I10" s="256" t="s">
        <v>40</v>
      </c>
      <c r="J10" s="257">
        <f>'Юнит 01-04.01'!R4</f>
        <v>1</v>
      </c>
      <c r="K10" s="258">
        <f t="shared" si="6"/>
        <v>0.02</v>
      </c>
      <c r="L10" s="258">
        <f t="shared" si="7"/>
        <v>1</v>
      </c>
      <c r="M10" s="259" t="str">
        <f t="shared" si="8"/>
        <v>C</v>
      </c>
    </row>
    <row r="11" spans="2:13" ht="28.5" customHeight="1" outlineLevel="1" thickBot="1">
      <c r="B11" s="256" t="s">
        <v>58</v>
      </c>
      <c r="C11" s="257">
        <f>'Юнит 01-04.01'!AE12</f>
        <v>0</v>
      </c>
      <c r="D11" s="258">
        <f t="shared" si="2"/>
        <v>0</v>
      </c>
      <c r="E11" s="258">
        <f t="shared" si="3"/>
        <v>-0.28794976073766376</v>
      </c>
      <c r="F11" s="259" t="str">
        <f t="shared" si="4"/>
        <v>C</v>
      </c>
      <c r="G11" s="259" t="str">
        <f t="shared" si="5"/>
        <v>A</v>
      </c>
      <c r="I11" s="256" t="s">
        <v>41</v>
      </c>
      <c r="J11" s="257">
        <f>'Юнит 01-04.01'!R5</f>
        <v>0</v>
      </c>
      <c r="K11" s="258">
        <f t="shared" si="6"/>
        <v>0</v>
      </c>
      <c r="L11" s="258">
        <f t="shared" si="7"/>
        <v>1</v>
      </c>
      <c r="M11" s="259" t="str">
        <f t="shared" si="8"/>
        <v>C</v>
      </c>
    </row>
    <row r="12" spans="2:13" ht="28.5" customHeight="1" outlineLevel="1" thickBot="1">
      <c r="B12" s="256" t="s">
        <v>59</v>
      </c>
      <c r="C12" s="257">
        <f>'Юнит 01-04.01'!AE13</f>
        <v>0</v>
      </c>
      <c r="D12" s="258">
        <f>C12/C$18</f>
        <v>0</v>
      </c>
      <c r="E12" s="258">
        <f>D12+E5</f>
        <v>-0.18407357678722777</v>
      </c>
      <c r="F12" s="259" t="str">
        <f t="shared" si="1"/>
        <v>C</v>
      </c>
      <c r="G12" s="259" t="str">
        <f>VLOOKUP(B$4:B$17,I$4:M$17,5,0)</f>
        <v>A</v>
      </c>
      <c r="I12" s="256" t="s">
        <v>56</v>
      </c>
      <c r="J12" s="257">
        <f>'Юнит 01-04.01'!R9</f>
        <v>0</v>
      </c>
      <c r="K12" s="258">
        <f>J12/J$18</f>
        <v>0</v>
      </c>
      <c r="L12" s="258">
        <f>K12+L5</f>
        <v>0.74</v>
      </c>
      <c r="M12" s="259" t="str">
        <f t="shared" si="0"/>
        <v>A</v>
      </c>
    </row>
    <row r="13" spans="2:13" ht="28.5" customHeight="1" outlineLevel="1" thickBot="1">
      <c r="B13" s="256" t="s">
        <v>60</v>
      </c>
      <c r="C13" s="257">
        <f>'Юнит 01-04.01'!AE14</f>
        <v>0</v>
      </c>
      <c r="D13" s="258">
        <f>C13/C$18</f>
        <v>0</v>
      </c>
      <c r="E13" s="258">
        <f t="shared" ref="E13:E16" si="9">D13+E12</f>
        <v>-0.18407357678722777</v>
      </c>
      <c r="F13" s="259" t="str">
        <f t="shared" si="1"/>
        <v>C</v>
      </c>
      <c r="G13" s="259" t="str">
        <f>VLOOKUP(B$4:B$17,I$4:M$17,5,0)</f>
        <v>A</v>
      </c>
      <c r="I13" s="256" t="s">
        <v>57</v>
      </c>
      <c r="J13" s="257">
        <f>'Юнит 01-04.01'!R10</f>
        <v>0</v>
      </c>
      <c r="K13" s="258">
        <f>J13/J$18</f>
        <v>0</v>
      </c>
      <c r="L13" s="258">
        <f t="shared" ref="L13:L16" si="10">K13+L12</f>
        <v>0.74</v>
      </c>
      <c r="M13" s="259" t="str">
        <f t="shared" si="0"/>
        <v>A</v>
      </c>
    </row>
    <row r="14" spans="2:13" ht="28.5" customHeight="1" outlineLevel="1" thickBot="1">
      <c r="B14" s="256" t="s">
        <v>61</v>
      </c>
      <c r="C14" s="257">
        <f>'Юнит 01-04.01'!AE16</f>
        <v>0</v>
      </c>
      <c r="D14" s="258">
        <f>C14/C$18</f>
        <v>0</v>
      </c>
      <c r="E14" s="258">
        <f t="shared" si="9"/>
        <v>-0.18407357678722777</v>
      </c>
      <c r="F14" s="259" t="str">
        <f t="shared" si="1"/>
        <v>C</v>
      </c>
      <c r="G14" s="259" t="str">
        <f>VLOOKUP(B$4:B$17,I$4:M$17,5,0)</f>
        <v>A</v>
      </c>
      <c r="I14" s="256" t="s">
        <v>58</v>
      </c>
      <c r="J14" s="257">
        <f>'Юнит 01-04.01'!R12</f>
        <v>0</v>
      </c>
      <c r="K14" s="258">
        <f>J14/J$18</f>
        <v>0</v>
      </c>
      <c r="L14" s="258">
        <f t="shared" si="10"/>
        <v>0.74</v>
      </c>
      <c r="M14" s="259" t="str">
        <f t="shared" si="0"/>
        <v>A</v>
      </c>
    </row>
    <row r="15" spans="2:13" ht="28.5" customHeight="1" outlineLevel="1" thickBot="1">
      <c r="B15" s="256" t="s">
        <v>44</v>
      </c>
      <c r="C15" s="257">
        <f>'Юнит 01-04.01'!AE8</f>
        <v>-532.45839999999976</v>
      </c>
      <c r="D15" s="258">
        <f>C15/C$18</f>
        <v>6.8988427084542475E-2</v>
      </c>
      <c r="E15" s="258">
        <f t="shared" si="9"/>
        <v>-0.1150851497026853</v>
      </c>
      <c r="F15" s="259" t="str">
        <f t="shared" si="1"/>
        <v>C</v>
      </c>
      <c r="G15" s="259" t="str">
        <f>VLOOKUP(B$4:B$17,I$4:M$17,5,0)</f>
        <v>C</v>
      </c>
      <c r="I15" s="256" t="s">
        <v>59</v>
      </c>
      <c r="J15" s="257">
        <f>'Юнит 01-04.01'!R13</f>
        <v>0</v>
      </c>
      <c r="K15" s="258">
        <f>J15/J$18</f>
        <v>0</v>
      </c>
      <c r="L15" s="258">
        <f t="shared" si="10"/>
        <v>0.74</v>
      </c>
      <c r="M15" s="259" t="str">
        <f t="shared" si="0"/>
        <v>A</v>
      </c>
    </row>
    <row r="16" spans="2:13" ht="28.5" customHeight="1" outlineLevel="1" thickBot="1">
      <c r="B16" s="256" t="s">
        <v>42</v>
      </c>
      <c r="C16" s="257">
        <f>'Юнит 01-04.01'!AE6</f>
        <v>-2868.5860689999986</v>
      </c>
      <c r="D16" s="258">
        <f>C16/C$18</f>
        <v>0.37167080255836105</v>
      </c>
      <c r="E16" s="258">
        <f t="shared" si="9"/>
        <v>0.25658565285567575</v>
      </c>
      <c r="F16" s="259" t="str">
        <f t="shared" si="1"/>
        <v>A</v>
      </c>
      <c r="G16" s="259" t="str">
        <f>VLOOKUP(B$4:B$17,I$4:M$17,5,0)</f>
        <v>B</v>
      </c>
      <c r="I16" s="256" t="s">
        <v>60</v>
      </c>
      <c r="J16" s="257">
        <f>'Юнит 01-04.01'!R14</f>
        <v>0</v>
      </c>
      <c r="K16" s="258">
        <f>J16/J$18</f>
        <v>0</v>
      </c>
      <c r="L16" s="258">
        <f t="shared" si="10"/>
        <v>0.74</v>
      </c>
      <c r="M16" s="259" t="str">
        <f t="shared" si="0"/>
        <v>A</v>
      </c>
    </row>
    <row r="17" spans="2:13" ht="28.5" customHeight="1" outlineLevel="1" thickBot="1">
      <c r="B17" s="256" t="s">
        <v>53</v>
      </c>
      <c r="C17" s="257">
        <f>'Юнит 01-04.01'!AE11</f>
        <v>-6539.4585669999988</v>
      </c>
      <c r="D17" s="258">
        <f>C17/C$18</f>
        <v>0.84729053109476027</v>
      </c>
      <c r="E17" s="258">
        <f>D17+E14</f>
        <v>0.66321695430753247</v>
      </c>
      <c r="F17" s="259" t="str">
        <f t="shared" si="1"/>
        <v>A</v>
      </c>
      <c r="G17" s="259" t="str">
        <f>VLOOKUP(B$4:B$17,I$4:M$17,5,0)</f>
        <v>A</v>
      </c>
      <c r="I17" s="256" t="s">
        <v>61</v>
      </c>
      <c r="J17" s="257">
        <f>'Юнит 01-04.01'!R16</f>
        <v>0</v>
      </c>
      <c r="K17" s="258">
        <f>J17/J$18</f>
        <v>0</v>
      </c>
      <c r="L17" s="258">
        <f>K17+L14</f>
        <v>0.74</v>
      </c>
      <c r="M17" s="259" t="str">
        <f t="shared" si="0"/>
        <v>A</v>
      </c>
    </row>
    <row r="18" spans="2:13" outlineLevel="1">
      <c r="C18" s="260">
        <f>SUM(C4:C17)</f>
        <v>-7718.0829089999961</v>
      </c>
      <c r="D18" s="261">
        <f>SUM(D4:D17)</f>
        <v>1</v>
      </c>
      <c r="J18" s="260">
        <f>SUM(J4:J17)</f>
        <v>50</v>
      </c>
      <c r="K18" s="261">
        <f>SUM(K4:K17)</f>
        <v>1</v>
      </c>
    </row>
    <row r="20" spans="2:13" ht="15" hidden="1" outlineLevel="1" thickBot="1"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4"/>
    </row>
    <row r="21" spans="2:13" ht="23.5" hidden="1" outlineLevel="1" thickBot="1">
      <c r="C21" s="252" t="s">
        <v>29</v>
      </c>
      <c r="D21" s="253" t="s">
        <v>1079</v>
      </c>
      <c r="E21" s="254" t="s">
        <v>1080</v>
      </c>
      <c r="F21" s="253" t="s">
        <v>1081</v>
      </c>
      <c r="G21" s="253" t="s">
        <v>1082</v>
      </c>
      <c r="J21" s="252" t="s">
        <v>1083</v>
      </c>
      <c r="K21" s="253" t="s">
        <v>1084</v>
      </c>
      <c r="L21" s="254" t="s">
        <v>1080</v>
      </c>
      <c r="M21" s="255" t="s">
        <v>1082</v>
      </c>
    </row>
    <row r="22" spans="2:13" ht="15" hidden="1" outlineLevel="1" thickBot="1">
      <c r="B22" s="256"/>
      <c r="C22" s="257"/>
      <c r="D22" s="258" t="e">
        <f>C22/C$42</f>
        <v>#DIV/0!</v>
      </c>
      <c r="E22" s="258" t="e">
        <f>D22</f>
        <v>#DIV/0!</v>
      </c>
      <c r="F22" s="259" t="e">
        <f t="shared" ref="F22:F28" si="11">IF(AND(E22&lt;=0),"C",IF(E22&lt;=0.8,"A",IF(E22&lt;=0.95,"B","C")))</f>
        <v>#DIV/0!</v>
      </c>
      <c r="G22" s="259" t="e">
        <f>VLOOKUP(B$22:B$42,I$22:M$42,5,0)</f>
        <v>#N/A</v>
      </c>
      <c r="I22" s="256"/>
      <c r="J22" s="257"/>
      <c r="K22" s="258" t="e">
        <f>J22/J$42</f>
        <v>#DIV/0!</v>
      </c>
      <c r="L22" s="258" t="e">
        <f>K22</f>
        <v>#DIV/0!</v>
      </c>
      <c r="M22" s="259" t="e">
        <f t="shared" ref="M22:M28" si="12">_xlfn.IFS(L22&lt;80%,"A",L22&lt;=95%,"B",L22&gt;95%,"C")</f>
        <v>#DIV/0!</v>
      </c>
    </row>
    <row r="23" spans="2:13" ht="15" hidden="1" outlineLevel="1" thickBot="1">
      <c r="B23" s="256"/>
      <c r="C23" s="257"/>
      <c r="D23" s="258" t="e">
        <f t="shared" ref="D23:D41" si="13">C23/C$42</f>
        <v>#DIV/0!</v>
      </c>
      <c r="E23" s="258" t="e">
        <f>D23+E22</f>
        <v>#DIV/0!</v>
      </c>
      <c r="F23" s="259" t="e">
        <f t="shared" si="11"/>
        <v>#DIV/0!</v>
      </c>
      <c r="G23" s="259" t="e">
        <f t="shared" ref="G23:G41" si="14">VLOOKUP(B$22:B$42,I$22:M$42,5,0)</f>
        <v>#N/A</v>
      </c>
      <c r="I23" s="256"/>
      <c r="J23" s="257"/>
      <c r="K23" s="258" t="e">
        <f t="shared" ref="K23:K41" si="15">J23/J$42</f>
        <v>#DIV/0!</v>
      </c>
      <c r="L23" s="258" t="e">
        <f>K23+L22</f>
        <v>#DIV/0!</v>
      </c>
      <c r="M23" s="259" t="e">
        <f t="shared" si="12"/>
        <v>#DIV/0!</v>
      </c>
    </row>
    <row r="24" spans="2:13" ht="15" hidden="1" outlineLevel="1" thickBot="1">
      <c r="B24" s="256"/>
      <c r="C24" s="257"/>
      <c r="D24" s="258" t="e">
        <f t="shared" si="13"/>
        <v>#DIV/0!</v>
      </c>
      <c r="E24" s="258" t="e">
        <f t="shared" ref="E24:E41" si="16">D24+E23</f>
        <v>#DIV/0!</v>
      </c>
      <c r="F24" s="259" t="e">
        <f t="shared" si="11"/>
        <v>#DIV/0!</v>
      </c>
      <c r="G24" s="259" t="e">
        <f t="shared" si="14"/>
        <v>#N/A</v>
      </c>
      <c r="I24" s="256"/>
      <c r="J24" s="257"/>
      <c r="K24" s="258" t="e">
        <f t="shared" si="15"/>
        <v>#DIV/0!</v>
      </c>
      <c r="L24" s="258" t="e">
        <f t="shared" ref="L24:L41" si="17">K24+L23</f>
        <v>#DIV/0!</v>
      </c>
      <c r="M24" s="259" t="e">
        <f t="shared" si="12"/>
        <v>#DIV/0!</v>
      </c>
    </row>
    <row r="25" spans="2:13" ht="15" hidden="1" outlineLevel="1" thickBot="1">
      <c r="B25" s="256"/>
      <c r="C25" s="257"/>
      <c r="D25" s="258" t="e">
        <f t="shared" si="13"/>
        <v>#DIV/0!</v>
      </c>
      <c r="E25" s="258" t="e">
        <f t="shared" si="16"/>
        <v>#DIV/0!</v>
      </c>
      <c r="F25" s="259" t="e">
        <f t="shared" si="11"/>
        <v>#DIV/0!</v>
      </c>
      <c r="G25" s="259" t="e">
        <f t="shared" si="14"/>
        <v>#N/A</v>
      </c>
      <c r="I25" s="256"/>
      <c r="J25" s="257"/>
      <c r="K25" s="258" t="e">
        <f t="shared" si="15"/>
        <v>#DIV/0!</v>
      </c>
      <c r="L25" s="258" t="e">
        <f t="shared" si="17"/>
        <v>#DIV/0!</v>
      </c>
      <c r="M25" s="259" t="e">
        <f t="shared" si="12"/>
        <v>#DIV/0!</v>
      </c>
    </row>
    <row r="26" spans="2:13" ht="15" hidden="1" outlineLevel="1" thickBot="1">
      <c r="B26" s="256"/>
      <c r="C26" s="257"/>
      <c r="D26" s="258" t="e">
        <f t="shared" si="13"/>
        <v>#DIV/0!</v>
      </c>
      <c r="E26" s="258" t="e">
        <f t="shared" si="16"/>
        <v>#DIV/0!</v>
      </c>
      <c r="F26" s="259" t="e">
        <f t="shared" si="11"/>
        <v>#DIV/0!</v>
      </c>
      <c r="G26" s="259" t="e">
        <f t="shared" si="14"/>
        <v>#N/A</v>
      </c>
      <c r="I26" s="256"/>
      <c r="J26" s="257"/>
      <c r="K26" s="258" t="e">
        <f t="shared" si="15"/>
        <v>#DIV/0!</v>
      </c>
      <c r="L26" s="258" t="e">
        <f t="shared" si="17"/>
        <v>#DIV/0!</v>
      </c>
      <c r="M26" s="259" t="e">
        <f t="shared" si="12"/>
        <v>#DIV/0!</v>
      </c>
    </row>
    <row r="27" spans="2:13" ht="15" hidden="1" outlineLevel="1" thickBot="1">
      <c r="B27" s="256"/>
      <c r="C27" s="257"/>
      <c r="D27" s="258" t="e">
        <f t="shared" si="13"/>
        <v>#DIV/0!</v>
      </c>
      <c r="E27" s="258" t="e">
        <f t="shared" si="16"/>
        <v>#DIV/0!</v>
      </c>
      <c r="F27" s="259" t="e">
        <f t="shared" si="11"/>
        <v>#DIV/0!</v>
      </c>
      <c r="G27" s="259" t="e">
        <f t="shared" si="14"/>
        <v>#N/A</v>
      </c>
      <c r="I27" s="256"/>
      <c r="J27" s="257"/>
      <c r="K27" s="258" t="e">
        <f t="shared" si="15"/>
        <v>#DIV/0!</v>
      </c>
      <c r="L27" s="258" t="e">
        <f t="shared" si="17"/>
        <v>#DIV/0!</v>
      </c>
      <c r="M27" s="259" t="e">
        <f t="shared" si="12"/>
        <v>#DIV/0!</v>
      </c>
    </row>
    <row r="28" spans="2:13" ht="15" hidden="1" outlineLevel="1" thickBot="1">
      <c r="B28" s="256"/>
      <c r="C28" s="257"/>
      <c r="D28" s="258" t="e">
        <f t="shared" si="13"/>
        <v>#DIV/0!</v>
      </c>
      <c r="E28" s="258" t="e">
        <f t="shared" si="16"/>
        <v>#DIV/0!</v>
      </c>
      <c r="F28" s="259" t="e">
        <f t="shared" si="11"/>
        <v>#DIV/0!</v>
      </c>
      <c r="G28" s="259" t="e">
        <f t="shared" si="14"/>
        <v>#N/A</v>
      </c>
      <c r="I28" s="256"/>
      <c r="J28" s="257"/>
      <c r="K28" s="258" t="e">
        <f t="shared" si="15"/>
        <v>#DIV/0!</v>
      </c>
      <c r="L28" s="258" t="e">
        <f t="shared" si="17"/>
        <v>#DIV/0!</v>
      </c>
      <c r="M28" s="259" t="e">
        <f t="shared" si="12"/>
        <v>#DIV/0!</v>
      </c>
    </row>
    <row r="29" spans="2:13" ht="15" hidden="1" outlineLevel="1" thickBot="1">
      <c r="B29" s="256"/>
      <c r="C29" s="257"/>
      <c r="D29" s="258" t="e">
        <f t="shared" si="13"/>
        <v>#DIV/0!</v>
      </c>
      <c r="E29" s="258" t="e">
        <f t="shared" si="16"/>
        <v>#DIV/0!</v>
      </c>
      <c r="F29" s="259" t="e">
        <f>IF(AND(E29&lt;=0),"C",IF(E29&lt;=0.8,"A",IF(E29&lt;=0.95,"B","C")))</f>
        <v>#DIV/0!</v>
      </c>
      <c r="G29" s="259" t="e">
        <f t="shared" si="14"/>
        <v>#N/A</v>
      </c>
      <c r="I29" s="256"/>
      <c r="J29" s="257"/>
      <c r="K29" s="258" t="e">
        <f t="shared" si="15"/>
        <v>#DIV/0!</v>
      </c>
      <c r="L29" s="258" t="e">
        <f t="shared" si="17"/>
        <v>#DIV/0!</v>
      </c>
      <c r="M29" s="259" t="e">
        <f>_xlfn.IFS(L29&lt;80%,"A",L29&lt;=95%,"B",L29&gt;95%,"C")</f>
        <v>#DIV/0!</v>
      </c>
    </row>
    <row r="30" spans="2:13" ht="15" hidden="1" outlineLevel="1" thickBot="1">
      <c r="B30" s="256"/>
      <c r="C30" s="257"/>
      <c r="D30" s="258" t="e">
        <f t="shared" si="13"/>
        <v>#DIV/0!</v>
      </c>
      <c r="E30" s="258" t="e">
        <f t="shared" si="16"/>
        <v>#DIV/0!</v>
      </c>
      <c r="F30" s="259" t="e">
        <f t="shared" ref="F30:F41" si="18">IF(AND(E30&lt;=0),"C",IF(E30&lt;=0.8,"A",IF(E30&lt;=0.95,"B","C")))</f>
        <v>#DIV/0!</v>
      </c>
      <c r="G30" s="259" t="e">
        <f t="shared" si="14"/>
        <v>#N/A</v>
      </c>
      <c r="I30" s="256"/>
      <c r="J30" s="257"/>
      <c r="K30" s="258" t="e">
        <f t="shared" si="15"/>
        <v>#DIV/0!</v>
      </c>
      <c r="L30" s="258" t="e">
        <f t="shared" si="17"/>
        <v>#DIV/0!</v>
      </c>
      <c r="M30" s="259" t="e">
        <f t="shared" ref="M30:M41" si="19">_xlfn.IFS(L30&lt;80%,"A",L30&lt;=95%,"B",L30&gt;95%,"C")</f>
        <v>#DIV/0!</v>
      </c>
    </row>
    <row r="31" spans="2:13" ht="15" hidden="1" outlineLevel="1" thickBot="1">
      <c r="B31" s="256"/>
      <c r="C31" s="257"/>
      <c r="D31" s="258" t="e">
        <f t="shared" si="13"/>
        <v>#DIV/0!</v>
      </c>
      <c r="E31" s="258" t="e">
        <f t="shared" si="16"/>
        <v>#DIV/0!</v>
      </c>
      <c r="F31" s="259" t="e">
        <f t="shared" si="18"/>
        <v>#DIV/0!</v>
      </c>
      <c r="G31" s="259" t="e">
        <f t="shared" si="14"/>
        <v>#N/A</v>
      </c>
      <c r="I31" s="256"/>
      <c r="J31" s="257"/>
      <c r="K31" s="258" t="e">
        <f t="shared" si="15"/>
        <v>#DIV/0!</v>
      </c>
      <c r="L31" s="258" t="e">
        <f t="shared" si="17"/>
        <v>#DIV/0!</v>
      </c>
      <c r="M31" s="259" t="e">
        <f t="shared" si="19"/>
        <v>#DIV/0!</v>
      </c>
    </row>
    <row r="32" spans="2:13" ht="15" hidden="1" outlineLevel="1" thickBot="1">
      <c r="B32" s="256"/>
      <c r="C32" s="257"/>
      <c r="D32" s="258" t="e">
        <f t="shared" si="13"/>
        <v>#DIV/0!</v>
      </c>
      <c r="E32" s="258" t="e">
        <f t="shared" si="16"/>
        <v>#DIV/0!</v>
      </c>
      <c r="F32" s="259" t="e">
        <f t="shared" si="18"/>
        <v>#DIV/0!</v>
      </c>
      <c r="G32" s="259" t="e">
        <f t="shared" si="14"/>
        <v>#N/A</v>
      </c>
      <c r="I32" s="256"/>
      <c r="J32" s="257"/>
      <c r="K32" s="258" t="e">
        <f t="shared" si="15"/>
        <v>#DIV/0!</v>
      </c>
      <c r="L32" s="258" t="e">
        <f t="shared" si="17"/>
        <v>#DIV/0!</v>
      </c>
      <c r="M32" s="259" t="e">
        <f t="shared" si="19"/>
        <v>#DIV/0!</v>
      </c>
    </row>
    <row r="33" spans="2:13" ht="15" hidden="1" outlineLevel="1" thickBot="1">
      <c r="B33" s="256"/>
      <c r="C33" s="257"/>
      <c r="D33" s="258" t="e">
        <f t="shared" si="13"/>
        <v>#DIV/0!</v>
      </c>
      <c r="E33" s="258" t="e">
        <f t="shared" si="16"/>
        <v>#DIV/0!</v>
      </c>
      <c r="F33" s="259" t="e">
        <f t="shared" si="18"/>
        <v>#DIV/0!</v>
      </c>
      <c r="G33" s="259" t="e">
        <f t="shared" si="14"/>
        <v>#N/A</v>
      </c>
      <c r="I33" s="256"/>
      <c r="J33" s="257"/>
      <c r="K33" s="258" t="e">
        <f t="shared" si="15"/>
        <v>#DIV/0!</v>
      </c>
      <c r="L33" s="258" t="e">
        <f t="shared" si="17"/>
        <v>#DIV/0!</v>
      </c>
      <c r="M33" s="259" t="e">
        <f t="shared" si="19"/>
        <v>#DIV/0!</v>
      </c>
    </row>
    <row r="34" spans="2:13" ht="15" hidden="1" outlineLevel="1" thickBot="1">
      <c r="B34" s="256"/>
      <c r="C34" s="257"/>
      <c r="D34" s="258" t="e">
        <f t="shared" si="13"/>
        <v>#DIV/0!</v>
      </c>
      <c r="E34" s="258" t="e">
        <f t="shared" si="16"/>
        <v>#DIV/0!</v>
      </c>
      <c r="F34" s="259" t="e">
        <f t="shared" si="18"/>
        <v>#DIV/0!</v>
      </c>
      <c r="G34" s="259" t="e">
        <f t="shared" si="14"/>
        <v>#N/A</v>
      </c>
      <c r="I34" s="256"/>
      <c r="J34" s="257"/>
      <c r="K34" s="258" t="e">
        <f t="shared" si="15"/>
        <v>#DIV/0!</v>
      </c>
      <c r="L34" s="258" t="e">
        <f t="shared" si="17"/>
        <v>#DIV/0!</v>
      </c>
      <c r="M34" s="259" t="e">
        <f t="shared" si="19"/>
        <v>#DIV/0!</v>
      </c>
    </row>
    <row r="35" spans="2:13" ht="15" hidden="1" outlineLevel="1" thickBot="1">
      <c r="B35" s="256"/>
      <c r="C35" s="257"/>
      <c r="D35" s="258" t="e">
        <f t="shared" si="13"/>
        <v>#DIV/0!</v>
      </c>
      <c r="E35" s="258" t="e">
        <f t="shared" si="16"/>
        <v>#DIV/0!</v>
      </c>
      <c r="F35" s="259" t="e">
        <f t="shared" si="18"/>
        <v>#DIV/0!</v>
      </c>
      <c r="G35" s="259" t="e">
        <f t="shared" si="14"/>
        <v>#N/A</v>
      </c>
      <c r="I35" s="256"/>
      <c r="J35" s="257"/>
      <c r="K35" s="258" t="e">
        <f t="shared" si="15"/>
        <v>#DIV/0!</v>
      </c>
      <c r="L35" s="258" t="e">
        <f t="shared" si="17"/>
        <v>#DIV/0!</v>
      </c>
      <c r="M35" s="259" t="e">
        <f t="shared" si="19"/>
        <v>#DIV/0!</v>
      </c>
    </row>
    <row r="36" spans="2:13" ht="15" hidden="1" outlineLevel="1" thickBot="1">
      <c r="B36" s="256"/>
      <c r="C36" s="257"/>
      <c r="D36" s="258" t="e">
        <f t="shared" si="13"/>
        <v>#DIV/0!</v>
      </c>
      <c r="E36" s="258" t="e">
        <f t="shared" si="16"/>
        <v>#DIV/0!</v>
      </c>
      <c r="F36" s="259" t="e">
        <f t="shared" si="18"/>
        <v>#DIV/0!</v>
      </c>
      <c r="G36" s="259" t="e">
        <f t="shared" si="14"/>
        <v>#N/A</v>
      </c>
      <c r="I36" s="256"/>
      <c r="J36" s="257"/>
      <c r="K36" s="258" t="e">
        <f t="shared" si="15"/>
        <v>#DIV/0!</v>
      </c>
      <c r="L36" s="258" t="e">
        <f t="shared" si="17"/>
        <v>#DIV/0!</v>
      </c>
      <c r="M36" s="259" t="e">
        <f t="shared" si="19"/>
        <v>#DIV/0!</v>
      </c>
    </row>
    <row r="37" spans="2:13" ht="15" hidden="1" outlineLevel="1" thickBot="1">
      <c r="B37" s="256"/>
      <c r="C37" s="257"/>
      <c r="D37" s="258" t="e">
        <f t="shared" si="13"/>
        <v>#DIV/0!</v>
      </c>
      <c r="E37" s="258" t="e">
        <f t="shared" si="16"/>
        <v>#DIV/0!</v>
      </c>
      <c r="F37" s="259" t="e">
        <f t="shared" si="18"/>
        <v>#DIV/0!</v>
      </c>
      <c r="G37" s="259" t="e">
        <f t="shared" si="14"/>
        <v>#N/A</v>
      </c>
      <c r="I37" s="256"/>
      <c r="J37" s="257"/>
      <c r="K37" s="258" t="e">
        <f t="shared" si="15"/>
        <v>#DIV/0!</v>
      </c>
      <c r="L37" s="258" t="e">
        <f t="shared" si="17"/>
        <v>#DIV/0!</v>
      </c>
      <c r="M37" s="259" t="e">
        <f t="shared" si="19"/>
        <v>#DIV/0!</v>
      </c>
    </row>
    <row r="38" spans="2:13" ht="15" hidden="1" outlineLevel="1" thickBot="1">
      <c r="B38" s="256"/>
      <c r="C38" s="257"/>
      <c r="D38" s="258" t="e">
        <f t="shared" si="13"/>
        <v>#DIV/0!</v>
      </c>
      <c r="E38" s="258" t="e">
        <f t="shared" si="16"/>
        <v>#DIV/0!</v>
      </c>
      <c r="F38" s="259" t="e">
        <f t="shared" si="18"/>
        <v>#DIV/0!</v>
      </c>
      <c r="G38" s="259" t="e">
        <f t="shared" si="14"/>
        <v>#N/A</v>
      </c>
      <c r="I38" s="256"/>
      <c r="J38" s="257"/>
      <c r="K38" s="258" t="e">
        <f t="shared" si="15"/>
        <v>#DIV/0!</v>
      </c>
      <c r="L38" s="258" t="e">
        <f t="shared" si="17"/>
        <v>#DIV/0!</v>
      </c>
      <c r="M38" s="259" t="e">
        <f t="shared" si="19"/>
        <v>#DIV/0!</v>
      </c>
    </row>
    <row r="39" spans="2:13" ht="15" hidden="1" outlineLevel="1" thickBot="1">
      <c r="B39" s="256"/>
      <c r="C39" s="257"/>
      <c r="D39" s="258" t="e">
        <f t="shared" si="13"/>
        <v>#DIV/0!</v>
      </c>
      <c r="E39" s="258" t="e">
        <f t="shared" si="16"/>
        <v>#DIV/0!</v>
      </c>
      <c r="F39" s="259" t="e">
        <f t="shared" si="18"/>
        <v>#DIV/0!</v>
      </c>
      <c r="G39" s="259" t="e">
        <f t="shared" si="14"/>
        <v>#N/A</v>
      </c>
      <c r="I39" s="256"/>
      <c r="J39" s="257"/>
      <c r="K39" s="258" t="e">
        <f t="shared" si="15"/>
        <v>#DIV/0!</v>
      </c>
      <c r="L39" s="258" t="e">
        <f t="shared" si="17"/>
        <v>#DIV/0!</v>
      </c>
      <c r="M39" s="259" t="e">
        <f t="shared" si="19"/>
        <v>#DIV/0!</v>
      </c>
    </row>
    <row r="40" spans="2:13" ht="15" hidden="1" outlineLevel="1" thickBot="1">
      <c r="B40" s="256"/>
      <c r="C40" s="257"/>
      <c r="D40" s="258" t="e">
        <f t="shared" si="13"/>
        <v>#DIV/0!</v>
      </c>
      <c r="E40" s="258" t="e">
        <f t="shared" si="16"/>
        <v>#DIV/0!</v>
      </c>
      <c r="F40" s="259" t="e">
        <f t="shared" si="18"/>
        <v>#DIV/0!</v>
      </c>
      <c r="G40" s="259" t="e">
        <f t="shared" si="14"/>
        <v>#N/A</v>
      </c>
      <c r="I40" s="256"/>
      <c r="J40" s="257"/>
      <c r="K40" s="258" t="e">
        <f t="shared" si="15"/>
        <v>#DIV/0!</v>
      </c>
      <c r="L40" s="258" t="e">
        <f t="shared" si="17"/>
        <v>#DIV/0!</v>
      </c>
      <c r="M40" s="259" t="e">
        <f t="shared" si="19"/>
        <v>#DIV/0!</v>
      </c>
    </row>
    <row r="41" spans="2:13" ht="15" hidden="1" outlineLevel="1" thickBot="1">
      <c r="B41" s="256"/>
      <c r="C41" s="257"/>
      <c r="D41" s="258" t="e">
        <f t="shared" si="13"/>
        <v>#DIV/0!</v>
      </c>
      <c r="E41" s="258" t="e">
        <f t="shared" si="16"/>
        <v>#DIV/0!</v>
      </c>
      <c r="F41" s="259" t="e">
        <f t="shared" si="18"/>
        <v>#DIV/0!</v>
      </c>
      <c r="G41" s="259" t="e">
        <f t="shared" si="14"/>
        <v>#N/A</v>
      </c>
      <c r="I41" s="256"/>
      <c r="J41" s="257"/>
      <c r="K41" s="258" t="e">
        <f t="shared" si="15"/>
        <v>#DIV/0!</v>
      </c>
      <c r="L41" s="258" t="e">
        <f t="shared" si="17"/>
        <v>#DIV/0!</v>
      </c>
      <c r="M41" s="259" t="e">
        <f t="shared" si="19"/>
        <v>#DIV/0!</v>
      </c>
    </row>
    <row r="42" spans="2:13" hidden="1" outlineLevel="1">
      <c r="C42" s="260">
        <f>SUM(C22:C41)</f>
        <v>0</v>
      </c>
      <c r="D42" s="261" t="e">
        <f>SUM(D22:D41)</f>
        <v>#DIV/0!</v>
      </c>
      <c r="J42" s="260">
        <f>SUM(J22:J41)</f>
        <v>0</v>
      </c>
      <c r="K42" s="261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32" priority="4" operator="equal">
      <formula>"C"</formula>
    </cfRule>
    <cfRule type="cellIs" dxfId="131" priority="5" operator="equal">
      <formula>"B"</formula>
    </cfRule>
    <cfRule type="cellIs" dxfId="130" priority="6" operator="equal">
      <formula>"A"</formula>
    </cfRule>
  </conditionalFormatting>
  <conditionalFormatting sqref="M22:M41 D22:D41 K22:K41 F22:G41">
    <cfRule type="cellIs" dxfId="129" priority="1" operator="equal">
      <formula>"C"</formula>
    </cfRule>
    <cfRule type="cellIs" dxfId="128" priority="2" operator="equal">
      <formula>"B"</formula>
    </cfRule>
    <cfRule type="cellIs" dxfId="127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2676784153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15" si="1">K3/7</f>
        <v>0</v>
      </c>
      <c r="O3" s="38">
        <f t="shared" ref="O3:O15" ca="1" si="2">R3/7</f>
        <v>0</v>
      </c>
      <c r="P3" s="39">
        <f ca="1">SUMIFS('Отчет 01.02'!H:H,'Отчет 01.02'!D:D,"Выручка",'Отчет 01.02'!E:E,B3)</f>
        <v>0</v>
      </c>
      <c r="Q3" s="39">
        <f ca="1">SUMIFS('Отчет 01.02'!H:H,'Отчет 01.02'!D:D,"Возврат выручки",'Отчет 01.02'!E:E,B3)</f>
        <v>0</v>
      </c>
      <c r="R3" s="40">
        <f t="shared" ref="R3:R7" ca="1" si="3">P3-Q3</f>
        <v>0</v>
      </c>
      <c r="S3" s="41">
        <f ca="1">SUMIFS('Отчет 01.02'!P:P,'Отчет 01.02'!C:C,"Продажи",'Отчет 01.02'!E:E,B3)</f>
        <v>0</v>
      </c>
      <c r="T3" s="42">
        <f ca="1">SUMIFS('Отчет 01.02'!P:P,'Отчет 01.02'!C:C,"Возвраты",'Отчет 01.02'!E:E,B3)</f>
        <v>0</v>
      </c>
      <c r="U3" s="40">
        <f t="shared" ref="U3:U7" ca="1" si="4">S3+T3</f>
        <v>0</v>
      </c>
      <c r="V3" s="43" t="e">
        <f t="shared" ref="V3:V14" ca="1" si="5">U3/$U$24</f>
        <v>#DIV/0!</v>
      </c>
      <c r="W3" s="44">
        <f t="shared" ref="W3:W7" ca="1" si="6">R3*H3</f>
        <v>0</v>
      </c>
      <c r="X3" s="42">
        <f ca="1">-SUMIFS('Отчет 01.02'!P:P,'Отчет 01.02'!C:C,"Вознаграждение Ozon",'Отчет 01.02'!E:E,B3)</f>
        <v>0</v>
      </c>
      <c r="Y3" s="45">
        <f t="shared" ref="Y3:Y7" ca="1" si="7">IF(U3=0,0,X3/U3)</f>
        <v>0</v>
      </c>
      <c r="Z3" s="42">
        <f ca="1">-SUMIFS('Отчет 01.02'!P:P,'Отчет 01.02'!C:C,"Услуги доставки",'Отчет 01.02'!E:E,B3)</f>
        <v>0</v>
      </c>
      <c r="AA3" s="32"/>
      <c r="AB3" s="42"/>
      <c r="AC3" s="42"/>
      <c r="AD3" s="46">
        <f ca="1">U3*5.71%</f>
        <v>0</v>
      </c>
      <c r="AE3" s="47">
        <f t="shared" ref="AE3:AE15" ca="1" si="8">U3-W3-X3-Z3-AA3-AB3-AC3-AD3</f>
        <v>0</v>
      </c>
      <c r="AF3" s="46"/>
      <c r="AG3" s="48">
        <f t="shared" ref="AG3:AG15" ca="1" si="9">IF(R3=0,0,U3/R3)</f>
        <v>0</v>
      </c>
      <c r="AH3" s="49">
        <f t="shared" ref="AH3:AH15" si="10">H3</f>
        <v>142.97999999999999</v>
      </c>
      <c r="AI3" s="49">
        <f t="shared" ref="AI3:AI15" ca="1" si="11">IF(R3=0,0,X3/R3)</f>
        <v>0</v>
      </c>
      <c r="AJ3" s="49">
        <f t="shared" ref="AJ3:AJ15" ca="1" si="12">IF(P3=0,Z3/1,Z3/P3)</f>
        <v>0</v>
      </c>
      <c r="AK3" s="49">
        <f t="shared" ref="AK3:AK15" ca="1" si="13">IF(P3=0,0,AA3/P3)</f>
        <v>0</v>
      </c>
      <c r="AL3" s="49">
        <f ca="1">_xlfn.IFS(R3=0,AE3,R3&lt;0,AE3/-R3,R3&gt;0,AE3/R3)</f>
        <v>0</v>
      </c>
      <c r="AM3" s="50">
        <f t="shared" ref="AM3:AM15" ca="1" si="14">IF(AG3=0,0,AL3/AG3)</f>
        <v>0</v>
      </c>
      <c r="AN3" s="51">
        <f t="shared" ref="AN3:AN15" ca="1" si="15">IF(AH3=0,0,AL3/AH3)</f>
        <v>0</v>
      </c>
      <c r="AP3" s="53">
        <f t="shared" ref="AP3:AP15" ca="1" si="16">AL3*C3</f>
        <v>0</v>
      </c>
    </row>
    <row r="4" spans="1:42">
      <c r="A4" s="30">
        <v>2676784638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ca="1" si="2"/>
        <v>0</v>
      </c>
      <c r="P4" s="39">
        <f ca="1">SUMIFS('Отчет 01.02'!H:H,'Отчет 01.02'!D:D,"Выручка",'Отчет 01.02'!E:E,B4)</f>
        <v>0</v>
      </c>
      <c r="Q4" s="39">
        <f ca="1">SUMIFS('Отчет 01.02'!H:H,'Отчет 01.02'!D:D,"Возврат выручки",'Отчет 01.02'!E:E,B4)</f>
        <v>0</v>
      </c>
      <c r="R4" s="40">
        <f t="shared" ca="1" si="3"/>
        <v>0</v>
      </c>
      <c r="S4" s="41">
        <f ca="1">SUMIFS('Отчет 01.02'!P:P,'Отчет 01.02'!C:C,"Продажи",'Отчет 01.02'!E:E,B4)</f>
        <v>0</v>
      </c>
      <c r="T4" s="42">
        <f ca="1">SUMIFS('Отчет 01.02'!P:P,'Отчет 01.02'!C:C,"Возвраты",'Отчет 01.02'!E:E,B4)</f>
        <v>0</v>
      </c>
      <c r="U4" s="40">
        <f t="shared" ca="1" si="4"/>
        <v>0</v>
      </c>
      <c r="V4" s="43" t="e">
        <f t="shared" ca="1" si="5"/>
        <v>#DIV/0!</v>
      </c>
      <c r="W4" s="44">
        <f t="shared" ca="1" si="6"/>
        <v>0</v>
      </c>
      <c r="X4" s="42">
        <f ca="1">-SUMIFS('Отчет 01.02'!P:P,'Отчет 01.02'!C:C,"Вознаграждение Ozon",'Отчет 01.02'!E:E,B4)</f>
        <v>0</v>
      </c>
      <c r="Y4" s="45">
        <f t="shared" ref="Y4:Y16" ca="1" si="17">IF(U4=0,0,X4/U4)</f>
        <v>0</v>
      </c>
      <c r="Z4" s="42">
        <f ca="1">-SUMIFS('Отчет 01.02'!P:P,'Отчет 01.02'!C:C,"Услуги доставки",'Отчет 01.02'!E:E,B4)</f>
        <v>0</v>
      </c>
      <c r="AA4" s="32"/>
      <c r="AB4" s="42"/>
      <c r="AC4" s="42"/>
      <c r="AD4" s="46">
        <f t="shared" ref="AD4:AD16" ca="1" si="18">U4*5.71%</f>
        <v>0</v>
      </c>
      <c r="AE4" s="47">
        <f t="shared" ca="1" si="8"/>
        <v>0</v>
      </c>
      <c r="AF4" s="46"/>
      <c r="AG4" s="48">
        <f t="shared" ca="1" si="9"/>
        <v>0</v>
      </c>
      <c r="AH4" s="49">
        <f t="shared" si="10"/>
        <v>123.09</v>
      </c>
      <c r="AI4" s="49">
        <f t="shared" ca="1" si="11"/>
        <v>0</v>
      </c>
      <c r="AJ4" s="49">
        <f t="shared" ca="1" si="12"/>
        <v>0</v>
      </c>
      <c r="AK4" s="49">
        <f t="shared" ca="1" si="13"/>
        <v>0</v>
      </c>
      <c r="AL4" s="49">
        <f t="array" aca="1" ref="AL4" ca="1">_xlfn.IFS(R4=0,AE4,R4&lt;0,AE4/-R4,R4&gt;0,AE4/R4)</f>
        <v>0</v>
      </c>
      <c r="AM4" s="50">
        <f t="shared" ca="1" si="14"/>
        <v>0</v>
      </c>
      <c r="AN4" s="51">
        <f t="shared" ca="1" si="15"/>
        <v>0</v>
      </c>
      <c r="AP4" s="53">
        <f t="shared" ca="1" si="16"/>
        <v>0</v>
      </c>
    </row>
    <row r="5" spans="1:42">
      <c r="A5" s="30">
        <v>2676784504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ca="1" si="2"/>
        <v>0</v>
      </c>
      <c r="P5" s="39">
        <f ca="1">SUMIFS('Отчет 01.02'!H:H,'Отчет 01.02'!D:D,"Выручка",'Отчет 01.02'!E:E,B5)</f>
        <v>0</v>
      </c>
      <c r="Q5" s="39">
        <f ca="1">SUMIFS('Отчет 01.02'!H:H,'Отчет 01.02'!D:D,"Возврат выручки",'Отчет 01.02'!E:E,B5)</f>
        <v>0</v>
      </c>
      <c r="R5" s="40">
        <f t="shared" ca="1" si="3"/>
        <v>0</v>
      </c>
      <c r="S5" s="41">
        <f ca="1">SUMIFS('Отчет 01.02'!P:P,'Отчет 01.02'!C:C,"Продажи",'Отчет 01.02'!E:E,B5)</f>
        <v>0</v>
      </c>
      <c r="T5" s="42">
        <f ca="1">SUMIFS('Отчет 01.02'!P:P,'Отчет 01.02'!C:C,"Возвраты",'Отчет 01.02'!E:E,B5)</f>
        <v>0</v>
      </c>
      <c r="U5" s="40">
        <f t="shared" ca="1" si="4"/>
        <v>0</v>
      </c>
      <c r="V5" s="43" t="e">
        <f t="shared" ca="1" si="5"/>
        <v>#DIV/0!</v>
      </c>
      <c r="W5" s="44">
        <f t="shared" ca="1" si="6"/>
        <v>0</v>
      </c>
      <c r="X5" s="42">
        <f ca="1">-SUMIFS('Отчет 01.02'!P:P,'Отчет 01.02'!C:C,"Вознаграждение Ozon",'Отчет 01.02'!E:E,B5)</f>
        <v>0</v>
      </c>
      <c r="Y5" s="45">
        <f t="shared" ca="1" si="17"/>
        <v>0</v>
      </c>
      <c r="Z5" s="42">
        <f ca="1">-SUMIFS('Отчет 01.02'!P:P,'Отчет 01.02'!C:C,"Услуги доставки",'Отчет 01.02'!E:E,B5)</f>
        <v>0</v>
      </c>
      <c r="AA5" s="32"/>
      <c r="AB5" s="55"/>
      <c r="AC5" s="42"/>
      <c r="AD5" s="46">
        <f t="shared" ca="1" si="18"/>
        <v>0</v>
      </c>
      <c r="AE5" s="47">
        <f t="shared" ca="1" si="8"/>
        <v>0</v>
      </c>
      <c r="AF5" s="46"/>
      <c r="AG5" s="48">
        <f t="shared" ca="1" si="9"/>
        <v>0</v>
      </c>
      <c r="AH5" s="49">
        <f t="shared" si="10"/>
        <v>123.09</v>
      </c>
      <c r="AI5" s="49">
        <f t="shared" ca="1" si="11"/>
        <v>0</v>
      </c>
      <c r="AJ5" s="49">
        <f t="shared" ca="1" si="12"/>
        <v>0</v>
      </c>
      <c r="AK5" s="49">
        <f t="shared" ca="1" si="13"/>
        <v>0</v>
      </c>
      <c r="AL5" s="49">
        <f t="array" aca="1" ref="AL5" ca="1">_xlfn.IFS(R5=0,AE5,R5&lt;0,AE5/-R5,R5&gt;0,AE5/R5)</f>
        <v>0</v>
      </c>
      <c r="AM5" s="50">
        <f t="shared" ca="1" si="14"/>
        <v>0</v>
      </c>
      <c r="AN5" s="51">
        <f t="shared" ca="1" si="15"/>
        <v>0</v>
      </c>
      <c r="AP5" s="53">
        <f t="shared" ca="1" si="16"/>
        <v>0</v>
      </c>
    </row>
    <row r="6" spans="1:42">
      <c r="A6" s="30">
        <v>2676784514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ca="1" si="2"/>
        <v>0</v>
      </c>
      <c r="P6" s="39">
        <f ca="1">SUMIFS('Отчет 01.02'!H:H,'Отчет 01.02'!D:D,"Выручка",'Отчет 01.02'!E:E,B6)</f>
        <v>0</v>
      </c>
      <c r="Q6" s="39">
        <f ca="1">SUMIFS('Отчет 01.02'!H:H,'Отчет 01.02'!D:D,"Возврат выручки",'Отчет 01.02'!E:E,B6)</f>
        <v>0</v>
      </c>
      <c r="R6" s="40">
        <f t="shared" ca="1" si="3"/>
        <v>0</v>
      </c>
      <c r="S6" s="41">
        <f ca="1">SUMIFS('Отчет 01.02'!P:P,'Отчет 01.02'!C:C,"Продажи",'Отчет 01.02'!E:E,B6)</f>
        <v>0</v>
      </c>
      <c r="T6" s="42">
        <f ca="1">SUMIFS('Отчет 01.02'!P:P,'Отчет 01.02'!C:C,"Возвраты",'Отчет 01.02'!E:E,B6)</f>
        <v>0</v>
      </c>
      <c r="U6" s="40">
        <f t="shared" ca="1" si="4"/>
        <v>0</v>
      </c>
      <c r="V6" s="43" t="e">
        <f t="shared" ca="1" si="5"/>
        <v>#DIV/0!</v>
      </c>
      <c r="W6" s="44">
        <f t="shared" ca="1" si="6"/>
        <v>0</v>
      </c>
      <c r="X6" s="42">
        <f ca="1">-SUMIFS('Отчет 01.02'!P:P,'Отчет 01.02'!C:C,"Вознаграждение Ozon",'Отчет 01.02'!E:E,B6)</f>
        <v>0</v>
      </c>
      <c r="Y6" s="45">
        <f t="shared" ca="1" si="17"/>
        <v>0</v>
      </c>
      <c r="Z6" s="42">
        <f ca="1">-SUMIFS('Отчет 01.02'!P:P,'Отчет 01.02'!C:C,"Услуги доставки",'Отчет 01.02'!E:E,B6)</f>
        <v>0</v>
      </c>
      <c r="AA6" s="32"/>
      <c r="AB6" s="55"/>
      <c r="AC6" s="42"/>
      <c r="AD6" s="46">
        <f t="shared" ca="1" si="18"/>
        <v>0</v>
      </c>
      <c r="AE6" s="47">
        <f t="shared" ca="1" si="8"/>
        <v>0</v>
      </c>
      <c r="AF6" s="46"/>
      <c r="AG6" s="48">
        <f t="shared" ca="1" si="9"/>
        <v>0</v>
      </c>
      <c r="AH6" s="49">
        <f t="shared" si="10"/>
        <v>123.09</v>
      </c>
      <c r="AI6" s="49">
        <f t="shared" ca="1" si="11"/>
        <v>0</v>
      </c>
      <c r="AJ6" s="49">
        <f t="shared" ca="1" si="12"/>
        <v>0</v>
      </c>
      <c r="AK6" s="49">
        <f t="shared" ca="1" si="13"/>
        <v>0</v>
      </c>
      <c r="AL6" s="49">
        <f t="array" aca="1" ref="AL6" ca="1">_xlfn.IFS(R6=0,AE6,R6&lt;0,AE6/-R6,R6&gt;0,AE6/R6)</f>
        <v>0</v>
      </c>
      <c r="AM6" s="50">
        <f t="shared" ca="1" si="14"/>
        <v>0</v>
      </c>
      <c r="AN6" s="51">
        <f t="shared" ca="1" si="15"/>
        <v>0</v>
      </c>
      <c r="AP6" s="53">
        <f t="shared" ca="1" si="16"/>
        <v>0</v>
      </c>
    </row>
    <row r="7" spans="1:42">
      <c r="A7" s="30">
        <v>2676784181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ca="1" si="2"/>
        <v>0</v>
      </c>
      <c r="P7" s="39">
        <f ca="1">SUMIFS('Отчет 01.02'!H:H,'Отчет 01.02'!D:D,"Выручка",'Отчет 01.02'!E:E,B7)</f>
        <v>0</v>
      </c>
      <c r="Q7" s="39">
        <f ca="1">SUMIFS('Отчет 01.02'!H:H,'Отчет 01.02'!D:D,"Возврат выручки",'Отчет 01.02'!E:E,B7)</f>
        <v>0</v>
      </c>
      <c r="R7" s="40">
        <f t="shared" ca="1" si="3"/>
        <v>0</v>
      </c>
      <c r="S7" s="41">
        <f ca="1">SUMIFS('Отчет 01.02'!P:P,'Отчет 01.02'!C:C,"Продажи",'Отчет 01.02'!E:E,B7)</f>
        <v>0</v>
      </c>
      <c r="T7" s="42">
        <f ca="1">SUMIFS('Отчет 01.02'!P:P,'Отчет 01.02'!C:C,"Возвраты",'Отчет 01.02'!E:E,B7)</f>
        <v>0</v>
      </c>
      <c r="U7" s="40">
        <f t="shared" ca="1" si="4"/>
        <v>0</v>
      </c>
      <c r="V7" s="43" t="e">
        <f t="shared" ca="1" si="5"/>
        <v>#DIV/0!</v>
      </c>
      <c r="W7" s="44">
        <f t="shared" ca="1" si="6"/>
        <v>0</v>
      </c>
      <c r="X7" s="42">
        <f ca="1">-SUMIFS('Отчет 01.02'!P:P,'Отчет 01.02'!C:C,"Вознаграждение Ozon",'Отчет 01.02'!E:E,B7)</f>
        <v>0</v>
      </c>
      <c r="Y7" s="45">
        <f t="shared" ca="1" si="17"/>
        <v>0</v>
      </c>
      <c r="Z7" s="42">
        <f ca="1">-SUMIFS('Отчет 01.02'!P:P,'Отчет 01.02'!C:C,"Услуги доставки",'Отчет 01.02'!E:E,B7)</f>
        <v>0</v>
      </c>
      <c r="AA7" s="32"/>
      <c r="AB7" s="55"/>
      <c r="AC7" s="42"/>
      <c r="AD7" s="46">
        <f t="shared" ca="1" si="18"/>
        <v>0</v>
      </c>
      <c r="AE7" s="47">
        <f t="shared" ca="1" si="8"/>
        <v>0</v>
      </c>
      <c r="AF7" s="46"/>
      <c r="AG7" s="48">
        <f t="shared" ca="1" si="9"/>
        <v>0</v>
      </c>
      <c r="AH7" s="49">
        <f t="shared" si="10"/>
        <v>117.24</v>
      </c>
      <c r="AI7" s="49">
        <f t="shared" ca="1" si="11"/>
        <v>0</v>
      </c>
      <c r="AJ7" s="49">
        <f t="shared" ca="1" si="12"/>
        <v>0</v>
      </c>
      <c r="AK7" s="49">
        <f t="shared" ca="1" si="13"/>
        <v>0</v>
      </c>
      <c r="AL7" s="49">
        <f t="array" aca="1" ref="AL7" ca="1">_xlfn.IFS(R7=0,AE7,R7&lt;0,AE7/-R7,R7&gt;0,AE7/R7)</f>
        <v>0</v>
      </c>
      <c r="AM7" s="50">
        <f t="shared" ca="1" si="14"/>
        <v>0</v>
      </c>
      <c r="AN7" s="51">
        <f t="shared" ca="1" si="15"/>
        <v>0</v>
      </c>
      <c r="AP7" s="53">
        <f t="shared" ca="1" si="16"/>
        <v>0</v>
      </c>
    </row>
    <row r="8" spans="1:42">
      <c r="A8" s="30">
        <v>2676783005</v>
      </c>
      <c r="B8" s="31" t="s">
        <v>44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 ca="1">R8/7</f>
        <v>0</v>
      </c>
      <c r="P8" s="39">
        <f ca="1">SUMIFS('Отчет 01.02'!H:H,'Отчет 01.02'!D:D,"Выручка",'Отчет 01.02'!E:E,B8)</f>
        <v>0</v>
      </c>
      <c r="Q8" s="39">
        <f ca="1">SUMIFS('Отчет 01.02'!H:H,'Отчет 01.02'!D:D,"Возврат выручки",'Отчет 01.02'!E:E,B8)</f>
        <v>0</v>
      </c>
      <c r="R8" s="40">
        <f ca="1">P8-Q8</f>
        <v>0</v>
      </c>
      <c r="S8" s="41">
        <f ca="1">SUMIFS('Отчет 01.02'!P:P,'Отчет 01.02'!C:C,"Продажи",'Отчет 01.02'!E:E,B8)</f>
        <v>0</v>
      </c>
      <c r="T8" s="42">
        <f ca="1">SUMIFS('Отчет 01.02'!P:P,'Отчет 01.02'!C:C,"Возвраты",'Отчет 01.02'!E:E,B8)</f>
        <v>0</v>
      </c>
      <c r="U8" s="40">
        <f ca="1">S8+T8</f>
        <v>0</v>
      </c>
      <c r="V8" s="43" t="e">
        <f t="shared" ca="1" si="5"/>
        <v>#DIV/0!</v>
      </c>
      <c r="W8" s="44">
        <f ca="1">R8*H8</f>
        <v>0</v>
      </c>
      <c r="X8" s="42">
        <f ca="1">-SUMIFS('Отчет 01.02'!P:P,'Отчет 01.02'!C:C,"Вознаграждение Ozon",'Отчет 01.02'!E:E,B8)</f>
        <v>0</v>
      </c>
      <c r="Y8" s="45">
        <f t="shared" ca="1" si="17"/>
        <v>0</v>
      </c>
      <c r="Z8" s="42">
        <f ca="1">-SUMIFS('Отчет 01.02'!P:P,'Отчет 01.02'!C:C,"Услуги доставки",'Отчет 01.02'!E:E,B8)</f>
        <v>0</v>
      </c>
      <c r="AA8" s="32"/>
      <c r="AB8" s="55"/>
      <c r="AC8" s="42"/>
      <c r="AD8" s="46">
        <f t="shared" ca="1" si="18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56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9">K9/7</f>
        <v>0</v>
      </c>
      <c r="O9" s="38">
        <f t="shared" ref="O9:O16" ca="1" si="20">R9/7</f>
        <v>0</v>
      </c>
      <c r="P9" s="39">
        <f ca="1">SUMIFS('Отчет 01.02'!H:H,'Отчет 01.02'!D:D,"Выручка",'Отчет 01.02'!E:E,B9)</f>
        <v>0</v>
      </c>
      <c r="Q9" s="39">
        <f ca="1">SUMIFS('Отчет 01.02'!H:H,'Отчет 01.02'!D:D,"Возврат выручки",'Отчет 01.02'!E:E,B9)</f>
        <v>0</v>
      </c>
      <c r="R9" s="40">
        <f t="shared" ref="R9:R16" ca="1" si="21">P9-Q9</f>
        <v>0</v>
      </c>
      <c r="S9" s="41">
        <f ca="1">SUMIFS('Отчет 01.02'!P:P,'Отчет 01.02'!C:C,"Продажи",'Отчет 01.02'!E:E,B9)</f>
        <v>0</v>
      </c>
      <c r="T9" s="42">
        <f ca="1">SUMIFS('Отчет 01.02'!P:P,'Отчет 01.02'!C:C,"Возвраты",'Отчет 01.02'!E:E,B9)</f>
        <v>0</v>
      </c>
      <c r="U9" s="40">
        <f t="shared" ref="U9:U16" ca="1" si="22">S9+T9</f>
        <v>0</v>
      </c>
      <c r="V9" s="43" t="e">
        <f t="shared" ca="1" si="5"/>
        <v>#DIV/0!</v>
      </c>
      <c r="W9" s="44">
        <f t="shared" ref="W9:W16" ca="1" si="23">R9*H9</f>
        <v>0</v>
      </c>
      <c r="X9" s="42">
        <f ca="1">-SUMIFS('Отчет 01.02'!P:P,'Отчет 01.02'!C:C,"Вознаграждение Ozon",'Отчет 01.02'!E:E,B9)</f>
        <v>0</v>
      </c>
      <c r="Y9" s="45">
        <f t="shared" ca="1" si="17"/>
        <v>0</v>
      </c>
      <c r="Z9" s="42">
        <f ca="1">-SUMIFS('Отчет 01.02'!P:P,'Отчет 01.02'!C:C,"Услуги доставки",'Отчет 01.02'!E:E,B9)</f>
        <v>0</v>
      </c>
      <c r="AA9" s="32"/>
      <c r="AB9" s="55"/>
      <c r="AC9" s="42"/>
      <c r="AD9" s="46">
        <f t="shared" ca="1" si="18"/>
        <v>0</v>
      </c>
      <c r="AE9" s="47">
        <f t="shared" ref="AE9:AE16" ca="1" si="24">U9-W9-X9-Z9-AA9-AB9-AC9-AD9</f>
        <v>0</v>
      </c>
      <c r="AF9" s="46"/>
      <c r="AG9" s="48">
        <f t="shared" ref="AG9:AG16" ca="1" si="25">IF(R9=0,0,U9/R9)</f>
        <v>0</v>
      </c>
      <c r="AH9" s="49">
        <f t="shared" ref="AH9:AH16" si="26">H9</f>
        <v>123</v>
      </c>
      <c r="AI9" s="49">
        <f t="shared" ref="AI9:AI16" ca="1" si="27">IF(R9=0,0,X9/R9)</f>
        <v>0</v>
      </c>
      <c r="AJ9" s="49">
        <f t="shared" ref="AJ9:AJ16" ca="1" si="28">IF(P9=0,Z9/1,Z9/P9)</f>
        <v>0</v>
      </c>
      <c r="AK9" s="49">
        <f t="shared" ref="AK9:AK16" ca="1" si="29">IF(P9=0,0,AA9/P9)</f>
        <v>0</v>
      </c>
      <c r="AL9" s="49">
        <f t="array" aca="1" ref="AL9" ca="1">_xlfn.IFS(R9=0,AE9,R9&lt;0,AE9/-R9,R9&gt;0,AE9/R9)</f>
        <v>0</v>
      </c>
      <c r="AM9" s="50">
        <f t="shared" ref="AM9:AM16" ca="1" si="30">IF(AG9=0,0,AL9/AG9)</f>
        <v>0</v>
      </c>
      <c r="AN9" s="51">
        <f t="shared" ref="AN9:AN16" ca="1" si="31">IF(AH9=0,0,AL9/AH9)</f>
        <v>0</v>
      </c>
      <c r="AP9" s="53">
        <f t="shared" ref="AP9:AP16" ca="1" si="32">AL9*C9</f>
        <v>0</v>
      </c>
    </row>
    <row r="10" spans="1:42">
      <c r="A10" s="30">
        <v>3405092836</v>
      </c>
      <c r="B10" s="31" t="s">
        <v>57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9"/>
        <v>0</v>
      </c>
      <c r="O10" s="38">
        <f t="shared" ca="1" si="20"/>
        <v>0</v>
      </c>
      <c r="P10" s="39">
        <f ca="1">SUMIFS('Отчет 01.02'!H:H,'Отчет 01.02'!D:D,"Выручка",'Отчет 01.02'!E:E,B10)</f>
        <v>0</v>
      </c>
      <c r="Q10" s="39">
        <f ca="1">SUMIFS('Отчет 01.02'!H:H,'Отчет 01.02'!D:D,"Возврат выручки",'Отчет 01.02'!E:E,B10)</f>
        <v>0</v>
      </c>
      <c r="R10" s="40">
        <f t="shared" ca="1" si="21"/>
        <v>0</v>
      </c>
      <c r="S10" s="41">
        <f ca="1">SUMIFS('Отчет 01.02'!P:P,'Отчет 01.02'!C:C,"Продажи",'Отчет 01.02'!E:E,B10)</f>
        <v>0</v>
      </c>
      <c r="T10" s="42">
        <f ca="1">SUMIFS('Отчет 01.02'!P:P,'Отчет 01.02'!C:C,"Возвраты",'Отчет 01.02'!E:E,B10)</f>
        <v>0</v>
      </c>
      <c r="U10" s="40">
        <f t="shared" ca="1" si="22"/>
        <v>0</v>
      </c>
      <c r="V10" s="43" t="e">
        <f t="shared" ca="1" si="5"/>
        <v>#DIV/0!</v>
      </c>
      <c r="W10" s="44">
        <f t="shared" ca="1" si="23"/>
        <v>0</v>
      </c>
      <c r="X10" s="42">
        <f ca="1">-SUMIFS('Отчет 01.02'!P:P,'Отчет 01.02'!C:C,"Вознаграждение Ozon",'Отчет 01.02'!E:E,B10)</f>
        <v>0</v>
      </c>
      <c r="Y10" s="45">
        <f t="shared" ca="1" si="17"/>
        <v>0</v>
      </c>
      <c r="Z10" s="42">
        <f ca="1">-SUMIFS('Отчет 01.02'!P:P,'Отчет 01.02'!C:C,"Услуги доставки",'Отчет 01.02'!E:E,B10)</f>
        <v>0</v>
      </c>
      <c r="AA10" s="32"/>
      <c r="AB10" s="55"/>
      <c r="AC10" s="42"/>
      <c r="AD10" s="46">
        <f t="shared" ca="1" si="18"/>
        <v>0</v>
      </c>
      <c r="AE10" s="47">
        <f t="shared" ca="1" si="24"/>
        <v>0</v>
      </c>
      <c r="AF10" s="46"/>
      <c r="AG10" s="48">
        <f t="shared" ca="1" si="25"/>
        <v>0</v>
      </c>
      <c r="AH10" s="49">
        <f t="shared" si="26"/>
        <v>123</v>
      </c>
      <c r="AI10" s="49">
        <f t="shared" ca="1" si="27"/>
        <v>0</v>
      </c>
      <c r="AJ10" s="49">
        <f t="shared" ca="1" si="28"/>
        <v>0</v>
      </c>
      <c r="AK10" s="49">
        <f t="shared" ca="1" si="29"/>
        <v>0</v>
      </c>
      <c r="AL10" s="49">
        <f t="array" aca="1" ref="AL10" ca="1">_xlfn.IFS(R10=0,AE10,R10&lt;0,AE10/-R10,R10&gt;0,AE10/R10)</f>
        <v>0</v>
      </c>
      <c r="AM10" s="50">
        <f t="shared" ca="1" si="30"/>
        <v>0</v>
      </c>
      <c r="AN10" s="51">
        <f t="shared" ca="1" si="31"/>
        <v>0</v>
      </c>
      <c r="AP10" s="53">
        <f t="shared" ca="1" si="32"/>
        <v>0</v>
      </c>
    </row>
    <row r="11" spans="1:42">
      <c r="A11" s="30">
        <v>3064346962</v>
      </c>
      <c r="B11" s="31" t="s">
        <v>53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9"/>
        <v>0</v>
      </c>
      <c r="O11" s="38">
        <f t="shared" ca="1" si="20"/>
        <v>0</v>
      </c>
      <c r="P11" s="39">
        <f ca="1">SUMIFS('Отчет 01.02'!H:H,'Отчет 01.02'!D:D,"Выручка",'Отчет 01.02'!E:E,B11)</f>
        <v>0</v>
      </c>
      <c r="Q11" s="39">
        <f ca="1">SUMIFS('Отчет 01.02'!H:H,'Отчет 01.02'!D:D,"Возврат выручки",'Отчет 01.02'!E:E,B11)</f>
        <v>0</v>
      </c>
      <c r="R11" s="40">
        <f t="shared" ca="1" si="21"/>
        <v>0</v>
      </c>
      <c r="S11" s="41">
        <f ca="1">SUMIFS('Отчет 01.02'!P:P,'Отчет 01.02'!C:C,"Продажи",'Отчет 01.02'!E:E,B11)</f>
        <v>0</v>
      </c>
      <c r="T11" s="42">
        <f ca="1">SUMIFS('Отчет 01.02'!P:P,'Отчет 01.02'!C:C,"Возвраты",'Отчет 01.02'!E:E,B11)</f>
        <v>0</v>
      </c>
      <c r="U11" s="40">
        <f t="shared" ca="1" si="22"/>
        <v>0</v>
      </c>
      <c r="V11" s="43" t="e">
        <f t="shared" ca="1" si="5"/>
        <v>#DIV/0!</v>
      </c>
      <c r="W11" s="44">
        <f t="shared" ca="1" si="23"/>
        <v>0</v>
      </c>
      <c r="X11" s="42">
        <f ca="1">-SUMIFS('Отчет 01.02'!P:P,'Отчет 01.02'!C:C,"Вознаграждение Ozon",'Отчет 01.02'!E:E,B11)</f>
        <v>0</v>
      </c>
      <c r="Y11" s="45">
        <f t="shared" ca="1" si="17"/>
        <v>0</v>
      </c>
      <c r="Z11" s="42">
        <f ca="1">-SUMIFS('Отчет 01.02'!P:P,'Отчет 01.02'!C:C,"Услуги доставки",'Отчет 01.02'!E:E,B11)</f>
        <v>0</v>
      </c>
      <c r="AA11" s="32"/>
      <c r="AB11" s="55"/>
      <c r="AC11" s="42"/>
      <c r="AD11" s="46">
        <f t="shared" ca="1" si="18"/>
        <v>0</v>
      </c>
      <c r="AE11" s="47">
        <f t="shared" ca="1" si="24"/>
        <v>0</v>
      </c>
      <c r="AF11" s="46"/>
      <c r="AG11" s="48">
        <f t="shared" ca="1" si="25"/>
        <v>0</v>
      </c>
      <c r="AH11" s="49">
        <f t="shared" si="26"/>
        <v>123</v>
      </c>
      <c r="AI11" s="49">
        <f t="shared" ca="1" si="27"/>
        <v>0</v>
      </c>
      <c r="AJ11" s="49">
        <f t="shared" ca="1" si="28"/>
        <v>0</v>
      </c>
      <c r="AK11" s="49">
        <f t="shared" ca="1" si="29"/>
        <v>0</v>
      </c>
      <c r="AL11" s="49">
        <f t="array" aca="1" ref="AL11" ca="1">_xlfn.IFS(R11=0,AE11,R11&lt;0,AE11/-R11,R11&gt;0,AE11/R11)</f>
        <v>0</v>
      </c>
      <c r="AM11" s="50">
        <f t="shared" ca="1" si="30"/>
        <v>0</v>
      </c>
      <c r="AN11" s="51">
        <f t="shared" ca="1" si="31"/>
        <v>0</v>
      </c>
      <c r="AP11" s="53">
        <f t="shared" ca="1" si="32"/>
        <v>0</v>
      </c>
    </row>
    <row r="12" spans="1:42">
      <c r="A12" s="30">
        <v>3405092873</v>
      </c>
      <c r="B12" s="171" t="s">
        <v>58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9"/>
        <v>0</v>
      </c>
      <c r="O12" s="38">
        <f t="shared" ca="1" si="20"/>
        <v>0</v>
      </c>
      <c r="P12" s="39">
        <f ca="1">SUMIFS('Отчет 01.02'!H:H,'Отчет 01.02'!D:D,"Выручка",'Отчет 01.02'!E:E,B12)</f>
        <v>0</v>
      </c>
      <c r="Q12" s="39">
        <f ca="1">SUMIFS('Отчет 01.02'!H:H,'Отчет 01.02'!D:D,"Возврат выручки",'Отчет 01.02'!E:E,B12)</f>
        <v>0</v>
      </c>
      <c r="R12" s="40">
        <f t="shared" ca="1" si="21"/>
        <v>0</v>
      </c>
      <c r="S12" s="41">
        <f ca="1">SUMIFS('Отчет 01.02'!P:P,'Отчет 01.02'!C:C,"Продажи",'Отчет 01.02'!E:E,B12)</f>
        <v>0</v>
      </c>
      <c r="T12" s="42">
        <f ca="1">SUMIFS('Отчет 01.02'!P:P,'Отчет 01.02'!C:C,"Возвраты",'Отчет 01.02'!E:E,B12)</f>
        <v>0</v>
      </c>
      <c r="U12" s="40">
        <f t="shared" ca="1" si="22"/>
        <v>0</v>
      </c>
      <c r="V12" s="43" t="e">
        <f t="shared" ca="1" si="5"/>
        <v>#DIV/0!</v>
      </c>
      <c r="W12" s="44">
        <f t="shared" ca="1" si="23"/>
        <v>0</v>
      </c>
      <c r="X12" s="42">
        <f ca="1">-SUMIFS('Отчет 01.02'!P:P,'Отчет 01.02'!C:C,"Вознаграждение Ozon",'Отчет 01.02'!E:E,B12)</f>
        <v>0</v>
      </c>
      <c r="Y12" s="45">
        <f t="shared" ca="1" si="17"/>
        <v>0</v>
      </c>
      <c r="Z12" s="42">
        <f ca="1">-SUMIFS('Отчет 01.02'!P:P,'Отчет 01.02'!C:C,"Услуги доставки",'Отчет 01.02'!E:E,B12)</f>
        <v>0</v>
      </c>
      <c r="AA12" s="32"/>
      <c r="AB12" s="55"/>
      <c r="AC12" s="42"/>
      <c r="AD12" s="46">
        <f t="shared" ca="1" si="18"/>
        <v>0</v>
      </c>
      <c r="AE12" s="47">
        <f t="shared" ca="1" si="24"/>
        <v>0</v>
      </c>
      <c r="AF12" s="46"/>
      <c r="AG12" s="48">
        <f t="shared" ca="1" si="25"/>
        <v>0</v>
      </c>
      <c r="AH12" s="49">
        <f t="shared" si="26"/>
        <v>117</v>
      </c>
      <c r="AI12" s="49">
        <f t="shared" ca="1" si="27"/>
        <v>0</v>
      </c>
      <c r="AJ12" s="49">
        <f t="shared" ca="1" si="28"/>
        <v>0</v>
      </c>
      <c r="AK12" s="49">
        <f t="shared" ca="1" si="29"/>
        <v>0</v>
      </c>
      <c r="AL12" s="49">
        <f t="array" aca="1" ref="AL12" ca="1">_xlfn.IFS(R12=0,AE12,R12&lt;0,AE12/-R12,R12&gt;0,AE12/R12)</f>
        <v>0</v>
      </c>
      <c r="AM12" s="50">
        <f t="shared" ca="1" si="30"/>
        <v>0</v>
      </c>
      <c r="AN12" s="51">
        <f t="shared" ca="1" si="31"/>
        <v>0</v>
      </c>
      <c r="AP12" s="53">
        <f t="shared" ca="1" si="32"/>
        <v>0</v>
      </c>
    </row>
    <row r="13" spans="1:42">
      <c r="A13" s="30">
        <v>3405092993</v>
      </c>
      <c r="B13" s="31" t="s">
        <v>59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9"/>
        <v>0</v>
      </c>
      <c r="O13" s="38">
        <f t="shared" ca="1" si="20"/>
        <v>0</v>
      </c>
      <c r="P13" s="39">
        <f ca="1">SUMIFS('Отчет 01.02'!H:H,'Отчет 01.02'!D:D,"Выручка",'Отчет 01.02'!E:E,B13)</f>
        <v>0</v>
      </c>
      <c r="Q13" s="39">
        <f ca="1">SUMIFS('Отчет 01.02'!H:H,'Отчет 01.02'!D:D,"Возврат выручки",'Отчет 01.02'!E:E,B13)</f>
        <v>0</v>
      </c>
      <c r="R13" s="40">
        <f t="shared" ca="1" si="21"/>
        <v>0</v>
      </c>
      <c r="S13" s="41">
        <f ca="1">SUMIFS('Отчет 01.02'!P:P,'Отчет 01.02'!C:C,"Продажи",'Отчет 01.02'!E:E,B13)</f>
        <v>0</v>
      </c>
      <c r="T13" s="42">
        <f ca="1">SUMIFS('Отчет 01.02'!P:P,'Отчет 01.02'!C:C,"Возвраты",'Отчет 01.02'!E:E,B13)</f>
        <v>0</v>
      </c>
      <c r="U13" s="40">
        <f t="shared" ca="1" si="22"/>
        <v>0</v>
      </c>
      <c r="V13" s="43" t="e">
        <f t="shared" ca="1" si="5"/>
        <v>#DIV/0!</v>
      </c>
      <c r="W13" s="44">
        <f t="shared" ca="1" si="23"/>
        <v>0</v>
      </c>
      <c r="X13" s="42">
        <f ca="1">-SUMIFS('Отчет 01.02'!P:P,'Отчет 01.02'!C:C,"Вознаграждение Ozon",'Отчет 01.02'!E:E,B13)</f>
        <v>0</v>
      </c>
      <c r="Y13" s="45">
        <f t="shared" ca="1" si="17"/>
        <v>0</v>
      </c>
      <c r="Z13" s="42">
        <f ca="1">-SUMIFS('Отчет 01.02'!P:P,'Отчет 01.02'!C:C,"Услуги доставки",'Отчет 01.02'!E:E,B13)</f>
        <v>0</v>
      </c>
      <c r="AA13" s="32"/>
      <c r="AB13" s="55"/>
      <c r="AC13" s="42"/>
      <c r="AD13" s="46">
        <f t="shared" ca="1" si="18"/>
        <v>0</v>
      </c>
      <c r="AE13" s="47">
        <f t="shared" ca="1" si="24"/>
        <v>0</v>
      </c>
      <c r="AF13" s="46"/>
      <c r="AG13" s="48">
        <f t="shared" ca="1" si="25"/>
        <v>0</v>
      </c>
      <c r="AH13" s="49">
        <f t="shared" si="26"/>
        <v>123</v>
      </c>
      <c r="AI13" s="49">
        <f t="shared" ca="1" si="27"/>
        <v>0</v>
      </c>
      <c r="AJ13" s="49">
        <f t="shared" ca="1" si="28"/>
        <v>0</v>
      </c>
      <c r="AK13" s="49">
        <f t="shared" ca="1" si="29"/>
        <v>0</v>
      </c>
      <c r="AL13" s="49">
        <f t="array" aca="1" ref="AL13" ca="1">_xlfn.IFS(R13=0,AE13,R13&lt;0,AE13/-R13,R13&gt;0,AE13/R13)</f>
        <v>0</v>
      </c>
      <c r="AM13" s="50">
        <f t="shared" ca="1" si="30"/>
        <v>0</v>
      </c>
      <c r="AN13" s="51">
        <f t="shared" ca="1" si="31"/>
        <v>0</v>
      </c>
      <c r="AP13" s="53">
        <f t="shared" ca="1" si="32"/>
        <v>0</v>
      </c>
    </row>
    <row r="14" spans="1:42">
      <c r="A14" s="30">
        <v>3405092868</v>
      </c>
      <c r="B14" s="31" t="s">
        <v>60</v>
      </c>
      <c r="C14" s="32"/>
      <c r="H14" s="35">
        <v>123</v>
      </c>
      <c r="I14" s="54">
        <f t="shared" si="0"/>
        <v>0</v>
      </c>
      <c r="K14" s="32"/>
      <c r="N14" s="37">
        <f t="shared" si="19"/>
        <v>0</v>
      </c>
      <c r="O14" s="38">
        <f t="shared" ca="1" si="20"/>
        <v>0</v>
      </c>
      <c r="P14" s="39">
        <f ca="1">SUMIFS('Отчет 01.02'!H:H,'Отчет 01.02'!D:D,"Выручка",'Отчет 01.02'!E:E,B14)</f>
        <v>0</v>
      </c>
      <c r="Q14" s="39">
        <f ca="1">SUMIFS('Отчет 01.02'!H:H,'Отчет 01.02'!D:D,"Возврат выручки",'Отчет 01.02'!E:E,B14)</f>
        <v>0</v>
      </c>
      <c r="R14" s="40">
        <f t="shared" ca="1" si="21"/>
        <v>0</v>
      </c>
      <c r="S14" s="41">
        <f ca="1">SUMIFS('Отчет 01.02'!P:P,'Отчет 01.02'!C:C,"Продажи",'Отчет 01.02'!E:E,B14)</f>
        <v>0</v>
      </c>
      <c r="T14" s="42">
        <f ca="1">SUMIFS('Отчет 01.02'!P:P,'Отчет 01.02'!C:C,"Возвраты",'Отчет 01.02'!E:E,B14)</f>
        <v>0</v>
      </c>
      <c r="U14" s="40">
        <f t="shared" ca="1" si="22"/>
        <v>0</v>
      </c>
      <c r="V14" s="43" t="e">
        <f t="shared" ca="1" si="5"/>
        <v>#DIV/0!</v>
      </c>
      <c r="W14" s="44">
        <f t="shared" ca="1" si="23"/>
        <v>0</v>
      </c>
      <c r="X14" s="42">
        <f ca="1">-SUMIFS('Отчет 01.02'!P:P,'Отчет 01.02'!C:C,"Вознаграждение Ozon",'Отчет 01.02'!E:E,B14)</f>
        <v>0</v>
      </c>
      <c r="Y14" s="45">
        <f t="shared" ca="1" si="17"/>
        <v>0</v>
      </c>
      <c r="Z14" s="42">
        <f ca="1">-SUMIFS('Отчет 01.02'!P:P,'Отчет 01.02'!C:C,"Услуги доставки",'Отчет 01.02'!E:E,B14)</f>
        <v>0</v>
      </c>
      <c r="AA14" s="32"/>
      <c r="AB14" s="55"/>
      <c r="AC14" s="42"/>
      <c r="AD14" s="46">
        <f t="shared" ca="1" si="18"/>
        <v>0</v>
      </c>
      <c r="AE14" s="47">
        <f t="shared" ca="1" si="24"/>
        <v>0</v>
      </c>
      <c r="AG14" s="48">
        <f t="shared" ca="1" si="25"/>
        <v>0</v>
      </c>
      <c r="AH14" s="49">
        <f t="shared" si="26"/>
        <v>123</v>
      </c>
      <c r="AI14" s="49">
        <f t="shared" ca="1" si="27"/>
        <v>0</v>
      </c>
      <c r="AJ14" s="49">
        <f t="shared" ca="1" si="28"/>
        <v>0</v>
      </c>
      <c r="AK14" s="49">
        <f t="shared" ca="1" si="29"/>
        <v>0</v>
      </c>
      <c r="AL14" s="49">
        <f t="array" aca="1" ref="AL14" ca="1">_xlfn.IFS(R14=0,AE14,R14&lt;0,AE14/-R14,R14&gt;0,AE14/R14)</f>
        <v>0</v>
      </c>
      <c r="AM14" s="50">
        <f t="shared" ca="1" si="30"/>
        <v>0</v>
      </c>
      <c r="AN14" s="51">
        <f t="shared" ca="1" si="31"/>
        <v>0</v>
      </c>
      <c r="AP14" s="53">
        <f t="shared" ca="1" si="32"/>
        <v>0</v>
      </c>
    </row>
    <row r="15" spans="1:42">
      <c r="A15" s="30">
        <v>3064346642</v>
      </c>
      <c r="B15" s="31" t="s">
        <v>54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9"/>
        <v>0</v>
      </c>
      <c r="O15" s="38">
        <f t="shared" ca="1" si="20"/>
        <v>0</v>
      </c>
      <c r="P15" s="39">
        <f ca="1">SUMIFS('Отчет 01.02'!H:H,'Отчет 01.02'!D:D,"Выручка",'Отчет 01.02'!E:E,B15)</f>
        <v>0</v>
      </c>
      <c r="Q15" s="39">
        <f ca="1">SUMIFS('Отчет 01.02'!H:H,'Отчет 01.02'!D:D,"Возврат выручки",'Отчет 01.02'!E:E,B15)</f>
        <v>0</v>
      </c>
      <c r="R15" s="40">
        <f t="shared" ca="1" si="21"/>
        <v>0</v>
      </c>
      <c r="S15" s="41">
        <f ca="1">SUMIFS('Отчет 01.02'!P:P,'Отчет 01.02'!C:C,"Продажи",'Отчет 01.02'!E:E,B15)</f>
        <v>0</v>
      </c>
      <c r="T15" s="42">
        <f ca="1">SUMIFS('Отчет 01.02'!P:P,'Отчет 01.02'!C:C,"Возвраты",'Отчет 01.02'!E:E,B15)</f>
        <v>0</v>
      </c>
      <c r="U15" s="40">
        <f t="shared" ca="1" si="22"/>
        <v>0</v>
      </c>
      <c r="V15" s="43" t="e">
        <f ca="1">U15/$U$24</f>
        <v>#DIV/0!</v>
      </c>
      <c r="W15" s="44">
        <f t="shared" ca="1" si="23"/>
        <v>0</v>
      </c>
      <c r="X15" s="42">
        <f ca="1">-SUMIFS('Отчет 01.02'!P:P,'Отчет 01.02'!C:C,"Вознаграждение Ozon",'Отчет 01.02'!E:E,B15)</f>
        <v>0</v>
      </c>
      <c r="Y15" s="45">
        <f t="shared" ca="1" si="17"/>
        <v>0</v>
      </c>
      <c r="Z15" s="42">
        <f ca="1">-SUMIFS('Отчет 01.02'!P:P,'Отчет 01.02'!C:C,"Услуги доставки",'Отчет 01.02'!E:E,B15)</f>
        <v>0</v>
      </c>
      <c r="AA15" s="32"/>
      <c r="AB15" s="55"/>
      <c r="AC15" s="42"/>
      <c r="AD15" s="46">
        <f t="shared" ca="1" si="18"/>
        <v>0</v>
      </c>
      <c r="AE15" s="47">
        <f t="shared" ca="1" si="24"/>
        <v>0</v>
      </c>
      <c r="AF15" s="46"/>
      <c r="AG15" s="48">
        <f t="shared" ca="1" si="25"/>
        <v>0</v>
      </c>
      <c r="AH15" s="49">
        <f t="shared" si="26"/>
        <v>123</v>
      </c>
      <c r="AI15" s="49">
        <f t="shared" ca="1" si="27"/>
        <v>0</v>
      </c>
      <c r="AJ15" s="49">
        <f t="shared" ca="1" si="28"/>
        <v>0</v>
      </c>
      <c r="AK15" s="49">
        <f t="shared" ca="1" si="29"/>
        <v>0</v>
      </c>
      <c r="AL15" s="49">
        <f t="array" aca="1" ref="AL15" ca="1">_xlfn.IFS(R15=0,AE15,R15&lt;0,AE15/-R15,R15&gt;0,AE15/R15)</f>
        <v>0</v>
      </c>
      <c r="AM15" s="50">
        <f t="shared" ca="1" si="30"/>
        <v>0</v>
      </c>
      <c r="AN15" s="51">
        <f t="shared" ca="1" si="31"/>
        <v>0</v>
      </c>
      <c r="AP15" s="53">
        <f t="shared" ca="1" si="32"/>
        <v>0</v>
      </c>
    </row>
    <row r="16" spans="1:42">
      <c r="A16" s="30">
        <v>3405092287</v>
      </c>
      <c r="B16" s="31" t="s">
        <v>61</v>
      </c>
      <c r="C16" s="32"/>
      <c r="H16" s="35">
        <v>117</v>
      </c>
      <c r="I16" s="54">
        <f t="shared" si="0"/>
        <v>0</v>
      </c>
      <c r="K16" s="32"/>
      <c r="N16" s="37">
        <f t="shared" si="19"/>
        <v>0</v>
      </c>
      <c r="O16" s="38">
        <f t="shared" ca="1" si="20"/>
        <v>0</v>
      </c>
      <c r="P16" s="39">
        <f ca="1">SUMIFS('Отчет 01.02'!H:H,'Отчет 01.02'!D:D,"Выручка",'Отчет 01.02'!E:E,B16)</f>
        <v>0</v>
      </c>
      <c r="Q16" s="39">
        <f ca="1">SUMIFS('Отчет 01.02'!H:H,'Отчет 01.02'!D:D,"Возврат выручки",'Отчет 01.02'!E:E,B16)</f>
        <v>0</v>
      </c>
      <c r="R16" s="40">
        <f t="shared" ca="1" si="21"/>
        <v>0</v>
      </c>
      <c r="S16" s="41">
        <f ca="1">SUMIFS('Отчет 01.02'!P:P,'Отчет 01.02'!C:C,"Продажи",'Отчет 01.02'!E:E,B16)</f>
        <v>0</v>
      </c>
      <c r="T16" s="42">
        <f ca="1">SUMIFS('Отчет 01.02'!P:P,'Отчет 01.02'!C:C,"Возвраты",'Отчет 01.02'!E:E,B16)</f>
        <v>0</v>
      </c>
      <c r="U16" s="40">
        <f t="shared" ca="1" si="22"/>
        <v>0</v>
      </c>
      <c r="V16" s="43" t="e">
        <f ca="1">U16/$U$24</f>
        <v>#DIV/0!</v>
      </c>
      <c r="W16" s="44">
        <f t="shared" ca="1" si="23"/>
        <v>0</v>
      </c>
      <c r="X16" s="42">
        <f ca="1">-SUMIFS('Отчет 01.02'!P:P,'Отчет 01.02'!C:C,"Вознаграждение Ozon",'Отчет 01.02'!E:E,B16)</f>
        <v>0</v>
      </c>
      <c r="Y16" s="45">
        <f t="shared" ca="1" si="17"/>
        <v>0</v>
      </c>
      <c r="Z16" s="42">
        <f ca="1">-SUMIFS('Отчет 01.02'!P:P,'Отчет 01.02'!C:C,"Услуги доставки",'Отчет 01.02'!E:E,B16)</f>
        <v>0</v>
      </c>
      <c r="AA16" s="32"/>
      <c r="AB16" s="55"/>
      <c r="AC16" s="42"/>
      <c r="AD16" s="46">
        <f t="shared" ca="1" si="18"/>
        <v>0</v>
      </c>
      <c r="AE16" s="47">
        <f t="shared" ca="1" si="24"/>
        <v>0</v>
      </c>
      <c r="AF16" s="46"/>
      <c r="AG16" s="48">
        <f t="shared" ca="1" si="25"/>
        <v>0</v>
      </c>
      <c r="AH16" s="49">
        <f t="shared" si="26"/>
        <v>117</v>
      </c>
      <c r="AI16" s="49">
        <f t="shared" ca="1" si="27"/>
        <v>0</v>
      </c>
      <c r="AJ16" s="49">
        <f t="shared" ca="1" si="28"/>
        <v>0</v>
      </c>
      <c r="AK16" s="49">
        <f t="shared" ca="1" si="29"/>
        <v>0</v>
      </c>
      <c r="AL16" s="49">
        <f t="array" aca="1" ref="AL16" ca="1">_xlfn.IFS(R16=0,AE16,R16&lt;0,AE16/-R16,R16&gt;0,AE16/R16)</f>
        <v>0</v>
      </c>
      <c r="AM16" s="50">
        <f t="shared" ca="1" si="30"/>
        <v>0</v>
      </c>
      <c r="AN16" s="51">
        <f t="shared" ca="1" si="31"/>
        <v>0</v>
      </c>
      <c r="AP16" s="53">
        <f t="shared" ca="1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3">AVERAGEIF(AG3:AG15,"&lt;&gt;0",AG3:AG15)</f>
        <v>#DIV/0!</v>
      </c>
      <c r="AH17" s="58">
        <f t="shared" si="33"/>
        <v>127.26</v>
      </c>
      <c r="AI17" s="58" t="e">
        <f t="shared" ca="1" si="33"/>
        <v>#DIV/0!</v>
      </c>
      <c r="AJ17" s="58" t="e">
        <f t="shared" ca="1" si="33"/>
        <v>#DIV/0!</v>
      </c>
      <c r="AK17" s="58" t="e">
        <f t="shared" ca="1" si="33"/>
        <v>#DIV/0!</v>
      </c>
      <c r="AL17" s="58" t="e">
        <f t="shared" ca="1" si="33"/>
        <v>#DIV/0!</v>
      </c>
      <c r="AM17" s="59" t="e">
        <f t="shared" ca="1" si="33"/>
        <v>#DIV/0!</v>
      </c>
      <c r="AN17" s="59" t="e">
        <f t="shared" ca="1" si="33"/>
        <v>#DIV/0!</v>
      </c>
      <c r="AO17" s="60"/>
      <c r="AP17" s="61"/>
    </row>
    <row r="18" spans="1:52">
      <c r="A18" s="62" t="s">
        <v>45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4">SUM(P3:P16)</f>
        <v>0</v>
      </c>
      <c r="Q18" s="64">
        <f t="shared" ca="1" si="34"/>
        <v>0</v>
      </c>
      <c r="R18" s="64">
        <f t="shared" ca="1" si="34"/>
        <v>0</v>
      </c>
      <c r="S18" s="70">
        <f t="shared" ca="1" si="34"/>
        <v>0</v>
      </c>
      <c r="T18" s="64">
        <f t="shared" ca="1" si="34"/>
        <v>0</v>
      </c>
      <c r="U18" s="64">
        <f t="shared" ca="1" si="34"/>
        <v>0</v>
      </c>
      <c r="V18" s="71" t="e">
        <f t="shared" ca="1" si="34"/>
        <v>#DIV/0!</v>
      </c>
      <c r="W18" s="64">
        <f t="shared" ca="1" si="34"/>
        <v>0</v>
      </c>
      <c r="X18" s="64">
        <f t="shared" ca="1" si="34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SUM(AA3:AA15)</f>
        <v>0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 ca="1"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46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7">S18+S22</f>
        <v>0</v>
      </c>
      <c r="T24" s="118">
        <f t="shared" ca="1" si="37"/>
        <v>0</v>
      </c>
      <c r="U24" s="121">
        <f t="shared" ca="1" si="37"/>
        <v>0</v>
      </c>
      <c r="V24" s="122" t="e">
        <f t="shared" ca="1" si="37"/>
        <v>#DIV/0!</v>
      </c>
      <c r="W24" s="118">
        <f t="shared" ca="1" si="37"/>
        <v>0</v>
      </c>
      <c r="X24" s="118">
        <f t="shared" ca="1" si="37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 ca="1">AA18+AA22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0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38</v>
      </c>
      <c r="L29" s="152" t="s">
        <v>47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48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49</v>
      </c>
      <c r="I32" s="163">
        <f>I24-I33-I31</f>
        <v>0</v>
      </c>
      <c r="J32" s="164" t="e">
        <f>I32/I24</f>
        <v>#DIV/0!</v>
      </c>
      <c r="K32" s="160">
        <f ca="1">AP24-K31-K33</f>
        <v>0</v>
      </c>
      <c r="L32" s="161" t="e">
        <f ca="1"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50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51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6" priority="19" operator="greaterThan">
      <formula>120</formula>
    </cfRule>
  </conditionalFormatting>
  <conditionalFormatting sqref="N23">
    <cfRule type="cellIs" dxfId="125" priority="18" operator="between">
      <formula>0.000001</formula>
      <formula>25</formula>
    </cfRule>
  </conditionalFormatting>
  <conditionalFormatting sqref="V1 V25:V28 V30:V1048576">
    <cfRule type="cellIs" dxfId="12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23" priority="14" operator="greaterThan">
      <formula>120</formula>
    </cfRule>
  </conditionalFormatting>
  <conditionalFormatting sqref="Q23">
    <cfRule type="cellIs" dxfId="122" priority="13" operator="greaterThan">
      <formula>120</formula>
    </cfRule>
  </conditionalFormatting>
  <conditionalFormatting sqref="R23">
    <cfRule type="cellIs" dxfId="121" priority="12" operator="greaterThan">
      <formula>120</formula>
    </cfRule>
  </conditionalFormatting>
  <conditionalFormatting sqref="S23">
    <cfRule type="cellIs" dxfId="120" priority="11" operator="greaterThan">
      <formula>120</formula>
    </cfRule>
  </conditionalFormatting>
  <conditionalFormatting sqref="T23">
    <cfRule type="cellIs" dxfId="119" priority="10" operator="greaterThan">
      <formula>120</formula>
    </cfRule>
  </conditionalFormatting>
  <conditionalFormatting sqref="U23">
    <cfRule type="cellIs" dxfId="118" priority="9" operator="greaterThan">
      <formula>120</formula>
    </cfRule>
  </conditionalFormatting>
  <conditionalFormatting sqref="V23">
    <cfRule type="cellIs" dxfId="117" priority="8" operator="greaterThan">
      <formula>120</formula>
    </cfRule>
  </conditionalFormatting>
  <conditionalFormatting sqref="W23">
    <cfRule type="cellIs" dxfId="116" priority="7" operator="greaterThan">
      <formula>120</formula>
    </cfRule>
  </conditionalFormatting>
  <conditionalFormatting sqref="X23">
    <cfRule type="cellIs" dxfId="115" priority="6" operator="greaterThan">
      <formula>120</formula>
    </cfRule>
  </conditionalFormatting>
  <conditionalFormatting sqref="Z23">
    <cfRule type="cellIs" dxfId="11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P6" activePane="bottomRight" state="frozen"/>
      <selection pane="topRight" activeCell="C1" sqref="C1"/>
      <selection pane="bottomLeft" activeCell="A3" sqref="A3"/>
      <selection pane="bottomRight" activeCell="K3" sqref="K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1077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2676784153</v>
      </c>
      <c r="B3" s="31" t="s">
        <v>39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17</v>
      </c>
      <c r="L3" s="36"/>
      <c r="M3" s="36"/>
      <c r="N3" s="37">
        <f>K3/31</f>
        <v>0.54838709677419351</v>
      </c>
      <c r="O3" s="38">
        <f ca="1">R3/31</f>
        <v>0.45161290322580644</v>
      </c>
      <c r="P3" s="32">
        <f ca="1">'Юнит 01-04.01'!P3+'Юнит 05-11.01'!P3+'Юнит 12-18.01'!P3+'Юнит 19-25.01'!P3+'Юнит 26-31.01'!P3</f>
        <v>14</v>
      </c>
      <c r="Q3" s="32">
        <f ca="1">'Юнит 01-04.01'!Q3+'Юнит 05-11.01'!Q3+'Юнит 12-18.01'!Q3+'Юнит 19-25.01'!Q3+'Юнит 26-31.01'!Q3</f>
        <v>0</v>
      </c>
      <c r="R3" s="40">
        <f t="shared" ref="R3:R7" ca="1" si="1">P3-Q3</f>
        <v>14</v>
      </c>
      <c r="S3" s="32">
        <f ca="1">'Юнит 01-04.01'!S3+'Юнит 05-11.01'!S3+'Юнит 12-18.01'!S3+'Юнит 19-25.01'!S3+'Юнит 26-31.01'!S3</f>
        <v>22392</v>
      </c>
      <c r="T3" s="32">
        <f ca="1">'Юнит 01-04.01'!T3+'Юнит 05-11.01'!T3+'Юнит 12-18.01'!T3+'Юнит 19-25.01'!T3+'Юнит 26-31.01'!T3</f>
        <v>0</v>
      </c>
      <c r="U3" s="40">
        <f t="shared" ref="U3:U7" ca="1" si="2">S3+T3</f>
        <v>22392</v>
      </c>
      <c r="V3" s="43">
        <f t="shared" ref="V3:V14" ca="1" si="3">U3/$U$24</f>
        <v>3.1360597856913773E-2</v>
      </c>
      <c r="W3" s="44">
        <f t="shared" ref="W3:W7" ca="1" si="4">R3*H3</f>
        <v>2001.7199999999998</v>
      </c>
      <c r="X3" s="32">
        <f ca="1">'Юнит 01-04.01'!X3+'Юнит 05-11.01'!X3+'Юнит 12-18.01'!X3+'Юнит 19-25.01'!X3+'Юнит 26-31.01'!X3</f>
        <v>9628.56</v>
      </c>
      <c r="Y3" s="45">
        <f t="shared" ref="Y3:Y16" ca="1" si="5">IF(U3=0,0,X3/U3)</f>
        <v>0.43</v>
      </c>
      <c r="Z3" s="32">
        <f ca="1">'Юнит 01-04.01'!Z3+'Юнит 05-11.01'!Z3+'Юнит 12-18.01'!Z3+'Юнит 19-25.01'!Z3+'Юнит 26-31.01'!Z3</f>
        <v>2332.29</v>
      </c>
      <c r="AA3" s="32">
        <f>'Юнит 01-04.01'!AA3+'Юнит 05-11.01'!AA3+'Юнит 12-18.01'!AA3+'Юнит 19-25.01'!AA3+'Юнит 26-31.01'!AA3</f>
        <v>1868.6900639999999</v>
      </c>
      <c r="AB3" s="42"/>
      <c r="AC3" s="42"/>
      <c r="AD3" s="46">
        <f ca="1">U3*5.71%</f>
        <v>1278.5832</v>
      </c>
      <c r="AE3" s="47">
        <f t="shared" ref="AE3:AE15" ca="1" si="6">U3-W3-X3-Z3-AA3-AB3-AC3-AD3</f>
        <v>5282.1567359999999</v>
      </c>
      <c r="AF3" s="46"/>
      <c r="AG3" s="48">
        <f t="shared" ref="AG3:AG15" ca="1" si="7">IF(R3=0,0,U3/R3)</f>
        <v>1599.4285714285713</v>
      </c>
      <c r="AH3" s="49">
        <f t="shared" ref="AH3:AH15" si="8">H3</f>
        <v>142.97999999999999</v>
      </c>
      <c r="AI3" s="49">
        <f t="shared" ref="AI3:AI15" ca="1" si="9">IF(R3=0,0,X3/R3)</f>
        <v>687.75428571428563</v>
      </c>
      <c r="AJ3" s="49">
        <f t="shared" ref="AJ3:AJ15" ca="1" si="10">IF(P3=0,Z3/1,Z3/P3)</f>
        <v>166.59214285714285</v>
      </c>
      <c r="AK3" s="49">
        <f t="shared" ref="AK3:AK15" ca="1" si="11">IF(P3=0,0,AA3/P3)</f>
        <v>133.47786171428569</v>
      </c>
      <c r="AL3" s="49">
        <f ca="1">_xlfn.IFS(R3=0,AE3,R3&lt;0,AE3/-R3,R3&gt;0,AE3/R3)</f>
        <v>377.29690971428573</v>
      </c>
      <c r="AM3" s="50">
        <f t="shared" ref="AM3:AM15" ca="1" si="12">IF(AG3=0,0,AL3/AG3)</f>
        <v>0.23589481672025725</v>
      </c>
      <c r="AN3" s="51">
        <f t="shared" ref="AN3:AN15" ca="1" si="13">IF(AH3=0,0,AL3/AH3)</f>
        <v>2.6388089922666511</v>
      </c>
      <c r="AP3" s="53">
        <f t="shared" ref="AP3:AP15" ca="1" si="14">AL3*C3</f>
        <v>0</v>
      </c>
    </row>
    <row r="4" spans="1:42">
      <c r="A4" s="30">
        <v>2676784638</v>
      </c>
      <c r="B4" s="31" t="s">
        <v>40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23</v>
      </c>
      <c r="L4" s="36"/>
      <c r="M4" s="36"/>
      <c r="N4" s="37">
        <f t="shared" ref="N4:N16" si="15">K4/31</f>
        <v>0.74193548387096775</v>
      </c>
      <c r="O4" s="38">
        <f t="shared" ref="O4:O16" ca="1" si="16">R4/31</f>
        <v>0.4838709677419355</v>
      </c>
      <c r="P4" s="32">
        <f ca="1">'Юнит 01-04.01'!P4+'Юнит 05-11.01'!P4+'Юнит 12-18.01'!P4+'Юнит 19-25.01'!P4+'Юнит 26-31.01'!P4</f>
        <v>15</v>
      </c>
      <c r="Q4" s="32">
        <f ca="1">'Юнит 01-04.01'!Q4+'Юнит 05-11.01'!Q4+'Юнит 12-18.01'!Q4+'Юнит 19-25.01'!Q4+'Юнит 26-31.01'!Q4</f>
        <v>0</v>
      </c>
      <c r="R4" s="40">
        <f t="shared" ca="1" si="1"/>
        <v>15</v>
      </c>
      <c r="S4" s="32">
        <f ca="1">'Юнит 01-04.01'!S4+'Юнит 05-11.01'!S4+'Юнит 12-18.01'!S4+'Юнит 19-25.01'!S4+'Юнит 26-31.01'!S4</f>
        <v>25750</v>
      </c>
      <c r="T4" s="32">
        <f ca="1">'Юнит 01-04.01'!T4+'Юнит 05-11.01'!T4+'Юнит 12-18.01'!T4+'Юнит 19-25.01'!T4+'Юнит 26-31.01'!T4</f>
        <v>0</v>
      </c>
      <c r="U4" s="40">
        <f t="shared" ca="1" si="2"/>
        <v>25750</v>
      </c>
      <c r="V4" s="43">
        <f t="shared" ca="1" si="3"/>
        <v>3.6063567113948265E-2</v>
      </c>
      <c r="W4" s="44">
        <f t="shared" ca="1" si="4"/>
        <v>1846.3500000000001</v>
      </c>
      <c r="X4" s="32">
        <f ca="1">'Юнит 01-04.01'!X4+'Юнит 05-11.01'!X4+'Юнит 12-18.01'!X4+'Юнит 19-25.01'!X4+'Юнит 26-31.01'!X4</f>
        <v>11072.5</v>
      </c>
      <c r="Y4" s="45">
        <f t="shared" ca="1" si="5"/>
        <v>0.43</v>
      </c>
      <c r="Z4" s="32">
        <f ca="1">'Юнит 01-04.01'!Z4+'Юнит 05-11.01'!Z4+'Юнит 12-18.01'!Z4+'Юнит 19-25.01'!Z4+'Юнит 26-31.01'!Z4</f>
        <v>2132.8500000000004</v>
      </c>
      <c r="AA4" s="32">
        <f>'Юнит 01-04.01'!AA4+'Юнит 05-11.01'!AA4+'Юнит 12-18.01'!AA4+'Юнит 19-25.01'!AA4+'Юнит 26-31.01'!AA4</f>
        <v>2610.268309</v>
      </c>
      <c r="AB4" s="42"/>
      <c r="AC4" s="42"/>
      <c r="AD4" s="46">
        <f t="shared" ref="AD4:AD16" ca="1" si="17">U4*5.71%</f>
        <v>1470.325</v>
      </c>
      <c r="AE4" s="47">
        <f t="shared" ca="1" si="6"/>
        <v>6617.7066910000012</v>
      </c>
      <c r="AF4" s="46"/>
      <c r="AG4" s="48">
        <f t="shared" ca="1" si="7"/>
        <v>1716.6666666666667</v>
      </c>
      <c r="AH4" s="49">
        <f t="shared" si="8"/>
        <v>123.09</v>
      </c>
      <c r="AI4" s="49">
        <f t="shared" ca="1" si="9"/>
        <v>738.16666666666663</v>
      </c>
      <c r="AJ4" s="49">
        <f t="shared" ca="1" si="10"/>
        <v>142.19000000000003</v>
      </c>
      <c r="AK4" s="49">
        <f t="shared" ca="1" si="11"/>
        <v>174.01788726666666</v>
      </c>
      <c r="AL4" s="49">
        <f t="array" aca="1" ref="AL4" ca="1">_xlfn.IFS(R4=0,AE4,R4&lt;0,AE4/-R4,R4&gt;0,AE4/R4)</f>
        <v>441.18044606666678</v>
      </c>
      <c r="AM4" s="50">
        <f t="shared" ca="1" si="12"/>
        <v>0.25699831809708745</v>
      </c>
      <c r="AN4" s="51">
        <f t="shared" ca="1" si="13"/>
        <v>3.5842103019470857</v>
      </c>
      <c r="AP4" s="53">
        <f t="shared" ca="1" si="14"/>
        <v>0</v>
      </c>
    </row>
    <row r="5" spans="1:42">
      <c r="A5" s="30">
        <v>2676784504</v>
      </c>
      <c r="B5" s="31" t="s">
        <v>41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11</v>
      </c>
      <c r="L5" s="36"/>
      <c r="M5" s="36"/>
      <c r="N5" s="37">
        <f t="shared" si="15"/>
        <v>0.35483870967741937</v>
      </c>
      <c r="O5" s="38">
        <f t="shared" ca="1" si="16"/>
        <v>0.29032258064516131</v>
      </c>
      <c r="P5" s="32">
        <f ca="1">'Юнит 01-04.01'!P5+'Юнит 05-11.01'!P5+'Юнит 12-18.01'!P5+'Юнит 19-25.01'!P5+'Юнит 26-31.01'!P5</f>
        <v>9</v>
      </c>
      <c r="Q5" s="32">
        <f ca="1">'Юнит 01-04.01'!Q5+'Юнит 05-11.01'!Q5+'Юнит 12-18.01'!Q5+'Юнит 19-25.01'!Q5+'Юнит 26-31.01'!Q5</f>
        <v>0</v>
      </c>
      <c r="R5" s="40">
        <f t="shared" ca="1" si="1"/>
        <v>9</v>
      </c>
      <c r="S5" s="32">
        <f ca="1">'Юнит 01-04.01'!S5+'Юнит 05-11.01'!S5+'Юнит 12-18.01'!S5+'Юнит 19-25.01'!S5+'Юнит 26-31.01'!S5</f>
        <v>15350</v>
      </c>
      <c r="T5" s="32">
        <f ca="1">'Юнит 01-04.01'!T5+'Юнит 05-11.01'!T5+'Юнит 12-18.01'!T5+'Юнит 19-25.01'!T5+'Юнит 26-31.01'!T5</f>
        <v>0</v>
      </c>
      <c r="U5" s="40">
        <f t="shared" ca="1" si="2"/>
        <v>15350</v>
      </c>
      <c r="V5" s="43">
        <f t="shared" ca="1" si="3"/>
        <v>2.1498087580547803E-2</v>
      </c>
      <c r="W5" s="44">
        <f t="shared" ca="1" si="4"/>
        <v>1107.81</v>
      </c>
      <c r="X5" s="32">
        <f ca="1">'Юнит 01-04.01'!X5+'Юнит 05-11.01'!X5+'Юнит 12-18.01'!X5+'Юнит 19-25.01'!X5+'Юнит 26-31.01'!X5</f>
        <v>6600.5</v>
      </c>
      <c r="Y5" s="45">
        <f t="shared" ca="1" si="5"/>
        <v>0.43</v>
      </c>
      <c r="Z5" s="32">
        <f ca="1"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46">
        <f t="shared" ca="1" si="17"/>
        <v>876.48500000000001</v>
      </c>
      <c r="AE5" s="47">
        <f t="shared" ca="1" si="6"/>
        <v>3905.4582890000006</v>
      </c>
      <c r="AF5" s="46"/>
      <c r="AG5" s="48">
        <f t="shared" ca="1" si="7"/>
        <v>1705.5555555555557</v>
      </c>
      <c r="AH5" s="49">
        <f t="shared" si="8"/>
        <v>123.09</v>
      </c>
      <c r="AI5" s="49">
        <f t="shared" ca="1" si="9"/>
        <v>733.38888888888891</v>
      </c>
      <c r="AJ5" s="49">
        <f t="shared" ca="1" si="10"/>
        <v>148.49888888888887</v>
      </c>
      <c r="AK5" s="49">
        <f t="shared" ca="1" si="11"/>
        <v>169.25074566666666</v>
      </c>
      <c r="AL5" s="49">
        <f t="array" aca="1" ref="AL5" ca="1">_xlfn.IFS(R5=0,AE5,R5&lt;0,AE5/-R5,R5&gt;0,AE5/R5)</f>
        <v>433.93980988888893</v>
      </c>
      <c r="AM5" s="50">
        <f t="shared" ca="1" si="12"/>
        <v>0.25442725009771988</v>
      </c>
      <c r="AN5" s="51">
        <f t="shared" ca="1" si="13"/>
        <v>3.5253863830440242</v>
      </c>
      <c r="AP5" s="53">
        <f t="shared" ca="1" si="14"/>
        <v>0</v>
      </c>
    </row>
    <row r="6" spans="1:42">
      <c r="A6" s="30">
        <v>2676784514</v>
      </c>
      <c r="B6" s="31" t="s">
        <v>42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96</v>
      </c>
      <c r="L6" s="36"/>
      <c r="M6" s="36"/>
      <c r="N6" s="37">
        <f t="shared" si="15"/>
        <v>3.096774193548387</v>
      </c>
      <c r="O6" s="38">
        <f t="shared" ca="1" si="16"/>
        <v>2.4516129032258065</v>
      </c>
      <c r="P6" s="32">
        <f ca="1">'Юнит 01-04.01'!P6+'Юнит 05-11.01'!P6+'Юнит 12-18.01'!P6+'Юнит 19-25.01'!P6+'Юнит 26-31.01'!P6</f>
        <v>80</v>
      </c>
      <c r="Q6" s="32">
        <f ca="1">'Юнит 01-04.01'!Q6+'Юнит 05-11.01'!Q6+'Юнит 12-18.01'!Q6+'Юнит 19-25.01'!Q6+'Юнит 26-31.01'!Q6</f>
        <v>4</v>
      </c>
      <c r="R6" s="40">
        <f t="shared" ca="1" si="1"/>
        <v>76</v>
      </c>
      <c r="S6" s="32">
        <f ca="1">'Юнит 01-04.01'!S6+'Юнит 05-11.01'!S6+'Юнит 12-18.01'!S6+'Юнит 19-25.01'!S6+'Юнит 26-31.01'!S6</f>
        <v>132950</v>
      </c>
      <c r="T6" s="32">
        <f ca="1">'Юнит 01-04.01'!T6+'Юнит 05-11.01'!T6+'Юнит 12-18.01'!T6+'Юнит 19-25.01'!T6+'Юнит 26-31.01'!T6</f>
        <v>-6400</v>
      </c>
      <c r="U6" s="40">
        <f t="shared" ca="1" si="2"/>
        <v>126550</v>
      </c>
      <c r="V6" s="43">
        <f t="shared" ca="1" si="3"/>
        <v>0.17723667643767585</v>
      </c>
      <c r="W6" s="44">
        <f t="shared" ca="1" si="4"/>
        <v>9354.84</v>
      </c>
      <c r="X6" s="32">
        <f ca="1">'Юнит 01-04.01'!X6+'Юнит 05-11.01'!X6+'Юнит 12-18.01'!X6+'Юнит 19-25.01'!X6+'Юнит 26-31.01'!X6</f>
        <v>54416.5</v>
      </c>
      <c r="Y6" s="45">
        <f t="shared" ca="1" si="5"/>
        <v>0.43</v>
      </c>
      <c r="Z6" s="32">
        <f ca="1">'Юнит 01-04.01'!Z6+'Юнит 05-11.01'!Z6+'Юнит 12-18.01'!Z6+'Юнит 19-25.01'!Z6+'Юнит 26-31.01'!Z6</f>
        <v>12454.16</v>
      </c>
      <c r="AA6" s="32">
        <f>'Юнит 01-04.01'!AA6+'Юнит 05-11.01'!AA6+'Юнит 12-18.01'!AA6+'Юнит 19-25.01'!AA6+'Юнит 26-31.01'!AA6</f>
        <v>29335.859054</v>
      </c>
      <c r="AB6" s="55"/>
      <c r="AC6" s="42"/>
      <c r="AD6" s="46">
        <f t="shared" ca="1" si="17"/>
        <v>7226.0050000000001</v>
      </c>
      <c r="AE6" s="47">
        <f t="shared" ca="1" si="6"/>
        <v>13762.635945999999</v>
      </c>
      <c r="AF6" s="46"/>
      <c r="AG6" s="48">
        <f t="shared" ca="1" si="7"/>
        <v>1665.1315789473683</v>
      </c>
      <c r="AH6" s="49">
        <f t="shared" si="8"/>
        <v>123.09</v>
      </c>
      <c r="AI6" s="49">
        <f t="shared" ca="1" si="9"/>
        <v>716.00657894736844</v>
      </c>
      <c r="AJ6" s="49">
        <f t="shared" ca="1" si="10"/>
        <v>155.67699999999999</v>
      </c>
      <c r="AK6" s="49">
        <f t="shared" ca="1" si="11"/>
        <v>366.69823817500003</v>
      </c>
      <c r="AL6" s="49">
        <f t="array" aca="1" ref="AL6" ca="1">_xlfn.IFS(R6=0,AE6,R6&lt;0,AE6/-R6,R6&gt;0,AE6/R6)</f>
        <v>181.08731507894734</v>
      </c>
      <c r="AM6" s="50">
        <f t="shared" ca="1" si="12"/>
        <v>0.10875255587514815</v>
      </c>
      <c r="AN6" s="51">
        <f t="shared" ca="1" si="13"/>
        <v>1.4711781223409484</v>
      </c>
      <c r="AP6" s="53">
        <f t="shared" ca="1" si="14"/>
        <v>0</v>
      </c>
    </row>
    <row r="7" spans="1:42">
      <c r="A7" s="30">
        <v>2676784181</v>
      </c>
      <c r="B7" s="31" t="s">
        <v>43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57</v>
      </c>
      <c r="L7" s="36"/>
      <c r="M7" s="36"/>
      <c r="N7" s="37">
        <f t="shared" si="15"/>
        <v>1.8387096774193548</v>
      </c>
      <c r="O7" s="38">
        <f t="shared" ca="1" si="16"/>
        <v>0.967741935483871</v>
      </c>
      <c r="P7" s="32">
        <f ca="1">'Юнит 01-04.01'!P7+'Юнит 05-11.01'!P7+'Юнит 12-18.01'!P7+'Юнит 19-25.01'!P7+'Юнит 26-31.01'!P7</f>
        <v>30</v>
      </c>
      <c r="Q7" s="32">
        <f ca="1">'Юнит 01-04.01'!Q7+'Юнит 05-11.01'!Q7+'Юнит 12-18.01'!Q7+'Юнит 19-25.01'!Q7+'Юнит 26-31.01'!Q7</f>
        <v>0</v>
      </c>
      <c r="R7" s="40">
        <f t="shared" ca="1" si="1"/>
        <v>30</v>
      </c>
      <c r="S7" s="32">
        <f ca="1">'Юнит 01-04.01'!S7+'Юнит 05-11.01'!S7+'Юнит 12-18.01'!S7+'Юнит 19-25.01'!S7+'Юнит 26-31.01'!S7</f>
        <v>50400</v>
      </c>
      <c r="T7" s="32">
        <f ca="1">'Юнит 01-04.01'!T7+'Юнит 05-11.01'!T7+'Юнит 12-18.01'!T7+'Юнит 19-25.01'!T7+'Юнит 26-31.01'!T7</f>
        <v>0</v>
      </c>
      <c r="U7" s="40">
        <f t="shared" ca="1" si="2"/>
        <v>50400</v>
      </c>
      <c r="V7" s="43">
        <f t="shared" ca="1" si="3"/>
        <v>7.0586554661863796E-2</v>
      </c>
      <c r="W7" s="44">
        <f t="shared" ca="1" si="4"/>
        <v>3517.2</v>
      </c>
      <c r="X7" s="32">
        <f ca="1">'Юнит 01-04.01'!X7+'Юнит 05-11.01'!X7+'Юнит 12-18.01'!X7+'Юнит 19-25.01'!X7+'Юнит 26-31.01'!X7</f>
        <v>21672</v>
      </c>
      <c r="Y7" s="45">
        <f t="shared" ca="1" si="5"/>
        <v>0.43</v>
      </c>
      <c r="Z7" s="32">
        <f ca="1">'Юнит 01-04.01'!Z7+'Юнит 05-11.01'!Z7+'Юнит 12-18.01'!Z7+'Юнит 19-25.01'!Z7+'Юнит 26-31.01'!Z7</f>
        <v>4720.84</v>
      </c>
      <c r="AA7" s="32">
        <f>'Юнит 01-04.01'!AA7+'Юнит 05-11.01'!AA7+'Юнит 12-18.01'!AA7+'Юнит 19-25.01'!AA7+'Юнит 26-31.01'!AA7</f>
        <v>11121.298792000001</v>
      </c>
      <c r="AB7" s="55"/>
      <c r="AC7" s="42"/>
      <c r="AD7" s="46">
        <f t="shared" ca="1" si="17"/>
        <v>2877.8399999999997</v>
      </c>
      <c r="AE7" s="47">
        <f t="shared" ca="1" si="6"/>
        <v>6490.8212080000012</v>
      </c>
      <c r="AF7" s="46"/>
      <c r="AG7" s="48">
        <f t="shared" ca="1" si="7"/>
        <v>1680</v>
      </c>
      <c r="AH7" s="49">
        <f t="shared" si="8"/>
        <v>117.24</v>
      </c>
      <c r="AI7" s="49">
        <f t="shared" ca="1" si="9"/>
        <v>722.4</v>
      </c>
      <c r="AJ7" s="49">
        <f t="shared" ca="1" si="10"/>
        <v>157.36133333333333</v>
      </c>
      <c r="AK7" s="49">
        <f t="shared" ca="1" si="11"/>
        <v>370.70995973333339</v>
      </c>
      <c r="AL7" s="49">
        <f t="array" aca="1" ref="AL7" ca="1">_xlfn.IFS(R7=0,AE7,R7&lt;0,AE7/-R7,R7&gt;0,AE7/R7)</f>
        <v>216.36070693333338</v>
      </c>
      <c r="AM7" s="50">
        <f t="shared" ca="1" si="12"/>
        <v>0.12878613507936509</v>
      </c>
      <c r="AN7" s="51">
        <f t="shared" ca="1" si="13"/>
        <v>1.845451270328671</v>
      </c>
      <c r="AP7" s="53">
        <f t="shared" ca="1" si="14"/>
        <v>0</v>
      </c>
    </row>
    <row r="8" spans="1:42">
      <c r="A8" s="30">
        <v>2676783005</v>
      </c>
      <c r="B8" s="31" t="s">
        <v>44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33</v>
      </c>
      <c r="L8" s="36"/>
      <c r="M8" s="36"/>
      <c r="N8" s="37">
        <f t="shared" si="15"/>
        <v>1.064516129032258</v>
      </c>
      <c r="O8" s="38">
        <f t="shared" ca="1" si="16"/>
        <v>0.70967741935483875</v>
      </c>
      <c r="P8" s="32">
        <f ca="1">'Юнит 01-04.01'!P8+'Юнит 05-11.01'!P8+'Юнит 12-18.01'!P8+'Юнит 19-25.01'!P8+'Юнит 26-31.01'!P8</f>
        <v>23</v>
      </c>
      <c r="Q8" s="32">
        <f ca="1">'Юнит 01-04.01'!Q8+'Юнит 05-11.01'!Q8+'Юнит 12-18.01'!Q8+'Юнит 19-25.01'!Q8+'Юнит 26-31.01'!Q8</f>
        <v>1</v>
      </c>
      <c r="R8" s="40">
        <f ca="1">P8-Q8</f>
        <v>22</v>
      </c>
      <c r="S8" s="32">
        <f ca="1">'Юнит 01-04.01'!S8+'Юнит 05-11.01'!S8+'Юнит 12-18.01'!S8+'Юнит 19-25.01'!S8+'Юнит 26-31.01'!S8</f>
        <v>32030</v>
      </c>
      <c r="T8" s="32">
        <f ca="1">'Юнит 01-04.01'!T8+'Юнит 05-11.01'!T8+'Юнит 12-18.01'!T8+'Юнит 19-25.01'!T8+'Юнит 26-31.01'!T8</f>
        <v>-1202</v>
      </c>
      <c r="U8" s="40">
        <f ca="1">S8+T8</f>
        <v>30828</v>
      </c>
      <c r="V8" s="43">
        <f t="shared" ca="1" si="3"/>
        <v>4.3175442601506686E-2</v>
      </c>
      <c r="W8" s="44">
        <f ca="1">R8*H8</f>
        <v>3737.58</v>
      </c>
      <c r="X8" s="32">
        <f ca="1">'Юнит 01-04.01'!X8+'Юнит 05-11.01'!X8+'Юнит 12-18.01'!X8+'Юнит 19-25.01'!X8+'Юнит 26-31.01'!X8</f>
        <v>13256.039999999999</v>
      </c>
      <c r="Y8" s="45">
        <f t="shared" ca="1" si="5"/>
        <v>0.43</v>
      </c>
      <c r="Z8" s="32">
        <f ca="1">'Юнит 01-04.01'!Z8+'Юнит 05-11.01'!Z8+'Юнит 12-18.01'!Z8+'Юнит 19-25.01'!Z8+'Юнит 26-31.01'!Z8</f>
        <v>3351.83</v>
      </c>
      <c r="AA8" s="32">
        <f>'Юнит 01-04.01'!AA8+'Юнит 05-11.01'!AA8+'Юнит 12-18.01'!AA8+'Юнит 19-25.01'!AA8+'Юнит 26-31.01'!AA8</f>
        <v>8254.5317680000007</v>
      </c>
      <c r="AB8" s="55"/>
      <c r="AC8" s="42"/>
      <c r="AD8" s="46">
        <f t="shared" ca="1" si="17"/>
        <v>1760.2788</v>
      </c>
      <c r="AE8" s="47">
        <f ca="1">U8-W8-X8-Z8-AA8-AB8-AC8-AD8</f>
        <v>467.73943199999849</v>
      </c>
      <c r="AF8" s="46"/>
      <c r="AG8" s="48">
        <f ca="1">IF(R8=0,0,U8/R8)</f>
        <v>1401.2727272727273</v>
      </c>
      <c r="AH8" s="49">
        <f>H8</f>
        <v>169.89</v>
      </c>
      <c r="AI8" s="49">
        <f ca="1">IF(R8=0,0,X8/R8)</f>
        <v>602.54727272727268</v>
      </c>
      <c r="AJ8" s="49">
        <f ca="1">IF(P8=0,Z8/1,Z8/P8)</f>
        <v>145.73173913043479</v>
      </c>
      <c r="AK8" s="49">
        <f ca="1">IF(P8=0,0,AA8/P8)</f>
        <v>358.89268556521745</v>
      </c>
      <c r="AL8" s="49">
        <f t="array" aca="1" ref="AL8" ca="1">_xlfn.IFS(R8=0,AE8,R8&lt;0,AE8/-R8,R8&gt;0,AE8/R8)</f>
        <v>21.260883272727202</v>
      </c>
      <c r="AM8" s="50">
        <f ca="1">IF(AG8=0,0,AL8/AG8)</f>
        <v>1.5172551965745375E-2</v>
      </c>
      <c r="AN8" s="51">
        <f ca="1">IF(AH8=0,0,AL8/AH8)</f>
        <v>0.12514499542484669</v>
      </c>
      <c r="AP8" s="53">
        <f ca="1">AL8*C8</f>
        <v>0</v>
      </c>
    </row>
    <row r="9" spans="1:42">
      <c r="A9" s="30">
        <v>3405092860</v>
      </c>
      <c r="B9" s="31" t="s">
        <v>56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0</v>
      </c>
      <c r="L9" s="36"/>
      <c r="M9" s="36"/>
      <c r="N9" s="37">
        <f t="shared" si="15"/>
        <v>0</v>
      </c>
      <c r="O9" s="38">
        <f t="shared" ca="1" si="16"/>
        <v>0</v>
      </c>
      <c r="P9" s="32">
        <f ca="1">'Юнит 01-04.01'!P9+'Юнит 05-11.01'!P9+'Юнит 12-18.01'!P9+'Юнит 19-25.01'!P9+'Юнит 26-31.01'!P9</f>
        <v>0</v>
      </c>
      <c r="Q9" s="32">
        <f ca="1">'Юнит 01-04.01'!Q9+'Юнит 05-11.01'!Q9+'Юнит 12-18.01'!Q9+'Юнит 19-25.01'!Q9+'Юнит 26-31.01'!Q9</f>
        <v>0</v>
      </c>
      <c r="R9" s="40">
        <f t="shared" ref="R9:R16" ca="1" si="18">P9-Q9</f>
        <v>0</v>
      </c>
      <c r="S9" s="32">
        <f ca="1">'Юнит 01-04.01'!S9+'Юнит 05-11.01'!S9+'Юнит 12-18.01'!S9+'Юнит 19-25.01'!S9+'Юнит 26-31.01'!S9</f>
        <v>0</v>
      </c>
      <c r="T9" s="32">
        <f ca="1">'Юнит 01-04.01'!T9+'Юнит 05-11.01'!T9+'Юнит 12-18.01'!T9+'Юнит 19-25.01'!T9+'Юнит 26-31.01'!T9</f>
        <v>0</v>
      </c>
      <c r="U9" s="40">
        <f t="shared" ref="U9:U16" ca="1" si="19">S9+T9</f>
        <v>0</v>
      </c>
      <c r="V9" s="43">
        <f t="shared" ca="1" si="3"/>
        <v>0</v>
      </c>
      <c r="W9" s="44">
        <f t="shared" ref="W9:W16" ca="1" si="20">R9*H9</f>
        <v>0</v>
      </c>
      <c r="X9" s="32">
        <f ca="1">'Юнит 01-04.01'!X9+'Юнит 05-11.01'!X9+'Юнит 12-18.01'!X9+'Юнит 19-25.01'!X9+'Юнит 26-31.01'!X9</f>
        <v>0</v>
      </c>
      <c r="Y9" s="45">
        <f t="shared" ca="1" si="5"/>
        <v>0</v>
      </c>
      <c r="Z9" s="32">
        <f ca="1">'Юнит 01-04.01'!Z9+'Юнит 05-11.01'!Z9+'Юнит 12-18.01'!Z9+'Юнит 19-25.01'!Z9+'Юнит 26-31.01'!Z9</f>
        <v>0</v>
      </c>
      <c r="AA9" s="32">
        <f>'Юнит 01-04.01'!AA9+'Юнит 05-11.01'!AA9+'Юнит 12-18.01'!AA9+'Юнит 19-25.01'!AA9+'Юнит 26-31.01'!AA9</f>
        <v>0</v>
      </c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57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0</v>
      </c>
      <c r="L10" s="36"/>
      <c r="M10" s="36"/>
      <c r="N10" s="37">
        <f t="shared" si="15"/>
        <v>0</v>
      </c>
      <c r="O10" s="38">
        <f t="shared" ca="1" si="16"/>
        <v>0</v>
      </c>
      <c r="P10" s="32">
        <f ca="1">'Юнит 01-04.01'!P10+'Юнит 05-11.01'!P10+'Юнит 12-18.01'!P10+'Юнит 19-25.01'!P10+'Юнит 26-31.01'!P10</f>
        <v>0</v>
      </c>
      <c r="Q10" s="32">
        <f ca="1">'Юнит 01-04.01'!Q10+'Юнит 05-11.01'!Q10+'Юнит 12-18.01'!Q10+'Юнит 19-25.01'!Q10+'Юнит 26-31.01'!Q10</f>
        <v>0</v>
      </c>
      <c r="R10" s="40">
        <f t="shared" ca="1" si="18"/>
        <v>0</v>
      </c>
      <c r="S10" s="32">
        <f ca="1">'Юнит 01-04.01'!S10+'Юнит 05-11.01'!S10+'Юнит 12-18.01'!S10+'Юнит 19-25.01'!S10+'Юнит 26-31.01'!S10</f>
        <v>0</v>
      </c>
      <c r="T10" s="32">
        <f ca="1">'Юнит 01-04.01'!T10+'Юнит 05-11.01'!T10+'Юнит 12-18.01'!T10+'Юнит 19-25.01'!T10+'Юнит 26-31.01'!T10</f>
        <v>0</v>
      </c>
      <c r="U10" s="40">
        <f t="shared" ca="1" si="19"/>
        <v>0</v>
      </c>
      <c r="V10" s="43">
        <f t="shared" ca="1" si="3"/>
        <v>0</v>
      </c>
      <c r="W10" s="44">
        <f t="shared" ca="1" si="20"/>
        <v>0</v>
      </c>
      <c r="X10" s="32">
        <f ca="1">'Юнит 01-04.01'!X10+'Юнит 05-11.01'!X10+'Юнит 12-18.01'!X10+'Юнит 19-25.01'!X10+'Юнит 26-31.01'!X10</f>
        <v>0</v>
      </c>
      <c r="Y10" s="45">
        <f t="shared" ca="1" si="5"/>
        <v>0</v>
      </c>
      <c r="Z10" s="32">
        <f ca="1"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53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182</v>
      </c>
      <c r="L11" s="36"/>
      <c r="M11" s="36"/>
      <c r="N11" s="37">
        <f t="shared" si="15"/>
        <v>5.870967741935484</v>
      </c>
      <c r="O11" s="38">
        <f t="shared" ca="1" si="16"/>
        <v>4.032258064516129</v>
      </c>
      <c r="P11" s="32">
        <f ca="1">'Юнит 01-04.01'!P11+'Юнит 05-11.01'!P11+'Юнит 12-18.01'!P11+'Юнит 19-25.01'!P11+'Юнит 26-31.01'!P11</f>
        <v>129</v>
      </c>
      <c r="Q11" s="32">
        <f ca="1">'Юнит 01-04.01'!Q11+'Юнит 05-11.01'!Q11+'Юнит 12-18.01'!Q11+'Юнит 19-25.01'!Q11+'Юнит 26-31.01'!Q11</f>
        <v>4</v>
      </c>
      <c r="R11" s="40">
        <f t="shared" ca="1" si="18"/>
        <v>125</v>
      </c>
      <c r="S11" s="32">
        <f ca="1">'Юнит 01-04.01'!S11+'Юнит 05-11.01'!S11+'Юнит 12-18.01'!S11+'Юнит 19-25.01'!S11+'Юнит 26-31.01'!S11</f>
        <v>216040</v>
      </c>
      <c r="T11" s="32">
        <f ca="1">'Юнит 01-04.01'!T11+'Юнит 05-11.01'!T11+'Юнит 12-18.01'!T11+'Юнит 19-25.01'!T11+'Юнит 26-31.01'!T11</f>
        <v>-6890</v>
      </c>
      <c r="U11" s="40">
        <f t="shared" ca="1" si="19"/>
        <v>209150</v>
      </c>
      <c r="V11" s="43">
        <f t="shared" ca="1" si="3"/>
        <v>0.29292019657795265</v>
      </c>
      <c r="W11" s="44">
        <f t="shared" ca="1" si="20"/>
        <v>15375</v>
      </c>
      <c r="X11" s="32">
        <f ca="1">'Юнит 01-04.01'!X11+'Юнит 05-11.01'!X11+'Юнит 12-18.01'!X11+'Юнит 19-25.01'!X11+'Юнит 26-31.01'!X11</f>
        <v>89934.499999999971</v>
      </c>
      <c r="Y11" s="45">
        <f t="shared" ca="1" si="5"/>
        <v>0.42999999999999988</v>
      </c>
      <c r="Z11" s="32">
        <f ca="1">'Юнит 01-04.01'!Z11+'Юнит 05-11.01'!Z11+'Юнит 12-18.01'!Z11+'Юнит 19-25.01'!Z11+'Юнит 26-31.01'!Z11</f>
        <v>23434.169999999995</v>
      </c>
      <c r="AA11" s="32">
        <f>'Юнит 01-04.01'!AA11+'Юнит 05-11.01'!AA11+'Юнит 12-18.01'!AA11+'Юнит 19-25.01'!AA11+'Юнит 26-31.01'!AA11</f>
        <v>63035.768513000003</v>
      </c>
      <c r="AB11" s="55"/>
      <c r="AC11" s="42"/>
      <c r="AD11" s="46">
        <f t="shared" ca="1" si="17"/>
        <v>11942.465</v>
      </c>
      <c r="AE11" s="47">
        <f t="shared" ca="1" si="21"/>
        <v>5428.096487000028</v>
      </c>
      <c r="AF11" s="46"/>
      <c r="AG11" s="48">
        <f t="shared" ca="1" si="22"/>
        <v>1673.2</v>
      </c>
      <c r="AH11" s="49">
        <f t="shared" si="23"/>
        <v>123</v>
      </c>
      <c r="AI11" s="49">
        <f t="shared" ca="1" si="24"/>
        <v>719.47599999999977</v>
      </c>
      <c r="AJ11" s="49">
        <f t="shared" ca="1" si="25"/>
        <v>181.66023255813948</v>
      </c>
      <c r="AK11" s="49">
        <f t="shared" ca="1" si="26"/>
        <v>488.6493683178295</v>
      </c>
      <c r="AL11" s="49">
        <f t="array" aca="1" ref="AL11" ca="1">_xlfn.IFS(R11=0,AE11,R11&lt;0,AE11/-R11,R11&gt;0,AE11/R11)</f>
        <v>43.424771896000223</v>
      </c>
      <c r="AM11" s="50">
        <f t="shared" ca="1" si="27"/>
        <v>2.5953126880229632E-2</v>
      </c>
      <c r="AN11" s="51">
        <f t="shared" ca="1" si="28"/>
        <v>0.35304692598374166</v>
      </c>
      <c r="AP11" s="53">
        <f t="shared" ca="1" si="29"/>
        <v>0</v>
      </c>
    </row>
    <row r="12" spans="1:42">
      <c r="A12" s="30">
        <v>3405092873</v>
      </c>
      <c r="B12" s="171" t="s">
        <v>58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0</v>
      </c>
      <c r="L12" s="36"/>
      <c r="M12" s="36"/>
      <c r="N12" s="37">
        <f t="shared" si="15"/>
        <v>0</v>
      </c>
      <c r="O12" s="38">
        <f t="shared" ca="1" si="16"/>
        <v>0</v>
      </c>
      <c r="P12" s="32">
        <f ca="1">'Юнит 01-04.01'!P12+'Юнит 05-11.01'!P12+'Юнит 12-18.01'!P12+'Юнит 19-25.01'!P12+'Юнит 26-31.01'!P12</f>
        <v>0</v>
      </c>
      <c r="Q12" s="32">
        <f ca="1">'Юнит 01-04.01'!Q12+'Юнит 05-11.01'!Q12+'Юнит 12-18.01'!Q12+'Юнит 19-25.01'!Q12+'Юнит 26-31.01'!Q12</f>
        <v>0</v>
      </c>
      <c r="R12" s="40">
        <f t="shared" ca="1" si="18"/>
        <v>0</v>
      </c>
      <c r="S12" s="32">
        <f ca="1">'Юнит 01-04.01'!S12+'Юнит 05-11.01'!S12+'Юнит 12-18.01'!S12+'Юнит 19-25.01'!S12+'Юнит 26-31.01'!S12</f>
        <v>0</v>
      </c>
      <c r="T12" s="32">
        <f ca="1">'Юнит 01-04.01'!T12+'Юнит 05-11.01'!T12+'Юнит 12-18.01'!T12+'Юнит 19-25.01'!T12+'Юнит 26-31.01'!T12</f>
        <v>0</v>
      </c>
      <c r="U12" s="40">
        <f t="shared" ca="1" si="19"/>
        <v>0</v>
      </c>
      <c r="V12" s="43">
        <f t="shared" ca="1" si="3"/>
        <v>0</v>
      </c>
      <c r="W12" s="44">
        <f t="shared" ca="1" si="20"/>
        <v>0</v>
      </c>
      <c r="X12" s="32">
        <f ca="1">'Юнит 01-04.01'!X12+'Юнит 05-11.01'!X12+'Юнит 12-18.01'!X12+'Юнит 19-25.01'!X12+'Юнит 26-31.01'!X12</f>
        <v>0</v>
      </c>
      <c r="Y12" s="45">
        <f t="shared" ca="1" si="5"/>
        <v>0</v>
      </c>
      <c r="Z12" s="32">
        <f ca="1"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59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0</v>
      </c>
      <c r="L13" s="36"/>
      <c r="M13" s="36"/>
      <c r="N13" s="37">
        <f t="shared" si="15"/>
        <v>0</v>
      </c>
      <c r="O13" s="38">
        <f t="shared" ca="1" si="16"/>
        <v>0</v>
      </c>
      <c r="P13" s="32">
        <f ca="1">'Юнит 01-04.01'!P13+'Юнит 05-11.01'!P13+'Юнит 12-18.01'!P13+'Юнит 19-25.01'!P13+'Юнит 26-31.01'!P13</f>
        <v>0</v>
      </c>
      <c r="Q13" s="32">
        <f ca="1">'Юнит 01-04.01'!Q13+'Юнит 05-11.01'!Q13+'Юнит 12-18.01'!Q13+'Юнит 19-25.01'!Q13+'Юнит 26-31.01'!Q13</f>
        <v>0</v>
      </c>
      <c r="R13" s="40">
        <f t="shared" ca="1" si="18"/>
        <v>0</v>
      </c>
      <c r="S13" s="32">
        <f ca="1">'Юнит 01-04.01'!S13+'Юнит 05-11.01'!S13+'Юнит 12-18.01'!S13+'Юнит 19-25.01'!S13+'Юнит 26-31.01'!S13</f>
        <v>0</v>
      </c>
      <c r="T13" s="32">
        <f ca="1">'Юнит 01-04.01'!T13+'Юнит 05-11.01'!T13+'Юнит 12-18.01'!T13+'Юнит 19-25.01'!T13+'Юнит 26-31.01'!T13</f>
        <v>0</v>
      </c>
      <c r="U13" s="40">
        <f t="shared" ca="1" si="19"/>
        <v>0</v>
      </c>
      <c r="V13" s="43">
        <f t="shared" ca="1" si="3"/>
        <v>0</v>
      </c>
      <c r="W13" s="44">
        <f t="shared" ca="1" si="20"/>
        <v>0</v>
      </c>
      <c r="X13" s="32">
        <f ca="1">'Юнит 01-04.01'!X13+'Юнит 05-11.01'!X13+'Юнит 12-18.01'!X13+'Юнит 19-25.01'!X13+'Юнит 26-31.01'!X13</f>
        <v>0</v>
      </c>
      <c r="Y13" s="45">
        <f t="shared" ca="1" si="5"/>
        <v>0</v>
      </c>
      <c r="Z13" s="32">
        <f ca="1">'Юнит 01-04.01'!Z13+'Юнит 05-11.01'!Z13+'Юнит 12-18.01'!Z13+'Юнит 19-25.01'!Z13+'Юнит 26-31.01'!Z13</f>
        <v>0</v>
      </c>
      <c r="AA13" s="32">
        <f>'Юнит 01-04.01'!AA13+'Юнит 05-11.01'!AA13+'Юнит 12-18.01'!AA13+'Юнит 19-25.01'!AA13+'Юнит 26-31.01'!AA13</f>
        <v>0</v>
      </c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60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ca="1" si="16"/>
        <v>0</v>
      </c>
      <c r="P14" s="32">
        <f ca="1">'Юнит 01-04.01'!P14+'Юнит 05-11.01'!P14+'Юнит 12-18.01'!P14+'Юнит 19-25.01'!P14+'Юнит 26-31.01'!P14</f>
        <v>0</v>
      </c>
      <c r="Q14" s="32">
        <f ca="1">'Юнит 01-04.01'!Q14+'Юнит 05-11.01'!Q14+'Юнит 12-18.01'!Q14+'Юнит 19-25.01'!Q14+'Юнит 26-31.01'!Q14</f>
        <v>0</v>
      </c>
      <c r="R14" s="40">
        <f t="shared" ca="1" si="18"/>
        <v>0</v>
      </c>
      <c r="S14" s="32">
        <f ca="1">'Юнит 01-04.01'!S14+'Юнит 05-11.01'!S14+'Юнит 12-18.01'!S14+'Юнит 19-25.01'!S14+'Юнит 26-31.01'!S14</f>
        <v>0</v>
      </c>
      <c r="T14" s="32">
        <f ca="1">'Юнит 01-04.01'!T14+'Юнит 05-11.01'!T14+'Юнит 12-18.01'!T14+'Юнит 19-25.01'!T14+'Юнит 26-31.01'!T14</f>
        <v>0</v>
      </c>
      <c r="U14" s="40">
        <f t="shared" ca="1" si="19"/>
        <v>0</v>
      </c>
      <c r="V14" s="43">
        <f t="shared" ca="1" si="3"/>
        <v>0</v>
      </c>
      <c r="W14" s="44">
        <f t="shared" ca="1" si="20"/>
        <v>0</v>
      </c>
      <c r="X14" s="32">
        <f ca="1">'Юнит 01-04.01'!X14+'Юнит 05-11.01'!X14+'Юнит 12-18.01'!X14+'Юнит 19-25.01'!X14+'Юнит 26-31.01'!X14</f>
        <v>0</v>
      </c>
      <c r="Y14" s="45">
        <f t="shared" ca="1" si="5"/>
        <v>0</v>
      </c>
      <c r="Z14" s="32">
        <f ca="1"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0</v>
      </c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54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184</v>
      </c>
      <c r="L15" s="36"/>
      <c r="M15" s="36"/>
      <c r="N15" s="37">
        <f t="shared" si="15"/>
        <v>5.935483870967742</v>
      </c>
      <c r="O15" s="38">
        <f t="shared" ca="1" si="16"/>
        <v>4.129032258064516</v>
      </c>
      <c r="P15" s="32">
        <f ca="1">'Юнит 01-04.01'!P15+'Юнит 05-11.01'!P15+'Юнит 12-18.01'!P15+'Юнит 19-25.01'!P15+'Юнит 26-31.01'!P15</f>
        <v>132</v>
      </c>
      <c r="Q15" s="32">
        <f ca="1">'Юнит 01-04.01'!Q15+'Юнит 05-11.01'!Q15+'Юнит 12-18.01'!Q15+'Юнит 19-25.01'!Q15+'Юнит 26-31.01'!Q15</f>
        <v>4</v>
      </c>
      <c r="R15" s="40">
        <f t="shared" ca="1" si="18"/>
        <v>128</v>
      </c>
      <c r="S15" s="32">
        <f ca="1">'Юнит 01-04.01'!S15+'Юнит 05-11.01'!S15+'Юнит 12-18.01'!S15+'Юнит 19-25.01'!S15+'Юнит 26-31.01'!S15</f>
        <v>240977</v>
      </c>
      <c r="T15" s="32">
        <f ca="1">'Юнит 01-04.01'!T15+'Юнит 05-11.01'!T15+'Юнит 12-18.01'!T15+'Юнит 19-25.01'!T15+'Юнит 26-31.01'!T15</f>
        <v>-7379.9999999999991</v>
      </c>
      <c r="U15" s="40">
        <f t="shared" ca="1" si="19"/>
        <v>233597</v>
      </c>
      <c r="V15" s="43">
        <f ca="1">U15/$U$24</f>
        <v>0.32715887716959119</v>
      </c>
      <c r="W15" s="44">
        <f t="shared" ca="1" si="20"/>
        <v>15744</v>
      </c>
      <c r="X15" s="32">
        <f ca="1">'Юнит 01-04.01'!X15+'Юнит 05-11.01'!X15+'Юнит 12-18.01'!X15+'Юнит 19-25.01'!X15+'Юнит 26-31.01'!X15</f>
        <v>100446.70999999996</v>
      </c>
      <c r="Y15" s="45">
        <f t="shared" ca="1" si="5"/>
        <v>0.42999999999999983</v>
      </c>
      <c r="Z15" s="32">
        <f ca="1">'Юнит 01-04.01'!Z15+'Юнит 05-11.01'!Z15+'Юнит 12-18.01'!Z15+'Юнит 19-25.01'!Z15+'Юнит 26-31.01'!Z15</f>
        <v>28024.059999999998</v>
      </c>
      <c r="AA15" s="32">
        <f>'Юнит 01-04.01'!AA15+'Юнит 05-11.01'!AA15+'Юнит 12-18.01'!AA15+'Юнит 19-25.01'!AA15+'Юнит 26-31.01'!AA15</f>
        <v>67039.197885000001</v>
      </c>
      <c r="AB15" s="55"/>
      <c r="AC15" s="42"/>
      <c r="AD15" s="46">
        <f t="shared" ca="1" si="17"/>
        <v>13338.3887</v>
      </c>
      <c r="AE15" s="47">
        <f t="shared" ca="1" si="21"/>
        <v>9004.6434150000387</v>
      </c>
      <c r="AF15" s="46"/>
      <c r="AG15" s="48">
        <f t="shared" ca="1" si="22"/>
        <v>1824.9765625</v>
      </c>
      <c r="AH15" s="49">
        <f t="shared" si="23"/>
        <v>123</v>
      </c>
      <c r="AI15" s="49">
        <f t="shared" ca="1" si="24"/>
        <v>784.73992187499971</v>
      </c>
      <c r="AJ15" s="49">
        <f t="shared" ca="1" si="25"/>
        <v>212.30348484848483</v>
      </c>
      <c r="AK15" s="49">
        <f t="shared" ca="1" si="26"/>
        <v>507.87271125000001</v>
      </c>
      <c r="AL15" s="49">
        <f t="array" aca="1" ref="AL15" ca="1">_xlfn.IFS(R15=0,AE15,R15&lt;0,AE15/-R15,R15&gt;0,AE15/R15)</f>
        <v>70.348776679687802</v>
      </c>
      <c r="AM15" s="50">
        <f t="shared" ca="1" si="27"/>
        <v>3.8547769941394958E-2</v>
      </c>
      <c r="AN15" s="51">
        <f t="shared" ca="1" si="28"/>
        <v>0.57194127381860005</v>
      </c>
      <c r="AP15" s="53">
        <f t="shared" ca="1" si="29"/>
        <v>0</v>
      </c>
    </row>
    <row r="16" spans="1:42">
      <c r="A16" s="30">
        <v>3405092287</v>
      </c>
      <c r="B16" s="31" t="s">
        <v>61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0</v>
      </c>
      <c r="N16" s="37">
        <f t="shared" si="15"/>
        <v>0</v>
      </c>
      <c r="O16" s="38">
        <f t="shared" ca="1" si="16"/>
        <v>0</v>
      </c>
      <c r="P16" s="32">
        <f ca="1">'Юнит 01-04.01'!P16+'Юнит 05-11.01'!P16+'Юнит 12-18.01'!P16+'Юнит 19-25.01'!P16+'Юнит 26-31.01'!P16</f>
        <v>0</v>
      </c>
      <c r="Q16" s="32">
        <f ca="1">'Юнит 01-04.01'!Q16+'Юнит 05-11.01'!Q16+'Юнит 12-18.01'!Q16+'Юнит 19-25.01'!Q16+'Юнит 26-31.01'!Q16</f>
        <v>0</v>
      </c>
      <c r="R16" s="40">
        <f t="shared" ca="1" si="18"/>
        <v>0</v>
      </c>
      <c r="S16" s="32">
        <f ca="1">'Юнит 01-04.01'!S16+'Юнит 05-11.01'!S16+'Юнит 12-18.01'!S16+'Юнит 19-25.01'!S16+'Юнит 26-31.01'!S16</f>
        <v>0</v>
      </c>
      <c r="T16" s="32">
        <f ca="1">'Юнит 01-04.01'!T16+'Юнит 05-11.01'!T16+'Юнит 12-18.01'!T16+'Юнит 19-25.01'!T16+'Юнит 26-31.01'!T16</f>
        <v>0</v>
      </c>
      <c r="U16" s="40">
        <f t="shared" ca="1" si="19"/>
        <v>0</v>
      </c>
      <c r="V16" s="43">
        <f ca="1">U16/$U$24</f>
        <v>0</v>
      </c>
      <c r="W16" s="44">
        <f t="shared" ca="1" si="20"/>
        <v>0</v>
      </c>
      <c r="X16" s="32">
        <f ca="1">'Юнит 01-04.01'!X16+'Юнит 05-11.01'!X16+'Юнит 12-18.01'!X16+'Юнит 19-25.01'!X16+'Юнит 26-31.01'!X16</f>
        <v>0</v>
      </c>
      <c r="Y16" s="45">
        <f t="shared" ca="1" si="5"/>
        <v>0</v>
      </c>
      <c r="Z16" s="32">
        <f ca="1"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0</v>
      </c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ca="1" si="30">AVERAGEIF(AG3:AG15,"&lt;&gt;0",AG3:AG15)</f>
        <v>1658.2789577963613</v>
      </c>
      <c r="AH17" s="58">
        <f t="shared" si="30"/>
        <v>127.26</v>
      </c>
      <c r="AI17" s="58">
        <f t="shared" ca="1" si="30"/>
        <v>713.05995185243512</v>
      </c>
      <c r="AJ17" s="58">
        <f t="shared" ca="1" si="30"/>
        <v>163.75185270205304</v>
      </c>
      <c r="AK17" s="58">
        <f t="shared" ca="1" si="30"/>
        <v>321.19618221112495</v>
      </c>
      <c r="AL17" s="58">
        <f t="shared" ca="1" si="30"/>
        <v>223.11245244131715</v>
      </c>
      <c r="AM17" s="59">
        <f t="shared" ca="1" si="30"/>
        <v>0.13306656558211846</v>
      </c>
      <c r="AN17" s="59">
        <f t="shared" ca="1" si="30"/>
        <v>1.7643960331443211</v>
      </c>
      <c r="AO17" s="60"/>
      <c r="AP17" s="61"/>
    </row>
    <row r="18" spans="1:52">
      <c r="A18" s="62" t="s">
        <v>45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603</v>
      </c>
      <c r="L18" s="67"/>
      <c r="M18" s="67"/>
      <c r="N18" s="68"/>
      <c r="O18" s="69"/>
      <c r="P18" s="64">
        <f t="shared" ref="P18:X18" ca="1" si="31">SUM(P3:P16)</f>
        <v>432</v>
      </c>
      <c r="Q18" s="64">
        <f t="shared" ca="1" si="31"/>
        <v>13</v>
      </c>
      <c r="R18" s="64">
        <f t="shared" ca="1" si="31"/>
        <v>419</v>
      </c>
      <c r="S18" s="70">
        <f t="shared" ca="1" si="31"/>
        <v>735889</v>
      </c>
      <c r="T18" s="64">
        <f t="shared" ca="1" si="31"/>
        <v>-21872</v>
      </c>
      <c r="U18" s="64">
        <f t="shared" ca="1" si="31"/>
        <v>714017</v>
      </c>
      <c r="V18" s="71">
        <f t="shared" ca="1" si="31"/>
        <v>1</v>
      </c>
      <c r="W18" s="64">
        <f t="shared" ca="1" si="31"/>
        <v>52684.5</v>
      </c>
      <c r="X18" s="64">
        <f t="shared" ca="1" si="31"/>
        <v>307027.30999999994</v>
      </c>
      <c r="Y18" s="72">
        <f ca="1">IF(U18=0,0,X18/U18)</f>
        <v>0.42999999999999994</v>
      </c>
      <c r="Z18" s="64">
        <f ca="1">SUM(Z3:Z16)</f>
        <v>77786.689999999988</v>
      </c>
      <c r="AA18" s="64">
        <f ca="1">IFERROR(P18*AA24/P24,0)</f>
        <v>188538.65999999997</v>
      </c>
      <c r="AB18" s="64">
        <f>SUM(AB3:AB16)</f>
        <v>0</v>
      </c>
      <c r="AC18" s="64">
        <f>SUM(AC3:AC16)</f>
        <v>0</v>
      </c>
      <c r="AD18" s="73">
        <f ca="1">SUM(AD3:AD16)</f>
        <v>40770.370699999999</v>
      </c>
      <c r="AE18" s="74">
        <f ca="1">SUM(AE3:AE16)</f>
        <v>50959.258204000071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SUM(AA3:AA15)</f>
        <v>184788.87109600002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 ca="1"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46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603</v>
      </c>
      <c r="L24" s="119"/>
      <c r="M24" s="119"/>
      <c r="N24" s="119"/>
      <c r="O24" s="119"/>
      <c r="P24" s="120">
        <f ca="1">P18+P22</f>
        <v>432</v>
      </c>
      <c r="Q24" s="118">
        <f ca="1">Q18+Q22</f>
        <v>13</v>
      </c>
      <c r="R24" s="121">
        <f ca="1">R18-R22</f>
        <v>419</v>
      </c>
      <c r="S24" s="118">
        <f t="shared" ref="S24:X24" ca="1" si="34">S18+S22</f>
        <v>735889</v>
      </c>
      <c r="T24" s="118">
        <f t="shared" ca="1" si="34"/>
        <v>-21872</v>
      </c>
      <c r="U24" s="121">
        <f t="shared" ca="1" si="34"/>
        <v>714017</v>
      </c>
      <c r="V24" s="122">
        <f t="shared" ca="1" si="34"/>
        <v>1</v>
      </c>
      <c r="W24" s="118">
        <f t="shared" ca="1" si="34"/>
        <v>52684.5</v>
      </c>
      <c r="X24" s="118">
        <f t="shared" ca="1" si="34"/>
        <v>307027.30999999994</v>
      </c>
      <c r="Y24" s="123">
        <f ca="1">X24/U24</f>
        <v>0.42999999999999994</v>
      </c>
      <c r="Z24" s="118">
        <f ca="1">Z18+Z22</f>
        <v>77786.689999999988</v>
      </c>
      <c r="AA24" s="247">
        <f>'Юнит 01-04.01'!AA24+'Юнит 05-11.01'!AA24+'Юнит 12-18.01'!AA24+'Юнит 19-25.01'!AA24+'Юнит 26-31.01'!AA24</f>
        <v>188538.65999999997</v>
      </c>
      <c r="AB24" s="125"/>
      <c r="AC24" s="125">
        <f>SUM(AC3:AC20)</f>
        <v>0</v>
      </c>
      <c r="AD24" s="118">
        <f ca="1">AD18+AD22</f>
        <v>40770.370699999999</v>
      </c>
      <c r="AE24" s="126">
        <f ca="1">AE18+AE22</f>
        <v>50959.258204000071</v>
      </c>
      <c r="AF24" s="127"/>
      <c r="AG24" s="128"/>
      <c r="AH24" s="129"/>
      <c r="AI24" s="129"/>
      <c r="AJ24" s="129"/>
      <c r="AK24" s="129">
        <f ca="1">AA25/P24</f>
        <v>436.43208333333325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 ca="1">AA18+AA22</f>
        <v>188538.65999999997</v>
      </c>
      <c r="AB25" s="141"/>
      <c r="AC25" s="142"/>
      <c r="AE25" s="248">
        <f ca="1">Сводная!Y8+Сводная!S8+Сводная!T8+Сводная!U8-Сводная!V8-Сводная!W8-(AA26-AA25)</f>
        <v>50959.258204000042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184788.87109600002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38</v>
      </c>
      <c r="L29" s="152" t="s">
        <v>47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48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49</v>
      </c>
      <c r="I32" s="163">
        <f>I24-I33-I31</f>
        <v>0</v>
      </c>
      <c r="J32" s="164" t="e">
        <f>I32/I24</f>
        <v>#DIV/0!</v>
      </c>
      <c r="K32" s="160">
        <f ca="1">AP24-K31-K33</f>
        <v>0</v>
      </c>
      <c r="L32" s="161" t="e">
        <f ca="1"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50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51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3" priority="19" operator="greaterThan">
      <formula>120</formula>
    </cfRule>
  </conditionalFormatting>
  <conditionalFormatting sqref="N23">
    <cfRule type="cellIs" dxfId="112" priority="18" operator="between">
      <formula>0.000001</formula>
      <formula>25</formula>
    </cfRule>
  </conditionalFormatting>
  <conditionalFormatting sqref="V1 V25:V28 V30:V1048576">
    <cfRule type="cellIs" dxfId="11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10" priority="14" operator="greaterThan">
      <formula>120</formula>
    </cfRule>
  </conditionalFormatting>
  <conditionalFormatting sqref="Q23">
    <cfRule type="cellIs" dxfId="109" priority="13" operator="greaterThan">
      <formula>120</formula>
    </cfRule>
  </conditionalFormatting>
  <conditionalFormatting sqref="R23">
    <cfRule type="cellIs" dxfId="108" priority="12" operator="greaterThan">
      <formula>120</formula>
    </cfRule>
  </conditionalFormatting>
  <conditionalFormatting sqref="S23">
    <cfRule type="cellIs" dxfId="107" priority="11" operator="greaterThan">
      <formula>120</formula>
    </cfRule>
  </conditionalFormatting>
  <conditionalFormatting sqref="T23">
    <cfRule type="cellIs" dxfId="106" priority="10" operator="greaterThan">
      <formula>120</formula>
    </cfRule>
  </conditionalFormatting>
  <conditionalFormatting sqref="U23">
    <cfRule type="cellIs" dxfId="105" priority="9" operator="greaterThan">
      <formula>120</formula>
    </cfRule>
  </conditionalFormatting>
  <conditionalFormatting sqref="V23">
    <cfRule type="cellIs" dxfId="104" priority="8" operator="greaterThan">
      <formula>120</formula>
    </cfRule>
  </conditionalFormatting>
  <conditionalFormatting sqref="W23">
    <cfRule type="cellIs" dxfId="103" priority="7" operator="greaterThan">
      <formula>120</formula>
    </cfRule>
  </conditionalFormatting>
  <conditionalFormatting sqref="X23">
    <cfRule type="cellIs" dxfId="102" priority="6" operator="greaterThan">
      <formula>120</formula>
    </cfRule>
  </conditionalFormatting>
  <conditionalFormatting sqref="Z23">
    <cfRule type="cellIs" dxfId="10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:B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2676784153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15" si="1">K3/7</f>
        <v>0</v>
      </c>
      <c r="O3" s="38">
        <f t="shared" ref="O3:O15" ca="1" si="2">R3/7</f>
        <v>0</v>
      </c>
      <c r="P3" s="39">
        <f ca="1">SUMIFS('Отчет 26-31.01'!H:H,'Отчет 26-31.01'!D:D,"Выручка",'Отчет 26-31.01'!E:E,B3)</f>
        <v>0</v>
      </c>
      <c r="Q3" s="39">
        <f ca="1">SUMIFS('Отчет 26-31.01'!H:H,'Отчет 26-31.01'!D:D,"Возврат выручки",'Отчет 26-31.01'!E:E,B3)</f>
        <v>0</v>
      </c>
      <c r="R3" s="40">
        <f t="shared" ref="R3:R7" ca="1" si="3">P3-Q3</f>
        <v>0</v>
      </c>
      <c r="S3" s="41">
        <f ca="1">SUMIFS('Отчет 26-31.01'!P:P,'Отчет 26-31.01'!C:C,"Продажи",'Отчет 26-31.01'!E:E,B3)</f>
        <v>0</v>
      </c>
      <c r="T3" s="42">
        <f ca="1">SUMIFS('Отчет 26-31.01'!P:P,'Отчет 26-31.01'!C:C,"Возвраты",'Отчет 26-31.01'!E:E,B3)</f>
        <v>0</v>
      </c>
      <c r="U3" s="40">
        <f t="shared" ref="U3:U7" ca="1" si="4">S3+T3</f>
        <v>0</v>
      </c>
      <c r="V3" s="43" t="e">
        <f t="shared" ref="V3:V14" ca="1" si="5">U3/$U$24</f>
        <v>#DIV/0!</v>
      </c>
      <c r="W3" s="44">
        <f t="shared" ref="W3:W7" ca="1" si="6">R3*H3</f>
        <v>0</v>
      </c>
      <c r="X3" s="42">
        <f ca="1">-SUMIFS('Отчет 26-31.01'!P:P,'Отчет 26-31.01'!C:C,"Вознаграждение Ozon",'Отчет 26-31.01'!E:E,B3)</f>
        <v>0</v>
      </c>
      <c r="Y3" s="45">
        <f t="shared" ref="Y3:Y7" ca="1" si="7">IF(U3=0,0,X3/U3)</f>
        <v>0</v>
      </c>
      <c r="Z3" s="42">
        <f ca="1">-SUMIFS('Отчет 26-31.01'!P:P,'Отчет 26-31.01'!C:C,"Услуги доставки",'Отчет 26-31.01'!E:E,B3)</f>
        <v>0</v>
      </c>
      <c r="AA3" s="32"/>
      <c r="AB3" s="42"/>
      <c r="AC3" s="42"/>
      <c r="AD3" s="46">
        <f ca="1">U3*5.71%</f>
        <v>0</v>
      </c>
      <c r="AE3" s="47">
        <f t="shared" ref="AE3:AE15" ca="1" si="8">U3-W3-X3-Z3-AA3-AB3-AC3-AD3</f>
        <v>0</v>
      </c>
      <c r="AF3" s="46"/>
      <c r="AG3" s="48">
        <f t="shared" ref="AG3:AG15" ca="1" si="9">IF(R3=0,0,U3/R3)</f>
        <v>0</v>
      </c>
      <c r="AH3" s="49">
        <f t="shared" ref="AH3:AH15" si="10">H3</f>
        <v>142.97999999999999</v>
      </c>
      <c r="AI3" s="49">
        <f t="shared" ref="AI3:AI15" ca="1" si="11">IF(R3=0,0,X3/R3)</f>
        <v>0</v>
      </c>
      <c r="AJ3" s="49">
        <f t="shared" ref="AJ3:AJ15" ca="1" si="12">IF(P3=0,Z3/1,Z3/P3)</f>
        <v>0</v>
      </c>
      <c r="AK3" s="49">
        <f t="shared" ref="AK3:AK15" ca="1" si="13">IF(P3=0,0,AA3/P3)</f>
        <v>0</v>
      </c>
      <c r="AL3" s="49">
        <f ca="1">_xlfn.IFS(R3=0,AE3,R3&lt;0,AE3/-R3,R3&gt;0,AE3/R3)</f>
        <v>0</v>
      </c>
      <c r="AM3" s="50">
        <f t="shared" ref="AM3:AM15" ca="1" si="14">IF(AG3=0,0,AL3/AG3)</f>
        <v>0</v>
      </c>
      <c r="AN3" s="51">
        <f t="shared" ref="AN3:AN15" ca="1" si="15">IF(AH3=0,0,AL3/AH3)</f>
        <v>0</v>
      </c>
      <c r="AP3" s="53">
        <f t="shared" ref="AP3:AP15" ca="1" si="16">AL3*C3</f>
        <v>0</v>
      </c>
    </row>
    <row r="4" spans="1:42">
      <c r="A4" s="30">
        <v>2676784638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ca="1" si="2"/>
        <v>0</v>
      </c>
      <c r="P4" s="39">
        <f ca="1">SUMIFS('Отчет 26-31.01'!H:H,'Отчет 26-31.01'!D:D,"Выручка",'Отчет 26-31.01'!E:E,B4)</f>
        <v>0</v>
      </c>
      <c r="Q4" s="39">
        <f ca="1">SUMIFS('Отчет 26-31.01'!H:H,'Отчет 26-31.01'!D:D,"Возврат выручки",'Отчет 26-31.01'!E:E,B4)</f>
        <v>0</v>
      </c>
      <c r="R4" s="40">
        <f t="shared" ca="1" si="3"/>
        <v>0</v>
      </c>
      <c r="S4" s="41">
        <f ca="1">SUMIFS('Отчет 26-31.01'!P:P,'Отчет 26-31.01'!C:C,"Продажи",'Отчет 26-31.01'!E:E,B4)</f>
        <v>0</v>
      </c>
      <c r="T4" s="42">
        <f ca="1">SUMIFS('Отчет 26-31.01'!P:P,'Отчет 26-31.01'!C:C,"Возвраты",'Отчет 26-31.01'!E:E,B4)</f>
        <v>0</v>
      </c>
      <c r="U4" s="40">
        <f t="shared" ca="1" si="4"/>
        <v>0</v>
      </c>
      <c r="V4" s="43" t="e">
        <f t="shared" ca="1" si="5"/>
        <v>#DIV/0!</v>
      </c>
      <c r="W4" s="44">
        <f t="shared" ca="1" si="6"/>
        <v>0</v>
      </c>
      <c r="X4" s="42">
        <f ca="1">-SUMIFS('Отчет 26-31.01'!P:P,'Отчет 26-31.01'!C:C,"Вознаграждение Ozon",'Отчет 26-31.01'!E:E,B4)</f>
        <v>0</v>
      </c>
      <c r="Y4" s="45">
        <f t="shared" ref="Y4:Y16" ca="1" si="17">IF(U4=0,0,X4/U4)</f>
        <v>0</v>
      </c>
      <c r="Z4" s="42">
        <f ca="1">-SUMIFS('Отчет 26-31.01'!P:P,'Отчет 26-31.01'!C:C,"Услуги доставки",'Отчет 26-31.01'!E:E,B4)</f>
        <v>0</v>
      </c>
      <c r="AA4" s="32"/>
      <c r="AB4" s="42"/>
      <c r="AC4" s="42"/>
      <c r="AD4" s="46">
        <f t="shared" ref="AD4:AD16" ca="1" si="18">U4*5.71%</f>
        <v>0</v>
      </c>
      <c r="AE4" s="47">
        <f t="shared" ca="1" si="8"/>
        <v>0</v>
      </c>
      <c r="AF4" s="46"/>
      <c r="AG4" s="48">
        <f t="shared" ca="1" si="9"/>
        <v>0</v>
      </c>
      <c r="AH4" s="49">
        <f t="shared" si="10"/>
        <v>123.09</v>
      </c>
      <c r="AI4" s="49">
        <f t="shared" ca="1" si="11"/>
        <v>0</v>
      </c>
      <c r="AJ4" s="49">
        <f t="shared" ca="1" si="12"/>
        <v>0</v>
      </c>
      <c r="AK4" s="49">
        <f t="shared" ca="1" si="13"/>
        <v>0</v>
      </c>
      <c r="AL4" s="49">
        <f t="array" aca="1" ref="AL4" ca="1">_xlfn.IFS(R4=0,AE4,R4&lt;0,AE4/-R4,R4&gt;0,AE4/R4)</f>
        <v>0</v>
      </c>
      <c r="AM4" s="50">
        <f t="shared" ca="1" si="14"/>
        <v>0</v>
      </c>
      <c r="AN4" s="51">
        <f t="shared" ca="1" si="15"/>
        <v>0</v>
      </c>
      <c r="AP4" s="53">
        <f t="shared" ca="1" si="16"/>
        <v>0</v>
      </c>
    </row>
    <row r="5" spans="1:42">
      <c r="A5" s="30">
        <v>2676784504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ca="1" si="2"/>
        <v>0</v>
      </c>
      <c r="P5" s="39">
        <f ca="1">SUMIFS('Отчет 26-31.01'!H:H,'Отчет 26-31.01'!D:D,"Выручка",'Отчет 26-31.01'!E:E,B5)</f>
        <v>0</v>
      </c>
      <c r="Q5" s="39">
        <f ca="1">SUMIFS('Отчет 26-31.01'!H:H,'Отчет 26-31.01'!D:D,"Возврат выручки",'Отчет 26-31.01'!E:E,B5)</f>
        <v>0</v>
      </c>
      <c r="R5" s="40">
        <f t="shared" ca="1" si="3"/>
        <v>0</v>
      </c>
      <c r="S5" s="41">
        <f ca="1">SUMIFS('Отчет 26-31.01'!P:P,'Отчет 26-31.01'!C:C,"Продажи",'Отчет 26-31.01'!E:E,B5)</f>
        <v>0</v>
      </c>
      <c r="T5" s="42">
        <f ca="1">SUMIFS('Отчет 26-31.01'!P:P,'Отчет 26-31.01'!C:C,"Возвраты",'Отчет 26-31.01'!E:E,B5)</f>
        <v>0</v>
      </c>
      <c r="U5" s="40">
        <f t="shared" ca="1" si="4"/>
        <v>0</v>
      </c>
      <c r="V5" s="43" t="e">
        <f t="shared" ca="1" si="5"/>
        <v>#DIV/0!</v>
      </c>
      <c r="W5" s="44">
        <f t="shared" ca="1" si="6"/>
        <v>0</v>
      </c>
      <c r="X5" s="42">
        <f ca="1">-SUMIFS('Отчет 26-31.01'!P:P,'Отчет 26-31.01'!C:C,"Вознаграждение Ozon",'Отчет 26-31.01'!E:E,B5)</f>
        <v>0</v>
      </c>
      <c r="Y5" s="45">
        <f t="shared" ca="1" si="17"/>
        <v>0</v>
      </c>
      <c r="Z5" s="42">
        <f ca="1">-SUMIFS('Отчет 26-31.01'!P:P,'Отчет 26-31.01'!C:C,"Услуги доставки",'Отчет 26-31.01'!E:E,B5)</f>
        <v>0</v>
      </c>
      <c r="AA5" s="32"/>
      <c r="AB5" s="55"/>
      <c r="AC5" s="42"/>
      <c r="AD5" s="46">
        <f t="shared" ca="1" si="18"/>
        <v>0</v>
      </c>
      <c r="AE5" s="47">
        <f t="shared" ca="1" si="8"/>
        <v>0</v>
      </c>
      <c r="AF5" s="46"/>
      <c r="AG5" s="48">
        <f t="shared" ca="1" si="9"/>
        <v>0</v>
      </c>
      <c r="AH5" s="49">
        <f t="shared" si="10"/>
        <v>123.09</v>
      </c>
      <c r="AI5" s="49">
        <f t="shared" ca="1" si="11"/>
        <v>0</v>
      </c>
      <c r="AJ5" s="49">
        <f t="shared" ca="1" si="12"/>
        <v>0</v>
      </c>
      <c r="AK5" s="49">
        <f t="shared" ca="1" si="13"/>
        <v>0</v>
      </c>
      <c r="AL5" s="49">
        <f t="array" aca="1" ref="AL5" ca="1">_xlfn.IFS(R5=0,AE5,R5&lt;0,AE5/-R5,R5&gt;0,AE5/R5)</f>
        <v>0</v>
      </c>
      <c r="AM5" s="50">
        <f t="shared" ca="1" si="14"/>
        <v>0</v>
      </c>
      <c r="AN5" s="51">
        <f t="shared" ca="1" si="15"/>
        <v>0</v>
      </c>
      <c r="AP5" s="53">
        <f t="shared" ca="1" si="16"/>
        <v>0</v>
      </c>
    </row>
    <row r="6" spans="1:42">
      <c r="A6" s="30">
        <v>2676784514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ca="1" si="2"/>
        <v>0</v>
      </c>
      <c r="P6" s="39">
        <f ca="1">SUMIFS('Отчет 26-31.01'!H:H,'Отчет 26-31.01'!D:D,"Выручка",'Отчет 26-31.01'!E:E,B6)</f>
        <v>0</v>
      </c>
      <c r="Q6" s="39">
        <f ca="1">SUMIFS('Отчет 26-31.01'!H:H,'Отчет 26-31.01'!D:D,"Возврат выручки",'Отчет 26-31.01'!E:E,B6)</f>
        <v>0</v>
      </c>
      <c r="R6" s="40">
        <f t="shared" ca="1" si="3"/>
        <v>0</v>
      </c>
      <c r="S6" s="41">
        <f ca="1">SUMIFS('Отчет 26-31.01'!P:P,'Отчет 26-31.01'!C:C,"Продажи",'Отчет 26-31.01'!E:E,B6)</f>
        <v>0</v>
      </c>
      <c r="T6" s="42">
        <f ca="1">SUMIFS('Отчет 26-31.01'!P:P,'Отчет 26-31.01'!C:C,"Возвраты",'Отчет 26-31.01'!E:E,B6)</f>
        <v>0</v>
      </c>
      <c r="U6" s="40">
        <f t="shared" ca="1" si="4"/>
        <v>0</v>
      </c>
      <c r="V6" s="43" t="e">
        <f t="shared" ca="1" si="5"/>
        <v>#DIV/0!</v>
      </c>
      <c r="W6" s="44">
        <f t="shared" ca="1" si="6"/>
        <v>0</v>
      </c>
      <c r="X6" s="42">
        <f ca="1">-SUMIFS('Отчет 26-31.01'!P:P,'Отчет 26-31.01'!C:C,"Вознаграждение Ozon",'Отчет 26-31.01'!E:E,B6)</f>
        <v>0</v>
      </c>
      <c r="Y6" s="45">
        <f t="shared" ca="1" si="17"/>
        <v>0</v>
      </c>
      <c r="Z6" s="42">
        <f ca="1">-SUMIFS('Отчет 26-31.01'!P:P,'Отчет 26-31.01'!C:C,"Услуги доставки",'Отчет 26-31.01'!E:E,B6)</f>
        <v>0</v>
      </c>
      <c r="AA6" s="32"/>
      <c r="AB6" s="55"/>
      <c r="AC6" s="42"/>
      <c r="AD6" s="46">
        <f t="shared" ca="1" si="18"/>
        <v>0</v>
      </c>
      <c r="AE6" s="47">
        <f t="shared" ca="1" si="8"/>
        <v>0</v>
      </c>
      <c r="AF6" s="46"/>
      <c r="AG6" s="48">
        <f t="shared" ca="1" si="9"/>
        <v>0</v>
      </c>
      <c r="AH6" s="49">
        <f t="shared" si="10"/>
        <v>123.09</v>
      </c>
      <c r="AI6" s="49">
        <f t="shared" ca="1" si="11"/>
        <v>0</v>
      </c>
      <c r="AJ6" s="49">
        <f t="shared" ca="1" si="12"/>
        <v>0</v>
      </c>
      <c r="AK6" s="49">
        <f t="shared" ca="1" si="13"/>
        <v>0</v>
      </c>
      <c r="AL6" s="49">
        <f t="array" aca="1" ref="AL6" ca="1">_xlfn.IFS(R6=0,AE6,R6&lt;0,AE6/-R6,R6&gt;0,AE6/R6)</f>
        <v>0</v>
      </c>
      <c r="AM6" s="50">
        <f t="shared" ca="1" si="14"/>
        <v>0</v>
      </c>
      <c r="AN6" s="51">
        <f t="shared" ca="1" si="15"/>
        <v>0</v>
      </c>
      <c r="AP6" s="53">
        <f t="shared" ca="1" si="16"/>
        <v>0</v>
      </c>
    </row>
    <row r="7" spans="1:42">
      <c r="A7" s="30">
        <v>2676784181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ca="1" si="2"/>
        <v>0</v>
      </c>
      <c r="P7" s="39">
        <f ca="1">SUMIFS('Отчет 26-31.01'!H:H,'Отчет 26-31.01'!D:D,"Выручка",'Отчет 26-31.01'!E:E,B7)</f>
        <v>0</v>
      </c>
      <c r="Q7" s="39">
        <f ca="1">SUMIFS('Отчет 26-31.01'!H:H,'Отчет 26-31.01'!D:D,"Возврат выручки",'Отчет 26-31.01'!E:E,B7)</f>
        <v>0</v>
      </c>
      <c r="R7" s="40">
        <f t="shared" ca="1" si="3"/>
        <v>0</v>
      </c>
      <c r="S7" s="41">
        <f ca="1">SUMIFS('Отчет 26-31.01'!P:P,'Отчет 26-31.01'!C:C,"Продажи",'Отчет 26-31.01'!E:E,B7)</f>
        <v>0</v>
      </c>
      <c r="T7" s="42">
        <f ca="1">SUMIFS('Отчет 26-31.01'!P:P,'Отчет 26-31.01'!C:C,"Возвраты",'Отчет 26-31.01'!E:E,B7)</f>
        <v>0</v>
      </c>
      <c r="U7" s="40">
        <f t="shared" ca="1" si="4"/>
        <v>0</v>
      </c>
      <c r="V7" s="43" t="e">
        <f t="shared" ca="1" si="5"/>
        <v>#DIV/0!</v>
      </c>
      <c r="W7" s="44">
        <f t="shared" ca="1" si="6"/>
        <v>0</v>
      </c>
      <c r="X7" s="42">
        <f ca="1">-SUMIFS('Отчет 26-31.01'!P:P,'Отчет 26-31.01'!C:C,"Вознаграждение Ozon",'Отчет 26-31.01'!E:E,B7)</f>
        <v>0</v>
      </c>
      <c r="Y7" s="45">
        <f t="shared" ca="1" si="17"/>
        <v>0</v>
      </c>
      <c r="Z7" s="42">
        <f ca="1">-SUMIFS('Отчет 26-31.01'!P:P,'Отчет 26-31.01'!C:C,"Услуги доставки",'Отчет 26-31.01'!E:E,B7)</f>
        <v>0</v>
      </c>
      <c r="AA7" s="32"/>
      <c r="AB7" s="55"/>
      <c r="AC7" s="42"/>
      <c r="AD7" s="46">
        <f t="shared" ca="1" si="18"/>
        <v>0</v>
      </c>
      <c r="AE7" s="47">
        <f t="shared" ca="1" si="8"/>
        <v>0</v>
      </c>
      <c r="AF7" s="46"/>
      <c r="AG7" s="48">
        <f t="shared" ca="1" si="9"/>
        <v>0</v>
      </c>
      <c r="AH7" s="49">
        <f t="shared" si="10"/>
        <v>117.24</v>
      </c>
      <c r="AI7" s="49">
        <f t="shared" ca="1" si="11"/>
        <v>0</v>
      </c>
      <c r="AJ7" s="49">
        <f t="shared" ca="1" si="12"/>
        <v>0</v>
      </c>
      <c r="AK7" s="49">
        <f t="shared" ca="1" si="13"/>
        <v>0</v>
      </c>
      <c r="AL7" s="49">
        <f t="array" aca="1" ref="AL7" ca="1">_xlfn.IFS(R7=0,AE7,R7&lt;0,AE7/-R7,R7&gt;0,AE7/R7)</f>
        <v>0</v>
      </c>
      <c r="AM7" s="50">
        <f t="shared" ca="1" si="14"/>
        <v>0</v>
      </c>
      <c r="AN7" s="51">
        <f t="shared" ca="1" si="15"/>
        <v>0</v>
      </c>
      <c r="AP7" s="53">
        <f t="shared" ca="1" si="16"/>
        <v>0</v>
      </c>
    </row>
    <row r="8" spans="1:42">
      <c r="A8" s="30">
        <v>2676783005</v>
      </c>
      <c r="B8" s="31" t="s">
        <v>44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 ca="1">R8/7</f>
        <v>0</v>
      </c>
      <c r="P8" s="39">
        <f ca="1">SUMIFS('Отчет 26-31.01'!H:H,'Отчет 26-31.01'!D:D,"Выручка",'Отчет 26-31.01'!E:E,B8)</f>
        <v>0</v>
      </c>
      <c r="Q8" s="39">
        <f ca="1">SUMIFS('Отчет 26-31.01'!H:H,'Отчет 26-31.01'!D:D,"Возврат выручки",'Отчет 26-31.01'!E:E,B8)</f>
        <v>0</v>
      </c>
      <c r="R8" s="40">
        <f ca="1">P8-Q8</f>
        <v>0</v>
      </c>
      <c r="S8" s="41">
        <f ca="1">SUMIFS('Отчет 26-31.01'!P:P,'Отчет 26-31.01'!C:C,"Продажи",'Отчет 26-31.01'!E:E,B8)</f>
        <v>0</v>
      </c>
      <c r="T8" s="42">
        <f ca="1">SUMIFS('Отчет 26-31.01'!P:P,'Отчет 26-31.01'!C:C,"Возвраты",'Отчет 26-31.01'!E:E,B8)</f>
        <v>0</v>
      </c>
      <c r="U8" s="40">
        <f ca="1">S8+T8</f>
        <v>0</v>
      </c>
      <c r="V8" s="43" t="e">
        <f t="shared" ca="1" si="5"/>
        <v>#DIV/0!</v>
      </c>
      <c r="W8" s="44">
        <f ca="1">R8*H8</f>
        <v>0</v>
      </c>
      <c r="X8" s="42">
        <f ca="1">-SUMIFS('Отчет 26-31.01'!P:P,'Отчет 26-31.01'!C:C,"Вознаграждение Ozon",'Отчет 26-31.01'!E:E,B8)</f>
        <v>0</v>
      </c>
      <c r="Y8" s="45">
        <f t="shared" ca="1" si="17"/>
        <v>0</v>
      </c>
      <c r="Z8" s="42">
        <f ca="1">-SUMIFS('Отчет 26-31.01'!P:P,'Отчет 26-31.01'!C:C,"Услуги доставки",'Отчет 26-31.01'!E:E,B8)</f>
        <v>0</v>
      </c>
      <c r="AA8" s="32"/>
      <c r="AB8" s="55"/>
      <c r="AC8" s="42"/>
      <c r="AD8" s="46">
        <f t="shared" ca="1" si="18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56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9">K9/7</f>
        <v>0</v>
      </c>
      <c r="O9" s="38">
        <f t="shared" ref="O9:O16" ca="1" si="20">R9/7</f>
        <v>0</v>
      </c>
      <c r="P9" s="39">
        <f ca="1">SUMIFS('Отчет 26-31.01'!H:H,'Отчет 26-31.01'!D:D,"Выручка",'Отчет 26-31.01'!E:E,B9)</f>
        <v>0</v>
      </c>
      <c r="Q9" s="39">
        <f ca="1">SUMIFS('Отчет 26-31.01'!H:H,'Отчет 26-31.01'!D:D,"Возврат выручки",'Отчет 26-31.01'!E:E,B9)</f>
        <v>0</v>
      </c>
      <c r="R9" s="40">
        <f t="shared" ref="R9:R16" ca="1" si="21">P9-Q9</f>
        <v>0</v>
      </c>
      <c r="S9" s="41">
        <f ca="1">SUMIFS('Отчет 26-31.01'!P:P,'Отчет 26-31.01'!C:C,"Продажи",'Отчет 26-31.01'!E:E,B9)</f>
        <v>0</v>
      </c>
      <c r="T9" s="42">
        <f ca="1">SUMIFS('Отчет 26-31.01'!P:P,'Отчет 26-31.01'!C:C,"Возвраты",'Отчет 26-31.01'!E:E,B9)</f>
        <v>0</v>
      </c>
      <c r="U9" s="40">
        <f t="shared" ref="U9:U16" ca="1" si="22">S9+T9</f>
        <v>0</v>
      </c>
      <c r="V9" s="43" t="e">
        <f t="shared" ca="1" si="5"/>
        <v>#DIV/0!</v>
      </c>
      <c r="W9" s="44">
        <f t="shared" ref="W9:W16" ca="1" si="23">R9*H9</f>
        <v>0</v>
      </c>
      <c r="X9" s="42">
        <f ca="1">-SUMIFS('Отчет 26-31.01'!P:P,'Отчет 26-31.01'!C:C,"Вознаграждение Ozon",'Отчет 26-31.01'!E:E,B9)</f>
        <v>0</v>
      </c>
      <c r="Y9" s="45">
        <f t="shared" ca="1" si="17"/>
        <v>0</v>
      </c>
      <c r="Z9" s="42">
        <f ca="1">-SUMIFS('Отчет 26-31.01'!P:P,'Отчет 26-31.01'!C:C,"Услуги доставки",'Отчет 26-31.01'!E:E,B9)</f>
        <v>0</v>
      </c>
      <c r="AA9" s="32"/>
      <c r="AB9" s="55"/>
      <c r="AC9" s="42"/>
      <c r="AD9" s="46">
        <f t="shared" ca="1" si="18"/>
        <v>0</v>
      </c>
      <c r="AE9" s="47">
        <f t="shared" ref="AE9:AE16" ca="1" si="24">U9-W9-X9-Z9-AA9-AB9-AC9-AD9</f>
        <v>0</v>
      </c>
      <c r="AF9" s="46"/>
      <c r="AG9" s="48">
        <f t="shared" ref="AG9:AG16" ca="1" si="25">IF(R9=0,0,U9/R9)</f>
        <v>0</v>
      </c>
      <c r="AH9" s="49">
        <f t="shared" ref="AH9:AH16" si="26">H9</f>
        <v>123</v>
      </c>
      <c r="AI9" s="49">
        <f t="shared" ref="AI9:AI16" ca="1" si="27">IF(R9=0,0,X9/R9)</f>
        <v>0</v>
      </c>
      <c r="AJ9" s="49">
        <f t="shared" ref="AJ9:AJ16" ca="1" si="28">IF(P9=0,Z9/1,Z9/P9)</f>
        <v>0</v>
      </c>
      <c r="AK9" s="49">
        <f t="shared" ref="AK9:AK16" ca="1" si="29">IF(P9=0,0,AA9/P9)</f>
        <v>0</v>
      </c>
      <c r="AL9" s="49">
        <f t="array" aca="1" ref="AL9" ca="1">_xlfn.IFS(R9=0,AE9,R9&lt;0,AE9/-R9,R9&gt;0,AE9/R9)</f>
        <v>0</v>
      </c>
      <c r="AM9" s="50">
        <f t="shared" ref="AM9:AM16" ca="1" si="30">IF(AG9=0,0,AL9/AG9)</f>
        <v>0</v>
      </c>
      <c r="AN9" s="51">
        <f t="shared" ref="AN9:AN16" ca="1" si="31">IF(AH9=0,0,AL9/AH9)</f>
        <v>0</v>
      </c>
      <c r="AP9" s="53">
        <f t="shared" ref="AP9:AP16" ca="1" si="32">AL9*C9</f>
        <v>0</v>
      </c>
    </row>
    <row r="10" spans="1:42">
      <c r="A10" s="30">
        <v>3405092836</v>
      </c>
      <c r="B10" s="31" t="s">
        <v>57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9"/>
        <v>0</v>
      </c>
      <c r="O10" s="38">
        <f t="shared" ca="1" si="20"/>
        <v>0</v>
      </c>
      <c r="P10" s="39">
        <f ca="1">SUMIFS('Отчет 26-31.01'!H:H,'Отчет 26-31.01'!D:D,"Выручка",'Отчет 26-31.01'!E:E,B10)</f>
        <v>0</v>
      </c>
      <c r="Q10" s="39">
        <f ca="1">SUMIFS('Отчет 26-31.01'!H:H,'Отчет 26-31.01'!D:D,"Возврат выручки",'Отчет 26-31.01'!E:E,B10)</f>
        <v>0</v>
      </c>
      <c r="R10" s="40">
        <f t="shared" ca="1" si="21"/>
        <v>0</v>
      </c>
      <c r="S10" s="41">
        <f ca="1">SUMIFS('Отчет 26-31.01'!P:P,'Отчет 26-31.01'!C:C,"Продажи",'Отчет 26-31.01'!E:E,B10)</f>
        <v>0</v>
      </c>
      <c r="T10" s="42">
        <f ca="1">SUMIFS('Отчет 26-31.01'!P:P,'Отчет 26-31.01'!C:C,"Возвраты",'Отчет 26-31.01'!E:E,B10)</f>
        <v>0</v>
      </c>
      <c r="U10" s="40">
        <f t="shared" ca="1" si="22"/>
        <v>0</v>
      </c>
      <c r="V10" s="43" t="e">
        <f t="shared" ca="1" si="5"/>
        <v>#DIV/0!</v>
      </c>
      <c r="W10" s="44">
        <f t="shared" ca="1" si="23"/>
        <v>0</v>
      </c>
      <c r="X10" s="42">
        <f ca="1">-SUMIFS('Отчет 26-31.01'!P:P,'Отчет 26-31.01'!C:C,"Вознаграждение Ozon",'Отчет 26-31.01'!E:E,B10)</f>
        <v>0</v>
      </c>
      <c r="Y10" s="45">
        <f t="shared" ca="1" si="17"/>
        <v>0</v>
      </c>
      <c r="Z10" s="42">
        <f ca="1">-SUMIFS('Отчет 26-31.01'!P:P,'Отчет 26-31.01'!C:C,"Услуги доставки",'Отчет 26-31.01'!E:E,B10)</f>
        <v>0</v>
      </c>
      <c r="AA10" s="32"/>
      <c r="AB10" s="55"/>
      <c r="AC10" s="42"/>
      <c r="AD10" s="46">
        <f t="shared" ca="1" si="18"/>
        <v>0</v>
      </c>
      <c r="AE10" s="47">
        <f t="shared" ca="1" si="24"/>
        <v>0</v>
      </c>
      <c r="AF10" s="46"/>
      <c r="AG10" s="48">
        <f t="shared" ca="1" si="25"/>
        <v>0</v>
      </c>
      <c r="AH10" s="49">
        <f t="shared" si="26"/>
        <v>123</v>
      </c>
      <c r="AI10" s="49">
        <f t="shared" ca="1" si="27"/>
        <v>0</v>
      </c>
      <c r="AJ10" s="49">
        <f t="shared" ca="1" si="28"/>
        <v>0</v>
      </c>
      <c r="AK10" s="49">
        <f t="shared" ca="1" si="29"/>
        <v>0</v>
      </c>
      <c r="AL10" s="49">
        <f t="array" aca="1" ref="AL10" ca="1">_xlfn.IFS(R10=0,AE10,R10&lt;0,AE10/-R10,R10&gt;0,AE10/R10)</f>
        <v>0</v>
      </c>
      <c r="AM10" s="50">
        <f t="shared" ca="1" si="30"/>
        <v>0</v>
      </c>
      <c r="AN10" s="51">
        <f t="shared" ca="1" si="31"/>
        <v>0</v>
      </c>
      <c r="AP10" s="53">
        <f t="shared" ca="1" si="32"/>
        <v>0</v>
      </c>
    </row>
    <row r="11" spans="1:42">
      <c r="A11" s="30">
        <v>3064346962</v>
      </c>
      <c r="B11" s="31" t="s">
        <v>53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9"/>
        <v>0</v>
      </c>
      <c r="O11" s="38">
        <f t="shared" ca="1" si="20"/>
        <v>0</v>
      </c>
      <c r="P11" s="39">
        <f ca="1">SUMIFS('Отчет 26-31.01'!H:H,'Отчет 26-31.01'!D:D,"Выручка",'Отчет 26-31.01'!E:E,B11)</f>
        <v>0</v>
      </c>
      <c r="Q11" s="39">
        <f ca="1">SUMIFS('Отчет 26-31.01'!H:H,'Отчет 26-31.01'!D:D,"Возврат выручки",'Отчет 26-31.01'!E:E,B11)</f>
        <v>0</v>
      </c>
      <c r="R11" s="40">
        <f t="shared" ca="1" si="21"/>
        <v>0</v>
      </c>
      <c r="S11" s="41">
        <f ca="1">SUMIFS('Отчет 26-31.01'!P:P,'Отчет 26-31.01'!C:C,"Продажи",'Отчет 26-31.01'!E:E,B11)</f>
        <v>0</v>
      </c>
      <c r="T11" s="42">
        <f ca="1">SUMIFS('Отчет 26-31.01'!P:P,'Отчет 26-31.01'!C:C,"Возвраты",'Отчет 26-31.01'!E:E,B11)</f>
        <v>0</v>
      </c>
      <c r="U11" s="40">
        <f t="shared" ca="1" si="22"/>
        <v>0</v>
      </c>
      <c r="V11" s="43" t="e">
        <f t="shared" ca="1" si="5"/>
        <v>#DIV/0!</v>
      </c>
      <c r="W11" s="44">
        <f t="shared" ca="1" si="23"/>
        <v>0</v>
      </c>
      <c r="X11" s="42">
        <f ca="1">-SUMIFS('Отчет 26-31.01'!P:P,'Отчет 26-31.01'!C:C,"Вознаграждение Ozon",'Отчет 26-31.01'!E:E,B11)</f>
        <v>0</v>
      </c>
      <c r="Y11" s="45">
        <f t="shared" ca="1" si="17"/>
        <v>0</v>
      </c>
      <c r="Z11" s="42">
        <f ca="1">-SUMIFS('Отчет 26-31.01'!P:P,'Отчет 26-31.01'!C:C,"Услуги доставки",'Отчет 26-31.01'!E:E,B11)</f>
        <v>0</v>
      </c>
      <c r="AA11" s="32"/>
      <c r="AB11" s="55"/>
      <c r="AC11" s="42"/>
      <c r="AD11" s="46">
        <f t="shared" ca="1" si="18"/>
        <v>0</v>
      </c>
      <c r="AE11" s="47">
        <f t="shared" ca="1" si="24"/>
        <v>0</v>
      </c>
      <c r="AF11" s="46"/>
      <c r="AG11" s="48">
        <f t="shared" ca="1" si="25"/>
        <v>0</v>
      </c>
      <c r="AH11" s="49">
        <f t="shared" si="26"/>
        <v>123</v>
      </c>
      <c r="AI11" s="49">
        <f t="shared" ca="1" si="27"/>
        <v>0</v>
      </c>
      <c r="AJ11" s="49">
        <f t="shared" ca="1" si="28"/>
        <v>0</v>
      </c>
      <c r="AK11" s="49">
        <f t="shared" ca="1" si="29"/>
        <v>0</v>
      </c>
      <c r="AL11" s="49">
        <f t="array" aca="1" ref="AL11" ca="1">_xlfn.IFS(R11=0,AE11,R11&lt;0,AE11/-R11,R11&gt;0,AE11/R11)</f>
        <v>0</v>
      </c>
      <c r="AM11" s="50">
        <f t="shared" ca="1" si="30"/>
        <v>0</v>
      </c>
      <c r="AN11" s="51">
        <f t="shared" ca="1" si="31"/>
        <v>0</v>
      </c>
      <c r="AP11" s="53">
        <f t="shared" ca="1" si="32"/>
        <v>0</v>
      </c>
    </row>
    <row r="12" spans="1:42">
      <c r="A12" s="30">
        <v>3405092873</v>
      </c>
      <c r="B12" s="171" t="s">
        <v>58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9"/>
        <v>0</v>
      </c>
      <c r="O12" s="38">
        <f t="shared" ca="1" si="20"/>
        <v>0</v>
      </c>
      <c r="P12" s="39">
        <f ca="1">SUMIFS('Отчет 26-31.01'!H:H,'Отчет 26-31.01'!D:D,"Выручка",'Отчет 26-31.01'!E:E,B12)</f>
        <v>0</v>
      </c>
      <c r="Q12" s="39">
        <f ca="1">SUMIFS('Отчет 26-31.01'!H:H,'Отчет 26-31.01'!D:D,"Возврат выручки",'Отчет 26-31.01'!E:E,B12)</f>
        <v>0</v>
      </c>
      <c r="R12" s="40">
        <f t="shared" ca="1" si="21"/>
        <v>0</v>
      </c>
      <c r="S12" s="41">
        <f ca="1">SUMIFS('Отчет 26-31.01'!P:P,'Отчет 26-31.01'!C:C,"Продажи",'Отчет 26-31.01'!E:E,B12)</f>
        <v>0</v>
      </c>
      <c r="T12" s="42">
        <f ca="1">SUMIFS('Отчет 26-31.01'!P:P,'Отчет 26-31.01'!C:C,"Возвраты",'Отчет 26-31.01'!E:E,B12)</f>
        <v>0</v>
      </c>
      <c r="U12" s="40">
        <f t="shared" ca="1" si="22"/>
        <v>0</v>
      </c>
      <c r="V12" s="43" t="e">
        <f t="shared" ca="1" si="5"/>
        <v>#DIV/0!</v>
      </c>
      <c r="W12" s="44">
        <f t="shared" ca="1" si="23"/>
        <v>0</v>
      </c>
      <c r="X12" s="42">
        <f ca="1">-SUMIFS('Отчет 26-31.01'!P:P,'Отчет 26-31.01'!C:C,"Вознаграждение Ozon",'Отчет 26-31.01'!E:E,B12)</f>
        <v>0</v>
      </c>
      <c r="Y12" s="45">
        <f t="shared" ca="1" si="17"/>
        <v>0</v>
      </c>
      <c r="Z12" s="42">
        <f ca="1">-SUMIFS('Отчет 26-31.01'!P:P,'Отчет 26-31.01'!C:C,"Услуги доставки",'Отчет 26-31.01'!E:E,B12)</f>
        <v>0</v>
      </c>
      <c r="AA12" s="32"/>
      <c r="AB12" s="55"/>
      <c r="AC12" s="42"/>
      <c r="AD12" s="46">
        <f t="shared" ca="1" si="18"/>
        <v>0</v>
      </c>
      <c r="AE12" s="47">
        <f t="shared" ca="1" si="24"/>
        <v>0</v>
      </c>
      <c r="AF12" s="46"/>
      <c r="AG12" s="48">
        <f t="shared" ca="1" si="25"/>
        <v>0</v>
      </c>
      <c r="AH12" s="49">
        <f t="shared" si="26"/>
        <v>117</v>
      </c>
      <c r="AI12" s="49">
        <f t="shared" ca="1" si="27"/>
        <v>0</v>
      </c>
      <c r="AJ12" s="49">
        <f t="shared" ca="1" si="28"/>
        <v>0</v>
      </c>
      <c r="AK12" s="49">
        <f t="shared" ca="1" si="29"/>
        <v>0</v>
      </c>
      <c r="AL12" s="49">
        <f t="array" aca="1" ref="AL12" ca="1">_xlfn.IFS(R12=0,AE12,R12&lt;0,AE12/-R12,R12&gt;0,AE12/R12)</f>
        <v>0</v>
      </c>
      <c r="AM12" s="50">
        <f t="shared" ca="1" si="30"/>
        <v>0</v>
      </c>
      <c r="AN12" s="51">
        <f t="shared" ca="1" si="31"/>
        <v>0</v>
      </c>
      <c r="AP12" s="53">
        <f t="shared" ca="1" si="32"/>
        <v>0</v>
      </c>
    </row>
    <row r="13" spans="1:42">
      <c r="A13" s="30">
        <v>3405092993</v>
      </c>
      <c r="B13" s="31" t="s">
        <v>59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9"/>
        <v>0</v>
      </c>
      <c r="O13" s="38">
        <f t="shared" ca="1" si="20"/>
        <v>0</v>
      </c>
      <c r="P13" s="39">
        <f ca="1">SUMIFS('Отчет 26-31.01'!H:H,'Отчет 26-31.01'!D:D,"Выручка",'Отчет 26-31.01'!E:E,B13)</f>
        <v>0</v>
      </c>
      <c r="Q13" s="39">
        <f ca="1">SUMIFS('Отчет 26-31.01'!H:H,'Отчет 26-31.01'!D:D,"Возврат выручки",'Отчет 26-31.01'!E:E,B13)</f>
        <v>0</v>
      </c>
      <c r="R13" s="40">
        <f t="shared" ca="1" si="21"/>
        <v>0</v>
      </c>
      <c r="S13" s="41">
        <f ca="1">SUMIFS('Отчет 26-31.01'!P:P,'Отчет 26-31.01'!C:C,"Продажи",'Отчет 26-31.01'!E:E,B13)</f>
        <v>0</v>
      </c>
      <c r="T13" s="42">
        <f ca="1">SUMIFS('Отчет 26-31.01'!P:P,'Отчет 26-31.01'!C:C,"Возвраты",'Отчет 26-31.01'!E:E,B13)</f>
        <v>0</v>
      </c>
      <c r="U13" s="40">
        <f t="shared" ca="1" si="22"/>
        <v>0</v>
      </c>
      <c r="V13" s="43" t="e">
        <f t="shared" ca="1" si="5"/>
        <v>#DIV/0!</v>
      </c>
      <c r="W13" s="44">
        <f t="shared" ca="1" si="23"/>
        <v>0</v>
      </c>
      <c r="X13" s="42">
        <f ca="1">-SUMIFS('Отчет 26-31.01'!P:P,'Отчет 26-31.01'!C:C,"Вознаграждение Ozon",'Отчет 26-31.01'!E:E,B13)</f>
        <v>0</v>
      </c>
      <c r="Y13" s="45">
        <f t="shared" ca="1" si="17"/>
        <v>0</v>
      </c>
      <c r="Z13" s="42">
        <f ca="1">-SUMIFS('Отчет 26-31.01'!P:P,'Отчет 26-31.01'!C:C,"Услуги доставки",'Отчет 26-31.01'!E:E,B13)</f>
        <v>0</v>
      </c>
      <c r="AA13" s="32"/>
      <c r="AB13" s="55"/>
      <c r="AC13" s="42"/>
      <c r="AD13" s="46">
        <f t="shared" ca="1" si="18"/>
        <v>0</v>
      </c>
      <c r="AE13" s="47">
        <f t="shared" ca="1" si="24"/>
        <v>0</v>
      </c>
      <c r="AF13" s="46"/>
      <c r="AG13" s="48">
        <f t="shared" ca="1" si="25"/>
        <v>0</v>
      </c>
      <c r="AH13" s="49">
        <f t="shared" si="26"/>
        <v>123</v>
      </c>
      <c r="AI13" s="49">
        <f t="shared" ca="1" si="27"/>
        <v>0</v>
      </c>
      <c r="AJ13" s="49">
        <f t="shared" ca="1" si="28"/>
        <v>0</v>
      </c>
      <c r="AK13" s="49">
        <f t="shared" ca="1" si="29"/>
        <v>0</v>
      </c>
      <c r="AL13" s="49">
        <f t="array" aca="1" ref="AL13" ca="1">_xlfn.IFS(R13=0,AE13,R13&lt;0,AE13/-R13,R13&gt;0,AE13/R13)</f>
        <v>0</v>
      </c>
      <c r="AM13" s="50">
        <f t="shared" ca="1" si="30"/>
        <v>0</v>
      </c>
      <c r="AN13" s="51">
        <f t="shared" ca="1" si="31"/>
        <v>0</v>
      </c>
      <c r="AP13" s="53">
        <f t="shared" ca="1" si="32"/>
        <v>0</v>
      </c>
    </row>
    <row r="14" spans="1:42">
      <c r="A14" s="30">
        <v>3405092868</v>
      </c>
      <c r="B14" s="31" t="s">
        <v>60</v>
      </c>
      <c r="C14" s="32"/>
      <c r="H14" s="35">
        <v>123</v>
      </c>
      <c r="I14" s="54">
        <f t="shared" si="0"/>
        <v>0</v>
      </c>
      <c r="K14" s="32"/>
      <c r="N14" s="37">
        <f t="shared" si="19"/>
        <v>0</v>
      </c>
      <c r="O14" s="38">
        <f t="shared" ca="1" si="20"/>
        <v>0</v>
      </c>
      <c r="P14" s="39">
        <f ca="1">SUMIFS('Отчет 26-31.01'!H:H,'Отчет 26-31.01'!D:D,"Выручка",'Отчет 26-31.01'!E:E,B14)</f>
        <v>0</v>
      </c>
      <c r="Q14" s="39">
        <f ca="1">SUMIFS('Отчет 26-31.01'!H:H,'Отчет 26-31.01'!D:D,"Возврат выручки",'Отчет 26-31.01'!E:E,B14)</f>
        <v>0</v>
      </c>
      <c r="R14" s="40">
        <f t="shared" ca="1" si="21"/>
        <v>0</v>
      </c>
      <c r="S14" s="41">
        <f ca="1">SUMIFS('Отчет 26-31.01'!P:P,'Отчет 26-31.01'!C:C,"Продажи",'Отчет 26-31.01'!E:E,B14)</f>
        <v>0</v>
      </c>
      <c r="T14" s="42">
        <f ca="1">SUMIFS('Отчет 26-31.01'!P:P,'Отчет 26-31.01'!C:C,"Возвраты",'Отчет 26-31.01'!E:E,B14)</f>
        <v>0</v>
      </c>
      <c r="U14" s="40">
        <f t="shared" ca="1" si="22"/>
        <v>0</v>
      </c>
      <c r="V14" s="43" t="e">
        <f t="shared" ca="1" si="5"/>
        <v>#DIV/0!</v>
      </c>
      <c r="W14" s="44">
        <f t="shared" ca="1" si="23"/>
        <v>0</v>
      </c>
      <c r="X14" s="42">
        <f ca="1">-SUMIFS('Отчет 26-31.01'!P:P,'Отчет 26-31.01'!C:C,"Вознаграждение Ozon",'Отчет 26-31.01'!E:E,B14)</f>
        <v>0</v>
      </c>
      <c r="Y14" s="45">
        <f t="shared" ca="1" si="17"/>
        <v>0</v>
      </c>
      <c r="Z14" s="42">
        <f ca="1">-SUMIFS('Отчет 26-31.01'!P:P,'Отчет 26-31.01'!C:C,"Услуги доставки",'Отчет 26-31.01'!E:E,B14)</f>
        <v>0</v>
      </c>
      <c r="AA14" s="32"/>
      <c r="AB14" s="55"/>
      <c r="AC14" s="42"/>
      <c r="AD14" s="46">
        <f t="shared" ca="1" si="18"/>
        <v>0</v>
      </c>
      <c r="AE14" s="47">
        <f t="shared" ca="1" si="24"/>
        <v>0</v>
      </c>
      <c r="AG14" s="48">
        <f t="shared" ca="1" si="25"/>
        <v>0</v>
      </c>
      <c r="AH14" s="49">
        <f t="shared" si="26"/>
        <v>123</v>
      </c>
      <c r="AI14" s="49">
        <f t="shared" ca="1" si="27"/>
        <v>0</v>
      </c>
      <c r="AJ14" s="49">
        <f t="shared" ca="1" si="28"/>
        <v>0</v>
      </c>
      <c r="AK14" s="49">
        <f t="shared" ca="1" si="29"/>
        <v>0</v>
      </c>
      <c r="AL14" s="49">
        <f t="array" aca="1" ref="AL14" ca="1">_xlfn.IFS(R14=0,AE14,R14&lt;0,AE14/-R14,R14&gt;0,AE14/R14)</f>
        <v>0</v>
      </c>
      <c r="AM14" s="50">
        <f t="shared" ca="1" si="30"/>
        <v>0</v>
      </c>
      <c r="AN14" s="51">
        <f t="shared" ca="1" si="31"/>
        <v>0</v>
      </c>
      <c r="AP14" s="53">
        <f t="shared" ca="1" si="32"/>
        <v>0</v>
      </c>
    </row>
    <row r="15" spans="1:42">
      <c r="A15" s="30">
        <v>3064346642</v>
      </c>
      <c r="B15" s="31" t="s">
        <v>54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9"/>
        <v>0</v>
      </c>
      <c r="O15" s="38">
        <f t="shared" ca="1" si="20"/>
        <v>0</v>
      </c>
      <c r="P15" s="39">
        <f ca="1">SUMIFS('Отчет 26-31.01'!H:H,'Отчет 26-31.01'!D:D,"Выручка",'Отчет 26-31.01'!E:E,B15)</f>
        <v>0</v>
      </c>
      <c r="Q15" s="39">
        <f ca="1">SUMIFS('Отчет 26-31.01'!H:H,'Отчет 26-31.01'!D:D,"Возврат выручки",'Отчет 26-31.01'!E:E,B15)</f>
        <v>0</v>
      </c>
      <c r="R15" s="40">
        <f t="shared" ca="1" si="21"/>
        <v>0</v>
      </c>
      <c r="S15" s="41">
        <f ca="1">SUMIFS('Отчет 26-31.01'!P:P,'Отчет 26-31.01'!C:C,"Продажи",'Отчет 26-31.01'!E:E,B15)</f>
        <v>0</v>
      </c>
      <c r="T15" s="42">
        <f ca="1">SUMIFS('Отчет 26-31.01'!P:P,'Отчет 26-31.01'!C:C,"Возвраты",'Отчет 26-31.01'!E:E,B15)</f>
        <v>0</v>
      </c>
      <c r="U15" s="40">
        <f t="shared" ca="1" si="22"/>
        <v>0</v>
      </c>
      <c r="V15" s="43" t="e">
        <f ca="1">U15/$U$24</f>
        <v>#DIV/0!</v>
      </c>
      <c r="W15" s="44">
        <f t="shared" ca="1" si="23"/>
        <v>0</v>
      </c>
      <c r="X15" s="42">
        <f ca="1">-SUMIFS('Отчет 26-31.01'!P:P,'Отчет 26-31.01'!C:C,"Вознаграждение Ozon",'Отчет 26-31.01'!E:E,B15)</f>
        <v>0</v>
      </c>
      <c r="Y15" s="45">
        <f t="shared" ca="1" si="17"/>
        <v>0</v>
      </c>
      <c r="Z15" s="42">
        <f ca="1">-SUMIFS('Отчет 26-31.01'!P:P,'Отчет 26-31.01'!C:C,"Услуги доставки",'Отчет 26-31.01'!E:E,B15)</f>
        <v>0</v>
      </c>
      <c r="AA15" s="32"/>
      <c r="AB15" s="55"/>
      <c r="AC15" s="42"/>
      <c r="AD15" s="46">
        <f t="shared" ca="1" si="18"/>
        <v>0</v>
      </c>
      <c r="AE15" s="47">
        <f t="shared" ca="1" si="24"/>
        <v>0</v>
      </c>
      <c r="AF15" s="46"/>
      <c r="AG15" s="48">
        <f t="shared" ca="1" si="25"/>
        <v>0</v>
      </c>
      <c r="AH15" s="49">
        <f t="shared" si="26"/>
        <v>123</v>
      </c>
      <c r="AI15" s="49">
        <f t="shared" ca="1" si="27"/>
        <v>0</v>
      </c>
      <c r="AJ15" s="49">
        <f t="shared" ca="1" si="28"/>
        <v>0</v>
      </c>
      <c r="AK15" s="49">
        <f t="shared" ca="1" si="29"/>
        <v>0</v>
      </c>
      <c r="AL15" s="49">
        <f t="array" aca="1" ref="AL15" ca="1">_xlfn.IFS(R15=0,AE15,R15&lt;0,AE15/-R15,R15&gt;0,AE15/R15)</f>
        <v>0</v>
      </c>
      <c r="AM15" s="50">
        <f t="shared" ca="1" si="30"/>
        <v>0</v>
      </c>
      <c r="AN15" s="51">
        <f t="shared" ca="1" si="31"/>
        <v>0</v>
      </c>
      <c r="AP15" s="53">
        <f t="shared" ca="1" si="32"/>
        <v>0</v>
      </c>
    </row>
    <row r="16" spans="1:42">
      <c r="A16" s="30">
        <v>3405092287</v>
      </c>
      <c r="B16" s="31" t="s">
        <v>61</v>
      </c>
      <c r="C16" s="32"/>
      <c r="H16" s="35">
        <v>117</v>
      </c>
      <c r="I16" s="54">
        <f t="shared" si="0"/>
        <v>0</v>
      </c>
      <c r="K16" s="32"/>
      <c r="N16" s="37">
        <f t="shared" si="19"/>
        <v>0</v>
      </c>
      <c r="O16" s="38">
        <f t="shared" ca="1" si="20"/>
        <v>0</v>
      </c>
      <c r="P16" s="39">
        <f ca="1">SUMIFS('Отчет 26-31.01'!H:H,'Отчет 26-31.01'!D:D,"Выручка",'Отчет 26-31.01'!E:E,B16)</f>
        <v>0</v>
      </c>
      <c r="Q16" s="39">
        <f ca="1">SUMIFS('Отчет 26-31.01'!H:H,'Отчет 26-31.01'!D:D,"Возврат выручки",'Отчет 26-31.01'!E:E,B16)</f>
        <v>0</v>
      </c>
      <c r="R16" s="40">
        <f t="shared" ca="1" si="21"/>
        <v>0</v>
      </c>
      <c r="S16" s="41">
        <f ca="1">SUMIFS('Отчет 26-31.01'!P:P,'Отчет 26-31.01'!C:C,"Продажи",'Отчет 26-31.01'!E:E,B16)</f>
        <v>0</v>
      </c>
      <c r="T16" s="42">
        <f ca="1">SUMIFS('Отчет 26-31.01'!P:P,'Отчет 26-31.01'!C:C,"Возвраты",'Отчет 26-31.01'!E:E,B16)</f>
        <v>0</v>
      </c>
      <c r="U16" s="40">
        <f t="shared" ca="1" si="22"/>
        <v>0</v>
      </c>
      <c r="V16" s="43" t="e">
        <f ca="1">U16/$U$24</f>
        <v>#DIV/0!</v>
      </c>
      <c r="W16" s="44">
        <f t="shared" ca="1" si="23"/>
        <v>0</v>
      </c>
      <c r="X16" s="42">
        <f ca="1">-SUMIFS('Отчет 26-31.01'!P:P,'Отчет 26-31.01'!C:C,"Вознаграждение Ozon",'Отчет 26-31.01'!E:E,B16)</f>
        <v>0</v>
      </c>
      <c r="Y16" s="45">
        <f t="shared" ca="1" si="17"/>
        <v>0</v>
      </c>
      <c r="Z16" s="42">
        <f ca="1">-SUMIFS('Отчет 26-31.01'!P:P,'Отчет 26-31.01'!C:C,"Услуги доставки",'Отчет 26-31.01'!E:E,B16)</f>
        <v>0</v>
      </c>
      <c r="AA16" s="32"/>
      <c r="AB16" s="55"/>
      <c r="AC16" s="42"/>
      <c r="AD16" s="46">
        <f t="shared" ca="1" si="18"/>
        <v>0</v>
      </c>
      <c r="AE16" s="47">
        <f t="shared" ca="1" si="24"/>
        <v>0</v>
      </c>
      <c r="AF16" s="46"/>
      <c r="AG16" s="48">
        <f t="shared" ca="1" si="25"/>
        <v>0</v>
      </c>
      <c r="AH16" s="49">
        <f t="shared" si="26"/>
        <v>117</v>
      </c>
      <c r="AI16" s="49">
        <f t="shared" ca="1" si="27"/>
        <v>0</v>
      </c>
      <c r="AJ16" s="49">
        <f t="shared" ca="1" si="28"/>
        <v>0</v>
      </c>
      <c r="AK16" s="49">
        <f t="shared" ca="1" si="29"/>
        <v>0</v>
      </c>
      <c r="AL16" s="49">
        <f t="array" aca="1" ref="AL16" ca="1">_xlfn.IFS(R16=0,AE16,R16&lt;0,AE16/-R16,R16&gt;0,AE16/R16)</f>
        <v>0</v>
      </c>
      <c r="AM16" s="50">
        <f t="shared" ca="1" si="30"/>
        <v>0</v>
      </c>
      <c r="AN16" s="51">
        <f t="shared" ca="1" si="31"/>
        <v>0</v>
      </c>
      <c r="AP16" s="53">
        <f t="shared" ca="1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3">AVERAGEIF(AG3:AG15,"&lt;&gt;0",AG3:AG15)</f>
        <v>#DIV/0!</v>
      </c>
      <c r="AH17" s="58">
        <f t="shared" si="33"/>
        <v>127.26</v>
      </c>
      <c r="AI17" s="58" t="e">
        <f t="shared" ca="1" si="33"/>
        <v>#DIV/0!</v>
      </c>
      <c r="AJ17" s="58" t="e">
        <f t="shared" ca="1" si="33"/>
        <v>#DIV/0!</v>
      </c>
      <c r="AK17" s="58" t="e">
        <f t="shared" ca="1" si="33"/>
        <v>#DIV/0!</v>
      </c>
      <c r="AL17" s="58" t="e">
        <f t="shared" ca="1" si="33"/>
        <v>#DIV/0!</v>
      </c>
      <c r="AM17" s="59" t="e">
        <f t="shared" ca="1" si="33"/>
        <v>#DIV/0!</v>
      </c>
      <c r="AN17" s="59" t="e">
        <f t="shared" ca="1" si="33"/>
        <v>#DIV/0!</v>
      </c>
      <c r="AO17" s="60"/>
      <c r="AP17" s="61"/>
    </row>
    <row r="18" spans="1:52">
      <c r="A18" s="62" t="s">
        <v>45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4">SUM(P3:P16)</f>
        <v>0</v>
      </c>
      <c r="Q18" s="64">
        <f t="shared" ca="1" si="34"/>
        <v>0</v>
      </c>
      <c r="R18" s="64">
        <f t="shared" ca="1" si="34"/>
        <v>0</v>
      </c>
      <c r="S18" s="70">
        <f t="shared" ca="1" si="34"/>
        <v>0</v>
      </c>
      <c r="T18" s="64">
        <f t="shared" ca="1" si="34"/>
        <v>0</v>
      </c>
      <c r="U18" s="64">
        <f t="shared" ca="1" si="34"/>
        <v>0</v>
      </c>
      <c r="V18" s="71" t="e">
        <f t="shared" ca="1" si="34"/>
        <v>#DIV/0!</v>
      </c>
      <c r="W18" s="64">
        <f t="shared" ca="1" si="34"/>
        <v>0</v>
      </c>
      <c r="X18" s="64">
        <f t="shared" ca="1" si="34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SUM(AA3:AA15)</f>
        <v>0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 ca="1"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46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7">S18+S22</f>
        <v>0</v>
      </c>
      <c r="T24" s="118">
        <f t="shared" ca="1" si="37"/>
        <v>0</v>
      </c>
      <c r="U24" s="121">
        <f t="shared" ca="1" si="37"/>
        <v>0</v>
      </c>
      <c r="V24" s="122" t="e">
        <f t="shared" ca="1" si="37"/>
        <v>#DIV/0!</v>
      </c>
      <c r="W24" s="118">
        <f t="shared" ca="1" si="37"/>
        <v>0</v>
      </c>
      <c r="X24" s="118">
        <f t="shared" ca="1" si="37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 ca="1">AA18+AA22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0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38</v>
      </c>
      <c r="L29" s="152" t="s">
        <v>47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48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49</v>
      </c>
      <c r="I32" s="163">
        <f>I24-I33-I31</f>
        <v>0</v>
      </c>
      <c r="J32" s="164" t="e">
        <f>I32/I24</f>
        <v>#DIV/0!</v>
      </c>
      <c r="K32" s="160">
        <f ca="1">AP24-K31-K33</f>
        <v>0</v>
      </c>
      <c r="L32" s="161" t="e">
        <f ca="1"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50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51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0" priority="19" operator="greaterThan">
      <formula>120</formula>
    </cfRule>
  </conditionalFormatting>
  <conditionalFormatting sqref="N23">
    <cfRule type="cellIs" dxfId="99" priority="18" operator="between">
      <formula>0.000001</formula>
      <formula>25</formula>
    </cfRule>
  </conditionalFormatting>
  <conditionalFormatting sqref="V1 V25:V28 V30:V1048576">
    <cfRule type="cellIs" dxfId="9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97" priority="14" operator="greaterThan">
      <formula>120</formula>
    </cfRule>
  </conditionalFormatting>
  <conditionalFormatting sqref="Q23">
    <cfRule type="cellIs" dxfId="96" priority="13" operator="greaterThan">
      <formula>120</formula>
    </cfRule>
  </conditionalFormatting>
  <conditionalFormatting sqref="R23">
    <cfRule type="cellIs" dxfId="95" priority="12" operator="greaterThan">
      <formula>120</formula>
    </cfRule>
  </conditionalFormatting>
  <conditionalFormatting sqref="S23">
    <cfRule type="cellIs" dxfId="94" priority="11" operator="greaterThan">
      <formula>120</formula>
    </cfRule>
  </conditionalFormatting>
  <conditionalFormatting sqref="T23">
    <cfRule type="cellIs" dxfId="93" priority="10" operator="greaterThan">
      <formula>120</formula>
    </cfRule>
  </conditionalFormatting>
  <conditionalFormatting sqref="U23">
    <cfRule type="cellIs" dxfId="92" priority="9" operator="greaterThan">
      <formula>120</formula>
    </cfRule>
  </conditionalFormatting>
  <conditionalFormatting sqref="V23">
    <cfRule type="cellIs" dxfId="91" priority="8" operator="greaterThan">
      <formula>120</formula>
    </cfRule>
  </conditionalFormatting>
  <conditionalFormatting sqref="W23">
    <cfRule type="cellIs" dxfId="90" priority="7" operator="greaterThan">
      <formula>120</formula>
    </cfRule>
  </conditionalFormatting>
  <conditionalFormatting sqref="X23">
    <cfRule type="cellIs" dxfId="89" priority="6" operator="greaterThan">
      <formula>120</formula>
    </cfRule>
  </conditionalFormatting>
  <conditionalFormatting sqref="Z23">
    <cfRule type="cellIs" dxfId="8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U11" sqref="U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62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2676784153</v>
      </c>
      <c r="B3" s="31" t="s">
        <v>39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:Y7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>U3*5.71%</f>
        <v>459.42660000000001</v>
      </c>
      <c r="AE3" s="47">
        <f t="shared" ref="AE3:AE7" si="8">U3-W3-X3-Z3-AA3-AB3-AC3-AD3</f>
        <v>2675.943400000001</v>
      </c>
      <c r="AF3" s="46"/>
      <c r="AG3" s="48">
        <f t="shared" ref="AG3:AG7" si="9">IF(R3=0,0,U3/R3)</f>
        <v>1609.2</v>
      </c>
      <c r="AH3" s="49">
        <f t="shared" ref="AH3:AH7" si="10">H3</f>
        <v>142.97999999999999</v>
      </c>
      <c r="AI3" s="49">
        <f t="shared" ref="AI3:AI7" si="11">IF(R3=0,0,X3/R3)</f>
        <v>691.9559999999999</v>
      </c>
      <c r="AJ3" s="49">
        <f t="shared" ref="AJ3:AJ7" si="12">IF(P3=0,Z3/1,Z3/P3)</f>
        <v>147.19</v>
      </c>
      <c r="AK3" s="49">
        <f t="shared" ref="AK3:AK7" si="13">IF(P3=0,0,AA3/P3)</f>
        <v>0</v>
      </c>
      <c r="AL3" s="49">
        <f>_xlfn.IFS(R3=0,AE3,R3&lt;0,AE3/-R3,R3&gt;0,AE3/R3)</f>
        <v>535.1886800000002</v>
      </c>
      <c r="AM3" s="50">
        <f t="shared" ref="AM3:AM7" si="14">IF(AG3=0,0,AL3/AG3)</f>
        <v>0.33258058662689549</v>
      </c>
      <c r="AN3" s="51">
        <f t="shared" ref="AN3:AN7" si="15">IF(AH3=0,0,AL3/AH3)</f>
        <v>3.7431016925444136</v>
      </c>
      <c r="AP3" s="53">
        <f t="shared" ref="AP3:AP7" si="16">AL3*C3</f>
        <v>198019.81160000007</v>
      </c>
    </row>
    <row r="4" spans="1:42">
      <c r="A4" s="30">
        <v>2676784638</v>
      </c>
      <c r="B4" s="31" t="s">
        <v>40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7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ref="AD4:AD16" si="18">U4*5.71%</f>
        <v>699.47500000000002</v>
      </c>
      <c r="AE4" s="47">
        <f t="shared" si="8"/>
        <v>4302.4767290000009</v>
      </c>
      <c r="AF4" s="46"/>
      <c r="AG4" s="48">
        <f t="shared" si="9"/>
        <v>1750</v>
      </c>
      <c r="AH4" s="49">
        <f t="shared" si="10"/>
        <v>123.09</v>
      </c>
      <c r="AI4" s="49">
        <f t="shared" si="11"/>
        <v>752.5</v>
      </c>
      <c r="AJ4" s="49">
        <f t="shared" si="12"/>
        <v>145.11142857142858</v>
      </c>
      <c r="AK4" s="49">
        <f t="shared" si="13"/>
        <v>14.734038714285715</v>
      </c>
      <c r="AL4" s="49">
        <f t="array" ref="AL4">_xlfn.IFS(R4=0,AE4,R4&lt;0,AE4/-R4,R4&gt;0,AE4/R4)</f>
        <v>614.63953271428579</v>
      </c>
      <c r="AM4" s="50">
        <f t="shared" si="14"/>
        <v>0.351222590122449</v>
      </c>
      <c r="AN4" s="51">
        <f t="shared" si="15"/>
        <v>4.9934156528904525</v>
      </c>
      <c r="AP4" s="53">
        <f t="shared" si="16"/>
        <v>226187.34803885716</v>
      </c>
    </row>
    <row r="5" spans="1:42">
      <c r="A5" s="30">
        <v>2676784504</v>
      </c>
      <c r="B5" s="31" t="s">
        <v>41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7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18"/>
        <v>299.77499999999998</v>
      </c>
      <c r="AE5" s="47">
        <f t="shared" si="8"/>
        <v>1839.8449999999993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161.20333333333335</v>
      </c>
      <c r="AK5" s="49">
        <f t="shared" si="13"/>
        <v>0</v>
      </c>
      <c r="AL5" s="49">
        <f t="array" ref="AL5">_xlfn.IFS(R5=0,AE5,R5&lt;0,AE5/-R5,R5&gt;0,AE5/R5)</f>
        <v>613.28166666666641</v>
      </c>
      <c r="AM5" s="50">
        <f t="shared" si="14"/>
        <v>0.35044666666666652</v>
      </c>
      <c r="AN5" s="51">
        <f t="shared" si="15"/>
        <v>4.9823841633493089</v>
      </c>
      <c r="AP5" s="53">
        <f t="shared" si="16"/>
        <v>232433.75166666656</v>
      </c>
    </row>
    <row r="6" spans="1:42">
      <c r="A6" s="30">
        <v>2676784514</v>
      </c>
      <c r="B6" s="31" t="s">
        <v>42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7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18"/>
        <v>1790.085</v>
      </c>
      <c r="AE6" s="47">
        <f t="shared" si="8"/>
        <v>8682.3350000000028</v>
      </c>
      <c r="AF6" s="46"/>
      <c r="AG6" s="48">
        <f t="shared" si="9"/>
        <v>1741.6666666666667</v>
      </c>
      <c r="AH6" s="49">
        <f t="shared" si="10"/>
        <v>123.09</v>
      </c>
      <c r="AI6" s="49">
        <f t="shared" si="11"/>
        <v>748.91666666666663</v>
      </c>
      <c r="AJ6" s="49">
        <f t="shared" si="12"/>
        <v>152.02555555555557</v>
      </c>
      <c r="AK6" s="49">
        <f t="shared" si="13"/>
        <v>135.83333333333334</v>
      </c>
      <c r="AL6" s="49">
        <f t="array" ref="AL6">_xlfn.IFS(R6=0,AE6,R6&lt;0,AE6/-R6,R6&gt;0,AE6/R6)</f>
        <v>482.3519444444446</v>
      </c>
      <c r="AM6" s="50">
        <f t="shared" si="14"/>
        <v>0.27694848484848494</v>
      </c>
      <c r="AN6" s="51">
        <f t="shared" si="15"/>
        <v>3.9186931874599447</v>
      </c>
      <c r="AP6" s="53">
        <f t="shared" si="16"/>
        <v>331375.78583333344</v>
      </c>
    </row>
    <row r="7" spans="1:42">
      <c r="A7" s="30">
        <v>2676784181</v>
      </c>
      <c r="B7" s="31" t="s">
        <v>43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7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18"/>
        <v>999.25</v>
      </c>
      <c r="AE7" s="47">
        <f t="shared" si="8"/>
        <v>811.75819600000068</v>
      </c>
      <c r="AF7" s="46"/>
      <c r="AG7" s="48">
        <f t="shared" si="9"/>
        <v>1750</v>
      </c>
      <c r="AH7" s="49">
        <f t="shared" si="10"/>
        <v>117.24</v>
      </c>
      <c r="AI7" s="49">
        <f t="shared" si="11"/>
        <v>752.5</v>
      </c>
      <c r="AJ7" s="49">
        <f t="shared" si="12"/>
        <v>146.84800000000001</v>
      </c>
      <c r="AK7" s="49">
        <f t="shared" si="13"/>
        <v>552.31118040000001</v>
      </c>
      <c r="AL7" s="49">
        <f t="array" ref="AL7">_xlfn.IFS(R7=0,AE7,R7&lt;0,AE7/-R7,R7&gt;0,AE7/R7)</f>
        <v>81.175819600000068</v>
      </c>
      <c r="AM7" s="50">
        <f t="shared" si="14"/>
        <v>4.6386182628571471E-2</v>
      </c>
      <c r="AN7" s="51">
        <f t="shared" si="15"/>
        <v>0.69239013647219438</v>
      </c>
      <c r="AP7" s="53">
        <f t="shared" si="16"/>
        <v>56823.073720000044</v>
      </c>
    </row>
    <row r="8" spans="1:42">
      <c r="A8" s="30">
        <v>2676783005</v>
      </c>
      <c r="B8" s="31" t="s">
        <v>44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7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18"/>
        <v>331.06580000000002</v>
      </c>
      <c r="AE8" s="47">
        <f>U8-W8-X8-Z8-AA8-AB8-AC8-AD8</f>
        <v>-1062.6707779999986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-354.22359266666621</v>
      </c>
      <c r="AM8" s="50">
        <f>IF(AG8=0,0,AL8/AG8)</f>
        <v>-0.18328230044843022</v>
      </c>
      <c r="AN8" s="51">
        <f>IF(AH8=0,0,AL8/AH8)</f>
        <v>-2.0850173210116325</v>
      </c>
      <c r="AP8" s="53">
        <f>AL8*C8</f>
        <v>-126103.59898933317</v>
      </c>
    </row>
    <row r="9" spans="1:42">
      <c r="A9" s="30">
        <v>3405092860</v>
      </c>
      <c r="B9" s="31" t="s">
        <v>56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7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57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7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1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53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7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18"/>
        <v>2656.2348999999995</v>
      </c>
      <c r="AE11" s="47">
        <f t="shared" si="24"/>
        <v>470.19917300000088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18.084583576923112</v>
      </c>
      <c r="AM11" s="50">
        <f t="shared" si="30"/>
        <v>1.0107680152195899E-2</v>
      </c>
      <c r="AN11" s="51">
        <f t="shared" si="31"/>
        <v>0.14702913477173263</v>
      </c>
      <c r="AP11" s="53">
        <f t="shared" si="32"/>
        <v>4394.5538091923163</v>
      </c>
    </row>
    <row r="12" spans="1:42">
      <c r="A12" s="30">
        <v>3405092873</v>
      </c>
      <c r="B12" s="171" t="s">
        <v>58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7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1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59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7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60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7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1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54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7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18"/>
        <v>1785.2885999999999</v>
      </c>
      <c r="AE15" s="47">
        <f t="shared" si="24"/>
        <v>-5915.6008610000026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-347.97652123529429</v>
      </c>
      <c r="AM15" s="50">
        <f t="shared" si="30"/>
        <v>-0.18920235594575585</v>
      </c>
      <c r="AN15" s="51">
        <f t="shared" si="31"/>
        <v>-2.8290774084170267</v>
      </c>
      <c r="AP15" s="53">
        <f t="shared" si="32"/>
        <v>-49064.689494176491</v>
      </c>
    </row>
    <row r="16" spans="1:42">
      <c r="A16" s="30">
        <v>3405092287</v>
      </c>
      <c r="B16" s="31" t="s">
        <v>61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7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1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205.31526413754494</v>
      </c>
      <c r="AM17" s="59">
        <f t="shared" si="33"/>
        <v>0.12440094183138464</v>
      </c>
      <c r="AN17" s="59">
        <f t="shared" si="33"/>
        <v>1.6953649047574231</v>
      </c>
      <c r="AO17" s="60"/>
      <c r="AP17" s="61"/>
    </row>
    <row r="18" spans="1:52">
      <c r="A18" s="62" t="s">
        <v>45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9020.6008999999995</v>
      </c>
      <c r="AE18" s="74">
        <f>SUM(AE3:AE16)</f>
        <v>11804.285859000007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874066.0361845399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SUM(AA3:AA15)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46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9020.6008999999995</v>
      </c>
      <c r="AE24" s="126">
        <f>AE18+AE22</f>
        <v>11804.285859000007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1748132.0723690798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38</v>
      </c>
      <c r="L29" s="152" t="s">
        <v>47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48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49</v>
      </c>
      <c r="I32" s="163">
        <f>I24-I33-I31</f>
        <v>419194.5</v>
      </c>
      <c r="J32" s="164">
        <f>I32/I24</f>
        <v>1</v>
      </c>
      <c r="K32" s="160">
        <f>AP24-K31-K33</f>
        <v>1748132.0723690798</v>
      </c>
      <c r="L32" s="161">
        <f>K32/I32</f>
        <v>4.1702171005799924</v>
      </c>
    </row>
    <row r="33" spans="2:12" ht="15.5">
      <c r="B33" s="148"/>
      <c r="C33" s="165"/>
      <c r="D33" s="166"/>
      <c r="E33" s="166"/>
      <c r="F33" s="166"/>
      <c r="G33" s="166"/>
      <c r="H33" s="167" t="s">
        <v>50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51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87" priority="17" operator="greaterThan">
      <formula>120</formula>
    </cfRule>
  </conditionalFormatting>
  <conditionalFormatting sqref="N23">
    <cfRule type="cellIs" dxfId="86" priority="16" operator="between">
      <formula>0.000001</formula>
      <formula>25</formula>
    </cfRule>
  </conditionalFormatting>
  <conditionalFormatting sqref="V1 V25:V28 V30:V1048576">
    <cfRule type="cellIs" dxfId="85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84" priority="12" operator="greaterThan">
      <formula>120</formula>
    </cfRule>
  </conditionalFormatting>
  <conditionalFormatting sqref="Q23">
    <cfRule type="cellIs" dxfId="83" priority="11" operator="greaterThan">
      <formula>120</formula>
    </cfRule>
  </conditionalFormatting>
  <conditionalFormatting sqref="R23">
    <cfRule type="cellIs" dxfId="82" priority="10" operator="greaterThan">
      <formula>120</formula>
    </cfRule>
  </conditionalFormatting>
  <conditionalFormatting sqref="S23">
    <cfRule type="cellIs" dxfId="81" priority="9" operator="greaterThan">
      <formula>120</formula>
    </cfRule>
  </conditionalFormatting>
  <conditionalFormatting sqref="T23">
    <cfRule type="cellIs" dxfId="80" priority="8" operator="greaterThan">
      <formula>120</formula>
    </cfRule>
  </conditionalFormatting>
  <conditionalFormatting sqref="U23">
    <cfRule type="cellIs" dxfId="79" priority="7" operator="greaterThan">
      <formula>120</formula>
    </cfRule>
  </conditionalFormatting>
  <conditionalFormatting sqref="V23">
    <cfRule type="cellIs" dxfId="78" priority="6" operator="greaterThan">
      <formula>120</formula>
    </cfRule>
  </conditionalFormatting>
  <conditionalFormatting sqref="W23">
    <cfRule type="cellIs" dxfId="77" priority="5" operator="greaterThan">
      <formula>120</formula>
    </cfRule>
  </conditionalFormatting>
  <conditionalFormatting sqref="X23">
    <cfRule type="cellIs" dxfId="76" priority="4" operator="greaterThan">
      <formula>120</formula>
    </cfRule>
  </conditionalFormatting>
  <conditionalFormatting sqref="Z23">
    <cfRule type="cellIs" dxfId="75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52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2676784153</v>
      </c>
      <c r="B3" s="31" t="s">
        <v>39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:Y7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>U3*5.71%</f>
        <v>288.35500000000002</v>
      </c>
      <c r="AE3" s="47">
        <f t="shared" ref="AE3:AE15" si="7">U3-W3-X3-Z3-AA3-AB3-AC3-AD3</f>
        <v>924.26734000000033</v>
      </c>
      <c r="AF3" s="46"/>
      <c r="AG3" s="48">
        <f t="shared" ref="AG3:AG15" si="8">IF(R3=0,0,U3/R3)</f>
        <v>1683.3333333333333</v>
      </c>
      <c r="AH3" s="49">
        <f t="shared" ref="AH3:AH15" si="9">H3</f>
        <v>142.97999999999999</v>
      </c>
      <c r="AI3" s="49">
        <f t="shared" ref="AI3:AI15" si="10">IF(R3=0,0,X3/R3)</f>
        <v>723.83333333333337</v>
      </c>
      <c r="AJ3" s="49">
        <f t="shared" ref="AJ3:AJ15" si="11">IF(P3=0,Z3/1,Z3/P3)</f>
        <v>186.50333333333333</v>
      </c>
      <c r="AK3" s="49">
        <f t="shared" ref="AK3:AK15" si="12">IF(P3=0,0,AA3/P3)</f>
        <v>225.80921999999998</v>
      </c>
      <c r="AL3" s="49">
        <f>_xlfn.IFS(R3=0,AE3,R3&lt;0,AE3/-R3,R3&gt;0,AE3/R3)</f>
        <v>308.08911333333344</v>
      </c>
      <c r="AM3" s="50">
        <f t="shared" ref="AM3:AM15" si="13">IF(AG3=0,0,AL3/AG3)</f>
        <v>0.18302323564356443</v>
      </c>
      <c r="AN3" s="51">
        <f t="shared" ref="AN3:AN15" si="14">IF(AH3=0,0,AL3/AH3)</f>
        <v>2.1547706905394701</v>
      </c>
      <c r="AP3" s="53">
        <f t="shared" ref="AP3:AP15" si="15">AL3*C3</f>
        <v>114917.23927333337</v>
      </c>
    </row>
    <row r="4" spans="1:42">
      <c r="A4" s="30">
        <v>2676784638</v>
      </c>
      <c r="B4" s="31" t="s">
        <v>40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3:U7" si="16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7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ref="AD4:AD16" si="18">U4*5.71%</f>
        <v>393.99000000000007</v>
      </c>
      <c r="AE4" s="47">
        <f t="shared" si="7"/>
        <v>420.619268000001</v>
      </c>
      <c r="AF4" s="46"/>
      <c r="AG4" s="48">
        <f t="shared" si="8"/>
        <v>1725.0000000000002</v>
      </c>
      <c r="AH4" s="49">
        <f t="shared" si="9"/>
        <v>123.09</v>
      </c>
      <c r="AI4" s="49">
        <f t="shared" si="10"/>
        <v>741.75</v>
      </c>
      <c r="AJ4" s="49">
        <f t="shared" si="11"/>
        <v>128.63749999999999</v>
      </c>
      <c r="AK4" s="49">
        <f t="shared" si="12"/>
        <v>527.870183</v>
      </c>
      <c r="AL4" s="49">
        <f t="array" ref="AL4">_xlfn.IFS(R4=0,AE4,R4&lt;0,AE4/-R4,R4&gt;0,AE4/R4)</f>
        <v>105.15481700000025</v>
      </c>
      <c r="AM4" s="50">
        <f t="shared" si="13"/>
        <v>6.0959314202898685E-2</v>
      </c>
      <c r="AN4" s="51">
        <f t="shared" si="14"/>
        <v>0.8542921195872959</v>
      </c>
      <c r="AP4" s="53">
        <f t="shared" si="15"/>
        <v>39853.675643000097</v>
      </c>
    </row>
    <row r="5" spans="1:42">
      <c r="A5" s="30">
        <v>2676784504</v>
      </c>
      <c r="B5" s="31" t="s">
        <v>41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6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7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18"/>
        <v>388.28000000000003</v>
      </c>
      <c r="AE5" s="47">
        <f t="shared" si="7"/>
        <v>1765.207411000001</v>
      </c>
      <c r="AF5" s="46"/>
      <c r="AG5" s="48">
        <f t="shared" si="8"/>
        <v>1700.0000000000002</v>
      </c>
      <c r="AH5" s="49">
        <f t="shared" si="9"/>
        <v>123.09</v>
      </c>
      <c r="AI5" s="49">
        <f t="shared" si="10"/>
        <v>731</v>
      </c>
      <c r="AJ5" s="49">
        <f t="shared" si="11"/>
        <v>129.60499999999999</v>
      </c>
      <c r="AK5" s="49">
        <f t="shared" si="12"/>
        <v>177.93314724999999</v>
      </c>
      <c r="AL5" s="49">
        <f t="array" ref="AL5">_xlfn.IFS(R5=0,AE5,R5&lt;0,AE5/-R5,R5&gt;0,AE5/R5)</f>
        <v>441.30185275000025</v>
      </c>
      <c r="AM5" s="50">
        <f t="shared" si="13"/>
        <v>0.25958932514705896</v>
      </c>
      <c r="AN5" s="51">
        <f t="shared" si="14"/>
        <v>3.5851966264521913</v>
      </c>
      <c r="AP5" s="53">
        <f t="shared" si="15"/>
        <v>167253.4021922501</v>
      </c>
    </row>
    <row r="6" spans="1:42">
      <c r="A6" s="30">
        <v>2676784514</v>
      </c>
      <c r="B6" s="31" t="s">
        <v>42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6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7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18"/>
        <v>1964.2400000000002</v>
      </c>
      <c r="AE6" s="47">
        <f t="shared" si="7"/>
        <v>3366.030415000007</v>
      </c>
      <c r="AF6" s="46"/>
      <c r="AG6" s="48">
        <f t="shared" si="8"/>
        <v>1720.0000000000005</v>
      </c>
      <c r="AH6" s="49">
        <f t="shared" si="9"/>
        <v>123.09</v>
      </c>
      <c r="AI6" s="49">
        <f t="shared" si="10"/>
        <v>739.6</v>
      </c>
      <c r="AJ6" s="49">
        <f t="shared" si="11"/>
        <v>188.74428571428572</v>
      </c>
      <c r="AK6" s="49">
        <f t="shared" si="12"/>
        <v>373.91902785714285</v>
      </c>
      <c r="AL6" s="49">
        <f t="array" ref="AL6">_xlfn.IFS(R6=0,AE6,R6&lt;0,AE6/-R6,R6&gt;0,AE6/R6)</f>
        <v>168.30152075000035</v>
      </c>
      <c r="AM6" s="50">
        <f t="shared" si="13"/>
        <v>9.7849721366279244E-2</v>
      </c>
      <c r="AN6" s="51">
        <f t="shared" si="14"/>
        <v>1.3673045799821297</v>
      </c>
      <c r="AP6" s="53">
        <f t="shared" si="15"/>
        <v>117137.85844200024</v>
      </c>
    </row>
    <row r="7" spans="1:42">
      <c r="A7" s="30">
        <v>2676784181</v>
      </c>
      <c r="B7" s="31" t="s">
        <v>43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6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7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18"/>
        <v>964.99000000000012</v>
      </c>
      <c r="AE7" s="47">
        <f t="shared" si="7"/>
        <v>3012.4098000000035</v>
      </c>
      <c r="AF7" s="46"/>
      <c r="AG7" s="48">
        <f t="shared" si="8"/>
        <v>1690.0000000000005</v>
      </c>
      <c r="AH7" s="49">
        <f t="shared" si="9"/>
        <v>117.24</v>
      </c>
      <c r="AI7" s="49">
        <f t="shared" si="10"/>
        <v>726.7</v>
      </c>
      <c r="AJ7" s="49">
        <f t="shared" si="11"/>
        <v>155.63299999999998</v>
      </c>
      <c r="AK7" s="49">
        <f t="shared" si="12"/>
        <v>292.68702000000002</v>
      </c>
      <c r="AL7" s="49">
        <f t="array" ref="AL7">_xlfn.IFS(R7=0,AE7,R7&lt;0,AE7/-R7,R7&gt;0,AE7/R7)</f>
        <v>301.24098000000038</v>
      </c>
      <c r="AM7" s="50">
        <f t="shared" si="13"/>
        <v>0.17824910059171614</v>
      </c>
      <c r="AN7" s="51">
        <f t="shared" si="14"/>
        <v>2.5694385875127974</v>
      </c>
      <c r="AP7" s="53">
        <f t="shared" si="15"/>
        <v>217495.98756000027</v>
      </c>
    </row>
    <row r="8" spans="1:42">
      <c r="A8" s="30">
        <v>2676783005</v>
      </c>
      <c r="B8" s="31" t="s">
        <v>44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7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18"/>
        <v>605.60259999999994</v>
      </c>
      <c r="AE8" s="47">
        <f>U8-W8-X8-Z8-AA8-AB8-AC8-AD8</f>
        <v>111.65296800000101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15.950424000000144</v>
      </c>
      <c r="AM8" s="50">
        <f>IF(AG8=0,0,AL8/AG8)</f>
        <v>1.0527339996228645E-2</v>
      </c>
      <c r="AN8" s="51">
        <f>IF(AH8=0,0,AL8/AH8)</f>
        <v>9.3886773794809253E-2</v>
      </c>
      <c r="AP8" s="53">
        <f>AL8*C8</f>
        <v>5774.0534880000523</v>
      </c>
    </row>
    <row r="9" spans="1:42">
      <c r="A9" s="30">
        <v>3405092860</v>
      </c>
      <c r="B9" s="31" t="s">
        <v>56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57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18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53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7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18"/>
        <v>3362.4476999999993</v>
      </c>
      <c r="AE11" s="47">
        <f t="shared" si="25"/>
        <v>889.82966299999453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25.4237046571427</v>
      </c>
      <c r="AM11" s="50">
        <f t="shared" si="31"/>
        <v>1.5110799718104074E-2</v>
      </c>
      <c r="AN11" s="51">
        <f t="shared" si="32"/>
        <v>0.20669678583042847</v>
      </c>
      <c r="AP11" s="53">
        <f t="shared" si="33"/>
        <v>7067.7898946856703</v>
      </c>
    </row>
    <row r="12" spans="1:42">
      <c r="A12" s="30">
        <v>3405092873</v>
      </c>
      <c r="B12" s="171" t="s">
        <v>58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18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59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60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18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54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7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18"/>
        <v>3897.9315000000006</v>
      </c>
      <c r="AE15" s="47">
        <f t="shared" si="7"/>
        <v>4630.2450000000299</v>
      </c>
      <c r="AF15" s="46"/>
      <c r="AG15" s="48">
        <f t="shared" si="8"/>
        <v>1845.0000000000005</v>
      </c>
      <c r="AH15" s="49">
        <f t="shared" si="9"/>
        <v>123</v>
      </c>
      <c r="AI15" s="49">
        <f t="shared" si="10"/>
        <v>793.34999999999957</v>
      </c>
      <c r="AJ15" s="49">
        <f t="shared" si="11"/>
        <v>228.80054054054057</v>
      </c>
      <c r="AK15" s="49">
        <f t="shared" si="12"/>
        <v>469.35820270270267</v>
      </c>
      <c r="AL15" s="49">
        <f t="array" ref="AL15">_xlfn.IFS(R15=0,AE15,R15&lt;0,AE15/-R15,R15&gt;0,AE15/R15)</f>
        <v>125.14175675675756</v>
      </c>
      <c r="AM15" s="50">
        <f t="shared" si="13"/>
        <v>6.7827510437266952E-2</v>
      </c>
      <c r="AN15" s="51">
        <f t="shared" si="14"/>
        <v>1.0174126565590045</v>
      </c>
      <c r="AP15" s="53">
        <f t="shared" si="15"/>
        <v>21524.382162162299</v>
      </c>
    </row>
    <row r="16" spans="1:42">
      <c r="A16" s="30">
        <v>3405092287</v>
      </c>
      <c r="B16" s="31" t="s">
        <v>61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7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18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186.32552115590437</v>
      </c>
      <c r="AM17" s="59">
        <f t="shared" si="46"/>
        <v>0.10914204338788965</v>
      </c>
      <c r="AN17" s="59">
        <f t="shared" si="46"/>
        <v>1.4811248525322658</v>
      </c>
      <c r="AO17" s="60"/>
      <c r="AP17" s="61"/>
    </row>
    <row r="18" spans="1:52">
      <c r="A18" s="62" t="s">
        <v>45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11865.836800000001</v>
      </c>
      <c r="AE18" s="74">
        <f>SUM(AE3:AE16)</f>
        <v>15120.261865000039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691024.38865543203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SUM(AA3:AA15)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46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11865.836800000001</v>
      </c>
      <c r="AE24" s="126">
        <f>AE18+AE22</f>
        <v>15120.261865000039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1382048.7773108641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38</v>
      </c>
      <c r="L29" s="152" t="s">
        <v>47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48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49</v>
      </c>
      <c r="I32" s="163">
        <f>I24-I33-I31</f>
        <v>433801.86000000004</v>
      </c>
      <c r="J32" s="164">
        <f>I32/I24</f>
        <v>1</v>
      </c>
      <c r="K32" s="160">
        <f>AP24-K31-K33</f>
        <v>1382048.7773108641</v>
      </c>
      <c r="L32" s="161">
        <f>K32/I32</f>
        <v>3.185898689578841</v>
      </c>
    </row>
    <row r="33" spans="2:12" ht="15.5">
      <c r="B33" s="148"/>
      <c r="C33" s="165"/>
      <c r="D33" s="166"/>
      <c r="E33" s="166"/>
      <c r="F33" s="166"/>
      <c r="G33" s="166"/>
      <c r="H33" s="167" t="s">
        <v>50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51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4" priority="26" operator="greaterThan">
      <formula>120</formula>
    </cfRule>
  </conditionalFormatting>
  <conditionalFormatting sqref="N23">
    <cfRule type="cellIs" dxfId="73" priority="25" operator="between">
      <formula>0.000001</formula>
      <formula>25</formula>
    </cfRule>
  </conditionalFormatting>
  <conditionalFormatting sqref="V1 V25:V28 V30:V1048576">
    <cfRule type="cellIs" dxfId="72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71" priority="21" operator="greaterThan">
      <formula>120</formula>
    </cfRule>
  </conditionalFormatting>
  <conditionalFormatting sqref="Q23">
    <cfRule type="cellIs" dxfId="70" priority="20" operator="greaterThan">
      <formula>120</formula>
    </cfRule>
  </conditionalFormatting>
  <conditionalFormatting sqref="R23">
    <cfRule type="cellIs" dxfId="69" priority="19" operator="greaterThan">
      <formula>120</formula>
    </cfRule>
  </conditionalFormatting>
  <conditionalFormatting sqref="S23">
    <cfRule type="cellIs" dxfId="68" priority="18" operator="greaterThan">
      <formula>120</formula>
    </cfRule>
  </conditionalFormatting>
  <conditionalFormatting sqref="T23">
    <cfRule type="cellIs" dxfId="67" priority="17" operator="greaterThan">
      <formula>120</formula>
    </cfRule>
  </conditionalFormatting>
  <conditionalFormatting sqref="U23">
    <cfRule type="cellIs" dxfId="66" priority="16" operator="greaterThan">
      <formula>120</formula>
    </cfRule>
  </conditionalFormatting>
  <conditionalFormatting sqref="V23">
    <cfRule type="cellIs" dxfId="65" priority="15" operator="greaterThan">
      <formula>120</formula>
    </cfRule>
  </conditionalFormatting>
  <conditionalFormatting sqref="W23">
    <cfRule type="cellIs" dxfId="64" priority="14" operator="greaterThan">
      <formula>120</formula>
    </cfRule>
  </conditionalFormatting>
  <conditionalFormatting sqref="X23">
    <cfRule type="cellIs" dxfId="63" priority="13" operator="greaterThan">
      <formula>120</formula>
    </cfRule>
  </conditionalFormatting>
  <conditionalFormatting sqref="Z23">
    <cfRule type="cellIs" dxfId="62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dimension ref="A1"/>
  <sheetViews>
    <sheetView workbookViewId="0">
      <selection activeCell="J11" sqref="J11"/>
    </sheetView>
  </sheetViews>
  <sheetFormatPr defaultRowHeight="14.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"/>
  <sheetViews>
    <sheetView workbookViewId="0">
      <selection activeCell="F12" sqref="F12"/>
    </sheetView>
  </sheetViews>
  <sheetFormatPr defaultRowHeight="14.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3" sqref="AA3:AA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2676784153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15" si="1">K3/7</f>
        <v>1</v>
      </c>
      <c r="O3" s="38">
        <f t="shared" ref="O3:O15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:Y7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>U3*5.71%</f>
        <v>436.58659999999986</v>
      </c>
      <c r="AE3" s="47">
        <f t="shared" ref="AE3:AE15" si="8">U3-W3-X3-Z3-AA3-AB3-AC3-AD3</f>
        <v>1482.4709959999989</v>
      </c>
      <c r="AF3" s="46"/>
      <c r="AG3" s="48">
        <f t="shared" ref="AG3:AG15" si="9">IF(R3=0,0,U3/R3)</f>
        <v>1529.1999999999996</v>
      </c>
      <c r="AH3" s="49">
        <f t="shared" ref="AH3:AH15" si="10">H3</f>
        <v>142.97999999999999</v>
      </c>
      <c r="AI3" s="49">
        <f t="shared" ref="AI3:AI15" si="11">IF(R3=0,0,X3/R3)</f>
        <v>657.55599999999993</v>
      </c>
      <c r="AJ3" s="49">
        <f t="shared" ref="AJ3:AJ15" si="12">IF(P3=0,Z3/1,Z3/P3)</f>
        <v>182.5</v>
      </c>
      <c r="AK3" s="49">
        <f t="shared" ref="AK3:AK15" si="13">IF(P3=0,0,AA3/P3)</f>
        <v>162.35248080000002</v>
      </c>
      <c r="AL3" s="49">
        <f>_xlfn.IFS(R3=0,AE3,R3&lt;0,AE3/-R3,R3&gt;0,AE3/R3)</f>
        <v>296.4941991999998</v>
      </c>
      <c r="AM3" s="50">
        <f t="shared" ref="AM3:AM15" si="14">IF(AG3=0,0,AL3/AG3)</f>
        <v>0.19388843787601351</v>
      </c>
      <c r="AN3" s="51">
        <f t="shared" ref="AN3:AN15" si="15">IF(AH3=0,0,AL3/AH3)</f>
        <v>2.0736760330116089</v>
      </c>
      <c r="AP3" s="53">
        <f t="shared" ref="AP3:AP15" si="16">AL3*C3</f>
        <v>0</v>
      </c>
    </row>
    <row r="4" spans="1:42">
      <c r="A4" s="30">
        <v>2676784638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7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ref="AD4:AD16" si="18">U4*5.71%</f>
        <v>282.64499999999998</v>
      </c>
      <c r="AE4" s="47">
        <f t="shared" si="8"/>
        <v>1287.9956939999995</v>
      </c>
      <c r="AF4" s="46"/>
      <c r="AG4" s="48">
        <f t="shared" si="9"/>
        <v>1650</v>
      </c>
      <c r="AH4" s="49">
        <f t="shared" si="10"/>
        <v>123.09</v>
      </c>
      <c r="AI4" s="49">
        <f t="shared" si="11"/>
        <v>709.5</v>
      </c>
      <c r="AJ4" s="49">
        <f t="shared" si="12"/>
        <v>161.98000000000002</v>
      </c>
      <c r="AK4" s="49">
        <f t="shared" si="13"/>
        <v>131.88310200000001</v>
      </c>
      <c r="AL4" s="49">
        <f t="array" ref="AL4">_xlfn.IFS(R4=0,AE4,R4&lt;0,AE4/-R4,R4&gt;0,AE4/R4)</f>
        <v>429.33189799999985</v>
      </c>
      <c r="AM4" s="50">
        <f t="shared" si="14"/>
        <v>0.2602011503030302</v>
      </c>
      <c r="AN4" s="51">
        <f t="shared" si="15"/>
        <v>3.4879510764481263</v>
      </c>
      <c r="AP4" s="53">
        <f t="shared" si="16"/>
        <v>0</v>
      </c>
    </row>
    <row r="5" spans="1:42">
      <c r="A5" s="30">
        <v>2676784504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7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18"/>
        <v>188.43</v>
      </c>
      <c r="AE5" s="47">
        <f t="shared" si="8"/>
        <v>300.40587800000009</v>
      </c>
      <c r="AF5" s="46"/>
      <c r="AG5" s="48">
        <f t="shared" si="9"/>
        <v>1650</v>
      </c>
      <c r="AH5" s="49">
        <f t="shared" si="10"/>
        <v>123.09</v>
      </c>
      <c r="AI5" s="49">
        <f t="shared" si="11"/>
        <v>709.5</v>
      </c>
      <c r="AJ5" s="49">
        <f t="shared" si="12"/>
        <v>167.23</v>
      </c>
      <c r="AK5" s="49">
        <f t="shared" si="13"/>
        <v>405.76206100000002</v>
      </c>
      <c r="AL5" s="49">
        <f t="array" ref="AL5">_xlfn.IFS(R5=0,AE5,R5&lt;0,AE5/-R5,R5&gt;0,AE5/R5)</f>
        <v>150.20293900000004</v>
      </c>
      <c r="AM5" s="50">
        <f t="shared" si="14"/>
        <v>9.1032084242424274E-2</v>
      </c>
      <c r="AN5" s="51">
        <f t="shared" si="15"/>
        <v>1.2202692257697623</v>
      </c>
      <c r="AP5" s="53">
        <f t="shared" si="16"/>
        <v>0</v>
      </c>
    </row>
    <row r="6" spans="1:42">
      <c r="A6" s="30">
        <v>2676784514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7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18"/>
        <v>2832.16</v>
      </c>
      <c r="AE6" s="47">
        <f t="shared" si="8"/>
        <v>4582.8565999999992</v>
      </c>
      <c r="AF6" s="46"/>
      <c r="AG6" s="48">
        <f t="shared" si="9"/>
        <v>1600</v>
      </c>
      <c r="AH6" s="49">
        <f t="shared" si="10"/>
        <v>123.09</v>
      </c>
      <c r="AI6" s="49">
        <f t="shared" si="11"/>
        <v>688</v>
      </c>
      <c r="AJ6" s="49">
        <f t="shared" si="12"/>
        <v>141.7921212121212</v>
      </c>
      <c r="AK6" s="49">
        <f t="shared" si="13"/>
        <v>374.6076787878788</v>
      </c>
      <c r="AL6" s="49">
        <f t="array" ref="AL6">_xlfn.IFS(R6=0,AE6,R6&lt;0,AE6/-R6,R6&gt;0,AE6/R6)</f>
        <v>147.8340838709677</v>
      </c>
      <c r="AM6" s="50">
        <f t="shared" si="14"/>
        <v>9.2396302419354814E-2</v>
      </c>
      <c r="AN6" s="51">
        <f t="shared" si="15"/>
        <v>1.2010243226173345</v>
      </c>
      <c r="AP6" s="53">
        <f t="shared" si="16"/>
        <v>0</v>
      </c>
    </row>
    <row r="7" spans="1:42">
      <c r="A7" s="30">
        <v>2676784181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7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18"/>
        <v>730.88</v>
      </c>
      <c r="AE7" s="47">
        <f t="shared" si="8"/>
        <v>2064.4032120000002</v>
      </c>
      <c r="AF7" s="46"/>
      <c r="AG7" s="48">
        <f t="shared" si="9"/>
        <v>1600</v>
      </c>
      <c r="AH7" s="49">
        <f t="shared" si="10"/>
        <v>117.24</v>
      </c>
      <c r="AI7" s="49">
        <f t="shared" si="11"/>
        <v>688</v>
      </c>
      <c r="AJ7" s="49">
        <f t="shared" si="12"/>
        <v>157.43499999999997</v>
      </c>
      <c r="AK7" s="49">
        <f t="shared" si="13"/>
        <v>287.91459850000001</v>
      </c>
      <c r="AL7" s="49">
        <f t="array" ref="AL7">_xlfn.IFS(R7=0,AE7,R7&lt;0,AE7/-R7,R7&gt;0,AE7/R7)</f>
        <v>258.05040150000002</v>
      </c>
      <c r="AM7" s="50">
        <f t="shared" si="14"/>
        <v>0.16128150093750002</v>
      </c>
      <c r="AN7" s="51">
        <f t="shared" si="15"/>
        <v>2.201044025076766</v>
      </c>
      <c r="AP7" s="53">
        <f t="shared" si="16"/>
        <v>0</v>
      </c>
    </row>
    <row r="8" spans="1:42">
      <c r="A8" s="30">
        <v>2676783005</v>
      </c>
      <c r="B8" s="31" t="s">
        <v>44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7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18"/>
        <v>686.34199999999998</v>
      </c>
      <c r="AE8" s="47">
        <f>U8-W8-X8-Z8-AA8-AB8-AC8-AD8</f>
        <v>1951.2156420000006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195.12156420000005</v>
      </c>
      <c r="AM8" s="50">
        <f>IF(AG8=0,0,AL8/AG8)</f>
        <v>0.16233075224625629</v>
      </c>
      <c r="AN8" s="51">
        <f>IF(AH8=0,0,AL8/AH8)</f>
        <v>1.1485170651598098</v>
      </c>
      <c r="AP8" s="53">
        <f>AL8*C8</f>
        <v>0</v>
      </c>
    </row>
    <row r="9" spans="1:42">
      <c r="A9" s="30">
        <v>3405092860</v>
      </c>
      <c r="B9" s="31" t="s">
        <v>56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7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57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7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1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53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7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18"/>
        <v>4813.0731999999998</v>
      </c>
      <c r="AE11" s="47">
        <f t="shared" si="24"/>
        <v>10607.526218000028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203.99088880769284</v>
      </c>
      <c r="AM11" s="50">
        <f t="shared" si="30"/>
        <v>0.12584262110283334</v>
      </c>
      <c r="AN11" s="51">
        <f t="shared" si="31"/>
        <v>1.6584625106316491</v>
      </c>
      <c r="AP11" s="53">
        <f t="shared" si="32"/>
        <v>0</v>
      </c>
    </row>
    <row r="12" spans="1:42">
      <c r="A12" s="30">
        <v>3405092873</v>
      </c>
      <c r="B12" s="171" t="s">
        <v>58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7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1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59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7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60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7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1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54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7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18"/>
        <v>5098.173499999999</v>
      </c>
      <c r="AE15" s="47">
        <f t="shared" si="24"/>
        <v>9475.9191490000285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193.38610508163325</v>
      </c>
      <c r="AM15" s="50">
        <f t="shared" si="30"/>
        <v>0.10613114351794849</v>
      </c>
      <c r="AN15" s="51">
        <f t="shared" si="31"/>
        <v>1.5722447567612459</v>
      </c>
      <c r="AP15" s="53">
        <f t="shared" si="32"/>
        <v>0</v>
      </c>
    </row>
    <row r="16" spans="1:42">
      <c r="A16" s="30">
        <v>3405092287</v>
      </c>
      <c r="B16" s="31" t="s">
        <v>61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7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1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234.30150995753669</v>
      </c>
      <c r="AM17" s="59">
        <f t="shared" si="33"/>
        <v>0.1491379990806701</v>
      </c>
      <c r="AN17" s="59">
        <f t="shared" si="33"/>
        <v>1.8203986269345378</v>
      </c>
      <c r="AO17" s="60"/>
      <c r="AP17" s="61"/>
    </row>
    <row r="18" spans="1:52">
      <c r="A18" s="62" t="s">
        <v>45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15068.290299999999</v>
      </c>
      <c r="AE18" s="74">
        <f>SUM(AE3:AE16)</f>
        <v>31752.793389000057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SUM(AA3:AA15)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46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15068.290299999999</v>
      </c>
      <c r="AE24" s="126">
        <f>AE18+AE22</f>
        <v>31752.793389000057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38</v>
      </c>
      <c r="L29" s="152" t="s">
        <v>47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48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49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50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51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1" priority="19" operator="greaterThan">
      <formula>120</formula>
    </cfRule>
  </conditionalFormatting>
  <conditionalFormatting sqref="N23">
    <cfRule type="cellIs" dxfId="60" priority="18" operator="between">
      <formula>0.000001</formula>
      <formula>25</formula>
    </cfRule>
  </conditionalFormatting>
  <conditionalFormatting sqref="V1 V25:V28 V30:V1048576">
    <cfRule type="cellIs" dxfId="5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58" priority="14" operator="greaterThan">
      <formula>120</formula>
    </cfRule>
  </conditionalFormatting>
  <conditionalFormatting sqref="Q23">
    <cfRule type="cellIs" dxfId="57" priority="13" operator="greaterThan">
      <formula>120</formula>
    </cfRule>
  </conditionalFormatting>
  <conditionalFormatting sqref="R23">
    <cfRule type="cellIs" dxfId="56" priority="12" operator="greaterThan">
      <formula>120</formula>
    </cfRule>
  </conditionalFormatting>
  <conditionalFormatting sqref="S23">
    <cfRule type="cellIs" dxfId="55" priority="11" operator="greaterThan">
      <formula>120</formula>
    </cfRule>
  </conditionalFormatting>
  <conditionalFormatting sqref="T23">
    <cfRule type="cellIs" dxfId="54" priority="10" operator="greaterThan">
      <formula>120</formula>
    </cfRule>
  </conditionalFormatting>
  <conditionalFormatting sqref="U23">
    <cfRule type="cellIs" dxfId="53" priority="9" operator="greaterThan">
      <formula>120</formula>
    </cfRule>
  </conditionalFormatting>
  <conditionalFormatting sqref="V23">
    <cfRule type="cellIs" dxfId="52" priority="8" operator="greaterThan">
      <formula>120</formula>
    </cfRule>
  </conditionalFormatting>
  <conditionalFormatting sqref="W23">
    <cfRule type="cellIs" dxfId="51" priority="7" operator="greaterThan">
      <formula>120</formula>
    </cfRule>
  </conditionalFormatting>
  <conditionalFormatting sqref="X23">
    <cfRule type="cellIs" dxfId="50" priority="6" operator="greaterThan">
      <formula>120</formula>
    </cfRule>
  </conditionalFormatting>
  <conditionalFormatting sqref="Z23">
    <cfRule type="cellIs" dxfId="4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19" sqref="Y1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773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28</v>
      </c>
      <c r="AE2" s="24" t="s">
        <v>29</v>
      </c>
      <c r="AF2" s="25"/>
      <c r="AG2" s="26" t="s">
        <v>30</v>
      </c>
      <c r="AH2" s="22" t="s">
        <v>31</v>
      </c>
      <c r="AI2" s="22" t="s">
        <v>32</v>
      </c>
      <c r="AJ2" s="22" t="s">
        <v>33</v>
      </c>
      <c r="AK2" s="22" t="s">
        <v>34</v>
      </c>
      <c r="AL2" s="27" t="s">
        <v>35</v>
      </c>
      <c r="AM2" s="27" t="s">
        <v>36</v>
      </c>
      <c r="AN2" s="28" t="s">
        <v>37</v>
      </c>
      <c r="AP2" s="29" t="s">
        <v>38</v>
      </c>
    </row>
    <row r="3" spans="1:42">
      <c r="A3" s="30">
        <v>2676784153</v>
      </c>
      <c r="B3" s="31" t="s">
        <v>39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:Y7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>U3*5.71%</f>
        <v>94.215000000000003</v>
      </c>
      <c r="AE3" s="47">
        <f t="shared" ref="AE3:AE15" si="6">U3-W3-X3-Z3-AA3-AB3-AC3-AD3</f>
        <v>199.47499999999994</v>
      </c>
      <c r="AF3" s="46"/>
      <c r="AG3" s="48">
        <f t="shared" ref="AG3:AG15" si="7">IF(R3=0,0,U3/R3)</f>
        <v>1650</v>
      </c>
      <c r="AH3" s="49">
        <f t="shared" ref="AH3:AH15" si="8">H3</f>
        <v>142.97999999999999</v>
      </c>
      <c r="AI3" s="49">
        <f t="shared" ref="AI3:AI15" si="9">IF(R3=0,0,X3/R3)</f>
        <v>709.5</v>
      </c>
      <c r="AJ3" s="49">
        <f t="shared" ref="AJ3:AJ15" si="10">IF(P3=0,Z3/1,Z3/P3)</f>
        <v>124.33</v>
      </c>
      <c r="AK3" s="49">
        <f t="shared" ref="AK3:AK15" si="11">IF(P3=0,0,AA3/P3)</f>
        <v>379.5</v>
      </c>
      <c r="AL3" s="49">
        <f>_xlfn.IFS(R3=0,AE3,R3&lt;0,AE3/-R3,R3&gt;0,AE3/R3)</f>
        <v>199.47499999999994</v>
      </c>
      <c r="AM3" s="50">
        <f t="shared" ref="AM3:AM15" si="12">IF(AG3=0,0,AL3/AG3)</f>
        <v>0.12089393939393936</v>
      </c>
      <c r="AN3" s="51">
        <f t="shared" ref="AN3:AN15" si="13">IF(AH3=0,0,AL3/AH3)</f>
        <v>1.395125192334592</v>
      </c>
      <c r="AP3" s="53">
        <f t="shared" ref="AP3:AP15" si="14">AL3*C3</f>
        <v>0</v>
      </c>
    </row>
    <row r="4" spans="1:42">
      <c r="A4" s="30">
        <v>2676784638</v>
      </c>
      <c r="B4" s="31" t="s">
        <v>40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5">K4/4</f>
        <v>1</v>
      </c>
      <c r="O4" s="38">
        <f t="shared" ref="O4:O16" si="16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7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ref="AD4:AD16" si="18">U4*5.71%</f>
        <v>94.215000000000003</v>
      </c>
      <c r="AE4" s="47">
        <f t="shared" si="6"/>
        <v>606.61500000000001</v>
      </c>
      <c r="AF4" s="46"/>
      <c r="AG4" s="48">
        <f t="shared" si="7"/>
        <v>1650</v>
      </c>
      <c r="AH4" s="49">
        <f t="shared" si="8"/>
        <v>123.09</v>
      </c>
      <c r="AI4" s="49">
        <f t="shared" si="9"/>
        <v>709.5</v>
      </c>
      <c r="AJ4" s="49">
        <f t="shared" si="10"/>
        <v>116.58</v>
      </c>
      <c r="AK4" s="49">
        <f t="shared" si="11"/>
        <v>0</v>
      </c>
      <c r="AL4" s="49">
        <f t="array" ref="AL4">_xlfn.IFS(R4=0,AE4,R4&lt;0,AE4/-R4,R4&gt;0,AE4/R4)</f>
        <v>606.61500000000001</v>
      </c>
      <c r="AM4" s="50">
        <f t="shared" si="12"/>
        <v>0.36764545454545455</v>
      </c>
      <c r="AN4" s="51">
        <f t="shared" si="13"/>
        <v>4.9282232512795519</v>
      </c>
      <c r="AP4" s="53">
        <f t="shared" si="14"/>
        <v>0</v>
      </c>
    </row>
    <row r="5" spans="1:42">
      <c r="A5" s="30">
        <v>2676784504</v>
      </c>
      <c r="B5" s="31" t="s">
        <v>41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5"/>
        <v>0.75</v>
      </c>
      <c r="O5" s="38">
        <f t="shared" si="16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7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42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5"/>
        <v>3.75</v>
      </c>
      <c r="O6" s="38">
        <f t="shared" si="16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7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18"/>
        <v>639.52</v>
      </c>
      <c r="AE6" s="47">
        <f t="shared" si="6"/>
        <v>-2868.5860689999986</v>
      </c>
      <c r="AF6" s="46"/>
      <c r="AG6" s="48">
        <f t="shared" si="7"/>
        <v>1600</v>
      </c>
      <c r="AH6" s="49">
        <f t="shared" si="8"/>
        <v>123.09</v>
      </c>
      <c r="AI6" s="49">
        <f t="shared" si="9"/>
        <v>688</v>
      </c>
      <c r="AJ6" s="49">
        <f t="shared" si="10"/>
        <v>134.36624999999998</v>
      </c>
      <c r="AK6" s="49">
        <f t="shared" si="11"/>
        <v>834.56325862499989</v>
      </c>
      <c r="AL6" s="49">
        <f t="array" ref="AL6">_xlfn.IFS(R6=0,AE6,R6&lt;0,AE6/-R6,R6&gt;0,AE6/R6)</f>
        <v>-409.79800985714263</v>
      </c>
      <c r="AM6" s="50">
        <f t="shared" si="12"/>
        <v>-0.25612375616071414</v>
      </c>
      <c r="AN6" s="51">
        <f t="shared" si="13"/>
        <v>-3.3292550967352557</v>
      </c>
      <c r="AP6" s="53">
        <f t="shared" si="14"/>
        <v>0</v>
      </c>
    </row>
    <row r="7" spans="1:42">
      <c r="A7" s="30">
        <v>2676784181</v>
      </c>
      <c r="B7" s="31" t="s">
        <v>43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5"/>
        <v>1</v>
      </c>
      <c r="O7" s="38">
        <f t="shared" si="16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7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18"/>
        <v>182.72</v>
      </c>
      <c r="AE7" s="47">
        <f t="shared" si="6"/>
        <v>602.25</v>
      </c>
      <c r="AF7" s="46"/>
      <c r="AG7" s="48">
        <f t="shared" si="7"/>
        <v>1600</v>
      </c>
      <c r="AH7" s="49">
        <f t="shared" si="8"/>
        <v>117.24</v>
      </c>
      <c r="AI7" s="49">
        <f t="shared" si="9"/>
        <v>688</v>
      </c>
      <c r="AJ7" s="49">
        <f t="shared" si="10"/>
        <v>218.27500000000001</v>
      </c>
      <c r="AK7" s="49">
        <f t="shared" si="11"/>
        <v>184</v>
      </c>
      <c r="AL7" s="49">
        <f t="array" ref="AL7">_xlfn.IFS(R7=0,AE7,R7&lt;0,AE7/-R7,R7&gt;0,AE7/R7)</f>
        <v>301.125</v>
      </c>
      <c r="AM7" s="50">
        <f t="shared" si="12"/>
        <v>0.188203125</v>
      </c>
      <c r="AN7" s="51">
        <f t="shared" si="13"/>
        <v>2.5684493346980553</v>
      </c>
      <c r="AP7" s="53">
        <f t="shared" si="14"/>
        <v>0</v>
      </c>
    </row>
    <row r="8" spans="1:42">
      <c r="A8" s="30">
        <v>2676783005</v>
      </c>
      <c r="B8" s="31" t="s">
        <v>44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5"/>
        <v>2.5</v>
      </c>
      <c r="O8" s="38">
        <f t="shared" si="16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7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18"/>
        <v>137.26839999999999</v>
      </c>
      <c r="AE8" s="47">
        <f>U8-W8-X8-Z8-AA8-AB8-AC8-AD8</f>
        <v>-532.45839999999976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-266.22919999999988</v>
      </c>
      <c r="AM8" s="50">
        <f>IF(AG8=0,0,AL8/AG8)</f>
        <v>-0.22148851913477527</v>
      </c>
      <c r="AN8" s="51">
        <f>IF(AH8=0,0,AL8/AH8)</f>
        <v>-1.5670681028901048</v>
      </c>
      <c r="AP8" s="53">
        <f>AL8*C8</f>
        <v>0</v>
      </c>
    </row>
    <row r="9" spans="1:42">
      <c r="A9" s="30">
        <v>3405092860</v>
      </c>
      <c r="B9" s="31" t="s">
        <v>56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5"/>
        <v>0</v>
      </c>
      <c r="O9" s="38">
        <f t="shared" si="16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7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57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5"/>
        <v>0</v>
      </c>
      <c r="O10" s="38">
        <f t="shared" si="16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7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18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53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5"/>
        <v>9.25</v>
      </c>
      <c r="O11" s="38">
        <f t="shared" si="16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7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18"/>
        <v>1110.7092</v>
      </c>
      <c r="AE11" s="47">
        <f t="shared" si="22"/>
        <v>-6539.4585669999988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-544.95488058333319</v>
      </c>
      <c r="AM11" s="50">
        <f t="shared" si="28"/>
        <v>-0.33618438037219817</v>
      </c>
      <c r="AN11" s="51">
        <f t="shared" si="29"/>
        <v>-4.4305274844173432</v>
      </c>
      <c r="AP11" s="53">
        <f t="shared" si="30"/>
        <v>0</v>
      </c>
    </row>
    <row r="12" spans="1:42">
      <c r="A12" s="30">
        <v>3405092873</v>
      </c>
      <c r="B12" s="171" t="s">
        <v>58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7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18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59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5"/>
        <v>0</v>
      </c>
      <c r="O13" s="38">
        <f t="shared" si="16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7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60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7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18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54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5"/>
        <v>11.25</v>
      </c>
      <c r="O15" s="38">
        <f t="shared" si="16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7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18"/>
        <v>2556.9951000000001</v>
      </c>
      <c r="AE15" s="47">
        <f t="shared" si="22"/>
        <v>814.08012700000108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32.563205080000046</v>
      </c>
      <c r="AM15" s="50">
        <f t="shared" si="28"/>
        <v>1.8179141309930577E-2</v>
      </c>
      <c r="AN15" s="51">
        <f t="shared" si="29"/>
        <v>0.26474150471544755</v>
      </c>
      <c r="AP15" s="53">
        <f t="shared" si="30"/>
        <v>0</v>
      </c>
    </row>
    <row r="16" spans="1:42">
      <c r="A16" s="30">
        <v>3405092287</v>
      </c>
      <c r="B16" s="31" t="s">
        <v>61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7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18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-11.600555051496542</v>
      </c>
      <c r="AM17" s="59">
        <f t="shared" si="31"/>
        <v>-1.6982142202623292E-2</v>
      </c>
      <c r="AN17" s="59">
        <f t="shared" si="31"/>
        <v>-2.4330200145008214E-2</v>
      </c>
      <c r="AO17" s="60"/>
      <c r="AP17" s="61"/>
    </row>
    <row r="18" spans="1:52">
      <c r="A18" s="62" t="s">
        <v>45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4815.6427000000003</v>
      </c>
      <c r="AE18" s="74">
        <f>SUM(AE3:AE16)</f>
        <v>-7718.082908999997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SUM(AA3:AA15)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46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4815.6427000000003</v>
      </c>
      <c r="AE24" s="126">
        <f>AE18+AE22</f>
        <v>-7718.082908999997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38</v>
      </c>
      <c r="L29" s="152" t="s">
        <v>47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48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49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50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51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48" priority="19" operator="greaterThan">
      <formula>120</formula>
    </cfRule>
  </conditionalFormatting>
  <conditionalFormatting sqref="N23">
    <cfRule type="cellIs" dxfId="47" priority="18" operator="between">
      <formula>0.000001</formula>
      <formula>25</formula>
    </cfRule>
  </conditionalFormatting>
  <conditionalFormatting sqref="V1 V25:V28 V30:V1048576">
    <cfRule type="cellIs" dxfId="4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45" priority="14" operator="greaterThan">
      <formula>120</formula>
    </cfRule>
  </conditionalFormatting>
  <conditionalFormatting sqref="Q23">
    <cfRule type="cellIs" dxfId="44" priority="13" operator="greaterThan">
      <formula>120</formula>
    </cfRule>
  </conditionalFormatting>
  <conditionalFormatting sqref="R23">
    <cfRule type="cellIs" dxfId="43" priority="12" operator="greaterThan">
      <formula>120</formula>
    </cfRule>
  </conditionalFormatting>
  <conditionalFormatting sqref="S23">
    <cfRule type="cellIs" dxfId="42" priority="11" operator="greaterThan">
      <formula>120</formula>
    </cfRule>
  </conditionalFormatting>
  <conditionalFormatting sqref="T23">
    <cfRule type="cellIs" dxfId="41" priority="10" operator="greaterThan">
      <formula>120</formula>
    </cfRule>
  </conditionalFormatting>
  <conditionalFormatting sqref="U23">
    <cfRule type="cellIs" dxfId="40" priority="9" operator="greaterThan">
      <formula>120</formula>
    </cfRule>
  </conditionalFormatting>
  <conditionalFormatting sqref="V23">
    <cfRule type="cellIs" dxfId="39" priority="8" operator="greaterThan">
      <formula>120</formula>
    </cfRule>
  </conditionalFormatting>
  <conditionalFormatting sqref="W23">
    <cfRule type="cellIs" dxfId="38" priority="7" operator="greaterThan">
      <formula>120</formula>
    </cfRule>
  </conditionalFormatting>
  <conditionalFormatting sqref="X23">
    <cfRule type="cellIs" dxfId="37" priority="6" operator="greaterThan">
      <formula>120</formula>
    </cfRule>
  </conditionalFormatting>
  <conditionalFormatting sqref="Z23">
    <cfRule type="cellIs" dxfId="3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64</v>
      </c>
    </row>
    <row r="2" spans="1:16" ht="78.75" customHeight="1">
      <c r="A2" s="174" t="s">
        <v>65</v>
      </c>
      <c r="B2" s="174" t="s">
        <v>66</v>
      </c>
      <c r="C2" s="174" t="s">
        <v>67</v>
      </c>
      <c r="D2" s="174" t="s">
        <v>68</v>
      </c>
      <c r="E2" s="174" t="s">
        <v>69</v>
      </c>
      <c r="F2" s="174" t="s">
        <v>70</v>
      </c>
      <c r="G2" s="174" t="s">
        <v>71</v>
      </c>
      <c r="H2" s="174" t="s">
        <v>72</v>
      </c>
      <c r="I2" s="174" t="s">
        <v>73</v>
      </c>
      <c r="J2" s="174" t="s">
        <v>74</v>
      </c>
      <c r="K2" s="174" t="s">
        <v>75</v>
      </c>
      <c r="L2" s="174" t="s">
        <v>76</v>
      </c>
      <c r="M2" s="174" t="s">
        <v>77</v>
      </c>
      <c r="N2" s="174" t="s">
        <v>78</v>
      </c>
      <c r="O2" s="174" t="s">
        <v>79</v>
      </c>
      <c r="P2" s="175" t="s">
        <v>80</v>
      </c>
    </row>
    <row r="3" spans="1:16" ht="19.5" customHeight="1">
      <c r="A3" s="172" t="s">
        <v>81</v>
      </c>
      <c r="B3" s="176">
        <v>46041</v>
      </c>
      <c r="C3" s="172" t="s">
        <v>82</v>
      </c>
      <c r="D3" s="172" t="s">
        <v>83</v>
      </c>
      <c r="E3" s="172" t="s">
        <v>42</v>
      </c>
      <c r="F3" s="172" t="s">
        <v>84</v>
      </c>
      <c r="G3" s="172" t="s">
        <v>85</v>
      </c>
      <c r="H3" s="177">
        <v>1</v>
      </c>
      <c r="I3" s="178">
        <v>0</v>
      </c>
      <c r="J3" s="176">
        <v>46040</v>
      </c>
      <c r="K3" s="172" t="s">
        <v>86</v>
      </c>
      <c r="L3" s="172" t="s">
        <v>86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87</v>
      </c>
      <c r="B4" s="176">
        <v>46041</v>
      </c>
      <c r="C4" s="172" t="s">
        <v>82</v>
      </c>
      <c r="D4" s="172" t="s">
        <v>83</v>
      </c>
      <c r="E4" s="172" t="s">
        <v>39</v>
      </c>
      <c r="F4" s="172" t="s">
        <v>88</v>
      </c>
      <c r="G4" s="172" t="s">
        <v>85</v>
      </c>
      <c r="H4" s="177">
        <v>1</v>
      </c>
      <c r="I4" s="178">
        <v>0</v>
      </c>
      <c r="J4" s="176">
        <v>46041</v>
      </c>
      <c r="K4" s="172" t="s">
        <v>86</v>
      </c>
      <c r="L4" s="172" t="s">
        <v>86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89</v>
      </c>
      <c r="B5" s="176">
        <v>46041</v>
      </c>
      <c r="C5" s="172" t="s">
        <v>82</v>
      </c>
      <c r="D5" s="172" t="s">
        <v>83</v>
      </c>
      <c r="E5" s="172" t="s">
        <v>43</v>
      </c>
      <c r="F5" s="172" t="s">
        <v>90</v>
      </c>
      <c r="G5" s="172" t="s">
        <v>85</v>
      </c>
      <c r="H5" s="177">
        <v>1</v>
      </c>
      <c r="I5" s="178">
        <v>0</v>
      </c>
      <c r="J5" s="176">
        <v>46041</v>
      </c>
      <c r="K5" s="172" t="s">
        <v>86</v>
      </c>
      <c r="L5" s="172" t="s">
        <v>86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89</v>
      </c>
      <c r="B6" s="176">
        <v>46041</v>
      </c>
      <c r="C6" s="172" t="s">
        <v>82</v>
      </c>
      <c r="D6" s="172" t="s">
        <v>83</v>
      </c>
      <c r="E6" s="172" t="s">
        <v>53</v>
      </c>
      <c r="F6" s="172" t="s">
        <v>91</v>
      </c>
      <c r="G6" s="172" t="s">
        <v>85</v>
      </c>
      <c r="H6" s="177">
        <v>1</v>
      </c>
      <c r="I6" s="178">
        <v>0</v>
      </c>
      <c r="J6" s="176">
        <v>46041</v>
      </c>
      <c r="K6" s="172" t="s">
        <v>86</v>
      </c>
      <c r="L6" s="172" t="s">
        <v>86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92</v>
      </c>
      <c r="B7" s="176">
        <v>46041</v>
      </c>
      <c r="C7" s="172" t="s">
        <v>93</v>
      </c>
      <c r="D7" s="172" t="s">
        <v>24</v>
      </c>
      <c r="E7" s="172" t="s">
        <v>53</v>
      </c>
      <c r="F7" s="172" t="s">
        <v>91</v>
      </c>
      <c r="G7" s="172" t="s">
        <v>85</v>
      </c>
      <c r="H7" s="177">
        <v>1</v>
      </c>
      <c r="I7" s="178">
        <v>0</v>
      </c>
      <c r="J7" s="176">
        <v>46031</v>
      </c>
      <c r="K7" s="172" t="s">
        <v>94</v>
      </c>
      <c r="L7" s="172" t="s">
        <v>95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92</v>
      </c>
      <c r="B8" s="176">
        <v>46041</v>
      </c>
      <c r="C8" s="172" t="s">
        <v>82</v>
      </c>
      <c r="D8" s="172" t="s">
        <v>96</v>
      </c>
      <c r="E8" s="172" t="s">
        <v>53</v>
      </c>
      <c r="F8" s="172" t="s">
        <v>91</v>
      </c>
      <c r="G8" s="172" t="s">
        <v>85</v>
      </c>
      <c r="H8" s="177">
        <v>1</v>
      </c>
      <c r="I8" s="178">
        <v>0</v>
      </c>
      <c r="J8" s="176">
        <v>46031</v>
      </c>
      <c r="K8" s="172" t="s">
        <v>94</v>
      </c>
      <c r="L8" s="172" t="s">
        <v>95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92</v>
      </c>
      <c r="B9" s="176">
        <v>46041</v>
      </c>
      <c r="C9" s="172" t="s">
        <v>93</v>
      </c>
      <c r="D9" s="172" t="s">
        <v>97</v>
      </c>
      <c r="E9" s="172" t="s">
        <v>53</v>
      </c>
      <c r="F9" s="172" t="s">
        <v>91</v>
      </c>
      <c r="G9" s="172" t="s">
        <v>85</v>
      </c>
      <c r="H9" s="177">
        <v>1</v>
      </c>
      <c r="I9" s="178">
        <v>0</v>
      </c>
      <c r="J9" s="176">
        <v>46031</v>
      </c>
      <c r="K9" s="172" t="s">
        <v>94</v>
      </c>
      <c r="L9" s="172" t="s">
        <v>95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92</v>
      </c>
      <c r="B10" s="176">
        <v>46041</v>
      </c>
      <c r="C10" s="172" t="s">
        <v>93</v>
      </c>
      <c r="D10" s="172" t="s">
        <v>98</v>
      </c>
      <c r="E10" s="172" t="s">
        <v>53</v>
      </c>
      <c r="F10" s="172" t="s">
        <v>91</v>
      </c>
      <c r="G10" s="172" t="s">
        <v>85</v>
      </c>
      <c r="H10" s="177">
        <v>1</v>
      </c>
      <c r="I10" s="178">
        <v>0</v>
      </c>
      <c r="J10" s="176">
        <v>46031</v>
      </c>
      <c r="K10" s="172" t="s">
        <v>94</v>
      </c>
      <c r="L10" s="172" t="s">
        <v>95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92</v>
      </c>
      <c r="B11" s="176">
        <v>46041</v>
      </c>
      <c r="C11" s="172" t="s">
        <v>82</v>
      </c>
      <c r="D11" s="172" t="s">
        <v>99</v>
      </c>
      <c r="E11" s="172" t="s">
        <v>53</v>
      </c>
      <c r="F11" s="172" t="s">
        <v>91</v>
      </c>
      <c r="G11" s="172" t="s">
        <v>85</v>
      </c>
      <c r="H11" s="177">
        <v>1</v>
      </c>
      <c r="I11" s="178">
        <v>0</v>
      </c>
      <c r="J11" s="176">
        <v>46031</v>
      </c>
      <c r="K11" s="172" t="s">
        <v>94</v>
      </c>
      <c r="L11" s="172" t="s">
        <v>95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100</v>
      </c>
      <c r="B12" s="176">
        <v>46041</v>
      </c>
      <c r="C12" s="172" t="s">
        <v>93</v>
      </c>
      <c r="D12" s="172" t="s">
        <v>24</v>
      </c>
      <c r="E12" s="172" t="s">
        <v>39</v>
      </c>
      <c r="F12" s="172" t="s">
        <v>88</v>
      </c>
      <c r="G12" s="172" t="s">
        <v>85</v>
      </c>
      <c r="H12" s="177">
        <v>1</v>
      </c>
      <c r="I12" s="178">
        <v>1046</v>
      </c>
      <c r="J12" s="176">
        <v>46014</v>
      </c>
      <c r="K12" s="172" t="s">
        <v>94</v>
      </c>
      <c r="L12" s="172" t="s">
        <v>95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100</v>
      </c>
      <c r="B13" s="176">
        <v>46041</v>
      </c>
      <c r="C13" s="172" t="s">
        <v>101</v>
      </c>
      <c r="D13" s="172" t="s">
        <v>102</v>
      </c>
      <c r="E13" s="172" t="s">
        <v>39</v>
      </c>
      <c r="F13" s="172" t="s">
        <v>88</v>
      </c>
      <c r="G13" s="172" t="s">
        <v>85</v>
      </c>
      <c r="H13" s="177">
        <v>1</v>
      </c>
      <c r="I13" s="178">
        <v>1046</v>
      </c>
      <c r="J13" s="176">
        <v>46014</v>
      </c>
      <c r="K13" s="172" t="s">
        <v>94</v>
      </c>
      <c r="L13" s="172" t="s">
        <v>95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100</v>
      </c>
      <c r="B14" s="176">
        <v>46041</v>
      </c>
      <c r="C14" s="172" t="s">
        <v>101</v>
      </c>
      <c r="D14" s="172" t="s">
        <v>103</v>
      </c>
      <c r="E14" s="172" t="s">
        <v>39</v>
      </c>
      <c r="F14" s="172" t="s">
        <v>88</v>
      </c>
      <c r="G14" s="172" t="s">
        <v>85</v>
      </c>
      <c r="H14" s="177">
        <v>1</v>
      </c>
      <c r="I14" s="178">
        <v>1046</v>
      </c>
      <c r="J14" s="176">
        <v>46014</v>
      </c>
      <c r="K14" s="172" t="s">
        <v>94</v>
      </c>
      <c r="L14" s="172" t="s">
        <v>95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100</v>
      </c>
      <c r="B15" s="176">
        <v>46041</v>
      </c>
      <c r="C15" s="172" t="s">
        <v>101</v>
      </c>
      <c r="D15" s="172" t="s">
        <v>104</v>
      </c>
      <c r="E15" s="172" t="s">
        <v>39</v>
      </c>
      <c r="F15" s="172" t="s">
        <v>88</v>
      </c>
      <c r="G15" s="172" t="s">
        <v>85</v>
      </c>
      <c r="H15" s="177">
        <v>1</v>
      </c>
      <c r="I15" s="178">
        <v>1046</v>
      </c>
      <c r="J15" s="176">
        <v>46014</v>
      </c>
      <c r="K15" s="172" t="s">
        <v>94</v>
      </c>
      <c r="L15" s="172" t="s">
        <v>95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100</v>
      </c>
      <c r="B16" s="176">
        <v>46041</v>
      </c>
      <c r="C16" s="172" t="s">
        <v>105</v>
      </c>
      <c r="D16" s="172" t="s">
        <v>106</v>
      </c>
      <c r="E16" s="172" t="s">
        <v>39</v>
      </c>
      <c r="F16" s="172" t="s">
        <v>88</v>
      </c>
      <c r="G16" s="172" t="s">
        <v>85</v>
      </c>
      <c r="H16" s="177">
        <v>1</v>
      </c>
      <c r="I16" s="178">
        <v>1046</v>
      </c>
      <c r="J16" s="176">
        <v>46014</v>
      </c>
      <c r="K16" s="172" t="s">
        <v>94</v>
      </c>
      <c r="L16" s="172" t="s">
        <v>95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107</v>
      </c>
      <c r="B17" s="176">
        <v>46041</v>
      </c>
      <c r="C17" s="172" t="s">
        <v>93</v>
      </c>
      <c r="D17" s="172" t="s">
        <v>24</v>
      </c>
      <c r="E17" s="172" t="s">
        <v>53</v>
      </c>
      <c r="F17" s="172" t="s">
        <v>91</v>
      </c>
      <c r="G17" s="172" t="s">
        <v>85</v>
      </c>
      <c r="H17" s="177">
        <v>1</v>
      </c>
      <c r="I17" s="178">
        <v>1621</v>
      </c>
      <c r="J17" s="176">
        <v>46013</v>
      </c>
      <c r="K17" s="172" t="s">
        <v>94</v>
      </c>
      <c r="L17" s="172" t="s">
        <v>95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107</v>
      </c>
      <c r="B18" s="176">
        <v>46041</v>
      </c>
      <c r="C18" s="172" t="s">
        <v>101</v>
      </c>
      <c r="D18" s="172" t="s">
        <v>102</v>
      </c>
      <c r="E18" s="172" t="s">
        <v>53</v>
      </c>
      <c r="F18" s="172" t="s">
        <v>91</v>
      </c>
      <c r="G18" s="172" t="s">
        <v>85</v>
      </c>
      <c r="H18" s="177">
        <v>1</v>
      </c>
      <c r="I18" s="178">
        <v>1621</v>
      </c>
      <c r="J18" s="176">
        <v>46013</v>
      </c>
      <c r="K18" s="172" t="s">
        <v>94</v>
      </c>
      <c r="L18" s="172" t="s">
        <v>95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107</v>
      </c>
      <c r="B19" s="176">
        <v>46041</v>
      </c>
      <c r="C19" s="172" t="s">
        <v>101</v>
      </c>
      <c r="D19" s="172" t="s">
        <v>103</v>
      </c>
      <c r="E19" s="172" t="s">
        <v>53</v>
      </c>
      <c r="F19" s="172" t="s">
        <v>91</v>
      </c>
      <c r="G19" s="172" t="s">
        <v>85</v>
      </c>
      <c r="H19" s="177">
        <v>1</v>
      </c>
      <c r="I19" s="178">
        <v>1621</v>
      </c>
      <c r="J19" s="176">
        <v>46013</v>
      </c>
      <c r="K19" s="172" t="s">
        <v>94</v>
      </c>
      <c r="L19" s="172" t="s">
        <v>95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107</v>
      </c>
      <c r="B20" s="176">
        <v>46041</v>
      </c>
      <c r="C20" s="172" t="s">
        <v>101</v>
      </c>
      <c r="D20" s="172" t="s">
        <v>104</v>
      </c>
      <c r="E20" s="172" t="s">
        <v>53</v>
      </c>
      <c r="F20" s="172" t="s">
        <v>91</v>
      </c>
      <c r="G20" s="172" t="s">
        <v>85</v>
      </c>
      <c r="H20" s="177">
        <v>1</v>
      </c>
      <c r="I20" s="178">
        <v>1621</v>
      </c>
      <c r="J20" s="176">
        <v>46013</v>
      </c>
      <c r="K20" s="172" t="s">
        <v>94</v>
      </c>
      <c r="L20" s="172" t="s">
        <v>95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107</v>
      </c>
      <c r="B21" s="176">
        <v>46041</v>
      </c>
      <c r="C21" s="172" t="s">
        <v>105</v>
      </c>
      <c r="D21" s="172" t="s">
        <v>106</v>
      </c>
      <c r="E21" s="172" t="s">
        <v>53</v>
      </c>
      <c r="F21" s="172" t="s">
        <v>91</v>
      </c>
      <c r="G21" s="172" t="s">
        <v>85</v>
      </c>
      <c r="H21" s="177">
        <v>1</v>
      </c>
      <c r="I21" s="178">
        <v>1621</v>
      </c>
      <c r="J21" s="176">
        <v>46013</v>
      </c>
      <c r="K21" s="172" t="s">
        <v>94</v>
      </c>
      <c r="L21" s="172" t="s">
        <v>95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107</v>
      </c>
      <c r="B22" s="176">
        <v>46041</v>
      </c>
      <c r="C22" s="172" t="s">
        <v>82</v>
      </c>
      <c r="D22" s="172" t="s">
        <v>83</v>
      </c>
      <c r="E22" s="172" t="s">
        <v>53</v>
      </c>
      <c r="F22" s="172" t="s">
        <v>91</v>
      </c>
      <c r="G22" s="172" t="s">
        <v>85</v>
      </c>
      <c r="H22" s="177">
        <v>1</v>
      </c>
      <c r="I22" s="178">
        <v>0</v>
      </c>
      <c r="J22" s="176">
        <v>46013</v>
      </c>
      <c r="K22" s="172" t="s">
        <v>86</v>
      </c>
      <c r="L22" s="172" t="s">
        <v>86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100</v>
      </c>
      <c r="B23" s="176">
        <v>46041</v>
      </c>
      <c r="C23" s="172" t="s">
        <v>82</v>
      </c>
      <c r="D23" s="172" t="s">
        <v>83</v>
      </c>
      <c r="E23" s="172" t="s">
        <v>39</v>
      </c>
      <c r="F23" s="172" t="s">
        <v>88</v>
      </c>
      <c r="G23" s="172" t="s">
        <v>85</v>
      </c>
      <c r="H23" s="177">
        <v>1</v>
      </c>
      <c r="I23" s="178">
        <v>0</v>
      </c>
      <c r="J23" s="176">
        <v>46014</v>
      </c>
      <c r="K23" s="172" t="s">
        <v>86</v>
      </c>
      <c r="L23" s="172" t="s">
        <v>86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108</v>
      </c>
      <c r="B24" s="176">
        <v>46041</v>
      </c>
      <c r="C24" s="172" t="s">
        <v>93</v>
      </c>
      <c r="D24" s="172" t="s">
        <v>97</v>
      </c>
      <c r="E24" s="172" t="s">
        <v>43</v>
      </c>
      <c r="F24" s="172" t="s">
        <v>90</v>
      </c>
      <c r="G24" s="172" t="s">
        <v>85</v>
      </c>
      <c r="H24" s="177">
        <v>1</v>
      </c>
      <c r="I24" s="178">
        <v>0</v>
      </c>
      <c r="J24" s="176">
        <v>46035</v>
      </c>
      <c r="K24" s="172" t="s">
        <v>94</v>
      </c>
      <c r="L24" s="172" t="s">
        <v>95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108</v>
      </c>
      <c r="B25" s="176">
        <v>46041</v>
      </c>
      <c r="C25" s="172" t="s">
        <v>93</v>
      </c>
      <c r="D25" s="172" t="s">
        <v>98</v>
      </c>
      <c r="E25" s="172" t="s">
        <v>43</v>
      </c>
      <c r="F25" s="172" t="s">
        <v>90</v>
      </c>
      <c r="G25" s="172" t="s">
        <v>85</v>
      </c>
      <c r="H25" s="177">
        <v>1</v>
      </c>
      <c r="I25" s="178">
        <v>0</v>
      </c>
      <c r="J25" s="176">
        <v>46035</v>
      </c>
      <c r="K25" s="172" t="s">
        <v>94</v>
      </c>
      <c r="L25" s="172" t="s">
        <v>95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108</v>
      </c>
      <c r="B26" s="176">
        <v>46041</v>
      </c>
      <c r="C26" s="172" t="s">
        <v>93</v>
      </c>
      <c r="D26" s="172" t="s">
        <v>24</v>
      </c>
      <c r="E26" s="172" t="s">
        <v>43</v>
      </c>
      <c r="F26" s="172" t="s">
        <v>90</v>
      </c>
      <c r="G26" s="172" t="s">
        <v>85</v>
      </c>
      <c r="H26" s="177">
        <v>1</v>
      </c>
      <c r="I26" s="178">
        <v>0</v>
      </c>
      <c r="J26" s="176">
        <v>46035</v>
      </c>
      <c r="K26" s="172" t="s">
        <v>94</v>
      </c>
      <c r="L26" s="172" t="s">
        <v>95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108</v>
      </c>
      <c r="B27" s="176">
        <v>46041</v>
      </c>
      <c r="C27" s="172" t="s">
        <v>82</v>
      </c>
      <c r="D27" s="172" t="s">
        <v>96</v>
      </c>
      <c r="E27" s="172" t="s">
        <v>43</v>
      </c>
      <c r="F27" s="172" t="s">
        <v>90</v>
      </c>
      <c r="G27" s="172" t="s">
        <v>85</v>
      </c>
      <c r="H27" s="177">
        <v>1</v>
      </c>
      <c r="I27" s="178">
        <v>0</v>
      </c>
      <c r="J27" s="176">
        <v>46035</v>
      </c>
      <c r="K27" s="172" t="s">
        <v>94</v>
      </c>
      <c r="L27" s="172" t="s">
        <v>95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109</v>
      </c>
      <c r="B28" s="176">
        <v>46041</v>
      </c>
      <c r="C28" s="172" t="s">
        <v>93</v>
      </c>
      <c r="D28" s="172" t="s">
        <v>24</v>
      </c>
      <c r="E28" s="172" t="s">
        <v>43</v>
      </c>
      <c r="F28" s="172" t="s">
        <v>90</v>
      </c>
      <c r="G28" s="172" t="s">
        <v>85</v>
      </c>
      <c r="H28" s="177">
        <v>1</v>
      </c>
      <c r="I28" s="178">
        <v>0</v>
      </c>
      <c r="J28" s="176">
        <v>46031</v>
      </c>
      <c r="K28" s="172" t="s">
        <v>94</v>
      </c>
      <c r="L28" s="172" t="s">
        <v>95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109</v>
      </c>
      <c r="B29" s="176">
        <v>46041</v>
      </c>
      <c r="C29" s="172" t="s">
        <v>82</v>
      </c>
      <c r="D29" s="172" t="s">
        <v>96</v>
      </c>
      <c r="E29" s="172" t="s">
        <v>43</v>
      </c>
      <c r="F29" s="172" t="s">
        <v>90</v>
      </c>
      <c r="G29" s="172" t="s">
        <v>85</v>
      </c>
      <c r="H29" s="177">
        <v>1</v>
      </c>
      <c r="I29" s="178">
        <v>0</v>
      </c>
      <c r="J29" s="176">
        <v>46031</v>
      </c>
      <c r="K29" s="172" t="s">
        <v>94</v>
      </c>
      <c r="L29" s="172" t="s">
        <v>95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109</v>
      </c>
      <c r="B30" s="176">
        <v>46041</v>
      </c>
      <c r="C30" s="172" t="s">
        <v>93</v>
      </c>
      <c r="D30" s="172" t="s">
        <v>97</v>
      </c>
      <c r="E30" s="172" t="s">
        <v>43</v>
      </c>
      <c r="F30" s="172" t="s">
        <v>90</v>
      </c>
      <c r="G30" s="172" t="s">
        <v>85</v>
      </c>
      <c r="H30" s="177">
        <v>1</v>
      </c>
      <c r="I30" s="178">
        <v>0</v>
      </c>
      <c r="J30" s="176">
        <v>46031</v>
      </c>
      <c r="K30" s="172" t="s">
        <v>94</v>
      </c>
      <c r="L30" s="172" t="s">
        <v>95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109</v>
      </c>
      <c r="B31" s="176">
        <v>46041</v>
      </c>
      <c r="C31" s="172" t="s">
        <v>93</v>
      </c>
      <c r="D31" s="172" t="s">
        <v>98</v>
      </c>
      <c r="E31" s="172" t="s">
        <v>43</v>
      </c>
      <c r="F31" s="172" t="s">
        <v>90</v>
      </c>
      <c r="G31" s="172" t="s">
        <v>85</v>
      </c>
      <c r="H31" s="177">
        <v>1</v>
      </c>
      <c r="I31" s="178">
        <v>0</v>
      </c>
      <c r="J31" s="176">
        <v>46031</v>
      </c>
      <c r="K31" s="172" t="s">
        <v>94</v>
      </c>
      <c r="L31" s="172" t="s">
        <v>95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109</v>
      </c>
      <c r="B32" s="176">
        <v>46041</v>
      </c>
      <c r="C32" s="172" t="s">
        <v>82</v>
      </c>
      <c r="D32" s="172" t="s">
        <v>99</v>
      </c>
      <c r="E32" s="172" t="s">
        <v>43</v>
      </c>
      <c r="F32" s="172" t="s">
        <v>90</v>
      </c>
      <c r="G32" s="172" t="s">
        <v>85</v>
      </c>
      <c r="H32" s="177">
        <v>1</v>
      </c>
      <c r="I32" s="178">
        <v>0</v>
      </c>
      <c r="J32" s="176">
        <v>46031</v>
      </c>
      <c r="K32" s="172" t="s">
        <v>94</v>
      </c>
      <c r="L32" s="172" t="s">
        <v>95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86</v>
      </c>
      <c r="B33" s="176">
        <v>46041</v>
      </c>
      <c r="C33" s="172" t="s">
        <v>110</v>
      </c>
      <c r="D33" s="172" t="s">
        <v>111</v>
      </c>
      <c r="E33" s="172" t="s">
        <v>86</v>
      </c>
      <c r="F33" s="172" t="s">
        <v>86</v>
      </c>
      <c r="G33" s="172" t="s">
        <v>112</v>
      </c>
      <c r="H33" s="177">
        <v>0</v>
      </c>
      <c r="I33" s="178">
        <v>0</v>
      </c>
      <c r="J33" s="176">
        <v>46041</v>
      </c>
      <c r="K33" s="172" t="s">
        <v>86</v>
      </c>
      <c r="L33" s="172" t="s">
        <v>86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113</v>
      </c>
      <c r="B34" s="176">
        <v>46041</v>
      </c>
      <c r="C34" s="172" t="s">
        <v>93</v>
      </c>
      <c r="D34" s="172" t="s">
        <v>24</v>
      </c>
      <c r="E34" s="172" t="s">
        <v>53</v>
      </c>
      <c r="F34" s="172" t="s">
        <v>91</v>
      </c>
      <c r="G34" s="172" t="s">
        <v>85</v>
      </c>
      <c r="H34" s="177">
        <v>1</v>
      </c>
      <c r="I34" s="178">
        <v>0</v>
      </c>
      <c r="J34" s="176">
        <v>46027</v>
      </c>
      <c r="K34" s="172" t="s">
        <v>94</v>
      </c>
      <c r="L34" s="172" t="s">
        <v>95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113</v>
      </c>
      <c r="B35" s="176">
        <v>46041</v>
      </c>
      <c r="C35" s="172" t="s">
        <v>82</v>
      </c>
      <c r="D35" s="172" t="s">
        <v>96</v>
      </c>
      <c r="E35" s="172" t="s">
        <v>53</v>
      </c>
      <c r="F35" s="172" t="s">
        <v>91</v>
      </c>
      <c r="G35" s="172" t="s">
        <v>85</v>
      </c>
      <c r="H35" s="177">
        <v>1</v>
      </c>
      <c r="I35" s="178">
        <v>0</v>
      </c>
      <c r="J35" s="176">
        <v>46027</v>
      </c>
      <c r="K35" s="172" t="s">
        <v>94</v>
      </c>
      <c r="L35" s="172" t="s">
        <v>95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113</v>
      </c>
      <c r="B36" s="176">
        <v>46041</v>
      </c>
      <c r="C36" s="172" t="s">
        <v>93</v>
      </c>
      <c r="D36" s="172" t="s">
        <v>97</v>
      </c>
      <c r="E36" s="172" t="s">
        <v>53</v>
      </c>
      <c r="F36" s="172" t="s">
        <v>91</v>
      </c>
      <c r="G36" s="172" t="s">
        <v>85</v>
      </c>
      <c r="H36" s="177">
        <v>1</v>
      </c>
      <c r="I36" s="178">
        <v>0</v>
      </c>
      <c r="J36" s="176">
        <v>46027</v>
      </c>
      <c r="K36" s="172" t="s">
        <v>94</v>
      </c>
      <c r="L36" s="172" t="s">
        <v>95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113</v>
      </c>
      <c r="B37" s="176">
        <v>46041</v>
      </c>
      <c r="C37" s="172" t="s">
        <v>93</v>
      </c>
      <c r="D37" s="172" t="s">
        <v>98</v>
      </c>
      <c r="E37" s="172" t="s">
        <v>53</v>
      </c>
      <c r="F37" s="172" t="s">
        <v>91</v>
      </c>
      <c r="G37" s="172" t="s">
        <v>85</v>
      </c>
      <c r="H37" s="177">
        <v>1</v>
      </c>
      <c r="I37" s="178">
        <v>0</v>
      </c>
      <c r="J37" s="176">
        <v>46027</v>
      </c>
      <c r="K37" s="172" t="s">
        <v>94</v>
      </c>
      <c r="L37" s="172" t="s">
        <v>95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113</v>
      </c>
      <c r="B38" s="176">
        <v>46041</v>
      </c>
      <c r="C38" s="172" t="s">
        <v>82</v>
      </c>
      <c r="D38" s="172" t="s">
        <v>99</v>
      </c>
      <c r="E38" s="172" t="s">
        <v>53</v>
      </c>
      <c r="F38" s="172" t="s">
        <v>91</v>
      </c>
      <c r="G38" s="172" t="s">
        <v>85</v>
      </c>
      <c r="H38" s="177">
        <v>1</v>
      </c>
      <c r="I38" s="178">
        <v>0</v>
      </c>
      <c r="J38" s="176">
        <v>46027</v>
      </c>
      <c r="K38" s="172" t="s">
        <v>94</v>
      </c>
      <c r="L38" s="172" t="s">
        <v>95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114</v>
      </c>
      <c r="B39" s="176">
        <v>46041</v>
      </c>
      <c r="C39" s="172" t="s">
        <v>82</v>
      </c>
      <c r="D39" s="172" t="s">
        <v>83</v>
      </c>
      <c r="E39" s="172" t="s">
        <v>42</v>
      </c>
      <c r="F39" s="172" t="s">
        <v>84</v>
      </c>
      <c r="G39" s="172" t="s">
        <v>85</v>
      </c>
      <c r="H39" s="177">
        <v>1</v>
      </c>
      <c r="I39" s="178">
        <v>0</v>
      </c>
      <c r="J39" s="176">
        <v>46041</v>
      </c>
      <c r="K39" s="172" t="s">
        <v>86</v>
      </c>
      <c r="L39" s="172" t="s">
        <v>86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115</v>
      </c>
      <c r="B40" s="176">
        <v>46041</v>
      </c>
      <c r="C40" s="172" t="s">
        <v>93</v>
      </c>
      <c r="D40" s="172" t="s">
        <v>24</v>
      </c>
      <c r="E40" s="172" t="s">
        <v>53</v>
      </c>
      <c r="F40" s="172" t="s">
        <v>91</v>
      </c>
      <c r="G40" s="172" t="s">
        <v>85</v>
      </c>
      <c r="H40" s="177">
        <v>1</v>
      </c>
      <c r="I40" s="178">
        <v>1885</v>
      </c>
      <c r="J40" s="176">
        <v>46039</v>
      </c>
      <c r="K40" s="172" t="s">
        <v>94</v>
      </c>
      <c r="L40" s="172" t="s">
        <v>95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115</v>
      </c>
      <c r="B41" s="176">
        <v>46041</v>
      </c>
      <c r="C41" s="172" t="s">
        <v>101</v>
      </c>
      <c r="D41" s="172" t="s">
        <v>102</v>
      </c>
      <c r="E41" s="172" t="s">
        <v>53</v>
      </c>
      <c r="F41" s="172" t="s">
        <v>91</v>
      </c>
      <c r="G41" s="172" t="s">
        <v>85</v>
      </c>
      <c r="H41" s="177">
        <v>1</v>
      </c>
      <c r="I41" s="178">
        <v>1885</v>
      </c>
      <c r="J41" s="176">
        <v>46039</v>
      </c>
      <c r="K41" s="172" t="s">
        <v>94</v>
      </c>
      <c r="L41" s="172" t="s">
        <v>95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115</v>
      </c>
      <c r="B42" s="176">
        <v>46041</v>
      </c>
      <c r="C42" s="172" t="s">
        <v>101</v>
      </c>
      <c r="D42" s="172" t="s">
        <v>103</v>
      </c>
      <c r="E42" s="172" t="s">
        <v>53</v>
      </c>
      <c r="F42" s="172" t="s">
        <v>91</v>
      </c>
      <c r="G42" s="172" t="s">
        <v>85</v>
      </c>
      <c r="H42" s="177">
        <v>1</v>
      </c>
      <c r="I42" s="178">
        <v>1885</v>
      </c>
      <c r="J42" s="176">
        <v>46039</v>
      </c>
      <c r="K42" s="172" t="s">
        <v>94</v>
      </c>
      <c r="L42" s="172" t="s">
        <v>95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115</v>
      </c>
      <c r="B43" s="176">
        <v>46041</v>
      </c>
      <c r="C43" s="172" t="s">
        <v>101</v>
      </c>
      <c r="D43" s="172" t="s">
        <v>104</v>
      </c>
      <c r="E43" s="172" t="s">
        <v>53</v>
      </c>
      <c r="F43" s="172" t="s">
        <v>91</v>
      </c>
      <c r="G43" s="172" t="s">
        <v>85</v>
      </c>
      <c r="H43" s="177">
        <v>1</v>
      </c>
      <c r="I43" s="178">
        <v>1885</v>
      </c>
      <c r="J43" s="176">
        <v>46039</v>
      </c>
      <c r="K43" s="172" t="s">
        <v>94</v>
      </c>
      <c r="L43" s="172" t="s">
        <v>95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115</v>
      </c>
      <c r="B44" s="176">
        <v>46041</v>
      </c>
      <c r="C44" s="172" t="s">
        <v>105</v>
      </c>
      <c r="D44" s="172" t="s">
        <v>106</v>
      </c>
      <c r="E44" s="172" t="s">
        <v>53</v>
      </c>
      <c r="F44" s="172" t="s">
        <v>91</v>
      </c>
      <c r="G44" s="172" t="s">
        <v>85</v>
      </c>
      <c r="H44" s="177">
        <v>1</v>
      </c>
      <c r="I44" s="178">
        <v>1885</v>
      </c>
      <c r="J44" s="176">
        <v>46039</v>
      </c>
      <c r="K44" s="172" t="s">
        <v>94</v>
      </c>
      <c r="L44" s="172" t="s">
        <v>95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115</v>
      </c>
      <c r="B45" s="176">
        <v>46041</v>
      </c>
      <c r="C45" s="172" t="s">
        <v>82</v>
      </c>
      <c r="D45" s="172" t="s">
        <v>96</v>
      </c>
      <c r="E45" s="172" t="s">
        <v>53</v>
      </c>
      <c r="F45" s="172" t="s">
        <v>91</v>
      </c>
      <c r="G45" s="172" t="s">
        <v>85</v>
      </c>
      <c r="H45" s="177">
        <v>1</v>
      </c>
      <c r="I45" s="178">
        <v>1885</v>
      </c>
      <c r="J45" s="176">
        <v>46039</v>
      </c>
      <c r="K45" s="172" t="s">
        <v>94</v>
      </c>
      <c r="L45" s="172" t="s">
        <v>95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116</v>
      </c>
      <c r="B46" s="176">
        <v>46041</v>
      </c>
      <c r="C46" s="172" t="s">
        <v>93</v>
      </c>
      <c r="D46" s="172" t="s">
        <v>24</v>
      </c>
      <c r="E46" s="172" t="s">
        <v>53</v>
      </c>
      <c r="F46" s="172" t="s">
        <v>91</v>
      </c>
      <c r="G46" s="172" t="s">
        <v>85</v>
      </c>
      <c r="H46" s="177">
        <v>1</v>
      </c>
      <c r="I46" s="178">
        <v>0</v>
      </c>
      <c r="J46" s="176">
        <v>46032</v>
      </c>
      <c r="K46" s="172" t="s">
        <v>94</v>
      </c>
      <c r="L46" s="172" t="s">
        <v>95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116</v>
      </c>
      <c r="B47" s="176">
        <v>46041</v>
      </c>
      <c r="C47" s="172" t="s">
        <v>82</v>
      </c>
      <c r="D47" s="172" t="s">
        <v>96</v>
      </c>
      <c r="E47" s="172" t="s">
        <v>53</v>
      </c>
      <c r="F47" s="172" t="s">
        <v>91</v>
      </c>
      <c r="G47" s="172" t="s">
        <v>85</v>
      </c>
      <c r="H47" s="177">
        <v>1</v>
      </c>
      <c r="I47" s="178">
        <v>0</v>
      </c>
      <c r="J47" s="176">
        <v>46032</v>
      </c>
      <c r="K47" s="172" t="s">
        <v>94</v>
      </c>
      <c r="L47" s="172" t="s">
        <v>95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117</v>
      </c>
      <c r="B48" s="176">
        <v>46041</v>
      </c>
      <c r="C48" s="172" t="s">
        <v>93</v>
      </c>
      <c r="D48" s="172" t="s">
        <v>24</v>
      </c>
      <c r="E48" s="172" t="s">
        <v>40</v>
      </c>
      <c r="F48" s="172" t="s">
        <v>118</v>
      </c>
      <c r="G48" s="172" t="s">
        <v>85</v>
      </c>
      <c r="H48" s="177">
        <v>1</v>
      </c>
      <c r="I48" s="178">
        <v>1750</v>
      </c>
      <c r="J48" s="176">
        <v>46038</v>
      </c>
      <c r="K48" s="172" t="s">
        <v>94</v>
      </c>
      <c r="L48" s="172" t="s">
        <v>95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117</v>
      </c>
      <c r="B49" s="176">
        <v>46041</v>
      </c>
      <c r="C49" s="172" t="s">
        <v>101</v>
      </c>
      <c r="D49" s="172" t="s">
        <v>102</v>
      </c>
      <c r="E49" s="172" t="s">
        <v>40</v>
      </c>
      <c r="F49" s="172" t="s">
        <v>118</v>
      </c>
      <c r="G49" s="172" t="s">
        <v>85</v>
      </c>
      <c r="H49" s="177">
        <v>1</v>
      </c>
      <c r="I49" s="178">
        <v>1750</v>
      </c>
      <c r="J49" s="176">
        <v>46038</v>
      </c>
      <c r="K49" s="172" t="s">
        <v>94</v>
      </c>
      <c r="L49" s="172" t="s">
        <v>95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117</v>
      </c>
      <c r="B50" s="176">
        <v>46041</v>
      </c>
      <c r="C50" s="172" t="s">
        <v>101</v>
      </c>
      <c r="D50" s="172" t="s">
        <v>103</v>
      </c>
      <c r="E50" s="172" t="s">
        <v>40</v>
      </c>
      <c r="F50" s="172" t="s">
        <v>118</v>
      </c>
      <c r="G50" s="172" t="s">
        <v>85</v>
      </c>
      <c r="H50" s="177">
        <v>1</v>
      </c>
      <c r="I50" s="178">
        <v>1750</v>
      </c>
      <c r="J50" s="176">
        <v>46038</v>
      </c>
      <c r="K50" s="172" t="s">
        <v>94</v>
      </c>
      <c r="L50" s="172" t="s">
        <v>95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117</v>
      </c>
      <c r="B51" s="176">
        <v>46041</v>
      </c>
      <c r="C51" s="172" t="s">
        <v>101</v>
      </c>
      <c r="D51" s="172" t="s">
        <v>104</v>
      </c>
      <c r="E51" s="172" t="s">
        <v>40</v>
      </c>
      <c r="F51" s="172" t="s">
        <v>118</v>
      </c>
      <c r="G51" s="172" t="s">
        <v>85</v>
      </c>
      <c r="H51" s="177">
        <v>1</v>
      </c>
      <c r="I51" s="178">
        <v>1750</v>
      </c>
      <c r="J51" s="176">
        <v>46038</v>
      </c>
      <c r="K51" s="172" t="s">
        <v>94</v>
      </c>
      <c r="L51" s="172" t="s">
        <v>95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117</v>
      </c>
      <c r="B52" s="176">
        <v>46041</v>
      </c>
      <c r="C52" s="172" t="s">
        <v>105</v>
      </c>
      <c r="D52" s="172" t="s">
        <v>106</v>
      </c>
      <c r="E52" s="172" t="s">
        <v>40</v>
      </c>
      <c r="F52" s="172" t="s">
        <v>118</v>
      </c>
      <c r="G52" s="172" t="s">
        <v>85</v>
      </c>
      <c r="H52" s="177">
        <v>1</v>
      </c>
      <c r="I52" s="178">
        <v>1750</v>
      </c>
      <c r="J52" s="176">
        <v>46038</v>
      </c>
      <c r="K52" s="172" t="s">
        <v>94</v>
      </c>
      <c r="L52" s="172" t="s">
        <v>95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117</v>
      </c>
      <c r="B53" s="176">
        <v>46041</v>
      </c>
      <c r="C53" s="172" t="s">
        <v>82</v>
      </c>
      <c r="D53" s="172" t="s">
        <v>96</v>
      </c>
      <c r="E53" s="172" t="s">
        <v>40</v>
      </c>
      <c r="F53" s="172" t="s">
        <v>118</v>
      </c>
      <c r="G53" s="172" t="s">
        <v>85</v>
      </c>
      <c r="H53" s="177">
        <v>1</v>
      </c>
      <c r="I53" s="178">
        <v>1750</v>
      </c>
      <c r="J53" s="176">
        <v>46038</v>
      </c>
      <c r="K53" s="172" t="s">
        <v>94</v>
      </c>
      <c r="L53" s="172" t="s">
        <v>95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116</v>
      </c>
      <c r="B54" s="176">
        <v>46041</v>
      </c>
      <c r="C54" s="172" t="s">
        <v>93</v>
      </c>
      <c r="D54" s="172" t="s">
        <v>97</v>
      </c>
      <c r="E54" s="172" t="s">
        <v>53</v>
      </c>
      <c r="F54" s="172" t="s">
        <v>91</v>
      </c>
      <c r="G54" s="172" t="s">
        <v>85</v>
      </c>
      <c r="H54" s="177">
        <v>1</v>
      </c>
      <c r="I54" s="178">
        <v>0</v>
      </c>
      <c r="J54" s="176">
        <v>46032</v>
      </c>
      <c r="K54" s="172" t="s">
        <v>94</v>
      </c>
      <c r="L54" s="172" t="s">
        <v>95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116</v>
      </c>
      <c r="B55" s="176">
        <v>46041</v>
      </c>
      <c r="C55" s="172" t="s">
        <v>93</v>
      </c>
      <c r="D55" s="172" t="s">
        <v>98</v>
      </c>
      <c r="E55" s="172" t="s">
        <v>53</v>
      </c>
      <c r="F55" s="172" t="s">
        <v>91</v>
      </c>
      <c r="G55" s="172" t="s">
        <v>85</v>
      </c>
      <c r="H55" s="177">
        <v>1</v>
      </c>
      <c r="I55" s="178">
        <v>0</v>
      </c>
      <c r="J55" s="176">
        <v>46032</v>
      </c>
      <c r="K55" s="172" t="s">
        <v>94</v>
      </c>
      <c r="L55" s="172" t="s">
        <v>95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116</v>
      </c>
      <c r="B56" s="176">
        <v>46041</v>
      </c>
      <c r="C56" s="172" t="s">
        <v>82</v>
      </c>
      <c r="D56" s="172" t="s">
        <v>99</v>
      </c>
      <c r="E56" s="172" t="s">
        <v>53</v>
      </c>
      <c r="F56" s="172" t="s">
        <v>91</v>
      </c>
      <c r="G56" s="172" t="s">
        <v>85</v>
      </c>
      <c r="H56" s="177">
        <v>1</v>
      </c>
      <c r="I56" s="178">
        <v>0</v>
      </c>
      <c r="J56" s="176">
        <v>46032</v>
      </c>
      <c r="K56" s="172" t="s">
        <v>94</v>
      </c>
      <c r="L56" s="172" t="s">
        <v>95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119</v>
      </c>
      <c r="B57" s="176">
        <v>46041</v>
      </c>
      <c r="C57" s="172" t="s">
        <v>93</v>
      </c>
      <c r="D57" s="172" t="s">
        <v>24</v>
      </c>
      <c r="E57" s="172" t="s">
        <v>40</v>
      </c>
      <c r="F57" s="172" t="s">
        <v>118</v>
      </c>
      <c r="G57" s="172" t="s">
        <v>85</v>
      </c>
      <c r="H57" s="177">
        <v>1</v>
      </c>
      <c r="I57" s="178">
        <v>0</v>
      </c>
      <c r="J57" s="176">
        <v>46039</v>
      </c>
      <c r="K57" s="172" t="s">
        <v>94</v>
      </c>
      <c r="L57" s="172" t="s">
        <v>95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119</v>
      </c>
      <c r="B58" s="176">
        <v>46041</v>
      </c>
      <c r="C58" s="172" t="s">
        <v>82</v>
      </c>
      <c r="D58" s="172" t="s">
        <v>96</v>
      </c>
      <c r="E58" s="172" t="s">
        <v>40</v>
      </c>
      <c r="F58" s="172" t="s">
        <v>118</v>
      </c>
      <c r="G58" s="172" t="s">
        <v>85</v>
      </c>
      <c r="H58" s="177">
        <v>1</v>
      </c>
      <c r="I58" s="178">
        <v>0</v>
      </c>
      <c r="J58" s="176">
        <v>46039</v>
      </c>
      <c r="K58" s="172" t="s">
        <v>94</v>
      </c>
      <c r="L58" s="172" t="s">
        <v>95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119</v>
      </c>
      <c r="B59" s="176">
        <v>46041</v>
      </c>
      <c r="C59" s="172" t="s">
        <v>93</v>
      </c>
      <c r="D59" s="172" t="s">
        <v>97</v>
      </c>
      <c r="E59" s="172" t="s">
        <v>40</v>
      </c>
      <c r="F59" s="172" t="s">
        <v>118</v>
      </c>
      <c r="G59" s="172" t="s">
        <v>85</v>
      </c>
      <c r="H59" s="177">
        <v>1</v>
      </c>
      <c r="I59" s="178">
        <v>0</v>
      </c>
      <c r="J59" s="176">
        <v>46039</v>
      </c>
      <c r="K59" s="172" t="s">
        <v>94</v>
      </c>
      <c r="L59" s="172" t="s">
        <v>95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119</v>
      </c>
      <c r="B60" s="176">
        <v>46041</v>
      </c>
      <c r="C60" s="172" t="s">
        <v>93</v>
      </c>
      <c r="D60" s="172" t="s">
        <v>98</v>
      </c>
      <c r="E60" s="172" t="s">
        <v>40</v>
      </c>
      <c r="F60" s="172" t="s">
        <v>118</v>
      </c>
      <c r="G60" s="172" t="s">
        <v>85</v>
      </c>
      <c r="H60" s="177">
        <v>1</v>
      </c>
      <c r="I60" s="178">
        <v>0</v>
      </c>
      <c r="J60" s="176">
        <v>46039</v>
      </c>
      <c r="K60" s="172" t="s">
        <v>94</v>
      </c>
      <c r="L60" s="172" t="s">
        <v>95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119</v>
      </c>
      <c r="B61" s="176">
        <v>46041</v>
      </c>
      <c r="C61" s="172" t="s">
        <v>82</v>
      </c>
      <c r="D61" s="172" t="s">
        <v>99</v>
      </c>
      <c r="E61" s="172" t="s">
        <v>40</v>
      </c>
      <c r="F61" s="172" t="s">
        <v>118</v>
      </c>
      <c r="G61" s="172" t="s">
        <v>85</v>
      </c>
      <c r="H61" s="177">
        <v>1</v>
      </c>
      <c r="I61" s="178">
        <v>0</v>
      </c>
      <c r="J61" s="176">
        <v>46039</v>
      </c>
      <c r="K61" s="172" t="s">
        <v>94</v>
      </c>
      <c r="L61" s="172" t="s">
        <v>95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117</v>
      </c>
      <c r="B62" s="176">
        <v>46041</v>
      </c>
      <c r="C62" s="172" t="s">
        <v>82</v>
      </c>
      <c r="D62" s="172" t="s">
        <v>83</v>
      </c>
      <c r="E62" s="172" t="s">
        <v>40</v>
      </c>
      <c r="F62" s="172" t="s">
        <v>118</v>
      </c>
      <c r="G62" s="172" t="s">
        <v>85</v>
      </c>
      <c r="H62" s="177">
        <v>1</v>
      </c>
      <c r="I62" s="178">
        <v>0</v>
      </c>
      <c r="J62" s="176">
        <v>46038</v>
      </c>
      <c r="K62" s="172" t="s">
        <v>86</v>
      </c>
      <c r="L62" s="172" t="s">
        <v>86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120</v>
      </c>
      <c r="B63" s="176">
        <v>46041</v>
      </c>
      <c r="C63" s="172" t="s">
        <v>93</v>
      </c>
      <c r="D63" s="172" t="s">
        <v>24</v>
      </c>
      <c r="E63" s="172" t="s">
        <v>54</v>
      </c>
      <c r="F63" s="172" t="s">
        <v>121</v>
      </c>
      <c r="G63" s="172" t="s">
        <v>85</v>
      </c>
      <c r="H63" s="177">
        <v>1</v>
      </c>
      <c r="I63" s="178">
        <v>0</v>
      </c>
      <c r="J63" s="176">
        <v>46035</v>
      </c>
      <c r="K63" s="172" t="s">
        <v>94</v>
      </c>
      <c r="L63" s="172" t="s">
        <v>95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120</v>
      </c>
      <c r="B64" s="176">
        <v>46041</v>
      </c>
      <c r="C64" s="172" t="s">
        <v>82</v>
      </c>
      <c r="D64" s="172" t="s">
        <v>96</v>
      </c>
      <c r="E64" s="172" t="s">
        <v>54</v>
      </c>
      <c r="F64" s="172" t="s">
        <v>121</v>
      </c>
      <c r="G64" s="172" t="s">
        <v>85</v>
      </c>
      <c r="H64" s="177">
        <v>1</v>
      </c>
      <c r="I64" s="178">
        <v>0</v>
      </c>
      <c r="J64" s="176">
        <v>46035</v>
      </c>
      <c r="K64" s="172" t="s">
        <v>94</v>
      </c>
      <c r="L64" s="172" t="s">
        <v>95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120</v>
      </c>
      <c r="B65" s="176">
        <v>46041</v>
      </c>
      <c r="C65" s="172" t="s">
        <v>93</v>
      </c>
      <c r="D65" s="172" t="s">
        <v>97</v>
      </c>
      <c r="E65" s="172" t="s">
        <v>54</v>
      </c>
      <c r="F65" s="172" t="s">
        <v>121</v>
      </c>
      <c r="G65" s="172" t="s">
        <v>85</v>
      </c>
      <c r="H65" s="177">
        <v>1</v>
      </c>
      <c r="I65" s="178">
        <v>0</v>
      </c>
      <c r="J65" s="176">
        <v>46035</v>
      </c>
      <c r="K65" s="172" t="s">
        <v>94</v>
      </c>
      <c r="L65" s="172" t="s">
        <v>95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120</v>
      </c>
      <c r="B66" s="176">
        <v>46041</v>
      </c>
      <c r="C66" s="172" t="s">
        <v>93</v>
      </c>
      <c r="D66" s="172" t="s">
        <v>98</v>
      </c>
      <c r="E66" s="172" t="s">
        <v>54</v>
      </c>
      <c r="F66" s="172" t="s">
        <v>121</v>
      </c>
      <c r="G66" s="172" t="s">
        <v>85</v>
      </c>
      <c r="H66" s="177">
        <v>1</v>
      </c>
      <c r="I66" s="178">
        <v>0</v>
      </c>
      <c r="J66" s="176">
        <v>46035</v>
      </c>
      <c r="K66" s="172" t="s">
        <v>94</v>
      </c>
      <c r="L66" s="172" t="s">
        <v>95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120</v>
      </c>
      <c r="B67" s="176">
        <v>46041</v>
      </c>
      <c r="C67" s="172" t="s">
        <v>82</v>
      </c>
      <c r="D67" s="172" t="s">
        <v>99</v>
      </c>
      <c r="E67" s="172" t="s">
        <v>54</v>
      </c>
      <c r="F67" s="172" t="s">
        <v>121</v>
      </c>
      <c r="G67" s="172" t="s">
        <v>85</v>
      </c>
      <c r="H67" s="177">
        <v>1</v>
      </c>
      <c r="I67" s="178">
        <v>0</v>
      </c>
      <c r="J67" s="176">
        <v>46035</v>
      </c>
      <c r="K67" s="172" t="s">
        <v>94</v>
      </c>
      <c r="L67" s="172" t="s">
        <v>95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122</v>
      </c>
      <c r="B68" s="176">
        <v>46041</v>
      </c>
      <c r="C68" s="172" t="s">
        <v>93</v>
      </c>
      <c r="D68" s="172" t="s">
        <v>24</v>
      </c>
      <c r="E68" s="172" t="s">
        <v>39</v>
      </c>
      <c r="F68" s="172" t="s">
        <v>88</v>
      </c>
      <c r="G68" s="172" t="s">
        <v>85</v>
      </c>
      <c r="H68" s="177">
        <v>1</v>
      </c>
      <c r="I68" s="178">
        <v>1750</v>
      </c>
      <c r="J68" s="176">
        <v>46039</v>
      </c>
      <c r="K68" s="172" t="s">
        <v>94</v>
      </c>
      <c r="L68" s="172" t="s">
        <v>95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122</v>
      </c>
      <c r="B69" s="176">
        <v>46041</v>
      </c>
      <c r="C69" s="172" t="s">
        <v>101</v>
      </c>
      <c r="D69" s="172" t="s">
        <v>102</v>
      </c>
      <c r="E69" s="172" t="s">
        <v>39</v>
      </c>
      <c r="F69" s="172" t="s">
        <v>88</v>
      </c>
      <c r="G69" s="172" t="s">
        <v>85</v>
      </c>
      <c r="H69" s="177">
        <v>1</v>
      </c>
      <c r="I69" s="178">
        <v>1750</v>
      </c>
      <c r="J69" s="176">
        <v>46039</v>
      </c>
      <c r="K69" s="172" t="s">
        <v>94</v>
      </c>
      <c r="L69" s="172" t="s">
        <v>95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122</v>
      </c>
      <c r="B70" s="176">
        <v>46041</v>
      </c>
      <c r="C70" s="172" t="s">
        <v>101</v>
      </c>
      <c r="D70" s="172" t="s">
        <v>103</v>
      </c>
      <c r="E70" s="172" t="s">
        <v>39</v>
      </c>
      <c r="F70" s="172" t="s">
        <v>88</v>
      </c>
      <c r="G70" s="172" t="s">
        <v>85</v>
      </c>
      <c r="H70" s="177">
        <v>1</v>
      </c>
      <c r="I70" s="178">
        <v>1750</v>
      </c>
      <c r="J70" s="176">
        <v>46039</v>
      </c>
      <c r="K70" s="172" t="s">
        <v>94</v>
      </c>
      <c r="L70" s="172" t="s">
        <v>95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122</v>
      </c>
      <c r="B71" s="176">
        <v>46041</v>
      </c>
      <c r="C71" s="172" t="s">
        <v>101</v>
      </c>
      <c r="D71" s="172" t="s">
        <v>104</v>
      </c>
      <c r="E71" s="172" t="s">
        <v>39</v>
      </c>
      <c r="F71" s="172" t="s">
        <v>88</v>
      </c>
      <c r="G71" s="172" t="s">
        <v>85</v>
      </c>
      <c r="H71" s="177">
        <v>1</v>
      </c>
      <c r="I71" s="178">
        <v>1750</v>
      </c>
      <c r="J71" s="176">
        <v>46039</v>
      </c>
      <c r="K71" s="172" t="s">
        <v>94</v>
      </c>
      <c r="L71" s="172" t="s">
        <v>95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122</v>
      </c>
      <c r="B72" s="176">
        <v>46041</v>
      </c>
      <c r="C72" s="172" t="s">
        <v>105</v>
      </c>
      <c r="D72" s="172" t="s">
        <v>106</v>
      </c>
      <c r="E72" s="172" t="s">
        <v>39</v>
      </c>
      <c r="F72" s="172" t="s">
        <v>88</v>
      </c>
      <c r="G72" s="172" t="s">
        <v>85</v>
      </c>
      <c r="H72" s="177">
        <v>1</v>
      </c>
      <c r="I72" s="178">
        <v>1750</v>
      </c>
      <c r="J72" s="176">
        <v>46039</v>
      </c>
      <c r="K72" s="172" t="s">
        <v>94</v>
      </c>
      <c r="L72" s="172" t="s">
        <v>95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123</v>
      </c>
      <c r="B73" s="176">
        <v>46041</v>
      </c>
      <c r="C73" s="172" t="s">
        <v>93</v>
      </c>
      <c r="D73" s="172" t="s">
        <v>24</v>
      </c>
      <c r="E73" s="172" t="s">
        <v>54</v>
      </c>
      <c r="F73" s="172" t="s">
        <v>121</v>
      </c>
      <c r="G73" s="172" t="s">
        <v>85</v>
      </c>
      <c r="H73" s="177">
        <v>1</v>
      </c>
      <c r="I73" s="178">
        <v>1845</v>
      </c>
      <c r="J73" s="176">
        <v>46034</v>
      </c>
      <c r="K73" s="172" t="s">
        <v>94</v>
      </c>
      <c r="L73" s="172" t="s">
        <v>95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123</v>
      </c>
      <c r="B74" s="176">
        <v>46041</v>
      </c>
      <c r="C74" s="172" t="s">
        <v>101</v>
      </c>
      <c r="D74" s="172" t="s">
        <v>102</v>
      </c>
      <c r="E74" s="172" t="s">
        <v>54</v>
      </c>
      <c r="F74" s="172" t="s">
        <v>121</v>
      </c>
      <c r="G74" s="172" t="s">
        <v>85</v>
      </c>
      <c r="H74" s="177">
        <v>1</v>
      </c>
      <c r="I74" s="178">
        <v>1845</v>
      </c>
      <c r="J74" s="176">
        <v>46034</v>
      </c>
      <c r="K74" s="172" t="s">
        <v>94</v>
      </c>
      <c r="L74" s="172" t="s">
        <v>95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123</v>
      </c>
      <c r="B75" s="176">
        <v>46041</v>
      </c>
      <c r="C75" s="172" t="s">
        <v>101</v>
      </c>
      <c r="D75" s="172" t="s">
        <v>103</v>
      </c>
      <c r="E75" s="172" t="s">
        <v>54</v>
      </c>
      <c r="F75" s="172" t="s">
        <v>121</v>
      </c>
      <c r="G75" s="172" t="s">
        <v>85</v>
      </c>
      <c r="H75" s="177">
        <v>1</v>
      </c>
      <c r="I75" s="178">
        <v>1845</v>
      </c>
      <c r="J75" s="176">
        <v>46034</v>
      </c>
      <c r="K75" s="172" t="s">
        <v>94</v>
      </c>
      <c r="L75" s="172" t="s">
        <v>95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123</v>
      </c>
      <c r="B76" s="176">
        <v>46041</v>
      </c>
      <c r="C76" s="172" t="s">
        <v>101</v>
      </c>
      <c r="D76" s="172" t="s">
        <v>104</v>
      </c>
      <c r="E76" s="172" t="s">
        <v>54</v>
      </c>
      <c r="F76" s="172" t="s">
        <v>121</v>
      </c>
      <c r="G76" s="172" t="s">
        <v>85</v>
      </c>
      <c r="H76" s="177">
        <v>1</v>
      </c>
      <c r="I76" s="178">
        <v>1845</v>
      </c>
      <c r="J76" s="176">
        <v>46034</v>
      </c>
      <c r="K76" s="172" t="s">
        <v>94</v>
      </c>
      <c r="L76" s="172" t="s">
        <v>95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123</v>
      </c>
      <c r="B77" s="176">
        <v>46041</v>
      </c>
      <c r="C77" s="172" t="s">
        <v>105</v>
      </c>
      <c r="D77" s="172" t="s">
        <v>106</v>
      </c>
      <c r="E77" s="172" t="s">
        <v>54</v>
      </c>
      <c r="F77" s="172" t="s">
        <v>121</v>
      </c>
      <c r="G77" s="172" t="s">
        <v>85</v>
      </c>
      <c r="H77" s="177">
        <v>1</v>
      </c>
      <c r="I77" s="178">
        <v>1845</v>
      </c>
      <c r="J77" s="176">
        <v>46034</v>
      </c>
      <c r="K77" s="172" t="s">
        <v>94</v>
      </c>
      <c r="L77" s="172" t="s">
        <v>95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123</v>
      </c>
      <c r="B78" s="176">
        <v>46041</v>
      </c>
      <c r="C78" s="172" t="s">
        <v>82</v>
      </c>
      <c r="D78" s="172" t="s">
        <v>96</v>
      </c>
      <c r="E78" s="172" t="s">
        <v>54</v>
      </c>
      <c r="F78" s="172" t="s">
        <v>121</v>
      </c>
      <c r="G78" s="172" t="s">
        <v>85</v>
      </c>
      <c r="H78" s="177">
        <v>1</v>
      </c>
      <c r="I78" s="178">
        <v>1845</v>
      </c>
      <c r="J78" s="176">
        <v>46034</v>
      </c>
      <c r="K78" s="172" t="s">
        <v>94</v>
      </c>
      <c r="L78" s="172" t="s">
        <v>95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124</v>
      </c>
      <c r="B79" s="176">
        <v>46041</v>
      </c>
      <c r="C79" s="172" t="s">
        <v>93</v>
      </c>
      <c r="D79" s="172" t="s">
        <v>24</v>
      </c>
      <c r="E79" s="172" t="s">
        <v>54</v>
      </c>
      <c r="F79" s="172" t="s">
        <v>121</v>
      </c>
      <c r="G79" s="172" t="s">
        <v>85</v>
      </c>
      <c r="H79" s="177">
        <v>1</v>
      </c>
      <c r="I79" s="178">
        <v>1845</v>
      </c>
      <c r="J79" s="176">
        <v>46039</v>
      </c>
      <c r="K79" s="172" t="s">
        <v>94</v>
      </c>
      <c r="L79" s="172" t="s">
        <v>95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124</v>
      </c>
      <c r="B80" s="176">
        <v>46041</v>
      </c>
      <c r="C80" s="172" t="s">
        <v>101</v>
      </c>
      <c r="D80" s="172" t="s">
        <v>102</v>
      </c>
      <c r="E80" s="172" t="s">
        <v>54</v>
      </c>
      <c r="F80" s="172" t="s">
        <v>121</v>
      </c>
      <c r="G80" s="172" t="s">
        <v>85</v>
      </c>
      <c r="H80" s="177">
        <v>1</v>
      </c>
      <c r="I80" s="178">
        <v>1845</v>
      </c>
      <c r="J80" s="176">
        <v>46039</v>
      </c>
      <c r="K80" s="172" t="s">
        <v>94</v>
      </c>
      <c r="L80" s="172" t="s">
        <v>95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124</v>
      </c>
      <c r="B81" s="176">
        <v>46041</v>
      </c>
      <c r="C81" s="172" t="s">
        <v>101</v>
      </c>
      <c r="D81" s="172" t="s">
        <v>103</v>
      </c>
      <c r="E81" s="172" t="s">
        <v>54</v>
      </c>
      <c r="F81" s="172" t="s">
        <v>121</v>
      </c>
      <c r="G81" s="172" t="s">
        <v>85</v>
      </c>
      <c r="H81" s="177">
        <v>1</v>
      </c>
      <c r="I81" s="178">
        <v>1845</v>
      </c>
      <c r="J81" s="176">
        <v>46039</v>
      </c>
      <c r="K81" s="172" t="s">
        <v>94</v>
      </c>
      <c r="L81" s="172" t="s">
        <v>95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124</v>
      </c>
      <c r="B82" s="176">
        <v>46041</v>
      </c>
      <c r="C82" s="172" t="s">
        <v>101</v>
      </c>
      <c r="D82" s="172" t="s">
        <v>104</v>
      </c>
      <c r="E82" s="172" t="s">
        <v>54</v>
      </c>
      <c r="F82" s="172" t="s">
        <v>121</v>
      </c>
      <c r="G82" s="172" t="s">
        <v>85</v>
      </c>
      <c r="H82" s="177">
        <v>1</v>
      </c>
      <c r="I82" s="178">
        <v>1845</v>
      </c>
      <c r="J82" s="176">
        <v>46039</v>
      </c>
      <c r="K82" s="172" t="s">
        <v>94</v>
      </c>
      <c r="L82" s="172" t="s">
        <v>95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124</v>
      </c>
      <c r="B83" s="176">
        <v>46041</v>
      </c>
      <c r="C83" s="172" t="s">
        <v>105</v>
      </c>
      <c r="D83" s="172" t="s">
        <v>106</v>
      </c>
      <c r="E83" s="172" t="s">
        <v>54</v>
      </c>
      <c r="F83" s="172" t="s">
        <v>121</v>
      </c>
      <c r="G83" s="172" t="s">
        <v>85</v>
      </c>
      <c r="H83" s="177">
        <v>1</v>
      </c>
      <c r="I83" s="178">
        <v>1845</v>
      </c>
      <c r="J83" s="176">
        <v>46039</v>
      </c>
      <c r="K83" s="172" t="s">
        <v>94</v>
      </c>
      <c r="L83" s="172" t="s">
        <v>95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124</v>
      </c>
      <c r="B84" s="176">
        <v>46041</v>
      </c>
      <c r="C84" s="172" t="s">
        <v>82</v>
      </c>
      <c r="D84" s="172" t="s">
        <v>96</v>
      </c>
      <c r="E84" s="172" t="s">
        <v>54</v>
      </c>
      <c r="F84" s="172" t="s">
        <v>121</v>
      </c>
      <c r="G84" s="172" t="s">
        <v>85</v>
      </c>
      <c r="H84" s="177">
        <v>1</v>
      </c>
      <c r="I84" s="178">
        <v>1845</v>
      </c>
      <c r="J84" s="176">
        <v>46039</v>
      </c>
      <c r="K84" s="172" t="s">
        <v>94</v>
      </c>
      <c r="L84" s="172" t="s">
        <v>95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125</v>
      </c>
      <c r="B85" s="176">
        <v>46041</v>
      </c>
      <c r="C85" s="172" t="s">
        <v>93</v>
      </c>
      <c r="D85" s="172" t="s">
        <v>24</v>
      </c>
      <c r="E85" s="172" t="s">
        <v>44</v>
      </c>
      <c r="F85" s="172" t="s">
        <v>126</v>
      </c>
      <c r="G85" s="172" t="s">
        <v>85</v>
      </c>
      <c r="H85" s="177">
        <v>1</v>
      </c>
      <c r="I85" s="178">
        <v>1750</v>
      </c>
      <c r="J85" s="176">
        <v>46037</v>
      </c>
      <c r="K85" s="172" t="s">
        <v>94</v>
      </c>
      <c r="L85" s="172" t="s">
        <v>95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125</v>
      </c>
      <c r="B86" s="176">
        <v>46041</v>
      </c>
      <c r="C86" s="172" t="s">
        <v>101</v>
      </c>
      <c r="D86" s="172" t="s">
        <v>102</v>
      </c>
      <c r="E86" s="172" t="s">
        <v>44</v>
      </c>
      <c r="F86" s="172" t="s">
        <v>126</v>
      </c>
      <c r="G86" s="172" t="s">
        <v>85</v>
      </c>
      <c r="H86" s="177">
        <v>1</v>
      </c>
      <c r="I86" s="178">
        <v>1750</v>
      </c>
      <c r="J86" s="176">
        <v>46037</v>
      </c>
      <c r="K86" s="172" t="s">
        <v>94</v>
      </c>
      <c r="L86" s="172" t="s">
        <v>95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125</v>
      </c>
      <c r="B87" s="176">
        <v>46041</v>
      </c>
      <c r="C87" s="172" t="s">
        <v>101</v>
      </c>
      <c r="D87" s="172" t="s">
        <v>103</v>
      </c>
      <c r="E87" s="172" t="s">
        <v>44</v>
      </c>
      <c r="F87" s="172" t="s">
        <v>126</v>
      </c>
      <c r="G87" s="172" t="s">
        <v>85</v>
      </c>
      <c r="H87" s="177">
        <v>1</v>
      </c>
      <c r="I87" s="178">
        <v>1750</v>
      </c>
      <c r="J87" s="176">
        <v>46037</v>
      </c>
      <c r="K87" s="172" t="s">
        <v>94</v>
      </c>
      <c r="L87" s="172" t="s">
        <v>95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125</v>
      </c>
      <c r="B88" s="176">
        <v>46041</v>
      </c>
      <c r="C88" s="172" t="s">
        <v>101</v>
      </c>
      <c r="D88" s="172" t="s">
        <v>104</v>
      </c>
      <c r="E88" s="172" t="s">
        <v>44</v>
      </c>
      <c r="F88" s="172" t="s">
        <v>126</v>
      </c>
      <c r="G88" s="172" t="s">
        <v>85</v>
      </c>
      <c r="H88" s="177">
        <v>1</v>
      </c>
      <c r="I88" s="178">
        <v>1750</v>
      </c>
      <c r="J88" s="176">
        <v>46037</v>
      </c>
      <c r="K88" s="172" t="s">
        <v>94</v>
      </c>
      <c r="L88" s="172" t="s">
        <v>95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125</v>
      </c>
      <c r="B89" s="176">
        <v>46041</v>
      </c>
      <c r="C89" s="172" t="s">
        <v>105</v>
      </c>
      <c r="D89" s="172" t="s">
        <v>106</v>
      </c>
      <c r="E89" s="172" t="s">
        <v>44</v>
      </c>
      <c r="F89" s="172" t="s">
        <v>126</v>
      </c>
      <c r="G89" s="172" t="s">
        <v>85</v>
      </c>
      <c r="H89" s="177">
        <v>1</v>
      </c>
      <c r="I89" s="178">
        <v>1750</v>
      </c>
      <c r="J89" s="176">
        <v>46037</v>
      </c>
      <c r="K89" s="172" t="s">
        <v>94</v>
      </c>
      <c r="L89" s="172" t="s">
        <v>95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125</v>
      </c>
      <c r="B90" s="176">
        <v>46041</v>
      </c>
      <c r="C90" s="172" t="s">
        <v>82</v>
      </c>
      <c r="D90" s="172" t="s">
        <v>96</v>
      </c>
      <c r="E90" s="172" t="s">
        <v>44</v>
      </c>
      <c r="F90" s="172" t="s">
        <v>126</v>
      </c>
      <c r="G90" s="172" t="s">
        <v>85</v>
      </c>
      <c r="H90" s="177">
        <v>1</v>
      </c>
      <c r="I90" s="178">
        <v>1750</v>
      </c>
      <c r="J90" s="176">
        <v>46037</v>
      </c>
      <c r="K90" s="172" t="s">
        <v>94</v>
      </c>
      <c r="L90" s="172" t="s">
        <v>95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127</v>
      </c>
      <c r="B91" s="176">
        <v>46041</v>
      </c>
      <c r="C91" s="172" t="s">
        <v>93</v>
      </c>
      <c r="D91" s="172" t="s">
        <v>24</v>
      </c>
      <c r="E91" s="172" t="s">
        <v>42</v>
      </c>
      <c r="F91" s="172" t="s">
        <v>84</v>
      </c>
      <c r="G91" s="172" t="s">
        <v>85</v>
      </c>
      <c r="H91" s="177">
        <v>1</v>
      </c>
      <c r="I91" s="178">
        <v>1750</v>
      </c>
      <c r="J91" s="176">
        <v>46035</v>
      </c>
      <c r="K91" s="172" t="s">
        <v>94</v>
      </c>
      <c r="L91" s="172" t="s">
        <v>95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127</v>
      </c>
      <c r="B92" s="176">
        <v>46041</v>
      </c>
      <c r="C92" s="172" t="s">
        <v>101</v>
      </c>
      <c r="D92" s="172" t="s">
        <v>102</v>
      </c>
      <c r="E92" s="172" t="s">
        <v>42</v>
      </c>
      <c r="F92" s="172" t="s">
        <v>84</v>
      </c>
      <c r="G92" s="172" t="s">
        <v>85</v>
      </c>
      <c r="H92" s="177">
        <v>1</v>
      </c>
      <c r="I92" s="178">
        <v>1750</v>
      </c>
      <c r="J92" s="176">
        <v>46035</v>
      </c>
      <c r="K92" s="172" t="s">
        <v>94</v>
      </c>
      <c r="L92" s="172" t="s">
        <v>95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127</v>
      </c>
      <c r="B93" s="176">
        <v>46041</v>
      </c>
      <c r="C93" s="172" t="s">
        <v>101</v>
      </c>
      <c r="D93" s="172" t="s">
        <v>103</v>
      </c>
      <c r="E93" s="172" t="s">
        <v>42</v>
      </c>
      <c r="F93" s="172" t="s">
        <v>84</v>
      </c>
      <c r="G93" s="172" t="s">
        <v>85</v>
      </c>
      <c r="H93" s="177">
        <v>1</v>
      </c>
      <c r="I93" s="178">
        <v>1750</v>
      </c>
      <c r="J93" s="176">
        <v>46035</v>
      </c>
      <c r="K93" s="172" t="s">
        <v>94</v>
      </c>
      <c r="L93" s="172" t="s">
        <v>95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127</v>
      </c>
      <c r="B94" s="176">
        <v>46041</v>
      </c>
      <c r="C94" s="172" t="s">
        <v>101</v>
      </c>
      <c r="D94" s="172" t="s">
        <v>104</v>
      </c>
      <c r="E94" s="172" t="s">
        <v>42</v>
      </c>
      <c r="F94" s="172" t="s">
        <v>84</v>
      </c>
      <c r="G94" s="172" t="s">
        <v>85</v>
      </c>
      <c r="H94" s="177">
        <v>1</v>
      </c>
      <c r="I94" s="178">
        <v>1750</v>
      </c>
      <c r="J94" s="176">
        <v>46035</v>
      </c>
      <c r="K94" s="172" t="s">
        <v>94</v>
      </c>
      <c r="L94" s="172" t="s">
        <v>95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127</v>
      </c>
      <c r="B95" s="176">
        <v>46041</v>
      </c>
      <c r="C95" s="172" t="s">
        <v>105</v>
      </c>
      <c r="D95" s="172" t="s">
        <v>106</v>
      </c>
      <c r="E95" s="172" t="s">
        <v>42</v>
      </c>
      <c r="F95" s="172" t="s">
        <v>84</v>
      </c>
      <c r="G95" s="172" t="s">
        <v>85</v>
      </c>
      <c r="H95" s="177">
        <v>1</v>
      </c>
      <c r="I95" s="178">
        <v>1750</v>
      </c>
      <c r="J95" s="176">
        <v>46035</v>
      </c>
      <c r="K95" s="172" t="s">
        <v>94</v>
      </c>
      <c r="L95" s="172" t="s">
        <v>95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127</v>
      </c>
      <c r="B96" s="176">
        <v>46041</v>
      </c>
      <c r="C96" s="172" t="s">
        <v>82</v>
      </c>
      <c r="D96" s="172" t="s">
        <v>96</v>
      </c>
      <c r="E96" s="172" t="s">
        <v>42</v>
      </c>
      <c r="F96" s="172" t="s">
        <v>84</v>
      </c>
      <c r="G96" s="172" t="s">
        <v>85</v>
      </c>
      <c r="H96" s="177">
        <v>1</v>
      </c>
      <c r="I96" s="178">
        <v>1750</v>
      </c>
      <c r="J96" s="176">
        <v>46035</v>
      </c>
      <c r="K96" s="172" t="s">
        <v>94</v>
      </c>
      <c r="L96" s="172" t="s">
        <v>95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128</v>
      </c>
      <c r="B97" s="176">
        <v>46041</v>
      </c>
      <c r="C97" s="172" t="s">
        <v>129</v>
      </c>
      <c r="D97" s="172" t="s">
        <v>130</v>
      </c>
      <c r="E97" s="172" t="s">
        <v>54</v>
      </c>
      <c r="F97" s="172" t="s">
        <v>121</v>
      </c>
      <c r="G97" s="172" t="s">
        <v>85</v>
      </c>
      <c r="H97" s="177">
        <v>1</v>
      </c>
      <c r="I97" s="178">
        <v>0</v>
      </c>
      <c r="J97" s="176">
        <v>46041</v>
      </c>
      <c r="K97" s="172" t="s">
        <v>86</v>
      </c>
      <c r="L97" s="172" t="s">
        <v>86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127</v>
      </c>
      <c r="B98" s="176">
        <v>46041</v>
      </c>
      <c r="C98" s="172" t="s">
        <v>82</v>
      </c>
      <c r="D98" s="172" t="s">
        <v>83</v>
      </c>
      <c r="E98" s="172" t="s">
        <v>42</v>
      </c>
      <c r="F98" s="172" t="s">
        <v>84</v>
      </c>
      <c r="G98" s="172" t="s">
        <v>85</v>
      </c>
      <c r="H98" s="177">
        <v>1</v>
      </c>
      <c r="I98" s="178">
        <v>0</v>
      </c>
      <c r="J98" s="176">
        <v>46035</v>
      </c>
      <c r="K98" s="172" t="s">
        <v>86</v>
      </c>
      <c r="L98" s="172" t="s">
        <v>86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131</v>
      </c>
      <c r="B99" s="176">
        <v>46041</v>
      </c>
      <c r="C99" s="172" t="s">
        <v>93</v>
      </c>
      <c r="D99" s="172" t="s">
        <v>24</v>
      </c>
      <c r="E99" s="172" t="s">
        <v>42</v>
      </c>
      <c r="F99" s="172" t="s">
        <v>84</v>
      </c>
      <c r="G99" s="172" t="s">
        <v>85</v>
      </c>
      <c r="H99" s="177">
        <v>1</v>
      </c>
      <c r="I99" s="178">
        <v>1750</v>
      </c>
      <c r="J99" s="176">
        <v>46040</v>
      </c>
      <c r="K99" s="172" t="s">
        <v>94</v>
      </c>
      <c r="L99" s="172" t="s">
        <v>95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131</v>
      </c>
      <c r="B100" s="176">
        <v>46041</v>
      </c>
      <c r="C100" s="172" t="s">
        <v>101</v>
      </c>
      <c r="D100" s="172" t="s">
        <v>102</v>
      </c>
      <c r="E100" s="172" t="s">
        <v>42</v>
      </c>
      <c r="F100" s="172" t="s">
        <v>84</v>
      </c>
      <c r="G100" s="172" t="s">
        <v>85</v>
      </c>
      <c r="H100" s="177">
        <v>1</v>
      </c>
      <c r="I100" s="178">
        <v>1750</v>
      </c>
      <c r="J100" s="176">
        <v>46040</v>
      </c>
      <c r="K100" s="172" t="s">
        <v>94</v>
      </c>
      <c r="L100" s="172" t="s">
        <v>95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131</v>
      </c>
      <c r="B101" s="176">
        <v>46041</v>
      </c>
      <c r="C101" s="172" t="s">
        <v>101</v>
      </c>
      <c r="D101" s="172" t="s">
        <v>103</v>
      </c>
      <c r="E101" s="172" t="s">
        <v>42</v>
      </c>
      <c r="F101" s="172" t="s">
        <v>84</v>
      </c>
      <c r="G101" s="172" t="s">
        <v>85</v>
      </c>
      <c r="H101" s="177">
        <v>1</v>
      </c>
      <c r="I101" s="178">
        <v>1750</v>
      </c>
      <c r="J101" s="176">
        <v>46040</v>
      </c>
      <c r="K101" s="172" t="s">
        <v>94</v>
      </c>
      <c r="L101" s="172" t="s">
        <v>95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131</v>
      </c>
      <c r="B102" s="176">
        <v>46041</v>
      </c>
      <c r="C102" s="172" t="s">
        <v>101</v>
      </c>
      <c r="D102" s="172" t="s">
        <v>104</v>
      </c>
      <c r="E102" s="172" t="s">
        <v>42</v>
      </c>
      <c r="F102" s="172" t="s">
        <v>84</v>
      </c>
      <c r="G102" s="172" t="s">
        <v>85</v>
      </c>
      <c r="H102" s="177">
        <v>1</v>
      </c>
      <c r="I102" s="178">
        <v>1750</v>
      </c>
      <c r="J102" s="176">
        <v>46040</v>
      </c>
      <c r="K102" s="172" t="s">
        <v>94</v>
      </c>
      <c r="L102" s="172" t="s">
        <v>95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131</v>
      </c>
      <c r="B103" s="176">
        <v>46041</v>
      </c>
      <c r="C103" s="172" t="s">
        <v>105</v>
      </c>
      <c r="D103" s="172" t="s">
        <v>106</v>
      </c>
      <c r="E103" s="172" t="s">
        <v>42</v>
      </c>
      <c r="F103" s="172" t="s">
        <v>84</v>
      </c>
      <c r="G103" s="172" t="s">
        <v>85</v>
      </c>
      <c r="H103" s="177">
        <v>1</v>
      </c>
      <c r="I103" s="178">
        <v>1750</v>
      </c>
      <c r="J103" s="176">
        <v>46040</v>
      </c>
      <c r="K103" s="172" t="s">
        <v>94</v>
      </c>
      <c r="L103" s="172" t="s">
        <v>95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131</v>
      </c>
      <c r="B104" s="176">
        <v>46041</v>
      </c>
      <c r="C104" s="172" t="s">
        <v>82</v>
      </c>
      <c r="D104" s="172" t="s">
        <v>96</v>
      </c>
      <c r="E104" s="172" t="s">
        <v>42</v>
      </c>
      <c r="F104" s="172" t="s">
        <v>84</v>
      </c>
      <c r="G104" s="172" t="s">
        <v>85</v>
      </c>
      <c r="H104" s="177">
        <v>1</v>
      </c>
      <c r="I104" s="178">
        <v>1750</v>
      </c>
      <c r="J104" s="176">
        <v>46040</v>
      </c>
      <c r="K104" s="172" t="s">
        <v>94</v>
      </c>
      <c r="L104" s="172" t="s">
        <v>95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131</v>
      </c>
      <c r="B105" s="176">
        <v>46041</v>
      </c>
      <c r="C105" s="172" t="s">
        <v>82</v>
      </c>
      <c r="D105" s="172" t="s">
        <v>83</v>
      </c>
      <c r="E105" s="172" t="s">
        <v>42</v>
      </c>
      <c r="F105" s="172" t="s">
        <v>84</v>
      </c>
      <c r="G105" s="172" t="s">
        <v>85</v>
      </c>
      <c r="H105" s="177">
        <v>1</v>
      </c>
      <c r="I105" s="178">
        <v>0</v>
      </c>
      <c r="J105" s="176">
        <v>46040</v>
      </c>
      <c r="K105" s="172" t="s">
        <v>86</v>
      </c>
      <c r="L105" s="172" t="s">
        <v>86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132</v>
      </c>
      <c r="B106" s="176">
        <v>46041</v>
      </c>
      <c r="C106" s="172" t="s">
        <v>93</v>
      </c>
      <c r="D106" s="172" t="s">
        <v>24</v>
      </c>
      <c r="E106" s="172" t="s">
        <v>54</v>
      </c>
      <c r="F106" s="172" t="s">
        <v>121</v>
      </c>
      <c r="G106" s="172" t="s">
        <v>85</v>
      </c>
      <c r="H106" s="177">
        <v>1</v>
      </c>
      <c r="I106" s="178">
        <v>0</v>
      </c>
      <c r="J106" s="176">
        <v>46011</v>
      </c>
      <c r="K106" s="172" t="s">
        <v>94</v>
      </c>
      <c r="L106" s="172" t="s">
        <v>95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132</v>
      </c>
      <c r="B107" s="176">
        <v>46041</v>
      </c>
      <c r="C107" s="172" t="s">
        <v>82</v>
      </c>
      <c r="D107" s="172" t="s">
        <v>96</v>
      </c>
      <c r="E107" s="172" t="s">
        <v>54</v>
      </c>
      <c r="F107" s="172" t="s">
        <v>121</v>
      </c>
      <c r="G107" s="172" t="s">
        <v>85</v>
      </c>
      <c r="H107" s="177">
        <v>1</v>
      </c>
      <c r="I107" s="178">
        <v>0</v>
      </c>
      <c r="J107" s="176">
        <v>46011</v>
      </c>
      <c r="K107" s="172" t="s">
        <v>94</v>
      </c>
      <c r="L107" s="172" t="s">
        <v>95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132</v>
      </c>
      <c r="B108" s="176">
        <v>46041</v>
      </c>
      <c r="C108" s="172" t="s">
        <v>93</v>
      </c>
      <c r="D108" s="172" t="s">
        <v>97</v>
      </c>
      <c r="E108" s="172" t="s">
        <v>54</v>
      </c>
      <c r="F108" s="172" t="s">
        <v>121</v>
      </c>
      <c r="G108" s="172" t="s">
        <v>85</v>
      </c>
      <c r="H108" s="177">
        <v>1</v>
      </c>
      <c r="I108" s="178">
        <v>0</v>
      </c>
      <c r="J108" s="176">
        <v>46011</v>
      </c>
      <c r="K108" s="172" t="s">
        <v>94</v>
      </c>
      <c r="L108" s="172" t="s">
        <v>95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132</v>
      </c>
      <c r="B109" s="176">
        <v>46041</v>
      </c>
      <c r="C109" s="172" t="s">
        <v>93</v>
      </c>
      <c r="D109" s="172" t="s">
        <v>98</v>
      </c>
      <c r="E109" s="172" t="s">
        <v>54</v>
      </c>
      <c r="F109" s="172" t="s">
        <v>121</v>
      </c>
      <c r="G109" s="172" t="s">
        <v>85</v>
      </c>
      <c r="H109" s="177">
        <v>1</v>
      </c>
      <c r="I109" s="178">
        <v>0</v>
      </c>
      <c r="J109" s="176">
        <v>46011</v>
      </c>
      <c r="K109" s="172" t="s">
        <v>94</v>
      </c>
      <c r="L109" s="172" t="s">
        <v>95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133</v>
      </c>
      <c r="B110" s="176">
        <v>46041</v>
      </c>
      <c r="C110" s="172" t="s">
        <v>93</v>
      </c>
      <c r="D110" s="172" t="s">
        <v>24</v>
      </c>
      <c r="E110" s="172" t="s">
        <v>43</v>
      </c>
      <c r="F110" s="172" t="s">
        <v>90</v>
      </c>
      <c r="G110" s="172" t="s">
        <v>85</v>
      </c>
      <c r="H110" s="177">
        <v>1</v>
      </c>
      <c r="I110" s="178">
        <v>1750</v>
      </c>
      <c r="J110" s="176">
        <v>46037</v>
      </c>
      <c r="K110" s="172" t="s">
        <v>94</v>
      </c>
      <c r="L110" s="172" t="s">
        <v>95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133</v>
      </c>
      <c r="B111" s="176">
        <v>46041</v>
      </c>
      <c r="C111" s="172" t="s">
        <v>101</v>
      </c>
      <c r="D111" s="172" t="s">
        <v>102</v>
      </c>
      <c r="E111" s="172" t="s">
        <v>43</v>
      </c>
      <c r="F111" s="172" t="s">
        <v>90</v>
      </c>
      <c r="G111" s="172" t="s">
        <v>85</v>
      </c>
      <c r="H111" s="177">
        <v>1</v>
      </c>
      <c r="I111" s="178">
        <v>1750</v>
      </c>
      <c r="J111" s="176">
        <v>46037</v>
      </c>
      <c r="K111" s="172" t="s">
        <v>94</v>
      </c>
      <c r="L111" s="172" t="s">
        <v>95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133</v>
      </c>
      <c r="B112" s="176">
        <v>46041</v>
      </c>
      <c r="C112" s="172" t="s">
        <v>101</v>
      </c>
      <c r="D112" s="172" t="s">
        <v>103</v>
      </c>
      <c r="E112" s="172" t="s">
        <v>43</v>
      </c>
      <c r="F112" s="172" t="s">
        <v>90</v>
      </c>
      <c r="G112" s="172" t="s">
        <v>85</v>
      </c>
      <c r="H112" s="177">
        <v>1</v>
      </c>
      <c r="I112" s="178">
        <v>1750</v>
      </c>
      <c r="J112" s="176">
        <v>46037</v>
      </c>
      <c r="K112" s="172" t="s">
        <v>94</v>
      </c>
      <c r="L112" s="172" t="s">
        <v>95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133</v>
      </c>
      <c r="B113" s="176">
        <v>46041</v>
      </c>
      <c r="C113" s="172" t="s">
        <v>101</v>
      </c>
      <c r="D113" s="172" t="s">
        <v>104</v>
      </c>
      <c r="E113" s="172" t="s">
        <v>43</v>
      </c>
      <c r="F113" s="172" t="s">
        <v>90</v>
      </c>
      <c r="G113" s="172" t="s">
        <v>85</v>
      </c>
      <c r="H113" s="177">
        <v>1</v>
      </c>
      <c r="I113" s="178">
        <v>1750</v>
      </c>
      <c r="J113" s="176">
        <v>46037</v>
      </c>
      <c r="K113" s="172" t="s">
        <v>94</v>
      </c>
      <c r="L113" s="172" t="s">
        <v>95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133</v>
      </c>
      <c r="B114" s="176">
        <v>46041</v>
      </c>
      <c r="C114" s="172" t="s">
        <v>105</v>
      </c>
      <c r="D114" s="172" t="s">
        <v>106</v>
      </c>
      <c r="E114" s="172" t="s">
        <v>43</v>
      </c>
      <c r="F114" s="172" t="s">
        <v>90</v>
      </c>
      <c r="G114" s="172" t="s">
        <v>85</v>
      </c>
      <c r="H114" s="177">
        <v>1</v>
      </c>
      <c r="I114" s="178">
        <v>1750</v>
      </c>
      <c r="J114" s="176">
        <v>46037</v>
      </c>
      <c r="K114" s="172" t="s">
        <v>94</v>
      </c>
      <c r="L114" s="172" t="s">
        <v>95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133</v>
      </c>
      <c r="B115" s="176">
        <v>46041</v>
      </c>
      <c r="C115" s="172" t="s">
        <v>82</v>
      </c>
      <c r="D115" s="172" t="s">
        <v>96</v>
      </c>
      <c r="E115" s="172" t="s">
        <v>43</v>
      </c>
      <c r="F115" s="172" t="s">
        <v>90</v>
      </c>
      <c r="G115" s="172" t="s">
        <v>85</v>
      </c>
      <c r="H115" s="177">
        <v>1</v>
      </c>
      <c r="I115" s="178">
        <v>1750</v>
      </c>
      <c r="J115" s="176">
        <v>46037</v>
      </c>
      <c r="K115" s="172" t="s">
        <v>94</v>
      </c>
      <c r="L115" s="172" t="s">
        <v>95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133</v>
      </c>
      <c r="B116" s="176">
        <v>46041</v>
      </c>
      <c r="C116" s="172" t="s">
        <v>82</v>
      </c>
      <c r="D116" s="172" t="s">
        <v>83</v>
      </c>
      <c r="E116" s="172" t="s">
        <v>43</v>
      </c>
      <c r="F116" s="172" t="s">
        <v>90</v>
      </c>
      <c r="G116" s="172" t="s">
        <v>85</v>
      </c>
      <c r="H116" s="177">
        <v>1</v>
      </c>
      <c r="I116" s="178">
        <v>0</v>
      </c>
      <c r="J116" s="176">
        <v>46037</v>
      </c>
      <c r="K116" s="172" t="s">
        <v>86</v>
      </c>
      <c r="L116" s="172" t="s">
        <v>86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134</v>
      </c>
      <c r="B117" s="176">
        <v>46041</v>
      </c>
      <c r="C117" s="172" t="s">
        <v>93</v>
      </c>
      <c r="D117" s="172" t="s">
        <v>24</v>
      </c>
      <c r="E117" s="172" t="s">
        <v>40</v>
      </c>
      <c r="F117" s="172" t="s">
        <v>118</v>
      </c>
      <c r="G117" s="172" t="s">
        <v>85</v>
      </c>
      <c r="H117" s="177">
        <v>1</v>
      </c>
      <c r="I117" s="178">
        <v>1750</v>
      </c>
      <c r="J117" s="176">
        <v>46039</v>
      </c>
      <c r="K117" s="172" t="s">
        <v>94</v>
      </c>
      <c r="L117" s="172" t="s">
        <v>95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134</v>
      </c>
      <c r="B118" s="176">
        <v>46041</v>
      </c>
      <c r="C118" s="172" t="s">
        <v>101</v>
      </c>
      <c r="D118" s="172" t="s">
        <v>102</v>
      </c>
      <c r="E118" s="172" t="s">
        <v>40</v>
      </c>
      <c r="F118" s="172" t="s">
        <v>118</v>
      </c>
      <c r="G118" s="172" t="s">
        <v>85</v>
      </c>
      <c r="H118" s="177">
        <v>1</v>
      </c>
      <c r="I118" s="178">
        <v>1750</v>
      </c>
      <c r="J118" s="176">
        <v>46039</v>
      </c>
      <c r="K118" s="172" t="s">
        <v>94</v>
      </c>
      <c r="L118" s="172" t="s">
        <v>95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134</v>
      </c>
      <c r="B119" s="176">
        <v>46041</v>
      </c>
      <c r="C119" s="172" t="s">
        <v>101</v>
      </c>
      <c r="D119" s="172" t="s">
        <v>103</v>
      </c>
      <c r="E119" s="172" t="s">
        <v>40</v>
      </c>
      <c r="F119" s="172" t="s">
        <v>118</v>
      </c>
      <c r="G119" s="172" t="s">
        <v>85</v>
      </c>
      <c r="H119" s="177">
        <v>1</v>
      </c>
      <c r="I119" s="178">
        <v>1750</v>
      </c>
      <c r="J119" s="176">
        <v>46039</v>
      </c>
      <c r="K119" s="172" t="s">
        <v>94</v>
      </c>
      <c r="L119" s="172" t="s">
        <v>95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134</v>
      </c>
      <c r="B120" s="176">
        <v>46041</v>
      </c>
      <c r="C120" s="172" t="s">
        <v>101</v>
      </c>
      <c r="D120" s="172" t="s">
        <v>104</v>
      </c>
      <c r="E120" s="172" t="s">
        <v>40</v>
      </c>
      <c r="F120" s="172" t="s">
        <v>118</v>
      </c>
      <c r="G120" s="172" t="s">
        <v>85</v>
      </c>
      <c r="H120" s="177">
        <v>1</v>
      </c>
      <c r="I120" s="178">
        <v>1750</v>
      </c>
      <c r="J120" s="176">
        <v>46039</v>
      </c>
      <c r="K120" s="172" t="s">
        <v>94</v>
      </c>
      <c r="L120" s="172" t="s">
        <v>95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134</v>
      </c>
      <c r="B121" s="176">
        <v>46041</v>
      </c>
      <c r="C121" s="172" t="s">
        <v>105</v>
      </c>
      <c r="D121" s="172" t="s">
        <v>106</v>
      </c>
      <c r="E121" s="172" t="s">
        <v>40</v>
      </c>
      <c r="F121" s="172" t="s">
        <v>118</v>
      </c>
      <c r="G121" s="172" t="s">
        <v>85</v>
      </c>
      <c r="H121" s="177">
        <v>1</v>
      </c>
      <c r="I121" s="178">
        <v>1750</v>
      </c>
      <c r="J121" s="176">
        <v>46039</v>
      </c>
      <c r="K121" s="172" t="s">
        <v>94</v>
      </c>
      <c r="L121" s="172" t="s">
        <v>95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134</v>
      </c>
      <c r="B122" s="176">
        <v>46041</v>
      </c>
      <c r="C122" s="172" t="s">
        <v>82</v>
      </c>
      <c r="D122" s="172" t="s">
        <v>96</v>
      </c>
      <c r="E122" s="172" t="s">
        <v>40</v>
      </c>
      <c r="F122" s="172" t="s">
        <v>118</v>
      </c>
      <c r="G122" s="172" t="s">
        <v>85</v>
      </c>
      <c r="H122" s="177">
        <v>1</v>
      </c>
      <c r="I122" s="178">
        <v>1750</v>
      </c>
      <c r="J122" s="176">
        <v>46039</v>
      </c>
      <c r="K122" s="172" t="s">
        <v>94</v>
      </c>
      <c r="L122" s="172" t="s">
        <v>95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134</v>
      </c>
      <c r="B123" s="176">
        <v>46041</v>
      </c>
      <c r="C123" s="172" t="s">
        <v>82</v>
      </c>
      <c r="D123" s="172" t="s">
        <v>83</v>
      </c>
      <c r="E123" s="172" t="s">
        <v>40</v>
      </c>
      <c r="F123" s="172" t="s">
        <v>118</v>
      </c>
      <c r="G123" s="172" t="s">
        <v>85</v>
      </c>
      <c r="H123" s="177">
        <v>1</v>
      </c>
      <c r="I123" s="178">
        <v>0</v>
      </c>
      <c r="J123" s="176">
        <v>46039</v>
      </c>
      <c r="K123" s="172" t="s">
        <v>86</v>
      </c>
      <c r="L123" s="172" t="s">
        <v>86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135</v>
      </c>
      <c r="B124" s="176">
        <v>46041</v>
      </c>
      <c r="C124" s="172" t="s">
        <v>93</v>
      </c>
      <c r="D124" s="172" t="s">
        <v>24</v>
      </c>
      <c r="E124" s="172" t="s">
        <v>53</v>
      </c>
      <c r="F124" s="172" t="s">
        <v>91</v>
      </c>
      <c r="G124" s="172" t="s">
        <v>85</v>
      </c>
      <c r="H124" s="177">
        <v>1</v>
      </c>
      <c r="I124" s="178">
        <v>1885</v>
      </c>
      <c r="J124" s="176">
        <v>46039</v>
      </c>
      <c r="K124" s="172" t="s">
        <v>94</v>
      </c>
      <c r="L124" s="172" t="s">
        <v>95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135</v>
      </c>
      <c r="B125" s="176">
        <v>46041</v>
      </c>
      <c r="C125" s="172" t="s">
        <v>101</v>
      </c>
      <c r="D125" s="172" t="s">
        <v>102</v>
      </c>
      <c r="E125" s="172" t="s">
        <v>53</v>
      </c>
      <c r="F125" s="172" t="s">
        <v>91</v>
      </c>
      <c r="G125" s="172" t="s">
        <v>85</v>
      </c>
      <c r="H125" s="177">
        <v>1</v>
      </c>
      <c r="I125" s="178">
        <v>1885</v>
      </c>
      <c r="J125" s="176">
        <v>46039</v>
      </c>
      <c r="K125" s="172" t="s">
        <v>94</v>
      </c>
      <c r="L125" s="172" t="s">
        <v>95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135</v>
      </c>
      <c r="B126" s="176">
        <v>46041</v>
      </c>
      <c r="C126" s="172" t="s">
        <v>101</v>
      </c>
      <c r="D126" s="172" t="s">
        <v>103</v>
      </c>
      <c r="E126" s="172" t="s">
        <v>53</v>
      </c>
      <c r="F126" s="172" t="s">
        <v>91</v>
      </c>
      <c r="G126" s="172" t="s">
        <v>85</v>
      </c>
      <c r="H126" s="177">
        <v>1</v>
      </c>
      <c r="I126" s="178">
        <v>1885</v>
      </c>
      <c r="J126" s="176">
        <v>46039</v>
      </c>
      <c r="K126" s="172" t="s">
        <v>94</v>
      </c>
      <c r="L126" s="172" t="s">
        <v>95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135</v>
      </c>
      <c r="B127" s="176">
        <v>46041</v>
      </c>
      <c r="C127" s="172" t="s">
        <v>101</v>
      </c>
      <c r="D127" s="172" t="s">
        <v>104</v>
      </c>
      <c r="E127" s="172" t="s">
        <v>53</v>
      </c>
      <c r="F127" s="172" t="s">
        <v>91</v>
      </c>
      <c r="G127" s="172" t="s">
        <v>85</v>
      </c>
      <c r="H127" s="177">
        <v>1</v>
      </c>
      <c r="I127" s="178">
        <v>1885</v>
      </c>
      <c r="J127" s="176">
        <v>46039</v>
      </c>
      <c r="K127" s="172" t="s">
        <v>94</v>
      </c>
      <c r="L127" s="172" t="s">
        <v>95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135</v>
      </c>
      <c r="B128" s="176">
        <v>46041</v>
      </c>
      <c r="C128" s="172" t="s">
        <v>105</v>
      </c>
      <c r="D128" s="172" t="s">
        <v>106</v>
      </c>
      <c r="E128" s="172" t="s">
        <v>53</v>
      </c>
      <c r="F128" s="172" t="s">
        <v>91</v>
      </c>
      <c r="G128" s="172" t="s">
        <v>85</v>
      </c>
      <c r="H128" s="177">
        <v>1</v>
      </c>
      <c r="I128" s="178">
        <v>1885</v>
      </c>
      <c r="J128" s="176">
        <v>46039</v>
      </c>
      <c r="K128" s="172" t="s">
        <v>94</v>
      </c>
      <c r="L128" s="172" t="s">
        <v>95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135</v>
      </c>
      <c r="B129" s="176">
        <v>46041</v>
      </c>
      <c r="C129" s="172" t="s">
        <v>82</v>
      </c>
      <c r="D129" s="172" t="s">
        <v>96</v>
      </c>
      <c r="E129" s="172" t="s">
        <v>53</v>
      </c>
      <c r="F129" s="172" t="s">
        <v>91</v>
      </c>
      <c r="G129" s="172" t="s">
        <v>85</v>
      </c>
      <c r="H129" s="177">
        <v>1</v>
      </c>
      <c r="I129" s="178">
        <v>1885</v>
      </c>
      <c r="J129" s="176">
        <v>46039</v>
      </c>
      <c r="K129" s="172" t="s">
        <v>94</v>
      </c>
      <c r="L129" s="172" t="s">
        <v>95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136</v>
      </c>
      <c r="B130" s="176">
        <v>46041</v>
      </c>
      <c r="C130" s="172" t="s">
        <v>93</v>
      </c>
      <c r="D130" s="172" t="s">
        <v>24</v>
      </c>
      <c r="E130" s="172" t="s">
        <v>53</v>
      </c>
      <c r="F130" s="172" t="s">
        <v>91</v>
      </c>
      <c r="G130" s="172" t="s">
        <v>85</v>
      </c>
      <c r="H130" s="177">
        <v>1</v>
      </c>
      <c r="I130" s="178">
        <v>1885</v>
      </c>
      <c r="J130" s="176">
        <v>46040</v>
      </c>
      <c r="K130" s="172" t="s">
        <v>94</v>
      </c>
      <c r="L130" s="172" t="s">
        <v>95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136</v>
      </c>
      <c r="B131" s="176">
        <v>46041</v>
      </c>
      <c r="C131" s="172" t="s">
        <v>101</v>
      </c>
      <c r="D131" s="172" t="s">
        <v>102</v>
      </c>
      <c r="E131" s="172" t="s">
        <v>53</v>
      </c>
      <c r="F131" s="172" t="s">
        <v>91</v>
      </c>
      <c r="G131" s="172" t="s">
        <v>85</v>
      </c>
      <c r="H131" s="177">
        <v>1</v>
      </c>
      <c r="I131" s="178">
        <v>1885</v>
      </c>
      <c r="J131" s="176">
        <v>46040</v>
      </c>
      <c r="K131" s="172" t="s">
        <v>94</v>
      </c>
      <c r="L131" s="172" t="s">
        <v>95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136</v>
      </c>
      <c r="B132" s="176">
        <v>46041</v>
      </c>
      <c r="C132" s="172" t="s">
        <v>101</v>
      </c>
      <c r="D132" s="172" t="s">
        <v>103</v>
      </c>
      <c r="E132" s="172" t="s">
        <v>53</v>
      </c>
      <c r="F132" s="172" t="s">
        <v>91</v>
      </c>
      <c r="G132" s="172" t="s">
        <v>85</v>
      </c>
      <c r="H132" s="177">
        <v>1</v>
      </c>
      <c r="I132" s="178">
        <v>1885</v>
      </c>
      <c r="J132" s="176">
        <v>46040</v>
      </c>
      <c r="K132" s="172" t="s">
        <v>94</v>
      </c>
      <c r="L132" s="172" t="s">
        <v>95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136</v>
      </c>
      <c r="B133" s="176">
        <v>46041</v>
      </c>
      <c r="C133" s="172" t="s">
        <v>101</v>
      </c>
      <c r="D133" s="172" t="s">
        <v>104</v>
      </c>
      <c r="E133" s="172" t="s">
        <v>53</v>
      </c>
      <c r="F133" s="172" t="s">
        <v>91</v>
      </c>
      <c r="G133" s="172" t="s">
        <v>85</v>
      </c>
      <c r="H133" s="177">
        <v>1</v>
      </c>
      <c r="I133" s="178">
        <v>1885</v>
      </c>
      <c r="J133" s="176">
        <v>46040</v>
      </c>
      <c r="K133" s="172" t="s">
        <v>94</v>
      </c>
      <c r="L133" s="172" t="s">
        <v>95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136</v>
      </c>
      <c r="B134" s="176">
        <v>46041</v>
      </c>
      <c r="C134" s="172" t="s">
        <v>105</v>
      </c>
      <c r="D134" s="172" t="s">
        <v>106</v>
      </c>
      <c r="E134" s="172" t="s">
        <v>53</v>
      </c>
      <c r="F134" s="172" t="s">
        <v>91</v>
      </c>
      <c r="G134" s="172" t="s">
        <v>85</v>
      </c>
      <c r="H134" s="177">
        <v>1</v>
      </c>
      <c r="I134" s="178">
        <v>1885</v>
      </c>
      <c r="J134" s="176">
        <v>46040</v>
      </c>
      <c r="K134" s="172" t="s">
        <v>94</v>
      </c>
      <c r="L134" s="172" t="s">
        <v>95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136</v>
      </c>
      <c r="B135" s="176">
        <v>46041</v>
      </c>
      <c r="C135" s="172" t="s">
        <v>82</v>
      </c>
      <c r="D135" s="172" t="s">
        <v>96</v>
      </c>
      <c r="E135" s="172" t="s">
        <v>53</v>
      </c>
      <c r="F135" s="172" t="s">
        <v>91</v>
      </c>
      <c r="G135" s="172" t="s">
        <v>85</v>
      </c>
      <c r="H135" s="177">
        <v>1</v>
      </c>
      <c r="I135" s="178">
        <v>1885</v>
      </c>
      <c r="J135" s="176">
        <v>46040</v>
      </c>
      <c r="K135" s="172" t="s">
        <v>94</v>
      </c>
      <c r="L135" s="172" t="s">
        <v>95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135</v>
      </c>
      <c r="B136" s="176">
        <v>46041</v>
      </c>
      <c r="C136" s="172" t="s">
        <v>82</v>
      </c>
      <c r="D136" s="172" t="s">
        <v>83</v>
      </c>
      <c r="E136" s="172" t="s">
        <v>53</v>
      </c>
      <c r="F136" s="172" t="s">
        <v>91</v>
      </c>
      <c r="G136" s="172" t="s">
        <v>85</v>
      </c>
      <c r="H136" s="177">
        <v>1</v>
      </c>
      <c r="I136" s="178">
        <v>0</v>
      </c>
      <c r="J136" s="176">
        <v>46039</v>
      </c>
      <c r="K136" s="172" t="s">
        <v>86</v>
      </c>
      <c r="L136" s="172" t="s">
        <v>86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136</v>
      </c>
      <c r="B137" s="176">
        <v>46041</v>
      </c>
      <c r="C137" s="172" t="s">
        <v>82</v>
      </c>
      <c r="D137" s="172" t="s">
        <v>83</v>
      </c>
      <c r="E137" s="172" t="s">
        <v>53</v>
      </c>
      <c r="F137" s="172" t="s">
        <v>91</v>
      </c>
      <c r="G137" s="172" t="s">
        <v>85</v>
      </c>
      <c r="H137" s="177">
        <v>1</v>
      </c>
      <c r="I137" s="178">
        <v>0</v>
      </c>
      <c r="J137" s="176">
        <v>46040</v>
      </c>
      <c r="K137" s="172" t="s">
        <v>86</v>
      </c>
      <c r="L137" s="172" t="s">
        <v>86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137</v>
      </c>
      <c r="B138" s="176">
        <v>46041</v>
      </c>
      <c r="C138" s="172" t="s">
        <v>82</v>
      </c>
      <c r="D138" s="172" t="s">
        <v>83</v>
      </c>
      <c r="E138" s="172" t="s">
        <v>43</v>
      </c>
      <c r="F138" s="172" t="s">
        <v>90</v>
      </c>
      <c r="G138" s="172" t="s">
        <v>85</v>
      </c>
      <c r="H138" s="177">
        <v>1</v>
      </c>
      <c r="I138" s="178">
        <v>0</v>
      </c>
      <c r="J138" s="176">
        <v>46041</v>
      </c>
      <c r="K138" s="172" t="s">
        <v>86</v>
      </c>
      <c r="L138" s="172" t="s">
        <v>86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138</v>
      </c>
      <c r="B139" s="176">
        <v>46041</v>
      </c>
      <c r="C139" s="172" t="s">
        <v>93</v>
      </c>
      <c r="D139" s="172" t="s">
        <v>24</v>
      </c>
      <c r="E139" s="172" t="s">
        <v>53</v>
      </c>
      <c r="F139" s="172" t="s">
        <v>91</v>
      </c>
      <c r="G139" s="172" t="s">
        <v>85</v>
      </c>
      <c r="H139" s="177">
        <v>1</v>
      </c>
      <c r="I139" s="178">
        <v>0</v>
      </c>
      <c r="J139" s="176">
        <v>46038</v>
      </c>
      <c r="K139" s="172" t="s">
        <v>94</v>
      </c>
      <c r="L139" s="172" t="s">
        <v>95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138</v>
      </c>
      <c r="B140" s="176">
        <v>46041</v>
      </c>
      <c r="C140" s="172" t="s">
        <v>82</v>
      </c>
      <c r="D140" s="172" t="s">
        <v>96</v>
      </c>
      <c r="E140" s="172" t="s">
        <v>53</v>
      </c>
      <c r="F140" s="172" t="s">
        <v>91</v>
      </c>
      <c r="G140" s="172" t="s">
        <v>85</v>
      </c>
      <c r="H140" s="177">
        <v>1</v>
      </c>
      <c r="I140" s="178">
        <v>0</v>
      </c>
      <c r="J140" s="176">
        <v>46038</v>
      </c>
      <c r="K140" s="172" t="s">
        <v>94</v>
      </c>
      <c r="L140" s="172" t="s">
        <v>95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138</v>
      </c>
      <c r="B141" s="176">
        <v>46041</v>
      </c>
      <c r="C141" s="172" t="s">
        <v>93</v>
      </c>
      <c r="D141" s="172" t="s">
        <v>97</v>
      </c>
      <c r="E141" s="172" t="s">
        <v>53</v>
      </c>
      <c r="F141" s="172" t="s">
        <v>91</v>
      </c>
      <c r="G141" s="172" t="s">
        <v>85</v>
      </c>
      <c r="H141" s="177">
        <v>1</v>
      </c>
      <c r="I141" s="178">
        <v>0</v>
      </c>
      <c r="J141" s="176">
        <v>46038</v>
      </c>
      <c r="K141" s="172" t="s">
        <v>94</v>
      </c>
      <c r="L141" s="172" t="s">
        <v>95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138</v>
      </c>
      <c r="B142" s="176">
        <v>46041</v>
      </c>
      <c r="C142" s="172" t="s">
        <v>93</v>
      </c>
      <c r="D142" s="172" t="s">
        <v>98</v>
      </c>
      <c r="E142" s="172" t="s">
        <v>53</v>
      </c>
      <c r="F142" s="172" t="s">
        <v>91</v>
      </c>
      <c r="G142" s="172" t="s">
        <v>85</v>
      </c>
      <c r="H142" s="177">
        <v>1</v>
      </c>
      <c r="I142" s="178">
        <v>0</v>
      </c>
      <c r="J142" s="176">
        <v>46038</v>
      </c>
      <c r="K142" s="172" t="s">
        <v>94</v>
      </c>
      <c r="L142" s="172" t="s">
        <v>95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138</v>
      </c>
      <c r="B143" s="176">
        <v>46041</v>
      </c>
      <c r="C143" s="172" t="s">
        <v>82</v>
      </c>
      <c r="D143" s="172" t="s">
        <v>99</v>
      </c>
      <c r="E143" s="172" t="s">
        <v>53</v>
      </c>
      <c r="F143" s="172" t="s">
        <v>91</v>
      </c>
      <c r="G143" s="172" t="s">
        <v>85</v>
      </c>
      <c r="H143" s="177">
        <v>1</v>
      </c>
      <c r="I143" s="178">
        <v>0</v>
      </c>
      <c r="J143" s="176">
        <v>46038</v>
      </c>
      <c r="K143" s="172" t="s">
        <v>94</v>
      </c>
      <c r="L143" s="172" t="s">
        <v>95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139</v>
      </c>
      <c r="B144" s="176">
        <v>46041</v>
      </c>
      <c r="C144" s="172" t="s">
        <v>110</v>
      </c>
      <c r="D144" s="172" t="s">
        <v>140</v>
      </c>
      <c r="E144" s="172" t="s">
        <v>86</v>
      </c>
      <c r="F144" s="172" t="s">
        <v>86</v>
      </c>
      <c r="G144" s="172" t="s">
        <v>86</v>
      </c>
      <c r="H144" s="177">
        <v>0</v>
      </c>
      <c r="I144" s="178">
        <v>0</v>
      </c>
      <c r="J144" s="176">
        <v>46041</v>
      </c>
      <c r="K144" s="172" t="s">
        <v>86</v>
      </c>
      <c r="L144" s="172" t="s">
        <v>86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141</v>
      </c>
      <c r="B145" s="176">
        <v>46041</v>
      </c>
      <c r="C145" s="172" t="s">
        <v>110</v>
      </c>
      <c r="D145" s="172" t="s">
        <v>140</v>
      </c>
      <c r="E145" s="172" t="s">
        <v>86</v>
      </c>
      <c r="F145" s="172" t="s">
        <v>86</v>
      </c>
      <c r="G145" s="172" t="s">
        <v>86</v>
      </c>
      <c r="H145" s="177">
        <v>0</v>
      </c>
      <c r="I145" s="178">
        <v>0</v>
      </c>
      <c r="J145" s="176">
        <v>46041</v>
      </c>
      <c r="K145" s="172" t="s">
        <v>86</v>
      </c>
      <c r="L145" s="172" t="s">
        <v>86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142</v>
      </c>
      <c r="B146" s="176">
        <v>46041</v>
      </c>
      <c r="C146" s="172" t="s">
        <v>110</v>
      </c>
      <c r="D146" s="172" t="s">
        <v>140</v>
      </c>
      <c r="E146" s="172" t="s">
        <v>86</v>
      </c>
      <c r="F146" s="172" t="s">
        <v>86</v>
      </c>
      <c r="G146" s="172" t="s">
        <v>86</v>
      </c>
      <c r="H146" s="177">
        <v>0</v>
      </c>
      <c r="I146" s="178">
        <v>0</v>
      </c>
      <c r="J146" s="176">
        <v>46041</v>
      </c>
      <c r="K146" s="172" t="s">
        <v>86</v>
      </c>
      <c r="L146" s="172" t="s">
        <v>86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143</v>
      </c>
      <c r="B147" s="176">
        <v>46041</v>
      </c>
      <c r="C147" s="172" t="s">
        <v>110</v>
      </c>
      <c r="D147" s="172" t="s">
        <v>144</v>
      </c>
      <c r="E147" s="172" t="s">
        <v>86</v>
      </c>
      <c r="F147" s="172" t="s">
        <v>86</v>
      </c>
      <c r="G147" s="172" t="s">
        <v>86</v>
      </c>
      <c r="H147" s="177">
        <v>0</v>
      </c>
      <c r="I147" s="178">
        <v>0</v>
      </c>
      <c r="J147" s="176">
        <v>46041</v>
      </c>
      <c r="K147" s="172" t="s">
        <v>86</v>
      </c>
      <c r="L147" s="172" t="s">
        <v>86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145</v>
      </c>
      <c r="B148" s="176">
        <v>46041</v>
      </c>
      <c r="C148" s="172" t="s">
        <v>110</v>
      </c>
      <c r="D148" s="172" t="s">
        <v>140</v>
      </c>
      <c r="E148" s="172" t="s">
        <v>86</v>
      </c>
      <c r="F148" s="172" t="s">
        <v>86</v>
      </c>
      <c r="G148" s="172" t="s">
        <v>86</v>
      </c>
      <c r="H148" s="177">
        <v>0</v>
      </c>
      <c r="I148" s="178">
        <v>0</v>
      </c>
      <c r="J148" s="176">
        <v>46041</v>
      </c>
      <c r="K148" s="172" t="s">
        <v>86</v>
      </c>
      <c r="L148" s="172" t="s">
        <v>86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146</v>
      </c>
      <c r="B149" s="176">
        <v>46041</v>
      </c>
      <c r="C149" s="172" t="s">
        <v>110</v>
      </c>
      <c r="D149" s="172" t="s">
        <v>140</v>
      </c>
      <c r="E149" s="172" t="s">
        <v>86</v>
      </c>
      <c r="F149" s="172" t="s">
        <v>86</v>
      </c>
      <c r="G149" s="172" t="s">
        <v>86</v>
      </c>
      <c r="H149" s="177">
        <v>0</v>
      </c>
      <c r="I149" s="178">
        <v>0</v>
      </c>
      <c r="J149" s="176">
        <v>46041</v>
      </c>
      <c r="K149" s="172" t="s">
        <v>86</v>
      </c>
      <c r="L149" s="172" t="s">
        <v>86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147</v>
      </c>
      <c r="B150" s="176">
        <v>46041</v>
      </c>
      <c r="C150" s="172" t="s">
        <v>110</v>
      </c>
      <c r="D150" s="172" t="s">
        <v>140</v>
      </c>
      <c r="E150" s="172" t="s">
        <v>86</v>
      </c>
      <c r="F150" s="172" t="s">
        <v>86</v>
      </c>
      <c r="G150" s="172" t="s">
        <v>86</v>
      </c>
      <c r="H150" s="177">
        <v>0</v>
      </c>
      <c r="I150" s="178">
        <v>0</v>
      </c>
      <c r="J150" s="176">
        <v>46041</v>
      </c>
      <c r="K150" s="172" t="s">
        <v>86</v>
      </c>
      <c r="L150" s="172" t="s">
        <v>86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148</v>
      </c>
      <c r="B151" s="176">
        <v>46042</v>
      </c>
      <c r="C151" s="172" t="s">
        <v>93</v>
      </c>
      <c r="D151" s="172" t="s">
        <v>24</v>
      </c>
      <c r="E151" s="172" t="s">
        <v>54</v>
      </c>
      <c r="F151" s="172" t="s">
        <v>121</v>
      </c>
      <c r="G151" s="172" t="s">
        <v>85</v>
      </c>
      <c r="H151" s="177">
        <v>1</v>
      </c>
      <c r="I151" s="178">
        <v>0</v>
      </c>
      <c r="J151" s="176">
        <v>46034</v>
      </c>
      <c r="K151" s="172" t="s">
        <v>94</v>
      </c>
      <c r="L151" s="172" t="s">
        <v>95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148</v>
      </c>
      <c r="B152" s="176">
        <v>46042</v>
      </c>
      <c r="C152" s="172" t="s">
        <v>82</v>
      </c>
      <c r="D152" s="172" t="s">
        <v>96</v>
      </c>
      <c r="E152" s="172" t="s">
        <v>54</v>
      </c>
      <c r="F152" s="172" t="s">
        <v>121</v>
      </c>
      <c r="G152" s="172" t="s">
        <v>85</v>
      </c>
      <c r="H152" s="177">
        <v>1</v>
      </c>
      <c r="I152" s="178">
        <v>0</v>
      </c>
      <c r="J152" s="176">
        <v>46034</v>
      </c>
      <c r="K152" s="172" t="s">
        <v>94</v>
      </c>
      <c r="L152" s="172" t="s">
        <v>95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148</v>
      </c>
      <c r="B153" s="176">
        <v>46042</v>
      </c>
      <c r="C153" s="172" t="s">
        <v>93</v>
      </c>
      <c r="D153" s="172" t="s">
        <v>97</v>
      </c>
      <c r="E153" s="172" t="s">
        <v>54</v>
      </c>
      <c r="F153" s="172" t="s">
        <v>121</v>
      </c>
      <c r="G153" s="172" t="s">
        <v>85</v>
      </c>
      <c r="H153" s="177">
        <v>1</v>
      </c>
      <c r="I153" s="178">
        <v>0</v>
      </c>
      <c r="J153" s="176">
        <v>46034</v>
      </c>
      <c r="K153" s="172" t="s">
        <v>94</v>
      </c>
      <c r="L153" s="172" t="s">
        <v>95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148</v>
      </c>
      <c r="B154" s="176">
        <v>46042</v>
      </c>
      <c r="C154" s="172" t="s">
        <v>93</v>
      </c>
      <c r="D154" s="172" t="s">
        <v>98</v>
      </c>
      <c r="E154" s="172" t="s">
        <v>54</v>
      </c>
      <c r="F154" s="172" t="s">
        <v>121</v>
      </c>
      <c r="G154" s="172" t="s">
        <v>85</v>
      </c>
      <c r="H154" s="177">
        <v>1</v>
      </c>
      <c r="I154" s="178">
        <v>0</v>
      </c>
      <c r="J154" s="176">
        <v>46034</v>
      </c>
      <c r="K154" s="172" t="s">
        <v>94</v>
      </c>
      <c r="L154" s="172" t="s">
        <v>95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148</v>
      </c>
      <c r="B155" s="176">
        <v>46042</v>
      </c>
      <c r="C155" s="172" t="s">
        <v>82</v>
      </c>
      <c r="D155" s="172" t="s">
        <v>99</v>
      </c>
      <c r="E155" s="172" t="s">
        <v>54</v>
      </c>
      <c r="F155" s="172" t="s">
        <v>121</v>
      </c>
      <c r="G155" s="172" t="s">
        <v>85</v>
      </c>
      <c r="H155" s="177">
        <v>1</v>
      </c>
      <c r="I155" s="178">
        <v>0</v>
      </c>
      <c r="J155" s="176">
        <v>46034</v>
      </c>
      <c r="K155" s="172" t="s">
        <v>94</v>
      </c>
      <c r="L155" s="172" t="s">
        <v>95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149</v>
      </c>
      <c r="B156" s="176">
        <v>46042</v>
      </c>
      <c r="C156" s="172" t="s">
        <v>82</v>
      </c>
      <c r="D156" s="172" t="s">
        <v>83</v>
      </c>
      <c r="E156" s="172" t="s">
        <v>44</v>
      </c>
      <c r="F156" s="172" t="s">
        <v>126</v>
      </c>
      <c r="G156" s="172" t="s">
        <v>85</v>
      </c>
      <c r="H156" s="177">
        <v>1</v>
      </c>
      <c r="I156" s="178">
        <v>0</v>
      </c>
      <c r="J156" s="176">
        <v>46042</v>
      </c>
      <c r="K156" s="172" t="s">
        <v>86</v>
      </c>
      <c r="L156" s="172" t="s">
        <v>86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150</v>
      </c>
      <c r="B157" s="176">
        <v>46042</v>
      </c>
      <c r="C157" s="172" t="s">
        <v>93</v>
      </c>
      <c r="D157" s="172" t="s">
        <v>24</v>
      </c>
      <c r="E157" s="172" t="s">
        <v>42</v>
      </c>
      <c r="F157" s="172" t="s">
        <v>84</v>
      </c>
      <c r="G157" s="172" t="s">
        <v>85</v>
      </c>
      <c r="H157" s="177">
        <v>1</v>
      </c>
      <c r="I157" s="178">
        <v>0</v>
      </c>
      <c r="J157" s="176">
        <v>46036</v>
      </c>
      <c r="K157" s="172" t="s">
        <v>94</v>
      </c>
      <c r="L157" s="172" t="s">
        <v>95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150</v>
      </c>
      <c r="B158" s="176">
        <v>46042</v>
      </c>
      <c r="C158" s="172" t="s">
        <v>82</v>
      </c>
      <c r="D158" s="172" t="s">
        <v>96</v>
      </c>
      <c r="E158" s="172" t="s">
        <v>42</v>
      </c>
      <c r="F158" s="172" t="s">
        <v>84</v>
      </c>
      <c r="G158" s="172" t="s">
        <v>85</v>
      </c>
      <c r="H158" s="177">
        <v>1</v>
      </c>
      <c r="I158" s="178">
        <v>0</v>
      </c>
      <c r="J158" s="176">
        <v>46036</v>
      </c>
      <c r="K158" s="172" t="s">
        <v>94</v>
      </c>
      <c r="L158" s="172" t="s">
        <v>95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150</v>
      </c>
      <c r="B159" s="176">
        <v>46042</v>
      </c>
      <c r="C159" s="172" t="s">
        <v>93</v>
      </c>
      <c r="D159" s="172" t="s">
        <v>97</v>
      </c>
      <c r="E159" s="172" t="s">
        <v>42</v>
      </c>
      <c r="F159" s="172" t="s">
        <v>84</v>
      </c>
      <c r="G159" s="172" t="s">
        <v>85</v>
      </c>
      <c r="H159" s="177">
        <v>1</v>
      </c>
      <c r="I159" s="178">
        <v>0</v>
      </c>
      <c r="J159" s="176">
        <v>46036</v>
      </c>
      <c r="K159" s="172" t="s">
        <v>94</v>
      </c>
      <c r="L159" s="172" t="s">
        <v>95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150</v>
      </c>
      <c r="B160" s="176">
        <v>46042</v>
      </c>
      <c r="C160" s="172" t="s">
        <v>93</v>
      </c>
      <c r="D160" s="172" t="s">
        <v>98</v>
      </c>
      <c r="E160" s="172" t="s">
        <v>42</v>
      </c>
      <c r="F160" s="172" t="s">
        <v>84</v>
      </c>
      <c r="G160" s="172" t="s">
        <v>85</v>
      </c>
      <c r="H160" s="177">
        <v>1</v>
      </c>
      <c r="I160" s="178">
        <v>0</v>
      </c>
      <c r="J160" s="176">
        <v>46036</v>
      </c>
      <c r="K160" s="172" t="s">
        <v>94</v>
      </c>
      <c r="L160" s="172" t="s">
        <v>95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150</v>
      </c>
      <c r="B161" s="176">
        <v>46042</v>
      </c>
      <c r="C161" s="172" t="s">
        <v>82</v>
      </c>
      <c r="D161" s="172" t="s">
        <v>99</v>
      </c>
      <c r="E161" s="172" t="s">
        <v>42</v>
      </c>
      <c r="F161" s="172" t="s">
        <v>84</v>
      </c>
      <c r="G161" s="172" t="s">
        <v>85</v>
      </c>
      <c r="H161" s="177">
        <v>1</v>
      </c>
      <c r="I161" s="178">
        <v>0</v>
      </c>
      <c r="J161" s="176">
        <v>46036</v>
      </c>
      <c r="K161" s="172" t="s">
        <v>94</v>
      </c>
      <c r="L161" s="172" t="s">
        <v>95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151</v>
      </c>
      <c r="B162" s="176">
        <v>46042</v>
      </c>
      <c r="C162" s="172" t="s">
        <v>93</v>
      </c>
      <c r="D162" s="172" t="s">
        <v>24</v>
      </c>
      <c r="E162" s="172" t="s">
        <v>39</v>
      </c>
      <c r="F162" s="172" t="s">
        <v>88</v>
      </c>
      <c r="G162" s="172" t="s">
        <v>85</v>
      </c>
      <c r="H162" s="177">
        <v>1</v>
      </c>
      <c r="I162" s="178">
        <v>0</v>
      </c>
      <c r="J162" s="176">
        <v>46025</v>
      </c>
      <c r="K162" s="172" t="s">
        <v>94</v>
      </c>
      <c r="L162" s="172" t="s">
        <v>95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151</v>
      </c>
      <c r="B163" s="176">
        <v>46042</v>
      </c>
      <c r="C163" s="172" t="s">
        <v>82</v>
      </c>
      <c r="D163" s="172" t="s">
        <v>96</v>
      </c>
      <c r="E163" s="172" t="s">
        <v>39</v>
      </c>
      <c r="F163" s="172" t="s">
        <v>88</v>
      </c>
      <c r="G163" s="172" t="s">
        <v>85</v>
      </c>
      <c r="H163" s="177">
        <v>1</v>
      </c>
      <c r="I163" s="178">
        <v>0</v>
      </c>
      <c r="J163" s="176">
        <v>46025</v>
      </c>
      <c r="K163" s="172" t="s">
        <v>94</v>
      </c>
      <c r="L163" s="172" t="s">
        <v>95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152</v>
      </c>
      <c r="B164" s="176">
        <v>46042</v>
      </c>
      <c r="C164" s="172" t="s">
        <v>93</v>
      </c>
      <c r="D164" s="172" t="s">
        <v>24</v>
      </c>
      <c r="E164" s="172" t="s">
        <v>42</v>
      </c>
      <c r="F164" s="172" t="s">
        <v>84</v>
      </c>
      <c r="G164" s="172" t="s">
        <v>85</v>
      </c>
      <c r="H164" s="177">
        <v>1</v>
      </c>
      <c r="I164" s="178">
        <v>0</v>
      </c>
      <c r="J164" s="176">
        <v>46039</v>
      </c>
      <c r="K164" s="172" t="s">
        <v>94</v>
      </c>
      <c r="L164" s="172" t="s">
        <v>95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152</v>
      </c>
      <c r="B165" s="176">
        <v>46042</v>
      </c>
      <c r="C165" s="172" t="s">
        <v>82</v>
      </c>
      <c r="D165" s="172" t="s">
        <v>96</v>
      </c>
      <c r="E165" s="172" t="s">
        <v>42</v>
      </c>
      <c r="F165" s="172" t="s">
        <v>84</v>
      </c>
      <c r="G165" s="172" t="s">
        <v>85</v>
      </c>
      <c r="H165" s="177">
        <v>1</v>
      </c>
      <c r="I165" s="178">
        <v>0</v>
      </c>
      <c r="J165" s="176">
        <v>46039</v>
      </c>
      <c r="K165" s="172" t="s">
        <v>94</v>
      </c>
      <c r="L165" s="172" t="s">
        <v>95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153</v>
      </c>
      <c r="B166" s="176">
        <v>46042</v>
      </c>
      <c r="C166" s="172" t="s">
        <v>93</v>
      </c>
      <c r="D166" s="172" t="s">
        <v>24</v>
      </c>
      <c r="E166" s="172" t="s">
        <v>54</v>
      </c>
      <c r="F166" s="172" t="s">
        <v>121</v>
      </c>
      <c r="G166" s="172" t="s">
        <v>85</v>
      </c>
      <c r="H166" s="177">
        <v>1</v>
      </c>
      <c r="I166" s="178">
        <v>0</v>
      </c>
      <c r="J166" s="176">
        <v>46039</v>
      </c>
      <c r="K166" s="172" t="s">
        <v>94</v>
      </c>
      <c r="L166" s="172" t="s">
        <v>95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153</v>
      </c>
      <c r="B167" s="176">
        <v>46042</v>
      </c>
      <c r="C167" s="172" t="s">
        <v>82</v>
      </c>
      <c r="D167" s="172" t="s">
        <v>96</v>
      </c>
      <c r="E167" s="172" t="s">
        <v>54</v>
      </c>
      <c r="F167" s="172" t="s">
        <v>121</v>
      </c>
      <c r="G167" s="172" t="s">
        <v>85</v>
      </c>
      <c r="H167" s="177">
        <v>1</v>
      </c>
      <c r="I167" s="178">
        <v>0</v>
      </c>
      <c r="J167" s="176">
        <v>46039</v>
      </c>
      <c r="K167" s="172" t="s">
        <v>94</v>
      </c>
      <c r="L167" s="172" t="s">
        <v>95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151</v>
      </c>
      <c r="B168" s="176">
        <v>46042</v>
      </c>
      <c r="C168" s="172" t="s">
        <v>93</v>
      </c>
      <c r="D168" s="172" t="s">
        <v>97</v>
      </c>
      <c r="E168" s="172" t="s">
        <v>39</v>
      </c>
      <c r="F168" s="172" t="s">
        <v>88</v>
      </c>
      <c r="G168" s="172" t="s">
        <v>85</v>
      </c>
      <c r="H168" s="177">
        <v>1</v>
      </c>
      <c r="I168" s="178">
        <v>0</v>
      </c>
      <c r="J168" s="176">
        <v>46025</v>
      </c>
      <c r="K168" s="172" t="s">
        <v>94</v>
      </c>
      <c r="L168" s="172" t="s">
        <v>95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151</v>
      </c>
      <c r="B169" s="176">
        <v>46042</v>
      </c>
      <c r="C169" s="172" t="s">
        <v>93</v>
      </c>
      <c r="D169" s="172" t="s">
        <v>98</v>
      </c>
      <c r="E169" s="172" t="s">
        <v>39</v>
      </c>
      <c r="F169" s="172" t="s">
        <v>88</v>
      </c>
      <c r="G169" s="172" t="s">
        <v>85</v>
      </c>
      <c r="H169" s="177">
        <v>1</v>
      </c>
      <c r="I169" s="178">
        <v>0</v>
      </c>
      <c r="J169" s="176">
        <v>46025</v>
      </c>
      <c r="K169" s="172" t="s">
        <v>94</v>
      </c>
      <c r="L169" s="172" t="s">
        <v>95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152</v>
      </c>
      <c r="B170" s="176">
        <v>46042</v>
      </c>
      <c r="C170" s="172" t="s">
        <v>93</v>
      </c>
      <c r="D170" s="172" t="s">
        <v>97</v>
      </c>
      <c r="E170" s="172" t="s">
        <v>42</v>
      </c>
      <c r="F170" s="172" t="s">
        <v>84</v>
      </c>
      <c r="G170" s="172" t="s">
        <v>85</v>
      </c>
      <c r="H170" s="177">
        <v>1</v>
      </c>
      <c r="I170" s="178">
        <v>0</v>
      </c>
      <c r="J170" s="176">
        <v>46039</v>
      </c>
      <c r="K170" s="172" t="s">
        <v>94</v>
      </c>
      <c r="L170" s="172" t="s">
        <v>95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152</v>
      </c>
      <c r="B171" s="176">
        <v>46042</v>
      </c>
      <c r="C171" s="172" t="s">
        <v>93</v>
      </c>
      <c r="D171" s="172" t="s">
        <v>98</v>
      </c>
      <c r="E171" s="172" t="s">
        <v>42</v>
      </c>
      <c r="F171" s="172" t="s">
        <v>84</v>
      </c>
      <c r="G171" s="172" t="s">
        <v>85</v>
      </c>
      <c r="H171" s="177">
        <v>1</v>
      </c>
      <c r="I171" s="178">
        <v>0</v>
      </c>
      <c r="J171" s="176">
        <v>46039</v>
      </c>
      <c r="K171" s="172" t="s">
        <v>94</v>
      </c>
      <c r="L171" s="172" t="s">
        <v>95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152</v>
      </c>
      <c r="B172" s="176">
        <v>46042</v>
      </c>
      <c r="C172" s="172" t="s">
        <v>82</v>
      </c>
      <c r="D172" s="172" t="s">
        <v>99</v>
      </c>
      <c r="E172" s="172" t="s">
        <v>42</v>
      </c>
      <c r="F172" s="172" t="s">
        <v>84</v>
      </c>
      <c r="G172" s="172" t="s">
        <v>85</v>
      </c>
      <c r="H172" s="177">
        <v>1</v>
      </c>
      <c r="I172" s="178">
        <v>0</v>
      </c>
      <c r="J172" s="176">
        <v>46039</v>
      </c>
      <c r="K172" s="172" t="s">
        <v>94</v>
      </c>
      <c r="L172" s="172" t="s">
        <v>95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153</v>
      </c>
      <c r="B173" s="176">
        <v>46042</v>
      </c>
      <c r="C173" s="172" t="s">
        <v>93</v>
      </c>
      <c r="D173" s="172" t="s">
        <v>97</v>
      </c>
      <c r="E173" s="172" t="s">
        <v>54</v>
      </c>
      <c r="F173" s="172" t="s">
        <v>121</v>
      </c>
      <c r="G173" s="172" t="s">
        <v>85</v>
      </c>
      <c r="H173" s="177">
        <v>1</v>
      </c>
      <c r="I173" s="178">
        <v>0</v>
      </c>
      <c r="J173" s="176">
        <v>46039</v>
      </c>
      <c r="K173" s="172" t="s">
        <v>94</v>
      </c>
      <c r="L173" s="172" t="s">
        <v>95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153</v>
      </c>
      <c r="B174" s="176">
        <v>46042</v>
      </c>
      <c r="C174" s="172" t="s">
        <v>93</v>
      </c>
      <c r="D174" s="172" t="s">
        <v>98</v>
      </c>
      <c r="E174" s="172" t="s">
        <v>54</v>
      </c>
      <c r="F174" s="172" t="s">
        <v>121</v>
      </c>
      <c r="G174" s="172" t="s">
        <v>85</v>
      </c>
      <c r="H174" s="177">
        <v>1</v>
      </c>
      <c r="I174" s="178">
        <v>0</v>
      </c>
      <c r="J174" s="176">
        <v>46039</v>
      </c>
      <c r="K174" s="172" t="s">
        <v>94</v>
      </c>
      <c r="L174" s="172" t="s">
        <v>95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153</v>
      </c>
      <c r="B175" s="176">
        <v>46042</v>
      </c>
      <c r="C175" s="172" t="s">
        <v>82</v>
      </c>
      <c r="D175" s="172" t="s">
        <v>99</v>
      </c>
      <c r="E175" s="172" t="s">
        <v>54</v>
      </c>
      <c r="F175" s="172" t="s">
        <v>121</v>
      </c>
      <c r="G175" s="172" t="s">
        <v>85</v>
      </c>
      <c r="H175" s="177">
        <v>1</v>
      </c>
      <c r="I175" s="178">
        <v>0</v>
      </c>
      <c r="J175" s="176">
        <v>46039</v>
      </c>
      <c r="K175" s="172" t="s">
        <v>94</v>
      </c>
      <c r="L175" s="172" t="s">
        <v>95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154</v>
      </c>
      <c r="B176" s="176">
        <v>46042</v>
      </c>
      <c r="C176" s="172" t="s">
        <v>82</v>
      </c>
      <c r="D176" s="172" t="s">
        <v>83</v>
      </c>
      <c r="E176" s="172" t="s">
        <v>39</v>
      </c>
      <c r="F176" s="172" t="s">
        <v>88</v>
      </c>
      <c r="G176" s="172" t="s">
        <v>85</v>
      </c>
      <c r="H176" s="177">
        <v>1</v>
      </c>
      <c r="I176" s="178">
        <v>0</v>
      </c>
      <c r="J176" s="176">
        <v>46042</v>
      </c>
      <c r="K176" s="172" t="s">
        <v>86</v>
      </c>
      <c r="L176" s="172" t="s">
        <v>86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154</v>
      </c>
      <c r="B177" s="176">
        <v>46042</v>
      </c>
      <c r="C177" s="172" t="s">
        <v>82</v>
      </c>
      <c r="D177" s="172" t="s">
        <v>83</v>
      </c>
      <c r="E177" s="172" t="s">
        <v>42</v>
      </c>
      <c r="F177" s="172" t="s">
        <v>84</v>
      </c>
      <c r="G177" s="172" t="s">
        <v>85</v>
      </c>
      <c r="H177" s="177">
        <v>1</v>
      </c>
      <c r="I177" s="178">
        <v>0</v>
      </c>
      <c r="J177" s="176">
        <v>46042</v>
      </c>
      <c r="K177" s="172" t="s">
        <v>86</v>
      </c>
      <c r="L177" s="172" t="s">
        <v>86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86</v>
      </c>
      <c r="B178" s="176">
        <v>46042</v>
      </c>
      <c r="C178" s="172" t="s">
        <v>110</v>
      </c>
      <c r="D178" s="172" t="s">
        <v>111</v>
      </c>
      <c r="E178" s="172" t="s">
        <v>86</v>
      </c>
      <c r="F178" s="172" t="s">
        <v>86</v>
      </c>
      <c r="G178" s="172" t="s">
        <v>155</v>
      </c>
      <c r="H178" s="177">
        <v>0</v>
      </c>
      <c r="I178" s="178">
        <v>0</v>
      </c>
      <c r="J178" s="176">
        <v>46042</v>
      </c>
      <c r="K178" s="172" t="s">
        <v>86</v>
      </c>
      <c r="L178" s="172" t="s">
        <v>86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156</v>
      </c>
      <c r="B179" s="176">
        <v>46042</v>
      </c>
      <c r="C179" s="172" t="s">
        <v>93</v>
      </c>
      <c r="D179" s="172" t="s">
        <v>24</v>
      </c>
      <c r="E179" s="172" t="s">
        <v>53</v>
      </c>
      <c r="F179" s="172" t="s">
        <v>91</v>
      </c>
      <c r="G179" s="172" t="s">
        <v>85</v>
      </c>
      <c r="H179" s="177">
        <v>1</v>
      </c>
      <c r="I179" s="178">
        <v>0</v>
      </c>
      <c r="J179" s="176">
        <v>46031</v>
      </c>
      <c r="K179" s="172" t="s">
        <v>94</v>
      </c>
      <c r="L179" s="172" t="s">
        <v>95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156</v>
      </c>
      <c r="B180" s="176">
        <v>46042</v>
      </c>
      <c r="C180" s="172" t="s">
        <v>82</v>
      </c>
      <c r="D180" s="172" t="s">
        <v>96</v>
      </c>
      <c r="E180" s="172" t="s">
        <v>53</v>
      </c>
      <c r="F180" s="172" t="s">
        <v>91</v>
      </c>
      <c r="G180" s="172" t="s">
        <v>85</v>
      </c>
      <c r="H180" s="177">
        <v>1</v>
      </c>
      <c r="I180" s="178">
        <v>0</v>
      </c>
      <c r="J180" s="176">
        <v>46031</v>
      </c>
      <c r="K180" s="172" t="s">
        <v>94</v>
      </c>
      <c r="L180" s="172" t="s">
        <v>95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156</v>
      </c>
      <c r="B181" s="176">
        <v>46042</v>
      </c>
      <c r="C181" s="172" t="s">
        <v>93</v>
      </c>
      <c r="D181" s="172" t="s">
        <v>97</v>
      </c>
      <c r="E181" s="172" t="s">
        <v>53</v>
      </c>
      <c r="F181" s="172" t="s">
        <v>91</v>
      </c>
      <c r="G181" s="172" t="s">
        <v>85</v>
      </c>
      <c r="H181" s="177">
        <v>1</v>
      </c>
      <c r="I181" s="178">
        <v>0</v>
      </c>
      <c r="J181" s="176">
        <v>46031</v>
      </c>
      <c r="K181" s="172" t="s">
        <v>94</v>
      </c>
      <c r="L181" s="172" t="s">
        <v>95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156</v>
      </c>
      <c r="B182" s="176">
        <v>46042</v>
      </c>
      <c r="C182" s="172" t="s">
        <v>93</v>
      </c>
      <c r="D182" s="172" t="s">
        <v>98</v>
      </c>
      <c r="E182" s="172" t="s">
        <v>53</v>
      </c>
      <c r="F182" s="172" t="s">
        <v>91</v>
      </c>
      <c r="G182" s="172" t="s">
        <v>85</v>
      </c>
      <c r="H182" s="177">
        <v>1</v>
      </c>
      <c r="I182" s="178">
        <v>0</v>
      </c>
      <c r="J182" s="176">
        <v>46031</v>
      </c>
      <c r="K182" s="172" t="s">
        <v>94</v>
      </c>
      <c r="L182" s="172" t="s">
        <v>95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156</v>
      </c>
      <c r="B183" s="176">
        <v>46042</v>
      </c>
      <c r="C183" s="172" t="s">
        <v>82</v>
      </c>
      <c r="D183" s="172" t="s">
        <v>99</v>
      </c>
      <c r="E183" s="172" t="s">
        <v>53</v>
      </c>
      <c r="F183" s="172" t="s">
        <v>91</v>
      </c>
      <c r="G183" s="172" t="s">
        <v>85</v>
      </c>
      <c r="H183" s="177">
        <v>1</v>
      </c>
      <c r="I183" s="178">
        <v>0</v>
      </c>
      <c r="J183" s="176">
        <v>46031</v>
      </c>
      <c r="K183" s="172" t="s">
        <v>94</v>
      </c>
      <c r="L183" s="172" t="s">
        <v>95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157</v>
      </c>
      <c r="B184" s="176">
        <v>46042</v>
      </c>
      <c r="C184" s="172" t="s">
        <v>93</v>
      </c>
      <c r="D184" s="172" t="s">
        <v>24</v>
      </c>
      <c r="E184" s="172" t="s">
        <v>53</v>
      </c>
      <c r="F184" s="172" t="s">
        <v>91</v>
      </c>
      <c r="G184" s="172" t="s">
        <v>85</v>
      </c>
      <c r="H184" s="177">
        <v>1</v>
      </c>
      <c r="I184" s="178">
        <v>0</v>
      </c>
      <c r="J184" s="176">
        <v>46039</v>
      </c>
      <c r="K184" s="172" t="s">
        <v>94</v>
      </c>
      <c r="L184" s="172" t="s">
        <v>95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157</v>
      </c>
      <c r="B185" s="176">
        <v>46042</v>
      </c>
      <c r="C185" s="172" t="s">
        <v>82</v>
      </c>
      <c r="D185" s="172" t="s">
        <v>96</v>
      </c>
      <c r="E185" s="172" t="s">
        <v>53</v>
      </c>
      <c r="F185" s="172" t="s">
        <v>91</v>
      </c>
      <c r="G185" s="172" t="s">
        <v>85</v>
      </c>
      <c r="H185" s="177">
        <v>1</v>
      </c>
      <c r="I185" s="178">
        <v>0</v>
      </c>
      <c r="J185" s="176">
        <v>46039</v>
      </c>
      <c r="K185" s="172" t="s">
        <v>94</v>
      </c>
      <c r="L185" s="172" t="s">
        <v>95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158</v>
      </c>
      <c r="B186" s="176">
        <v>46042</v>
      </c>
      <c r="C186" s="172" t="s">
        <v>93</v>
      </c>
      <c r="D186" s="172" t="s">
        <v>24</v>
      </c>
      <c r="E186" s="172" t="s">
        <v>53</v>
      </c>
      <c r="F186" s="172" t="s">
        <v>91</v>
      </c>
      <c r="G186" s="172" t="s">
        <v>85</v>
      </c>
      <c r="H186" s="177">
        <v>1</v>
      </c>
      <c r="I186" s="178">
        <v>0</v>
      </c>
      <c r="J186" s="176">
        <v>46035</v>
      </c>
      <c r="K186" s="172" t="s">
        <v>94</v>
      </c>
      <c r="L186" s="172" t="s">
        <v>95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158</v>
      </c>
      <c r="B187" s="176">
        <v>46042</v>
      </c>
      <c r="C187" s="172" t="s">
        <v>82</v>
      </c>
      <c r="D187" s="172" t="s">
        <v>96</v>
      </c>
      <c r="E187" s="172" t="s">
        <v>53</v>
      </c>
      <c r="F187" s="172" t="s">
        <v>91</v>
      </c>
      <c r="G187" s="172" t="s">
        <v>85</v>
      </c>
      <c r="H187" s="177">
        <v>1</v>
      </c>
      <c r="I187" s="178">
        <v>0</v>
      </c>
      <c r="J187" s="176">
        <v>46035</v>
      </c>
      <c r="K187" s="172" t="s">
        <v>94</v>
      </c>
      <c r="L187" s="172" t="s">
        <v>95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157</v>
      </c>
      <c r="B188" s="176">
        <v>46042</v>
      </c>
      <c r="C188" s="172" t="s">
        <v>93</v>
      </c>
      <c r="D188" s="172" t="s">
        <v>97</v>
      </c>
      <c r="E188" s="172" t="s">
        <v>53</v>
      </c>
      <c r="F188" s="172" t="s">
        <v>91</v>
      </c>
      <c r="G188" s="172" t="s">
        <v>85</v>
      </c>
      <c r="H188" s="177">
        <v>1</v>
      </c>
      <c r="I188" s="178">
        <v>0</v>
      </c>
      <c r="J188" s="176">
        <v>46039</v>
      </c>
      <c r="K188" s="172" t="s">
        <v>94</v>
      </c>
      <c r="L188" s="172" t="s">
        <v>95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157</v>
      </c>
      <c r="B189" s="176">
        <v>46042</v>
      </c>
      <c r="C189" s="172" t="s">
        <v>93</v>
      </c>
      <c r="D189" s="172" t="s">
        <v>98</v>
      </c>
      <c r="E189" s="172" t="s">
        <v>53</v>
      </c>
      <c r="F189" s="172" t="s">
        <v>91</v>
      </c>
      <c r="G189" s="172" t="s">
        <v>85</v>
      </c>
      <c r="H189" s="177">
        <v>1</v>
      </c>
      <c r="I189" s="178">
        <v>0</v>
      </c>
      <c r="J189" s="176">
        <v>46039</v>
      </c>
      <c r="K189" s="172" t="s">
        <v>94</v>
      </c>
      <c r="L189" s="172" t="s">
        <v>95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157</v>
      </c>
      <c r="B190" s="176">
        <v>46042</v>
      </c>
      <c r="C190" s="172" t="s">
        <v>82</v>
      </c>
      <c r="D190" s="172" t="s">
        <v>99</v>
      </c>
      <c r="E190" s="172" t="s">
        <v>53</v>
      </c>
      <c r="F190" s="172" t="s">
        <v>91</v>
      </c>
      <c r="G190" s="172" t="s">
        <v>85</v>
      </c>
      <c r="H190" s="177">
        <v>1</v>
      </c>
      <c r="I190" s="178">
        <v>0</v>
      </c>
      <c r="J190" s="176">
        <v>46039</v>
      </c>
      <c r="K190" s="172" t="s">
        <v>94</v>
      </c>
      <c r="L190" s="172" t="s">
        <v>95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158</v>
      </c>
      <c r="B191" s="176">
        <v>46042</v>
      </c>
      <c r="C191" s="172" t="s">
        <v>93</v>
      </c>
      <c r="D191" s="172" t="s">
        <v>97</v>
      </c>
      <c r="E191" s="172" t="s">
        <v>53</v>
      </c>
      <c r="F191" s="172" t="s">
        <v>91</v>
      </c>
      <c r="G191" s="172" t="s">
        <v>85</v>
      </c>
      <c r="H191" s="177">
        <v>1</v>
      </c>
      <c r="I191" s="178">
        <v>0</v>
      </c>
      <c r="J191" s="176">
        <v>46035</v>
      </c>
      <c r="K191" s="172" t="s">
        <v>94</v>
      </c>
      <c r="L191" s="172" t="s">
        <v>95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158</v>
      </c>
      <c r="B192" s="176">
        <v>46042</v>
      </c>
      <c r="C192" s="172" t="s">
        <v>93</v>
      </c>
      <c r="D192" s="172" t="s">
        <v>98</v>
      </c>
      <c r="E192" s="172" t="s">
        <v>53</v>
      </c>
      <c r="F192" s="172" t="s">
        <v>91</v>
      </c>
      <c r="G192" s="172" t="s">
        <v>85</v>
      </c>
      <c r="H192" s="177">
        <v>1</v>
      </c>
      <c r="I192" s="178">
        <v>0</v>
      </c>
      <c r="J192" s="176">
        <v>46035</v>
      </c>
      <c r="K192" s="172" t="s">
        <v>94</v>
      </c>
      <c r="L192" s="172" t="s">
        <v>95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158</v>
      </c>
      <c r="B193" s="176">
        <v>46042</v>
      </c>
      <c r="C193" s="172" t="s">
        <v>82</v>
      </c>
      <c r="D193" s="172" t="s">
        <v>99</v>
      </c>
      <c r="E193" s="172" t="s">
        <v>53</v>
      </c>
      <c r="F193" s="172" t="s">
        <v>91</v>
      </c>
      <c r="G193" s="172" t="s">
        <v>85</v>
      </c>
      <c r="H193" s="177">
        <v>1</v>
      </c>
      <c r="I193" s="178">
        <v>0</v>
      </c>
      <c r="J193" s="176">
        <v>46035</v>
      </c>
      <c r="K193" s="172" t="s">
        <v>94</v>
      </c>
      <c r="L193" s="172" t="s">
        <v>95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159</v>
      </c>
      <c r="B194" s="176">
        <v>46042</v>
      </c>
      <c r="C194" s="172" t="s">
        <v>93</v>
      </c>
      <c r="D194" s="172" t="s">
        <v>24</v>
      </c>
      <c r="E194" s="172" t="s">
        <v>42</v>
      </c>
      <c r="F194" s="172" t="s">
        <v>84</v>
      </c>
      <c r="G194" s="172" t="s">
        <v>85</v>
      </c>
      <c r="H194" s="177">
        <v>1</v>
      </c>
      <c r="I194" s="178">
        <v>1750</v>
      </c>
      <c r="J194" s="176">
        <v>46034</v>
      </c>
      <c r="K194" s="172" t="s">
        <v>94</v>
      </c>
      <c r="L194" s="172" t="s">
        <v>95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159</v>
      </c>
      <c r="B195" s="176">
        <v>46042</v>
      </c>
      <c r="C195" s="172" t="s">
        <v>101</v>
      </c>
      <c r="D195" s="172" t="s">
        <v>102</v>
      </c>
      <c r="E195" s="172" t="s">
        <v>42</v>
      </c>
      <c r="F195" s="172" t="s">
        <v>84</v>
      </c>
      <c r="G195" s="172" t="s">
        <v>85</v>
      </c>
      <c r="H195" s="177">
        <v>1</v>
      </c>
      <c r="I195" s="178">
        <v>1750</v>
      </c>
      <c r="J195" s="176">
        <v>46034</v>
      </c>
      <c r="K195" s="172" t="s">
        <v>94</v>
      </c>
      <c r="L195" s="172" t="s">
        <v>95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159</v>
      </c>
      <c r="B196" s="176">
        <v>46042</v>
      </c>
      <c r="C196" s="172" t="s">
        <v>101</v>
      </c>
      <c r="D196" s="172" t="s">
        <v>103</v>
      </c>
      <c r="E196" s="172" t="s">
        <v>42</v>
      </c>
      <c r="F196" s="172" t="s">
        <v>84</v>
      </c>
      <c r="G196" s="172" t="s">
        <v>85</v>
      </c>
      <c r="H196" s="177">
        <v>1</v>
      </c>
      <c r="I196" s="178">
        <v>1750</v>
      </c>
      <c r="J196" s="176">
        <v>46034</v>
      </c>
      <c r="K196" s="172" t="s">
        <v>94</v>
      </c>
      <c r="L196" s="172" t="s">
        <v>95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159</v>
      </c>
      <c r="B197" s="176">
        <v>46042</v>
      </c>
      <c r="C197" s="172" t="s">
        <v>101</v>
      </c>
      <c r="D197" s="172" t="s">
        <v>104</v>
      </c>
      <c r="E197" s="172" t="s">
        <v>42</v>
      </c>
      <c r="F197" s="172" t="s">
        <v>84</v>
      </c>
      <c r="G197" s="172" t="s">
        <v>85</v>
      </c>
      <c r="H197" s="177">
        <v>1</v>
      </c>
      <c r="I197" s="178">
        <v>1750</v>
      </c>
      <c r="J197" s="176">
        <v>46034</v>
      </c>
      <c r="K197" s="172" t="s">
        <v>94</v>
      </c>
      <c r="L197" s="172" t="s">
        <v>95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159</v>
      </c>
      <c r="B198" s="176">
        <v>46042</v>
      </c>
      <c r="C198" s="172" t="s">
        <v>105</v>
      </c>
      <c r="D198" s="172" t="s">
        <v>106</v>
      </c>
      <c r="E198" s="172" t="s">
        <v>42</v>
      </c>
      <c r="F198" s="172" t="s">
        <v>84</v>
      </c>
      <c r="G198" s="172" t="s">
        <v>85</v>
      </c>
      <c r="H198" s="177">
        <v>1</v>
      </c>
      <c r="I198" s="178">
        <v>1750</v>
      </c>
      <c r="J198" s="176">
        <v>46034</v>
      </c>
      <c r="K198" s="172" t="s">
        <v>94</v>
      </c>
      <c r="L198" s="172" t="s">
        <v>95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159</v>
      </c>
      <c r="B199" s="176">
        <v>46042</v>
      </c>
      <c r="C199" s="172" t="s">
        <v>82</v>
      </c>
      <c r="D199" s="172" t="s">
        <v>96</v>
      </c>
      <c r="E199" s="172" t="s">
        <v>42</v>
      </c>
      <c r="F199" s="172" t="s">
        <v>84</v>
      </c>
      <c r="G199" s="172" t="s">
        <v>85</v>
      </c>
      <c r="H199" s="177">
        <v>1</v>
      </c>
      <c r="I199" s="178">
        <v>1750</v>
      </c>
      <c r="J199" s="176">
        <v>46034</v>
      </c>
      <c r="K199" s="172" t="s">
        <v>94</v>
      </c>
      <c r="L199" s="172" t="s">
        <v>95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160</v>
      </c>
      <c r="B200" s="176">
        <v>46042</v>
      </c>
      <c r="C200" s="172" t="s">
        <v>93</v>
      </c>
      <c r="D200" s="172" t="s">
        <v>24</v>
      </c>
      <c r="E200" s="172" t="s">
        <v>54</v>
      </c>
      <c r="F200" s="172" t="s">
        <v>121</v>
      </c>
      <c r="G200" s="172" t="s">
        <v>85</v>
      </c>
      <c r="H200" s="177">
        <v>1</v>
      </c>
      <c r="I200" s="178">
        <v>0</v>
      </c>
      <c r="J200" s="176">
        <v>46035</v>
      </c>
      <c r="K200" s="172" t="s">
        <v>94</v>
      </c>
      <c r="L200" s="172" t="s">
        <v>95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160</v>
      </c>
      <c r="B201" s="176">
        <v>46042</v>
      </c>
      <c r="C201" s="172" t="s">
        <v>82</v>
      </c>
      <c r="D201" s="172" t="s">
        <v>96</v>
      </c>
      <c r="E201" s="172" t="s">
        <v>54</v>
      </c>
      <c r="F201" s="172" t="s">
        <v>121</v>
      </c>
      <c r="G201" s="172" t="s">
        <v>85</v>
      </c>
      <c r="H201" s="177">
        <v>1</v>
      </c>
      <c r="I201" s="178">
        <v>0</v>
      </c>
      <c r="J201" s="176">
        <v>46035</v>
      </c>
      <c r="K201" s="172" t="s">
        <v>94</v>
      </c>
      <c r="L201" s="172" t="s">
        <v>95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160</v>
      </c>
      <c r="B202" s="176">
        <v>46042</v>
      </c>
      <c r="C202" s="172" t="s">
        <v>93</v>
      </c>
      <c r="D202" s="172" t="s">
        <v>97</v>
      </c>
      <c r="E202" s="172" t="s">
        <v>54</v>
      </c>
      <c r="F202" s="172" t="s">
        <v>121</v>
      </c>
      <c r="G202" s="172" t="s">
        <v>85</v>
      </c>
      <c r="H202" s="177">
        <v>1</v>
      </c>
      <c r="I202" s="178">
        <v>0</v>
      </c>
      <c r="J202" s="176">
        <v>46035</v>
      </c>
      <c r="K202" s="172" t="s">
        <v>94</v>
      </c>
      <c r="L202" s="172" t="s">
        <v>95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160</v>
      </c>
      <c r="B203" s="176">
        <v>46042</v>
      </c>
      <c r="C203" s="172" t="s">
        <v>93</v>
      </c>
      <c r="D203" s="172" t="s">
        <v>98</v>
      </c>
      <c r="E203" s="172" t="s">
        <v>54</v>
      </c>
      <c r="F203" s="172" t="s">
        <v>121</v>
      </c>
      <c r="G203" s="172" t="s">
        <v>85</v>
      </c>
      <c r="H203" s="177">
        <v>1</v>
      </c>
      <c r="I203" s="178">
        <v>0</v>
      </c>
      <c r="J203" s="176">
        <v>46035</v>
      </c>
      <c r="K203" s="172" t="s">
        <v>94</v>
      </c>
      <c r="L203" s="172" t="s">
        <v>95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160</v>
      </c>
      <c r="B204" s="176">
        <v>46042</v>
      </c>
      <c r="C204" s="172" t="s">
        <v>82</v>
      </c>
      <c r="D204" s="172" t="s">
        <v>99</v>
      </c>
      <c r="E204" s="172" t="s">
        <v>54</v>
      </c>
      <c r="F204" s="172" t="s">
        <v>121</v>
      </c>
      <c r="G204" s="172" t="s">
        <v>85</v>
      </c>
      <c r="H204" s="177">
        <v>1</v>
      </c>
      <c r="I204" s="178">
        <v>0</v>
      </c>
      <c r="J204" s="176">
        <v>46035</v>
      </c>
      <c r="K204" s="172" t="s">
        <v>94</v>
      </c>
      <c r="L204" s="172" t="s">
        <v>95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161</v>
      </c>
      <c r="B205" s="176">
        <v>46042</v>
      </c>
      <c r="C205" s="172" t="s">
        <v>82</v>
      </c>
      <c r="D205" s="172" t="s">
        <v>83</v>
      </c>
      <c r="E205" s="172" t="s">
        <v>42</v>
      </c>
      <c r="F205" s="172" t="s">
        <v>84</v>
      </c>
      <c r="G205" s="172" t="s">
        <v>85</v>
      </c>
      <c r="H205" s="177">
        <v>1</v>
      </c>
      <c r="I205" s="178">
        <v>0</v>
      </c>
      <c r="J205" s="176">
        <v>46042</v>
      </c>
      <c r="K205" s="172" t="s">
        <v>86</v>
      </c>
      <c r="L205" s="172" t="s">
        <v>86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162</v>
      </c>
      <c r="B206" s="176">
        <v>46042</v>
      </c>
      <c r="C206" s="172" t="s">
        <v>93</v>
      </c>
      <c r="D206" s="172" t="s">
        <v>24</v>
      </c>
      <c r="E206" s="172" t="s">
        <v>53</v>
      </c>
      <c r="F206" s="172" t="s">
        <v>91</v>
      </c>
      <c r="G206" s="172" t="s">
        <v>85</v>
      </c>
      <c r="H206" s="177">
        <v>1</v>
      </c>
      <c r="I206" s="178">
        <v>1621</v>
      </c>
      <c r="J206" s="176">
        <v>46033</v>
      </c>
      <c r="K206" s="172" t="s">
        <v>94</v>
      </c>
      <c r="L206" s="172" t="s">
        <v>95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162</v>
      </c>
      <c r="B207" s="176">
        <v>46042</v>
      </c>
      <c r="C207" s="172" t="s">
        <v>101</v>
      </c>
      <c r="D207" s="172" t="s">
        <v>102</v>
      </c>
      <c r="E207" s="172" t="s">
        <v>53</v>
      </c>
      <c r="F207" s="172" t="s">
        <v>91</v>
      </c>
      <c r="G207" s="172" t="s">
        <v>85</v>
      </c>
      <c r="H207" s="177">
        <v>1</v>
      </c>
      <c r="I207" s="178">
        <v>1621</v>
      </c>
      <c r="J207" s="176">
        <v>46033</v>
      </c>
      <c r="K207" s="172" t="s">
        <v>94</v>
      </c>
      <c r="L207" s="172" t="s">
        <v>95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162</v>
      </c>
      <c r="B208" s="176">
        <v>46042</v>
      </c>
      <c r="C208" s="172" t="s">
        <v>101</v>
      </c>
      <c r="D208" s="172" t="s">
        <v>103</v>
      </c>
      <c r="E208" s="172" t="s">
        <v>53</v>
      </c>
      <c r="F208" s="172" t="s">
        <v>91</v>
      </c>
      <c r="G208" s="172" t="s">
        <v>85</v>
      </c>
      <c r="H208" s="177">
        <v>1</v>
      </c>
      <c r="I208" s="178">
        <v>1621</v>
      </c>
      <c r="J208" s="176">
        <v>46033</v>
      </c>
      <c r="K208" s="172" t="s">
        <v>94</v>
      </c>
      <c r="L208" s="172" t="s">
        <v>95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162</v>
      </c>
      <c r="B209" s="176">
        <v>46042</v>
      </c>
      <c r="C209" s="172" t="s">
        <v>101</v>
      </c>
      <c r="D209" s="172" t="s">
        <v>104</v>
      </c>
      <c r="E209" s="172" t="s">
        <v>53</v>
      </c>
      <c r="F209" s="172" t="s">
        <v>91</v>
      </c>
      <c r="G209" s="172" t="s">
        <v>85</v>
      </c>
      <c r="H209" s="177">
        <v>1</v>
      </c>
      <c r="I209" s="178">
        <v>1621</v>
      </c>
      <c r="J209" s="176">
        <v>46033</v>
      </c>
      <c r="K209" s="172" t="s">
        <v>94</v>
      </c>
      <c r="L209" s="172" t="s">
        <v>95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162</v>
      </c>
      <c r="B210" s="176">
        <v>46042</v>
      </c>
      <c r="C210" s="172" t="s">
        <v>105</v>
      </c>
      <c r="D210" s="172" t="s">
        <v>106</v>
      </c>
      <c r="E210" s="172" t="s">
        <v>53</v>
      </c>
      <c r="F210" s="172" t="s">
        <v>91</v>
      </c>
      <c r="G210" s="172" t="s">
        <v>85</v>
      </c>
      <c r="H210" s="177">
        <v>1</v>
      </c>
      <c r="I210" s="178">
        <v>1621</v>
      </c>
      <c r="J210" s="176">
        <v>46033</v>
      </c>
      <c r="K210" s="172" t="s">
        <v>94</v>
      </c>
      <c r="L210" s="172" t="s">
        <v>95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162</v>
      </c>
      <c r="B211" s="176">
        <v>46042</v>
      </c>
      <c r="C211" s="172" t="s">
        <v>82</v>
      </c>
      <c r="D211" s="172" t="s">
        <v>96</v>
      </c>
      <c r="E211" s="172" t="s">
        <v>53</v>
      </c>
      <c r="F211" s="172" t="s">
        <v>91</v>
      </c>
      <c r="G211" s="172" t="s">
        <v>85</v>
      </c>
      <c r="H211" s="177">
        <v>1</v>
      </c>
      <c r="I211" s="178">
        <v>1621</v>
      </c>
      <c r="J211" s="176">
        <v>46033</v>
      </c>
      <c r="K211" s="172" t="s">
        <v>94</v>
      </c>
      <c r="L211" s="172" t="s">
        <v>95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163</v>
      </c>
      <c r="B212" s="176">
        <v>46042</v>
      </c>
      <c r="C212" s="172" t="s">
        <v>93</v>
      </c>
      <c r="D212" s="172" t="s">
        <v>24</v>
      </c>
      <c r="E212" s="172" t="s">
        <v>54</v>
      </c>
      <c r="F212" s="172" t="s">
        <v>121</v>
      </c>
      <c r="G212" s="172" t="s">
        <v>85</v>
      </c>
      <c r="H212" s="177">
        <v>1</v>
      </c>
      <c r="I212" s="178">
        <v>0</v>
      </c>
      <c r="J212" s="176">
        <v>46030</v>
      </c>
      <c r="K212" s="172" t="s">
        <v>94</v>
      </c>
      <c r="L212" s="172" t="s">
        <v>95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163</v>
      </c>
      <c r="B213" s="176">
        <v>46042</v>
      </c>
      <c r="C213" s="172" t="s">
        <v>82</v>
      </c>
      <c r="D213" s="172" t="s">
        <v>96</v>
      </c>
      <c r="E213" s="172" t="s">
        <v>54</v>
      </c>
      <c r="F213" s="172" t="s">
        <v>121</v>
      </c>
      <c r="G213" s="172" t="s">
        <v>85</v>
      </c>
      <c r="H213" s="177">
        <v>1</v>
      </c>
      <c r="I213" s="178">
        <v>0</v>
      </c>
      <c r="J213" s="176">
        <v>46030</v>
      </c>
      <c r="K213" s="172" t="s">
        <v>94</v>
      </c>
      <c r="L213" s="172" t="s">
        <v>95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163</v>
      </c>
      <c r="B214" s="176">
        <v>46042</v>
      </c>
      <c r="C214" s="172" t="s">
        <v>93</v>
      </c>
      <c r="D214" s="172" t="s">
        <v>97</v>
      </c>
      <c r="E214" s="172" t="s">
        <v>54</v>
      </c>
      <c r="F214" s="172" t="s">
        <v>121</v>
      </c>
      <c r="G214" s="172" t="s">
        <v>85</v>
      </c>
      <c r="H214" s="177">
        <v>1</v>
      </c>
      <c r="I214" s="178">
        <v>0</v>
      </c>
      <c r="J214" s="176">
        <v>46030</v>
      </c>
      <c r="K214" s="172" t="s">
        <v>94</v>
      </c>
      <c r="L214" s="172" t="s">
        <v>95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163</v>
      </c>
      <c r="B215" s="176">
        <v>46042</v>
      </c>
      <c r="C215" s="172" t="s">
        <v>93</v>
      </c>
      <c r="D215" s="172" t="s">
        <v>98</v>
      </c>
      <c r="E215" s="172" t="s">
        <v>54</v>
      </c>
      <c r="F215" s="172" t="s">
        <v>121</v>
      </c>
      <c r="G215" s="172" t="s">
        <v>85</v>
      </c>
      <c r="H215" s="177">
        <v>1</v>
      </c>
      <c r="I215" s="178">
        <v>0</v>
      </c>
      <c r="J215" s="176">
        <v>46030</v>
      </c>
      <c r="K215" s="172" t="s">
        <v>94</v>
      </c>
      <c r="L215" s="172" t="s">
        <v>95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163</v>
      </c>
      <c r="B216" s="176">
        <v>46042</v>
      </c>
      <c r="C216" s="172" t="s">
        <v>82</v>
      </c>
      <c r="D216" s="172" t="s">
        <v>99</v>
      </c>
      <c r="E216" s="172" t="s">
        <v>54</v>
      </c>
      <c r="F216" s="172" t="s">
        <v>121</v>
      </c>
      <c r="G216" s="172" t="s">
        <v>85</v>
      </c>
      <c r="H216" s="177">
        <v>1</v>
      </c>
      <c r="I216" s="178">
        <v>0</v>
      </c>
      <c r="J216" s="176">
        <v>46030</v>
      </c>
      <c r="K216" s="172" t="s">
        <v>94</v>
      </c>
      <c r="L216" s="172" t="s">
        <v>95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164</v>
      </c>
      <c r="B217" s="176">
        <v>46042</v>
      </c>
      <c r="C217" s="172" t="s">
        <v>93</v>
      </c>
      <c r="D217" s="172" t="s">
        <v>24</v>
      </c>
      <c r="E217" s="172" t="s">
        <v>42</v>
      </c>
      <c r="F217" s="172" t="s">
        <v>84</v>
      </c>
      <c r="G217" s="172" t="s">
        <v>85</v>
      </c>
      <c r="H217" s="177">
        <v>1</v>
      </c>
      <c r="I217" s="178">
        <v>1750</v>
      </c>
      <c r="J217" s="176">
        <v>46039</v>
      </c>
      <c r="K217" s="172" t="s">
        <v>94</v>
      </c>
      <c r="L217" s="172" t="s">
        <v>95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164</v>
      </c>
      <c r="B218" s="176">
        <v>46042</v>
      </c>
      <c r="C218" s="172" t="s">
        <v>101</v>
      </c>
      <c r="D218" s="172" t="s">
        <v>102</v>
      </c>
      <c r="E218" s="172" t="s">
        <v>42</v>
      </c>
      <c r="F218" s="172" t="s">
        <v>84</v>
      </c>
      <c r="G218" s="172" t="s">
        <v>85</v>
      </c>
      <c r="H218" s="177">
        <v>1</v>
      </c>
      <c r="I218" s="178">
        <v>1750</v>
      </c>
      <c r="J218" s="176">
        <v>46039</v>
      </c>
      <c r="K218" s="172" t="s">
        <v>94</v>
      </c>
      <c r="L218" s="172" t="s">
        <v>95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164</v>
      </c>
      <c r="B219" s="176">
        <v>46042</v>
      </c>
      <c r="C219" s="172" t="s">
        <v>101</v>
      </c>
      <c r="D219" s="172" t="s">
        <v>103</v>
      </c>
      <c r="E219" s="172" t="s">
        <v>42</v>
      </c>
      <c r="F219" s="172" t="s">
        <v>84</v>
      </c>
      <c r="G219" s="172" t="s">
        <v>85</v>
      </c>
      <c r="H219" s="177">
        <v>1</v>
      </c>
      <c r="I219" s="178">
        <v>1750</v>
      </c>
      <c r="J219" s="176">
        <v>46039</v>
      </c>
      <c r="K219" s="172" t="s">
        <v>94</v>
      </c>
      <c r="L219" s="172" t="s">
        <v>95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164</v>
      </c>
      <c r="B220" s="176">
        <v>46042</v>
      </c>
      <c r="C220" s="172" t="s">
        <v>101</v>
      </c>
      <c r="D220" s="172" t="s">
        <v>104</v>
      </c>
      <c r="E220" s="172" t="s">
        <v>42</v>
      </c>
      <c r="F220" s="172" t="s">
        <v>84</v>
      </c>
      <c r="G220" s="172" t="s">
        <v>85</v>
      </c>
      <c r="H220" s="177">
        <v>1</v>
      </c>
      <c r="I220" s="178">
        <v>1750</v>
      </c>
      <c r="J220" s="176">
        <v>46039</v>
      </c>
      <c r="K220" s="172" t="s">
        <v>94</v>
      </c>
      <c r="L220" s="172" t="s">
        <v>95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164</v>
      </c>
      <c r="B221" s="176">
        <v>46042</v>
      </c>
      <c r="C221" s="172" t="s">
        <v>105</v>
      </c>
      <c r="D221" s="172" t="s">
        <v>106</v>
      </c>
      <c r="E221" s="172" t="s">
        <v>42</v>
      </c>
      <c r="F221" s="172" t="s">
        <v>84</v>
      </c>
      <c r="G221" s="172" t="s">
        <v>85</v>
      </c>
      <c r="H221" s="177">
        <v>1</v>
      </c>
      <c r="I221" s="178">
        <v>1750</v>
      </c>
      <c r="J221" s="176">
        <v>46039</v>
      </c>
      <c r="K221" s="172" t="s">
        <v>94</v>
      </c>
      <c r="L221" s="172" t="s">
        <v>95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165</v>
      </c>
      <c r="B222" s="176">
        <v>46042</v>
      </c>
      <c r="C222" s="172" t="s">
        <v>93</v>
      </c>
      <c r="D222" s="172" t="s">
        <v>24</v>
      </c>
      <c r="E222" s="172" t="s">
        <v>53</v>
      </c>
      <c r="F222" s="172" t="s">
        <v>91</v>
      </c>
      <c r="G222" s="172" t="s">
        <v>85</v>
      </c>
      <c r="H222" s="177">
        <v>1</v>
      </c>
      <c r="I222" s="178">
        <v>1885</v>
      </c>
      <c r="J222" s="176">
        <v>46040</v>
      </c>
      <c r="K222" s="172" t="s">
        <v>94</v>
      </c>
      <c r="L222" s="172" t="s">
        <v>95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165</v>
      </c>
      <c r="B223" s="176">
        <v>46042</v>
      </c>
      <c r="C223" s="172" t="s">
        <v>101</v>
      </c>
      <c r="D223" s="172" t="s">
        <v>102</v>
      </c>
      <c r="E223" s="172" t="s">
        <v>53</v>
      </c>
      <c r="F223" s="172" t="s">
        <v>91</v>
      </c>
      <c r="G223" s="172" t="s">
        <v>85</v>
      </c>
      <c r="H223" s="177">
        <v>1</v>
      </c>
      <c r="I223" s="178">
        <v>1885</v>
      </c>
      <c r="J223" s="176">
        <v>46040</v>
      </c>
      <c r="K223" s="172" t="s">
        <v>94</v>
      </c>
      <c r="L223" s="172" t="s">
        <v>95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165</v>
      </c>
      <c r="B224" s="176">
        <v>46042</v>
      </c>
      <c r="C224" s="172" t="s">
        <v>101</v>
      </c>
      <c r="D224" s="172" t="s">
        <v>103</v>
      </c>
      <c r="E224" s="172" t="s">
        <v>53</v>
      </c>
      <c r="F224" s="172" t="s">
        <v>91</v>
      </c>
      <c r="G224" s="172" t="s">
        <v>85</v>
      </c>
      <c r="H224" s="177">
        <v>1</v>
      </c>
      <c r="I224" s="178">
        <v>1885</v>
      </c>
      <c r="J224" s="176">
        <v>46040</v>
      </c>
      <c r="K224" s="172" t="s">
        <v>94</v>
      </c>
      <c r="L224" s="172" t="s">
        <v>95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165</v>
      </c>
      <c r="B225" s="176">
        <v>46042</v>
      </c>
      <c r="C225" s="172" t="s">
        <v>101</v>
      </c>
      <c r="D225" s="172" t="s">
        <v>104</v>
      </c>
      <c r="E225" s="172" t="s">
        <v>53</v>
      </c>
      <c r="F225" s="172" t="s">
        <v>91</v>
      </c>
      <c r="G225" s="172" t="s">
        <v>85</v>
      </c>
      <c r="H225" s="177">
        <v>1</v>
      </c>
      <c r="I225" s="178">
        <v>1885</v>
      </c>
      <c r="J225" s="176">
        <v>46040</v>
      </c>
      <c r="K225" s="172" t="s">
        <v>94</v>
      </c>
      <c r="L225" s="172" t="s">
        <v>95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165</v>
      </c>
      <c r="B226" s="176">
        <v>46042</v>
      </c>
      <c r="C226" s="172" t="s">
        <v>105</v>
      </c>
      <c r="D226" s="172" t="s">
        <v>106</v>
      </c>
      <c r="E226" s="172" t="s">
        <v>53</v>
      </c>
      <c r="F226" s="172" t="s">
        <v>91</v>
      </c>
      <c r="G226" s="172" t="s">
        <v>85</v>
      </c>
      <c r="H226" s="177">
        <v>1</v>
      </c>
      <c r="I226" s="178">
        <v>1885</v>
      </c>
      <c r="J226" s="176">
        <v>46040</v>
      </c>
      <c r="K226" s="172" t="s">
        <v>94</v>
      </c>
      <c r="L226" s="172" t="s">
        <v>95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165</v>
      </c>
      <c r="B227" s="176">
        <v>46042</v>
      </c>
      <c r="C227" s="172" t="s">
        <v>82</v>
      </c>
      <c r="D227" s="172" t="s">
        <v>96</v>
      </c>
      <c r="E227" s="172" t="s">
        <v>53</v>
      </c>
      <c r="F227" s="172" t="s">
        <v>91</v>
      </c>
      <c r="G227" s="172" t="s">
        <v>85</v>
      </c>
      <c r="H227" s="177">
        <v>1</v>
      </c>
      <c r="I227" s="178">
        <v>1885</v>
      </c>
      <c r="J227" s="176">
        <v>46040</v>
      </c>
      <c r="K227" s="172" t="s">
        <v>94</v>
      </c>
      <c r="L227" s="172" t="s">
        <v>95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166</v>
      </c>
      <c r="B228" s="176">
        <v>46042</v>
      </c>
      <c r="C228" s="172" t="s">
        <v>167</v>
      </c>
      <c r="D228" s="172" t="s">
        <v>168</v>
      </c>
      <c r="E228" s="172" t="s">
        <v>53</v>
      </c>
      <c r="F228" s="172" t="s">
        <v>91</v>
      </c>
      <c r="G228" s="172" t="s">
        <v>85</v>
      </c>
      <c r="H228" s="177">
        <v>1</v>
      </c>
      <c r="I228" s="178">
        <v>-2027</v>
      </c>
      <c r="J228" s="176">
        <v>46036</v>
      </c>
      <c r="K228" s="172" t="s">
        <v>94</v>
      </c>
      <c r="L228" s="172" t="s">
        <v>95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166</v>
      </c>
      <c r="B229" s="176">
        <v>46042</v>
      </c>
      <c r="C229" s="172" t="s">
        <v>167</v>
      </c>
      <c r="D229" s="172" t="s">
        <v>103</v>
      </c>
      <c r="E229" s="172" t="s">
        <v>53</v>
      </c>
      <c r="F229" s="172" t="s">
        <v>91</v>
      </c>
      <c r="G229" s="172" t="s">
        <v>85</v>
      </c>
      <c r="H229" s="177">
        <v>1</v>
      </c>
      <c r="I229" s="178">
        <v>-2027</v>
      </c>
      <c r="J229" s="176">
        <v>46036</v>
      </c>
      <c r="K229" s="172" t="s">
        <v>94</v>
      </c>
      <c r="L229" s="172" t="s">
        <v>95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166</v>
      </c>
      <c r="B230" s="176">
        <v>46042</v>
      </c>
      <c r="C230" s="172" t="s">
        <v>167</v>
      </c>
      <c r="D230" s="172" t="s">
        <v>104</v>
      </c>
      <c r="E230" s="172" t="s">
        <v>53</v>
      </c>
      <c r="F230" s="172" t="s">
        <v>91</v>
      </c>
      <c r="G230" s="172" t="s">
        <v>85</v>
      </c>
      <c r="H230" s="177">
        <v>1</v>
      </c>
      <c r="I230" s="178">
        <v>-2027</v>
      </c>
      <c r="J230" s="176">
        <v>46036</v>
      </c>
      <c r="K230" s="172" t="s">
        <v>94</v>
      </c>
      <c r="L230" s="172" t="s">
        <v>95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166</v>
      </c>
      <c r="B231" s="176">
        <v>46042</v>
      </c>
      <c r="C231" s="172" t="s">
        <v>105</v>
      </c>
      <c r="D231" s="172" t="s">
        <v>169</v>
      </c>
      <c r="E231" s="172" t="s">
        <v>53</v>
      </c>
      <c r="F231" s="172" t="s">
        <v>91</v>
      </c>
      <c r="G231" s="172" t="s">
        <v>85</v>
      </c>
      <c r="H231" s="177">
        <v>1</v>
      </c>
      <c r="I231" s="178">
        <v>-2027</v>
      </c>
      <c r="J231" s="176">
        <v>46036</v>
      </c>
      <c r="K231" s="172" t="s">
        <v>94</v>
      </c>
      <c r="L231" s="172" t="s">
        <v>95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170</v>
      </c>
      <c r="B232" s="176">
        <v>46042</v>
      </c>
      <c r="C232" s="172" t="s">
        <v>93</v>
      </c>
      <c r="D232" s="172" t="s">
        <v>24</v>
      </c>
      <c r="E232" s="172" t="s">
        <v>53</v>
      </c>
      <c r="F232" s="172" t="s">
        <v>91</v>
      </c>
      <c r="G232" s="172" t="s">
        <v>85</v>
      </c>
      <c r="H232" s="177">
        <v>1</v>
      </c>
      <c r="I232" s="178">
        <v>1885</v>
      </c>
      <c r="J232" s="176">
        <v>46041</v>
      </c>
      <c r="K232" s="172" t="s">
        <v>94</v>
      </c>
      <c r="L232" s="172" t="s">
        <v>95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170</v>
      </c>
      <c r="B233" s="176">
        <v>46042</v>
      </c>
      <c r="C233" s="172" t="s">
        <v>101</v>
      </c>
      <c r="D233" s="172" t="s">
        <v>102</v>
      </c>
      <c r="E233" s="172" t="s">
        <v>53</v>
      </c>
      <c r="F233" s="172" t="s">
        <v>91</v>
      </c>
      <c r="G233" s="172" t="s">
        <v>85</v>
      </c>
      <c r="H233" s="177">
        <v>1</v>
      </c>
      <c r="I233" s="178">
        <v>1885</v>
      </c>
      <c r="J233" s="176">
        <v>46041</v>
      </c>
      <c r="K233" s="172" t="s">
        <v>94</v>
      </c>
      <c r="L233" s="172" t="s">
        <v>95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170</v>
      </c>
      <c r="B234" s="176">
        <v>46042</v>
      </c>
      <c r="C234" s="172" t="s">
        <v>101</v>
      </c>
      <c r="D234" s="172" t="s">
        <v>103</v>
      </c>
      <c r="E234" s="172" t="s">
        <v>53</v>
      </c>
      <c r="F234" s="172" t="s">
        <v>91</v>
      </c>
      <c r="G234" s="172" t="s">
        <v>85</v>
      </c>
      <c r="H234" s="177">
        <v>1</v>
      </c>
      <c r="I234" s="178">
        <v>1885</v>
      </c>
      <c r="J234" s="176">
        <v>46041</v>
      </c>
      <c r="K234" s="172" t="s">
        <v>94</v>
      </c>
      <c r="L234" s="172" t="s">
        <v>95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170</v>
      </c>
      <c r="B235" s="176">
        <v>46042</v>
      </c>
      <c r="C235" s="172" t="s">
        <v>101</v>
      </c>
      <c r="D235" s="172" t="s">
        <v>104</v>
      </c>
      <c r="E235" s="172" t="s">
        <v>53</v>
      </c>
      <c r="F235" s="172" t="s">
        <v>91</v>
      </c>
      <c r="G235" s="172" t="s">
        <v>85</v>
      </c>
      <c r="H235" s="177">
        <v>1</v>
      </c>
      <c r="I235" s="178">
        <v>1885</v>
      </c>
      <c r="J235" s="176">
        <v>46041</v>
      </c>
      <c r="K235" s="172" t="s">
        <v>94</v>
      </c>
      <c r="L235" s="172" t="s">
        <v>95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170</v>
      </c>
      <c r="B236" s="176">
        <v>46042</v>
      </c>
      <c r="C236" s="172" t="s">
        <v>105</v>
      </c>
      <c r="D236" s="172" t="s">
        <v>106</v>
      </c>
      <c r="E236" s="172" t="s">
        <v>53</v>
      </c>
      <c r="F236" s="172" t="s">
        <v>91</v>
      </c>
      <c r="G236" s="172" t="s">
        <v>85</v>
      </c>
      <c r="H236" s="177">
        <v>1</v>
      </c>
      <c r="I236" s="178">
        <v>1885</v>
      </c>
      <c r="J236" s="176">
        <v>46041</v>
      </c>
      <c r="K236" s="172" t="s">
        <v>94</v>
      </c>
      <c r="L236" s="172" t="s">
        <v>95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170</v>
      </c>
      <c r="B237" s="176">
        <v>46042</v>
      </c>
      <c r="C237" s="172" t="s">
        <v>82</v>
      </c>
      <c r="D237" s="172" t="s">
        <v>96</v>
      </c>
      <c r="E237" s="172" t="s">
        <v>53</v>
      </c>
      <c r="F237" s="172" t="s">
        <v>91</v>
      </c>
      <c r="G237" s="172" t="s">
        <v>85</v>
      </c>
      <c r="H237" s="177">
        <v>1</v>
      </c>
      <c r="I237" s="178">
        <v>1885</v>
      </c>
      <c r="J237" s="176">
        <v>46041</v>
      </c>
      <c r="K237" s="172" t="s">
        <v>94</v>
      </c>
      <c r="L237" s="172" t="s">
        <v>95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171</v>
      </c>
      <c r="B238" s="176">
        <v>46042</v>
      </c>
      <c r="C238" s="172" t="s">
        <v>82</v>
      </c>
      <c r="D238" s="172" t="s">
        <v>83</v>
      </c>
      <c r="E238" s="172" t="s">
        <v>53</v>
      </c>
      <c r="F238" s="172" t="s">
        <v>91</v>
      </c>
      <c r="G238" s="172" t="s">
        <v>85</v>
      </c>
      <c r="H238" s="177">
        <v>1</v>
      </c>
      <c r="I238" s="178">
        <v>0</v>
      </c>
      <c r="J238" s="176">
        <v>46042</v>
      </c>
      <c r="K238" s="172" t="s">
        <v>86</v>
      </c>
      <c r="L238" s="172" t="s">
        <v>86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166</v>
      </c>
      <c r="B239" s="176">
        <v>46042</v>
      </c>
      <c r="C239" s="172" t="s">
        <v>82</v>
      </c>
      <c r="D239" s="172" t="s">
        <v>83</v>
      </c>
      <c r="E239" s="172" t="s">
        <v>53</v>
      </c>
      <c r="F239" s="172" t="s">
        <v>91</v>
      </c>
      <c r="G239" s="172" t="s">
        <v>85</v>
      </c>
      <c r="H239" s="177">
        <v>1</v>
      </c>
      <c r="I239" s="178">
        <v>0</v>
      </c>
      <c r="J239" s="176">
        <v>46036</v>
      </c>
      <c r="K239" s="172" t="s">
        <v>86</v>
      </c>
      <c r="L239" s="172" t="s">
        <v>86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170</v>
      </c>
      <c r="B240" s="176">
        <v>46042</v>
      </c>
      <c r="C240" s="172" t="s">
        <v>82</v>
      </c>
      <c r="D240" s="172" t="s">
        <v>83</v>
      </c>
      <c r="E240" s="172" t="s">
        <v>53</v>
      </c>
      <c r="F240" s="172" t="s">
        <v>91</v>
      </c>
      <c r="G240" s="172" t="s">
        <v>85</v>
      </c>
      <c r="H240" s="177">
        <v>1</v>
      </c>
      <c r="I240" s="178">
        <v>0</v>
      </c>
      <c r="J240" s="176">
        <v>46041</v>
      </c>
      <c r="K240" s="172" t="s">
        <v>86</v>
      </c>
      <c r="L240" s="172" t="s">
        <v>86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172</v>
      </c>
      <c r="B241" s="176">
        <v>46042</v>
      </c>
      <c r="C241" s="172" t="s">
        <v>93</v>
      </c>
      <c r="D241" s="172" t="s">
        <v>24</v>
      </c>
      <c r="E241" s="172" t="s">
        <v>54</v>
      </c>
      <c r="F241" s="172" t="s">
        <v>121</v>
      </c>
      <c r="G241" s="172" t="s">
        <v>85</v>
      </c>
      <c r="H241" s="177">
        <v>1</v>
      </c>
      <c r="I241" s="178">
        <v>0</v>
      </c>
      <c r="J241" s="176">
        <v>46036</v>
      </c>
      <c r="K241" s="172" t="s">
        <v>94</v>
      </c>
      <c r="L241" s="172" t="s">
        <v>95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172</v>
      </c>
      <c r="B242" s="176">
        <v>46042</v>
      </c>
      <c r="C242" s="172" t="s">
        <v>82</v>
      </c>
      <c r="D242" s="172" t="s">
        <v>96</v>
      </c>
      <c r="E242" s="172" t="s">
        <v>54</v>
      </c>
      <c r="F242" s="172" t="s">
        <v>121</v>
      </c>
      <c r="G242" s="172" t="s">
        <v>85</v>
      </c>
      <c r="H242" s="177">
        <v>1</v>
      </c>
      <c r="I242" s="178">
        <v>0</v>
      </c>
      <c r="J242" s="176">
        <v>46036</v>
      </c>
      <c r="K242" s="172" t="s">
        <v>94</v>
      </c>
      <c r="L242" s="172" t="s">
        <v>95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172</v>
      </c>
      <c r="B243" s="176">
        <v>46042</v>
      </c>
      <c r="C243" s="172" t="s">
        <v>93</v>
      </c>
      <c r="D243" s="172" t="s">
        <v>97</v>
      </c>
      <c r="E243" s="172" t="s">
        <v>54</v>
      </c>
      <c r="F243" s="172" t="s">
        <v>121</v>
      </c>
      <c r="G243" s="172" t="s">
        <v>85</v>
      </c>
      <c r="H243" s="177">
        <v>1</v>
      </c>
      <c r="I243" s="178">
        <v>0</v>
      </c>
      <c r="J243" s="176">
        <v>46036</v>
      </c>
      <c r="K243" s="172" t="s">
        <v>94</v>
      </c>
      <c r="L243" s="172" t="s">
        <v>95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172</v>
      </c>
      <c r="B244" s="176">
        <v>46042</v>
      </c>
      <c r="C244" s="172" t="s">
        <v>93</v>
      </c>
      <c r="D244" s="172" t="s">
        <v>98</v>
      </c>
      <c r="E244" s="172" t="s">
        <v>54</v>
      </c>
      <c r="F244" s="172" t="s">
        <v>121</v>
      </c>
      <c r="G244" s="172" t="s">
        <v>85</v>
      </c>
      <c r="H244" s="177">
        <v>1</v>
      </c>
      <c r="I244" s="178">
        <v>0</v>
      </c>
      <c r="J244" s="176">
        <v>46036</v>
      </c>
      <c r="K244" s="172" t="s">
        <v>94</v>
      </c>
      <c r="L244" s="172" t="s">
        <v>95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172</v>
      </c>
      <c r="B245" s="176">
        <v>46042</v>
      </c>
      <c r="C245" s="172" t="s">
        <v>82</v>
      </c>
      <c r="D245" s="172" t="s">
        <v>99</v>
      </c>
      <c r="E245" s="172" t="s">
        <v>54</v>
      </c>
      <c r="F245" s="172" t="s">
        <v>121</v>
      </c>
      <c r="G245" s="172" t="s">
        <v>85</v>
      </c>
      <c r="H245" s="177">
        <v>1</v>
      </c>
      <c r="I245" s="178">
        <v>0</v>
      </c>
      <c r="J245" s="176">
        <v>46036</v>
      </c>
      <c r="K245" s="172" t="s">
        <v>94</v>
      </c>
      <c r="L245" s="172" t="s">
        <v>95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173</v>
      </c>
      <c r="B246" s="176">
        <v>46042</v>
      </c>
      <c r="C246" s="172" t="s">
        <v>93</v>
      </c>
      <c r="D246" s="172" t="s">
        <v>24</v>
      </c>
      <c r="E246" s="172" t="s">
        <v>39</v>
      </c>
      <c r="F246" s="172" t="s">
        <v>88</v>
      </c>
      <c r="G246" s="172" t="s">
        <v>85</v>
      </c>
      <c r="H246" s="177">
        <v>1</v>
      </c>
      <c r="I246" s="178">
        <v>1750</v>
      </c>
      <c r="J246" s="176">
        <v>46040</v>
      </c>
      <c r="K246" s="172" t="s">
        <v>94</v>
      </c>
      <c r="L246" s="172" t="s">
        <v>95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173</v>
      </c>
      <c r="B247" s="176">
        <v>46042</v>
      </c>
      <c r="C247" s="172" t="s">
        <v>101</v>
      </c>
      <c r="D247" s="172" t="s">
        <v>102</v>
      </c>
      <c r="E247" s="172" t="s">
        <v>39</v>
      </c>
      <c r="F247" s="172" t="s">
        <v>88</v>
      </c>
      <c r="G247" s="172" t="s">
        <v>85</v>
      </c>
      <c r="H247" s="177">
        <v>1</v>
      </c>
      <c r="I247" s="178">
        <v>1750</v>
      </c>
      <c r="J247" s="176">
        <v>46040</v>
      </c>
      <c r="K247" s="172" t="s">
        <v>94</v>
      </c>
      <c r="L247" s="172" t="s">
        <v>95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173</v>
      </c>
      <c r="B248" s="176">
        <v>46042</v>
      </c>
      <c r="C248" s="172" t="s">
        <v>101</v>
      </c>
      <c r="D248" s="172" t="s">
        <v>103</v>
      </c>
      <c r="E248" s="172" t="s">
        <v>39</v>
      </c>
      <c r="F248" s="172" t="s">
        <v>88</v>
      </c>
      <c r="G248" s="172" t="s">
        <v>85</v>
      </c>
      <c r="H248" s="177">
        <v>1</v>
      </c>
      <c r="I248" s="178">
        <v>1750</v>
      </c>
      <c r="J248" s="176">
        <v>46040</v>
      </c>
      <c r="K248" s="172" t="s">
        <v>94</v>
      </c>
      <c r="L248" s="172" t="s">
        <v>95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173</v>
      </c>
      <c r="B249" s="176">
        <v>46042</v>
      </c>
      <c r="C249" s="172" t="s">
        <v>101</v>
      </c>
      <c r="D249" s="172" t="s">
        <v>104</v>
      </c>
      <c r="E249" s="172" t="s">
        <v>39</v>
      </c>
      <c r="F249" s="172" t="s">
        <v>88</v>
      </c>
      <c r="G249" s="172" t="s">
        <v>85</v>
      </c>
      <c r="H249" s="177">
        <v>1</v>
      </c>
      <c r="I249" s="178">
        <v>1750</v>
      </c>
      <c r="J249" s="176">
        <v>46040</v>
      </c>
      <c r="K249" s="172" t="s">
        <v>94</v>
      </c>
      <c r="L249" s="172" t="s">
        <v>95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173</v>
      </c>
      <c r="B250" s="176">
        <v>46042</v>
      </c>
      <c r="C250" s="172" t="s">
        <v>105</v>
      </c>
      <c r="D250" s="172" t="s">
        <v>106</v>
      </c>
      <c r="E250" s="172" t="s">
        <v>39</v>
      </c>
      <c r="F250" s="172" t="s">
        <v>88</v>
      </c>
      <c r="G250" s="172" t="s">
        <v>85</v>
      </c>
      <c r="H250" s="177">
        <v>1</v>
      </c>
      <c r="I250" s="178">
        <v>1750</v>
      </c>
      <c r="J250" s="176">
        <v>46040</v>
      </c>
      <c r="K250" s="172" t="s">
        <v>94</v>
      </c>
      <c r="L250" s="172" t="s">
        <v>95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173</v>
      </c>
      <c r="B251" s="176">
        <v>46042</v>
      </c>
      <c r="C251" s="172" t="s">
        <v>82</v>
      </c>
      <c r="D251" s="172" t="s">
        <v>96</v>
      </c>
      <c r="E251" s="172" t="s">
        <v>39</v>
      </c>
      <c r="F251" s="172" t="s">
        <v>88</v>
      </c>
      <c r="G251" s="172" t="s">
        <v>85</v>
      </c>
      <c r="H251" s="177">
        <v>1</v>
      </c>
      <c r="I251" s="178">
        <v>1750</v>
      </c>
      <c r="J251" s="176">
        <v>46040</v>
      </c>
      <c r="K251" s="172" t="s">
        <v>94</v>
      </c>
      <c r="L251" s="172" t="s">
        <v>95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174</v>
      </c>
      <c r="B252" s="176">
        <v>46042</v>
      </c>
      <c r="C252" s="172" t="s">
        <v>93</v>
      </c>
      <c r="D252" s="172" t="s">
        <v>24</v>
      </c>
      <c r="E252" s="172" t="s">
        <v>42</v>
      </c>
      <c r="F252" s="172" t="s">
        <v>84</v>
      </c>
      <c r="G252" s="172" t="s">
        <v>85</v>
      </c>
      <c r="H252" s="177">
        <v>1</v>
      </c>
      <c r="I252" s="178">
        <v>1750</v>
      </c>
      <c r="J252" s="176">
        <v>46040</v>
      </c>
      <c r="K252" s="172" t="s">
        <v>94</v>
      </c>
      <c r="L252" s="172" t="s">
        <v>95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174</v>
      </c>
      <c r="B253" s="176">
        <v>46042</v>
      </c>
      <c r="C253" s="172" t="s">
        <v>101</v>
      </c>
      <c r="D253" s="172" t="s">
        <v>102</v>
      </c>
      <c r="E253" s="172" t="s">
        <v>42</v>
      </c>
      <c r="F253" s="172" t="s">
        <v>84</v>
      </c>
      <c r="G253" s="172" t="s">
        <v>85</v>
      </c>
      <c r="H253" s="177">
        <v>1</v>
      </c>
      <c r="I253" s="178">
        <v>1750</v>
      </c>
      <c r="J253" s="176">
        <v>46040</v>
      </c>
      <c r="K253" s="172" t="s">
        <v>94</v>
      </c>
      <c r="L253" s="172" t="s">
        <v>95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174</v>
      </c>
      <c r="B254" s="176">
        <v>46042</v>
      </c>
      <c r="C254" s="172" t="s">
        <v>101</v>
      </c>
      <c r="D254" s="172" t="s">
        <v>103</v>
      </c>
      <c r="E254" s="172" t="s">
        <v>42</v>
      </c>
      <c r="F254" s="172" t="s">
        <v>84</v>
      </c>
      <c r="G254" s="172" t="s">
        <v>85</v>
      </c>
      <c r="H254" s="177">
        <v>1</v>
      </c>
      <c r="I254" s="178">
        <v>1750</v>
      </c>
      <c r="J254" s="176">
        <v>46040</v>
      </c>
      <c r="K254" s="172" t="s">
        <v>94</v>
      </c>
      <c r="L254" s="172" t="s">
        <v>95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174</v>
      </c>
      <c r="B255" s="176">
        <v>46042</v>
      </c>
      <c r="C255" s="172" t="s">
        <v>101</v>
      </c>
      <c r="D255" s="172" t="s">
        <v>104</v>
      </c>
      <c r="E255" s="172" t="s">
        <v>42</v>
      </c>
      <c r="F255" s="172" t="s">
        <v>84</v>
      </c>
      <c r="G255" s="172" t="s">
        <v>85</v>
      </c>
      <c r="H255" s="177">
        <v>1</v>
      </c>
      <c r="I255" s="178">
        <v>1750</v>
      </c>
      <c r="J255" s="176">
        <v>46040</v>
      </c>
      <c r="K255" s="172" t="s">
        <v>94</v>
      </c>
      <c r="L255" s="172" t="s">
        <v>95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174</v>
      </c>
      <c r="B256" s="176">
        <v>46042</v>
      </c>
      <c r="C256" s="172" t="s">
        <v>105</v>
      </c>
      <c r="D256" s="172" t="s">
        <v>106</v>
      </c>
      <c r="E256" s="172" t="s">
        <v>42</v>
      </c>
      <c r="F256" s="172" t="s">
        <v>84</v>
      </c>
      <c r="G256" s="172" t="s">
        <v>85</v>
      </c>
      <c r="H256" s="177">
        <v>1</v>
      </c>
      <c r="I256" s="178">
        <v>1750</v>
      </c>
      <c r="J256" s="176">
        <v>46040</v>
      </c>
      <c r="K256" s="172" t="s">
        <v>94</v>
      </c>
      <c r="L256" s="172" t="s">
        <v>95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174</v>
      </c>
      <c r="B257" s="176">
        <v>46042</v>
      </c>
      <c r="C257" s="172" t="s">
        <v>82</v>
      </c>
      <c r="D257" s="172" t="s">
        <v>96</v>
      </c>
      <c r="E257" s="172" t="s">
        <v>42</v>
      </c>
      <c r="F257" s="172" t="s">
        <v>84</v>
      </c>
      <c r="G257" s="172" t="s">
        <v>85</v>
      </c>
      <c r="H257" s="177">
        <v>1</v>
      </c>
      <c r="I257" s="178">
        <v>1750</v>
      </c>
      <c r="J257" s="176">
        <v>46040</v>
      </c>
      <c r="K257" s="172" t="s">
        <v>94</v>
      </c>
      <c r="L257" s="172" t="s">
        <v>95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175</v>
      </c>
      <c r="B258" s="176">
        <v>46042</v>
      </c>
      <c r="C258" s="172" t="s">
        <v>93</v>
      </c>
      <c r="D258" s="172" t="s">
        <v>24</v>
      </c>
      <c r="E258" s="172" t="s">
        <v>42</v>
      </c>
      <c r="F258" s="172" t="s">
        <v>84</v>
      </c>
      <c r="G258" s="172" t="s">
        <v>85</v>
      </c>
      <c r="H258" s="177">
        <v>1</v>
      </c>
      <c r="I258" s="178">
        <v>0</v>
      </c>
      <c r="J258" s="176">
        <v>46036</v>
      </c>
      <c r="K258" s="172" t="s">
        <v>94</v>
      </c>
      <c r="L258" s="172" t="s">
        <v>95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175</v>
      </c>
      <c r="B259" s="176">
        <v>46042</v>
      </c>
      <c r="C259" s="172" t="s">
        <v>82</v>
      </c>
      <c r="D259" s="172" t="s">
        <v>96</v>
      </c>
      <c r="E259" s="172" t="s">
        <v>42</v>
      </c>
      <c r="F259" s="172" t="s">
        <v>84</v>
      </c>
      <c r="G259" s="172" t="s">
        <v>85</v>
      </c>
      <c r="H259" s="177">
        <v>1</v>
      </c>
      <c r="I259" s="178">
        <v>0</v>
      </c>
      <c r="J259" s="176">
        <v>46036</v>
      </c>
      <c r="K259" s="172" t="s">
        <v>94</v>
      </c>
      <c r="L259" s="172" t="s">
        <v>95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176</v>
      </c>
      <c r="B260" s="176">
        <v>46042</v>
      </c>
      <c r="C260" s="172" t="s">
        <v>82</v>
      </c>
      <c r="D260" s="172" t="s">
        <v>83</v>
      </c>
      <c r="E260" s="172" t="s">
        <v>42</v>
      </c>
      <c r="F260" s="172" t="s">
        <v>84</v>
      </c>
      <c r="G260" s="172" t="s">
        <v>85</v>
      </c>
      <c r="H260" s="177">
        <v>1</v>
      </c>
      <c r="I260" s="178">
        <v>0</v>
      </c>
      <c r="J260" s="176">
        <v>46042</v>
      </c>
      <c r="K260" s="172" t="s">
        <v>86</v>
      </c>
      <c r="L260" s="172" t="s">
        <v>86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175</v>
      </c>
      <c r="B261" s="176">
        <v>46042</v>
      </c>
      <c r="C261" s="172" t="s">
        <v>93</v>
      </c>
      <c r="D261" s="172" t="s">
        <v>97</v>
      </c>
      <c r="E261" s="172" t="s">
        <v>42</v>
      </c>
      <c r="F261" s="172" t="s">
        <v>84</v>
      </c>
      <c r="G261" s="172" t="s">
        <v>85</v>
      </c>
      <c r="H261" s="177">
        <v>1</v>
      </c>
      <c r="I261" s="178">
        <v>0</v>
      </c>
      <c r="J261" s="176">
        <v>46036</v>
      </c>
      <c r="K261" s="172" t="s">
        <v>94</v>
      </c>
      <c r="L261" s="172" t="s">
        <v>95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175</v>
      </c>
      <c r="B262" s="176">
        <v>46042</v>
      </c>
      <c r="C262" s="172" t="s">
        <v>93</v>
      </c>
      <c r="D262" s="172" t="s">
        <v>98</v>
      </c>
      <c r="E262" s="172" t="s">
        <v>42</v>
      </c>
      <c r="F262" s="172" t="s">
        <v>84</v>
      </c>
      <c r="G262" s="172" t="s">
        <v>85</v>
      </c>
      <c r="H262" s="177">
        <v>1</v>
      </c>
      <c r="I262" s="178">
        <v>0</v>
      </c>
      <c r="J262" s="176">
        <v>46036</v>
      </c>
      <c r="K262" s="172" t="s">
        <v>94</v>
      </c>
      <c r="L262" s="172" t="s">
        <v>95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175</v>
      </c>
      <c r="B263" s="176">
        <v>46042</v>
      </c>
      <c r="C263" s="172" t="s">
        <v>82</v>
      </c>
      <c r="D263" s="172" t="s">
        <v>99</v>
      </c>
      <c r="E263" s="172" t="s">
        <v>42</v>
      </c>
      <c r="F263" s="172" t="s">
        <v>84</v>
      </c>
      <c r="G263" s="172" t="s">
        <v>85</v>
      </c>
      <c r="H263" s="177">
        <v>1</v>
      </c>
      <c r="I263" s="178">
        <v>0</v>
      </c>
      <c r="J263" s="176">
        <v>46036</v>
      </c>
      <c r="K263" s="172" t="s">
        <v>94</v>
      </c>
      <c r="L263" s="172" t="s">
        <v>95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177</v>
      </c>
      <c r="B264" s="176">
        <v>46042</v>
      </c>
      <c r="C264" s="172" t="s">
        <v>93</v>
      </c>
      <c r="D264" s="172" t="s">
        <v>24</v>
      </c>
      <c r="E264" s="172" t="s">
        <v>39</v>
      </c>
      <c r="F264" s="172" t="s">
        <v>88</v>
      </c>
      <c r="G264" s="172" t="s">
        <v>85</v>
      </c>
      <c r="H264" s="177">
        <v>1</v>
      </c>
      <c r="I264" s="178">
        <v>1750</v>
      </c>
      <c r="J264" s="176">
        <v>46041</v>
      </c>
      <c r="K264" s="172" t="s">
        <v>94</v>
      </c>
      <c r="L264" s="172" t="s">
        <v>95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177</v>
      </c>
      <c r="B265" s="176">
        <v>46042</v>
      </c>
      <c r="C265" s="172" t="s">
        <v>101</v>
      </c>
      <c r="D265" s="172" t="s">
        <v>102</v>
      </c>
      <c r="E265" s="172" t="s">
        <v>39</v>
      </c>
      <c r="F265" s="172" t="s">
        <v>88</v>
      </c>
      <c r="G265" s="172" t="s">
        <v>85</v>
      </c>
      <c r="H265" s="177">
        <v>1</v>
      </c>
      <c r="I265" s="178">
        <v>1750</v>
      </c>
      <c r="J265" s="176">
        <v>46041</v>
      </c>
      <c r="K265" s="172" t="s">
        <v>94</v>
      </c>
      <c r="L265" s="172" t="s">
        <v>95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177</v>
      </c>
      <c r="B266" s="176">
        <v>46042</v>
      </c>
      <c r="C266" s="172" t="s">
        <v>101</v>
      </c>
      <c r="D266" s="172" t="s">
        <v>103</v>
      </c>
      <c r="E266" s="172" t="s">
        <v>39</v>
      </c>
      <c r="F266" s="172" t="s">
        <v>88</v>
      </c>
      <c r="G266" s="172" t="s">
        <v>85</v>
      </c>
      <c r="H266" s="177">
        <v>1</v>
      </c>
      <c r="I266" s="178">
        <v>1750</v>
      </c>
      <c r="J266" s="176">
        <v>46041</v>
      </c>
      <c r="K266" s="172" t="s">
        <v>94</v>
      </c>
      <c r="L266" s="172" t="s">
        <v>95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177</v>
      </c>
      <c r="B267" s="176">
        <v>46042</v>
      </c>
      <c r="C267" s="172" t="s">
        <v>101</v>
      </c>
      <c r="D267" s="172" t="s">
        <v>104</v>
      </c>
      <c r="E267" s="172" t="s">
        <v>39</v>
      </c>
      <c r="F267" s="172" t="s">
        <v>88</v>
      </c>
      <c r="G267" s="172" t="s">
        <v>85</v>
      </c>
      <c r="H267" s="177">
        <v>1</v>
      </c>
      <c r="I267" s="178">
        <v>1750</v>
      </c>
      <c r="J267" s="176">
        <v>46041</v>
      </c>
      <c r="K267" s="172" t="s">
        <v>94</v>
      </c>
      <c r="L267" s="172" t="s">
        <v>95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177</v>
      </c>
      <c r="B268" s="176">
        <v>46042</v>
      </c>
      <c r="C268" s="172" t="s">
        <v>105</v>
      </c>
      <c r="D268" s="172" t="s">
        <v>106</v>
      </c>
      <c r="E268" s="172" t="s">
        <v>39</v>
      </c>
      <c r="F268" s="172" t="s">
        <v>88</v>
      </c>
      <c r="G268" s="172" t="s">
        <v>85</v>
      </c>
      <c r="H268" s="177">
        <v>1</v>
      </c>
      <c r="I268" s="178">
        <v>1750</v>
      </c>
      <c r="J268" s="176">
        <v>46041</v>
      </c>
      <c r="K268" s="172" t="s">
        <v>94</v>
      </c>
      <c r="L268" s="172" t="s">
        <v>95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177</v>
      </c>
      <c r="B269" s="176">
        <v>46042</v>
      </c>
      <c r="C269" s="172" t="s">
        <v>82</v>
      </c>
      <c r="D269" s="172" t="s">
        <v>96</v>
      </c>
      <c r="E269" s="172" t="s">
        <v>39</v>
      </c>
      <c r="F269" s="172" t="s">
        <v>88</v>
      </c>
      <c r="G269" s="172" t="s">
        <v>85</v>
      </c>
      <c r="H269" s="177">
        <v>1</v>
      </c>
      <c r="I269" s="178">
        <v>1750</v>
      </c>
      <c r="J269" s="176">
        <v>46041</v>
      </c>
      <c r="K269" s="172" t="s">
        <v>94</v>
      </c>
      <c r="L269" s="172" t="s">
        <v>95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178</v>
      </c>
      <c r="B270" s="176">
        <v>46042</v>
      </c>
      <c r="C270" s="172" t="s">
        <v>93</v>
      </c>
      <c r="D270" s="172" t="s">
        <v>24</v>
      </c>
      <c r="E270" s="172" t="s">
        <v>40</v>
      </c>
      <c r="F270" s="172" t="s">
        <v>118</v>
      </c>
      <c r="G270" s="172" t="s">
        <v>85</v>
      </c>
      <c r="H270" s="177">
        <v>1</v>
      </c>
      <c r="I270" s="178">
        <v>1750</v>
      </c>
      <c r="J270" s="176">
        <v>46040</v>
      </c>
      <c r="K270" s="172" t="s">
        <v>94</v>
      </c>
      <c r="L270" s="172" t="s">
        <v>95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178</v>
      </c>
      <c r="B271" s="176">
        <v>46042</v>
      </c>
      <c r="C271" s="172" t="s">
        <v>101</v>
      </c>
      <c r="D271" s="172" t="s">
        <v>102</v>
      </c>
      <c r="E271" s="172" t="s">
        <v>40</v>
      </c>
      <c r="F271" s="172" t="s">
        <v>118</v>
      </c>
      <c r="G271" s="172" t="s">
        <v>85</v>
      </c>
      <c r="H271" s="177">
        <v>1</v>
      </c>
      <c r="I271" s="178">
        <v>1750</v>
      </c>
      <c r="J271" s="176">
        <v>46040</v>
      </c>
      <c r="K271" s="172" t="s">
        <v>94</v>
      </c>
      <c r="L271" s="172" t="s">
        <v>95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178</v>
      </c>
      <c r="B272" s="176">
        <v>46042</v>
      </c>
      <c r="C272" s="172" t="s">
        <v>101</v>
      </c>
      <c r="D272" s="172" t="s">
        <v>103</v>
      </c>
      <c r="E272" s="172" t="s">
        <v>40</v>
      </c>
      <c r="F272" s="172" t="s">
        <v>118</v>
      </c>
      <c r="G272" s="172" t="s">
        <v>85</v>
      </c>
      <c r="H272" s="177">
        <v>1</v>
      </c>
      <c r="I272" s="178">
        <v>1750</v>
      </c>
      <c r="J272" s="176">
        <v>46040</v>
      </c>
      <c r="K272" s="172" t="s">
        <v>94</v>
      </c>
      <c r="L272" s="172" t="s">
        <v>95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178</v>
      </c>
      <c r="B273" s="176">
        <v>46042</v>
      </c>
      <c r="C273" s="172" t="s">
        <v>101</v>
      </c>
      <c r="D273" s="172" t="s">
        <v>104</v>
      </c>
      <c r="E273" s="172" t="s">
        <v>40</v>
      </c>
      <c r="F273" s="172" t="s">
        <v>118</v>
      </c>
      <c r="G273" s="172" t="s">
        <v>85</v>
      </c>
      <c r="H273" s="177">
        <v>1</v>
      </c>
      <c r="I273" s="178">
        <v>1750</v>
      </c>
      <c r="J273" s="176">
        <v>46040</v>
      </c>
      <c r="K273" s="172" t="s">
        <v>94</v>
      </c>
      <c r="L273" s="172" t="s">
        <v>95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178</v>
      </c>
      <c r="B274" s="176">
        <v>46042</v>
      </c>
      <c r="C274" s="172" t="s">
        <v>105</v>
      </c>
      <c r="D274" s="172" t="s">
        <v>106</v>
      </c>
      <c r="E274" s="172" t="s">
        <v>40</v>
      </c>
      <c r="F274" s="172" t="s">
        <v>118</v>
      </c>
      <c r="G274" s="172" t="s">
        <v>85</v>
      </c>
      <c r="H274" s="177">
        <v>1</v>
      </c>
      <c r="I274" s="178">
        <v>1750</v>
      </c>
      <c r="J274" s="176">
        <v>46040</v>
      </c>
      <c r="K274" s="172" t="s">
        <v>94</v>
      </c>
      <c r="L274" s="172" t="s">
        <v>95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178</v>
      </c>
      <c r="B275" s="176">
        <v>46042</v>
      </c>
      <c r="C275" s="172" t="s">
        <v>82</v>
      </c>
      <c r="D275" s="172" t="s">
        <v>96</v>
      </c>
      <c r="E275" s="172" t="s">
        <v>40</v>
      </c>
      <c r="F275" s="172" t="s">
        <v>118</v>
      </c>
      <c r="G275" s="172" t="s">
        <v>85</v>
      </c>
      <c r="H275" s="177">
        <v>1</v>
      </c>
      <c r="I275" s="178">
        <v>1750</v>
      </c>
      <c r="J275" s="176">
        <v>46040</v>
      </c>
      <c r="K275" s="172" t="s">
        <v>94</v>
      </c>
      <c r="L275" s="172" t="s">
        <v>95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179</v>
      </c>
      <c r="B276" s="176">
        <v>46042</v>
      </c>
      <c r="C276" s="172" t="s">
        <v>93</v>
      </c>
      <c r="D276" s="172" t="s">
        <v>24</v>
      </c>
      <c r="E276" s="172" t="s">
        <v>53</v>
      </c>
      <c r="F276" s="172" t="s">
        <v>91</v>
      </c>
      <c r="G276" s="172" t="s">
        <v>85</v>
      </c>
      <c r="H276" s="177">
        <v>1</v>
      </c>
      <c r="I276" s="178">
        <v>0</v>
      </c>
      <c r="J276" s="176">
        <v>46034</v>
      </c>
      <c r="K276" s="172" t="s">
        <v>94</v>
      </c>
      <c r="L276" s="172" t="s">
        <v>95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179</v>
      </c>
      <c r="B277" s="176">
        <v>46042</v>
      </c>
      <c r="C277" s="172" t="s">
        <v>82</v>
      </c>
      <c r="D277" s="172" t="s">
        <v>96</v>
      </c>
      <c r="E277" s="172" t="s">
        <v>53</v>
      </c>
      <c r="F277" s="172" t="s">
        <v>91</v>
      </c>
      <c r="G277" s="172" t="s">
        <v>85</v>
      </c>
      <c r="H277" s="177">
        <v>1</v>
      </c>
      <c r="I277" s="178">
        <v>0</v>
      </c>
      <c r="J277" s="176">
        <v>46034</v>
      </c>
      <c r="K277" s="172" t="s">
        <v>94</v>
      </c>
      <c r="L277" s="172" t="s">
        <v>95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179</v>
      </c>
      <c r="B278" s="176">
        <v>46042</v>
      </c>
      <c r="C278" s="172" t="s">
        <v>93</v>
      </c>
      <c r="D278" s="172" t="s">
        <v>97</v>
      </c>
      <c r="E278" s="172" t="s">
        <v>53</v>
      </c>
      <c r="F278" s="172" t="s">
        <v>91</v>
      </c>
      <c r="G278" s="172" t="s">
        <v>85</v>
      </c>
      <c r="H278" s="177">
        <v>1</v>
      </c>
      <c r="I278" s="178">
        <v>0</v>
      </c>
      <c r="J278" s="176">
        <v>46034</v>
      </c>
      <c r="K278" s="172" t="s">
        <v>94</v>
      </c>
      <c r="L278" s="172" t="s">
        <v>95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179</v>
      </c>
      <c r="B279" s="176">
        <v>46042</v>
      </c>
      <c r="C279" s="172" t="s">
        <v>93</v>
      </c>
      <c r="D279" s="172" t="s">
        <v>98</v>
      </c>
      <c r="E279" s="172" t="s">
        <v>53</v>
      </c>
      <c r="F279" s="172" t="s">
        <v>91</v>
      </c>
      <c r="G279" s="172" t="s">
        <v>85</v>
      </c>
      <c r="H279" s="177">
        <v>1</v>
      </c>
      <c r="I279" s="178">
        <v>0</v>
      </c>
      <c r="J279" s="176">
        <v>46034</v>
      </c>
      <c r="K279" s="172" t="s">
        <v>94</v>
      </c>
      <c r="L279" s="172" t="s">
        <v>95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179</v>
      </c>
      <c r="B280" s="176">
        <v>46042</v>
      </c>
      <c r="C280" s="172" t="s">
        <v>82</v>
      </c>
      <c r="D280" s="172" t="s">
        <v>99</v>
      </c>
      <c r="E280" s="172" t="s">
        <v>53</v>
      </c>
      <c r="F280" s="172" t="s">
        <v>91</v>
      </c>
      <c r="G280" s="172" t="s">
        <v>85</v>
      </c>
      <c r="H280" s="177">
        <v>1</v>
      </c>
      <c r="I280" s="178">
        <v>0</v>
      </c>
      <c r="J280" s="176">
        <v>46034</v>
      </c>
      <c r="K280" s="172" t="s">
        <v>94</v>
      </c>
      <c r="L280" s="172" t="s">
        <v>95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180</v>
      </c>
      <c r="B281" s="176">
        <v>46042</v>
      </c>
      <c r="C281" s="172" t="s">
        <v>82</v>
      </c>
      <c r="D281" s="172" t="s">
        <v>83</v>
      </c>
      <c r="E281" s="172" t="s">
        <v>54</v>
      </c>
      <c r="F281" s="172" t="s">
        <v>121</v>
      </c>
      <c r="G281" s="172" t="s">
        <v>85</v>
      </c>
      <c r="H281" s="177">
        <v>1</v>
      </c>
      <c r="I281" s="178">
        <v>0</v>
      </c>
      <c r="J281" s="176">
        <v>46042</v>
      </c>
      <c r="K281" s="172" t="s">
        <v>86</v>
      </c>
      <c r="L281" s="172" t="s">
        <v>86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181</v>
      </c>
      <c r="B282" s="176">
        <v>46042</v>
      </c>
      <c r="C282" s="172" t="s">
        <v>82</v>
      </c>
      <c r="D282" s="172" t="s">
        <v>83</v>
      </c>
      <c r="E282" s="172" t="s">
        <v>54</v>
      </c>
      <c r="F282" s="172" t="s">
        <v>121</v>
      </c>
      <c r="G282" s="172" t="s">
        <v>85</v>
      </c>
      <c r="H282" s="177">
        <v>1</v>
      </c>
      <c r="I282" s="178">
        <v>0</v>
      </c>
      <c r="J282" s="176">
        <v>46042</v>
      </c>
      <c r="K282" s="172" t="s">
        <v>86</v>
      </c>
      <c r="L282" s="172" t="s">
        <v>86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143</v>
      </c>
      <c r="B283" s="176">
        <v>46042</v>
      </c>
      <c r="C283" s="172" t="s">
        <v>110</v>
      </c>
      <c r="D283" s="172" t="s">
        <v>144</v>
      </c>
      <c r="E283" s="172" t="s">
        <v>86</v>
      </c>
      <c r="F283" s="172" t="s">
        <v>86</v>
      </c>
      <c r="G283" s="172" t="s">
        <v>86</v>
      </c>
      <c r="H283" s="177">
        <v>0</v>
      </c>
      <c r="I283" s="178">
        <v>0</v>
      </c>
      <c r="J283" s="176">
        <v>46042</v>
      </c>
      <c r="K283" s="172" t="s">
        <v>86</v>
      </c>
      <c r="L283" s="172" t="s">
        <v>86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145</v>
      </c>
      <c r="B284" s="176">
        <v>46042</v>
      </c>
      <c r="C284" s="172" t="s">
        <v>110</v>
      </c>
      <c r="D284" s="172" t="s">
        <v>140</v>
      </c>
      <c r="E284" s="172" t="s">
        <v>86</v>
      </c>
      <c r="F284" s="172" t="s">
        <v>86</v>
      </c>
      <c r="G284" s="172" t="s">
        <v>86</v>
      </c>
      <c r="H284" s="177">
        <v>0</v>
      </c>
      <c r="I284" s="178">
        <v>0</v>
      </c>
      <c r="J284" s="176">
        <v>46042</v>
      </c>
      <c r="K284" s="172" t="s">
        <v>86</v>
      </c>
      <c r="L284" s="172" t="s">
        <v>86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139</v>
      </c>
      <c r="B285" s="176">
        <v>46042</v>
      </c>
      <c r="C285" s="172" t="s">
        <v>110</v>
      </c>
      <c r="D285" s="172" t="s">
        <v>140</v>
      </c>
      <c r="E285" s="172" t="s">
        <v>86</v>
      </c>
      <c r="F285" s="172" t="s">
        <v>86</v>
      </c>
      <c r="G285" s="172" t="s">
        <v>86</v>
      </c>
      <c r="H285" s="177">
        <v>0</v>
      </c>
      <c r="I285" s="178">
        <v>0</v>
      </c>
      <c r="J285" s="176">
        <v>46042</v>
      </c>
      <c r="K285" s="172" t="s">
        <v>86</v>
      </c>
      <c r="L285" s="172" t="s">
        <v>86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146</v>
      </c>
      <c r="B286" s="176">
        <v>46042</v>
      </c>
      <c r="C286" s="172" t="s">
        <v>110</v>
      </c>
      <c r="D286" s="172" t="s">
        <v>140</v>
      </c>
      <c r="E286" s="172" t="s">
        <v>86</v>
      </c>
      <c r="F286" s="172" t="s">
        <v>86</v>
      </c>
      <c r="G286" s="172" t="s">
        <v>86</v>
      </c>
      <c r="H286" s="177">
        <v>0</v>
      </c>
      <c r="I286" s="178">
        <v>0</v>
      </c>
      <c r="J286" s="176">
        <v>46042</v>
      </c>
      <c r="K286" s="172" t="s">
        <v>86</v>
      </c>
      <c r="L286" s="172" t="s">
        <v>86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142</v>
      </c>
      <c r="B287" s="176">
        <v>46042</v>
      </c>
      <c r="C287" s="172" t="s">
        <v>110</v>
      </c>
      <c r="D287" s="172" t="s">
        <v>140</v>
      </c>
      <c r="E287" s="172" t="s">
        <v>86</v>
      </c>
      <c r="F287" s="172" t="s">
        <v>86</v>
      </c>
      <c r="G287" s="172" t="s">
        <v>86</v>
      </c>
      <c r="H287" s="177">
        <v>0</v>
      </c>
      <c r="I287" s="178">
        <v>0</v>
      </c>
      <c r="J287" s="176">
        <v>46042</v>
      </c>
      <c r="K287" s="172" t="s">
        <v>86</v>
      </c>
      <c r="L287" s="172" t="s">
        <v>86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182</v>
      </c>
      <c r="B288" s="176">
        <v>46043</v>
      </c>
      <c r="C288" s="172" t="s">
        <v>93</v>
      </c>
      <c r="D288" s="172" t="s">
        <v>24</v>
      </c>
      <c r="E288" s="172" t="s">
        <v>54</v>
      </c>
      <c r="F288" s="172" t="s">
        <v>121</v>
      </c>
      <c r="G288" s="172" t="s">
        <v>85</v>
      </c>
      <c r="H288" s="177">
        <v>1</v>
      </c>
      <c r="I288" s="178">
        <v>0</v>
      </c>
      <c r="J288" s="176">
        <v>46020</v>
      </c>
      <c r="K288" s="172" t="s">
        <v>94</v>
      </c>
      <c r="L288" s="172" t="s">
        <v>95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182</v>
      </c>
      <c r="B289" s="176">
        <v>46043</v>
      </c>
      <c r="C289" s="172" t="s">
        <v>82</v>
      </c>
      <c r="D289" s="172" t="s">
        <v>96</v>
      </c>
      <c r="E289" s="172" t="s">
        <v>54</v>
      </c>
      <c r="F289" s="172" t="s">
        <v>121</v>
      </c>
      <c r="G289" s="172" t="s">
        <v>85</v>
      </c>
      <c r="H289" s="177">
        <v>1</v>
      </c>
      <c r="I289" s="178">
        <v>0</v>
      </c>
      <c r="J289" s="176">
        <v>46020</v>
      </c>
      <c r="K289" s="172" t="s">
        <v>94</v>
      </c>
      <c r="L289" s="172" t="s">
        <v>95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182</v>
      </c>
      <c r="B290" s="176">
        <v>46043</v>
      </c>
      <c r="C290" s="172" t="s">
        <v>93</v>
      </c>
      <c r="D290" s="172" t="s">
        <v>97</v>
      </c>
      <c r="E290" s="172" t="s">
        <v>54</v>
      </c>
      <c r="F290" s="172" t="s">
        <v>121</v>
      </c>
      <c r="G290" s="172" t="s">
        <v>85</v>
      </c>
      <c r="H290" s="177">
        <v>1</v>
      </c>
      <c r="I290" s="178">
        <v>0</v>
      </c>
      <c r="J290" s="176">
        <v>46020</v>
      </c>
      <c r="K290" s="172" t="s">
        <v>94</v>
      </c>
      <c r="L290" s="172" t="s">
        <v>95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182</v>
      </c>
      <c r="B291" s="176">
        <v>46043</v>
      </c>
      <c r="C291" s="172" t="s">
        <v>93</v>
      </c>
      <c r="D291" s="172" t="s">
        <v>98</v>
      </c>
      <c r="E291" s="172" t="s">
        <v>54</v>
      </c>
      <c r="F291" s="172" t="s">
        <v>121</v>
      </c>
      <c r="G291" s="172" t="s">
        <v>85</v>
      </c>
      <c r="H291" s="177">
        <v>1</v>
      </c>
      <c r="I291" s="178">
        <v>0</v>
      </c>
      <c r="J291" s="176">
        <v>46020</v>
      </c>
      <c r="K291" s="172" t="s">
        <v>94</v>
      </c>
      <c r="L291" s="172" t="s">
        <v>95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182</v>
      </c>
      <c r="B292" s="176">
        <v>46043</v>
      </c>
      <c r="C292" s="172" t="s">
        <v>82</v>
      </c>
      <c r="D292" s="172" t="s">
        <v>99</v>
      </c>
      <c r="E292" s="172" t="s">
        <v>54</v>
      </c>
      <c r="F292" s="172" t="s">
        <v>121</v>
      </c>
      <c r="G292" s="172" t="s">
        <v>85</v>
      </c>
      <c r="H292" s="177">
        <v>1</v>
      </c>
      <c r="I292" s="178">
        <v>0</v>
      </c>
      <c r="J292" s="176">
        <v>46020</v>
      </c>
      <c r="K292" s="172" t="s">
        <v>94</v>
      </c>
      <c r="L292" s="172" t="s">
        <v>95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183</v>
      </c>
      <c r="B293" s="176">
        <v>46043</v>
      </c>
      <c r="C293" s="172" t="s">
        <v>93</v>
      </c>
      <c r="D293" s="172" t="s">
        <v>24</v>
      </c>
      <c r="E293" s="172" t="s">
        <v>54</v>
      </c>
      <c r="F293" s="172" t="s">
        <v>121</v>
      </c>
      <c r="G293" s="172" t="s">
        <v>85</v>
      </c>
      <c r="H293" s="177">
        <v>1</v>
      </c>
      <c r="I293" s="178">
        <v>0</v>
      </c>
      <c r="J293" s="176">
        <v>46024</v>
      </c>
      <c r="K293" s="172" t="s">
        <v>94</v>
      </c>
      <c r="L293" s="172" t="s">
        <v>95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183</v>
      </c>
      <c r="B294" s="176">
        <v>46043</v>
      </c>
      <c r="C294" s="172" t="s">
        <v>82</v>
      </c>
      <c r="D294" s="172" t="s">
        <v>96</v>
      </c>
      <c r="E294" s="172" t="s">
        <v>54</v>
      </c>
      <c r="F294" s="172" t="s">
        <v>121</v>
      </c>
      <c r="G294" s="172" t="s">
        <v>85</v>
      </c>
      <c r="H294" s="177">
        <v>1</v>
      </c>
      <c r="I294" s="178">
        <v>0</v>
      </c>
      <c r="J294" s="176">
        <v>46024</v>
      </c>
      <c r="K294" s="172" t="s">
        <v>94</v>
      </c>
      <c r="L294" s="172" t="s">
        <v>95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183</v>
      </c>
      <c r="B295" s="176">
        <v>46043</v>
      </c>
      <c r="C295" s="172" t="s">
        <v>93</v>
      </c>
      <c r="D295" s="172" t="s">
        <v>97</v>
      </c>
      <c r="E295" s="172" t="s">
        <v>54</v>
      </c>
      <c r="F295" s="172" t="s">
        <v>121</v>
      </c>
      <c r="G295" s="172" t="s">
        <v>85</v>
      </c>
      <c r="H295" s="177">
        <v>1</v>
      </c>
      <c r="I295" s="178">
        <v>0</v>
      </c>
      <c r="J295" s="176">
        <v>46024</v>
      </c>
      <c r="K295" s="172" t="s">
        <v>94</v>
      </c>
      <c r="L295" s="172" t="s">
        <v>95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183</v>
      </c>
      <c r="B296" s="176">
        <v>46043</v>
      </c>
      <c r="C296" s="172" t="s">
        <v>93</v>
      </c>
      <c r="D296" s="172" t="s">
        <v>98</v>
      </c>
      <c r="E296" s="172" t="s">
        <v>54</v>
      </c>
      <c r="F296" s="172" t="s">
        <v>121</v>
      </c>
      <c r="G296" s="172" t="s">
        <v>85</v>
      </c>
      <c r="H296" s="177">
        <v>1</v>
      </c>
      <c r="I296" s="178">
        <v>0</v>
      </c>
      <c r="J296" s="176">
        <v>46024</v>
      </c>
      <c r="K296" s="172" t="s">
        <v>94</v>
      </c>
      <c r="L296" s="172" t="s">
        <v>95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183</v>
      </c>
      <c r="B297" s="176">
        <v>46043</v>
      </c>
      <c r="C297" s="172" t="s">
        <v>82</v>
      </c>
      <c r="D297" s="172" t="s">
        <v>99</v>
      </c>
      <c r="E297" s="172" t="s">
        <v>54</v>
      </c>
      <c r="F297" s="172" t="s">
        <v>121</v>
      </c>
      <c r="G297" s="172" t="s">
        <v>85</v>
      </c>
      <c r="H297" s="177">
        <v>1</v>
      </c>
      <c r="I297" s="178">
        <v>0</v>
      </c>
      <c r="J297" s="176">
        <v>46024</v>
      </c>
      <c r="K297" s="172" t="s">
        <v>94</v>
      </c>
      <c r="L297" s="172" t="s">
        <v>95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86</v>
      </c>
      <c r="B298" s="176">
        <v>46043</v>
      </c>
      <c r="C298" s="172" t="s">
        <v>110</v>
      </c>
      <c r="D298" s="172" t="s">
        <v>111</v>
      </c>
      <c r="E298" s="172" t="s">
        <v>86</v>
      </c>
      <c r="F298" s="172" t="s">
        <v>86</v>
      </c>
      <c r="G298" s="172" t="s">
        <v>184</v>
      </c>
      <c r="H298" s="177">
        <v>0</v>
      </c>
      <c r="I298" s="178">
        <v>0</v>
      </c>
      <c r="J298" s="176">
        <v>46043</v>
      </c>
      <c r="K298" s="172" t="s">
        <v>86</v>
      </c>
      <c r="L298" s="172" t="s">
        <v>86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185</v>
      </c>
      <c r="B299" s="176">
        <v>46043</v>
      </c>
      <c r="C299" s="172" t="s">
        <v>93</v>
      </c>
      <c r="D299" s="172" t="s">
        <v>24</v>
      </c>
      <c r="E299" s="172" t="s">
        <v>53</v>
      </c>
      <c r="F299" s="172" t="s">
        <v>91</v>
      </c>
      <c r="G299" s="172" t="s">
        <v>85</v>
      </c>
      <c r="H299" s="177">
        <v>1</v>
      </c>
      <c r="I299" s="178">
        <v>0</v>
      </c>
      <c r="J299" s="176">
        <v>46035</v>
      </c>
      <c r="K299" s="172" t="s">
        <v>94</v>
      </c>
      <c r="L299" s="172" t="s">
        <v>95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185</v>
      </c>
      <c r="B300" s="176">
        <v>46043</v>
      </c>
      <c r="C300" s="172" t="s">
        <v>82</v>
      </c>
      <c r="D300" s="172" t="s">
        <v>96</v>
      </c>
      <c r="E300" s="172" t="s">
        <v>53</v>
      </c>
      <c r="F300" s="172" t="s">
        <v>91</v>
      </c>
      <c r="G300" s="172" t="s">
        <v>85</v>
      </c>
      <c r="H300" s="177">
        <v>1</v>
      </c>
      <c r="I300" s="178">
        <v>0</v>
      </c>
      <c r="J300" s="176">
        <v>46035</v>
      </c>
      <c r="K300" s="172" t="s">
        <v>94</v>
      </c>
      <c r="L300" s="172" t="s">
        <v>95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185</v>
      </c>
      <c r="B301" s="176">
        <v>46043</v>
      </c>
      <c r="C301" s="172" t="s">
        <v>93</v>
      </c>
      <c r="D301" s="172" t="s">
        <v>97</v>
      </c>
      <c r="E301" s="172" t="s">
        <v>53</v>
      </c>
      <c r="F301" s="172" t="s">
        <v>91</v>
      </c>
      <c r="G301" s="172" t="s">
        <v>85</v>
      </c>
      <c r="H301" s="177">
        <v>1</v>
      </c>
      <c r="I301" s="178">
        <v>0</v>
      </c>
      <c r="J301" s="176">
        <v>46035</v>
      </c>
      <c r="K301" s="172" t="s">
        <v>94</v>
      </c>
      <c r="L301" s="172" t="s">
        <v>95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185</v>
      </c>
      <c r="B302" s="176">
        <v>46043</v>
      </c>
      <c r="C302" s="172" t="s">
        <v>93</v>
      </c>
      <c r="D302" s="172" t="s">
        <v>98</v>
      </c>
      <c r="E302" s="172" t="s">
        <v>53</v>
      </c>
      <c r="F302" s="172" t="s">
        <v>91</v>
      </c>
      <c r="G302" s="172" t="s">
        <v>85</v>
      </c>
      <c r="H302" s="177">
        <v>1</v>
      </c>
      <c r="I302" s="178">
        <v>0</v>
      </c>
      <c r="J302" s="176">
        <v>46035</v>
      </c>
      <c r="K302" s="172" t="s">
        <v>94</v>
      </c>
      <c r="L302" s="172" t="s">
        <v>95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185</v>
      </c>
      <c r="B303" s="176">
        <v>46043</v>
      </c>
      <c r="C303" s="172" t="s">
        <v>82</v>
      </c>
      <c r="D303" s="172" t="s">
        <v>99</v>
      </c>
      <c r="E303" s="172" t="s">
        <v>53</v>
      </c>
      <c r="F303" s="172" t="s">
        <v>91</v>
      </c>
      <c r="G303" s="172" t="s">
        <v>85</v>
      </c>
      <c r="H303" s="177">
        <v>1</v>
      </c>
      <c r="I303" s="178">
        <v>0</v>
      </c>
      <c r="J303" s="176">
        <v>46035</v>
      </c>
      <c r="K303" s="172" t="s">
        <v>94</v>
      </c>
      <c r="L303" s="172" t="s">
        <v>95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186</v>
      </c>
      <c r="B304" s="176">
        <v>46043</v>
      </c>
      <c r="C304" s="172" t="s">
        <v>93</v>
      </c>
      <c r="D304" s="172" t="s">
        <v>24</v>
      </c>
      <c r="E304" s="172" t="s">
        <v>54</v>
      </c>
      <c r="F304" s="172" t="s">
        <v>121</v>
      </c>
      <c r="G304" s="172" t="s">
        <v>85</v>
      </c>
      <c r="H304" s="177">
        <v>1</v>
      </c>
      <c r="I304" s="178">
        <v>1845</v>
      </c>
      <c r="J304" s="176">
        <v>46037</v>
      </c>
      <c r="K304" s="172" t="s">
        <v>94</v>
      </c>
      <c r="L304" s="172" t="s">
        <v>95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186</v>
      </c>
      <c r="B305" s="176">
        <v>46043</v>
      </c>
      <c r="C305" s="172" t="s">
        <v>101</v>
      </c>
      <c r="D305" s="172" t="s">
        <v>102</v>
      </c>
      <c r="E305" s="172" t="s">
        <v>54</v>
      </c>
      <c r="F305" s="172" t="s">
        <v>121</v>
      </c>
      <c r="G305" s="172" t="s">
        <v>85</v>
      </c>
      <c r="H305" s="177">
        <v>1</v>
      </c>
      <c r="I305" s="178">
        <v>1845</v>
      </c>
      <c r="J305" s="176">
        <v>46037</v>
      </c>
      <c r="K305" s="172" t="s">
        <v>94</v>
      </c>
      <c r="L305" s="172" t="s">
        <v>95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186</v>
      </c>
      <c r="B306" s="176">
        <v>46043</v>
      </c>
      <c r="C306" s="172" t="s">
        <v>101</v>
      </c>
      <c r="D306" s="172" t="s">
        <v>103</v>
      </c>
      <c r="E306" s="172" t="s">
        <v>54</v>
      </c>
      <c r="F306" s="172" t="s">
        <v>121</v>
      </c>
      <c r="G306" s="172" t="s">
        <v>85</v>
      </c>
      <c r="H306" s="177">
        <v>1</v>
      </c>
      <c r="I306" s="178">
        <v>1845</v>
      </c>
      <c r="J306" s="176">
        <v>46037</v>
      </c>
      <c r="K306" s="172" t="s">
        <v>94</v>
      </c>
      <c r="L306" s="172" t="s">
        <v>95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186</v>
      </c>
      <c r="B307" s="176">
        <v>46043</v>
      </c>
      <c r="C307" s="172" t="s">
        <v>101</v>
      </c>
      <c r="D307" s="172" t="s">
        <v>104</v>
      </c>
      <c r="E307" s="172" t="s">
        <v>54</v>
      </c>
      <c r="F307" s="172" t="s">
        <v>121</v>
      </c>
      <c r="G307" s="172" t="s">
        <v>85</v>
      </c>
      <c r="H307" s="177">
        <v>1</v>
      </c>
      <c r="I307" s="178">
        <v>1845</v>
      </c>
      <c r="J307" s="176">
        <v>46037</v>
      </c>
      <c r="K307" s="172" t="s">
        <v>94</v>
      </c>
      <c r="L307" s="172" t="s">
        <v>95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186</v>
      </c>
      <c r="B308" s="176">
        <v>46043</v>
      </c>
      <c r="C308" s="172" t="s">
        <v>105</v>
      </c>
      <c r="D308" s="172" t="s">
        <v>106</v>
      </c>
      <c r="E308" s="172" t="s">
        <v>54</v>
      </c>
      <c r="F308" s="172" t="s">
        <v>121</v>
      </c>
      <c r="G308" s="172" t="s">
        <v>85</v>
      </c>
      <c r="H308" s="177">
        <v>1</v>
      </c>
      <c r="I308" s="178">
        <v>1845</v>
      </c>
      <c r="J308" s="176">
        <v>46037</v>
      </c>
      <c r="K308" s="172" t="s">
        <v>94</v>
      </c>
      <c r="L308" s="172" t="s">
        <v>95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186</v>
      </c>
      <c r="B309" s="176">
        <v>46043</v>
      </c>
      <c r="C309" s="172" t="s">
        <v>82</v>
      </c>
      <c r="D309" s="172" t="s">
        <v>96</v>
      </c>
      <c r="E309" s="172" t="s">
        <v>54</v>
      </c>
      <c r="F309" s="172" t="s">
        <v>121</v>
      </c>
      <c r="G309" s="172" t="s">
        <v>85</v>
      </c>
      <c r="H309" s="177">
        <v>1</v>
      </c>
      <c r="I309" s="178">
        <v>1845</v>
      </c>
      <c r="J309" s="176">
        <v>46037</v>
      </c>
      <c r="K309" s="172" t="s">
        <v>94</v>
      </c>
      <c r="L309" s="172" t="s">
        <v>95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187</v>
      </c>
      <c r="B310" s="176">
        <v>46043</v>
      </c>
      <c r="C310" s="172" t="s">
        <v>93</v>
      </c>
      <c r="D310" s="172" t="s">
        <v>24</v>
      </c>
      <c r="E310" s="172" t="s">
        <v>54</v>
      </c>
      <c r="F310" s="172" t="s">
        <v>121</v>
      </c>
      <c r="G310" s="172" t="s">
        <v>85</v>
      </c>
      <c r="H310" s="177">
        <v>1</v>
      </c>
      <c r="I310" s="178">
        <v>1845</v>
      </c>
      <c r="J310" s="176">
        <v>46038</v>
      </c>
      <c r="K310" s="172" t="s">
        <v>94</v>
      </c>
      <c r="L310" s="172" t="s">
        <v>95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187</v>
      </c>
      <c r="B311" s="176">
        <v>46043</v>
      </c>
      <c r="C311" s="172" t="s">
        <v>101</v>
      </c>
      <c r="D311" s="172" t="s">
        <v>102</v>
      </c>
      <c r="E311" s="172" t="s">
        <v>54</v>
      </c>
      <c r="F311" s="172" t="s">
        <v>121</v>
      </c>
      <c r="G311" s="172" t="s">
        <v>85</v>
      </c>
      <c r="H311" s="177">
        <v>1</v>
      </c>
      <c r="I311" s="178">
        <v>1845</v>
      </c>
      <c r="J311" s="176">
        <v>46038</v>
      </c>
      <c r="K311" s="172" t="s">
        <v>94</v>
      </c>
      <c r="L311" s="172" t="s">
        <v>95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187</v>
      </c>
      <c r="B312" s="176">
        <v>46043</v>
      </c>
      <c r="C312" s="172" t="s">
        <v>101</v>
      </c>
      <c r="D312" s="172" t="s">
        <v>103</v>
      </c>
      <c r="E312" s="172" t="s">
        <v>54</v>
      </c>
      <c r="F312" s="172" t="s">
        <v>121</v>
      </c>
      <c r="G312" s="172" t="s">
        <v>85</v>
      </c>
      <c r="H312" s="177">
        <v>1</v>
      </c>
      <c r="I312" s="178">
        <v>1845</v>
      </c>
      <c r="J312" s="176">
        <v>46038</v>
      </c>
      <c r="K312" s="172" t="s">
        <v>94</v>
      </c>
      <c r="L312" s="172" t="s">
        <v>95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187</v>
      </c>
      <c r="B313" s="176">
        <v>46043</v>
      </c>
      <c r="C313" s="172" t="s">
        <v>101</v>
      </c>
      <c r="D313" s="172" t="s">
        <v>104</v>
      </c>
      <c r="E313" s="172" t="s">
        <v>54</v>
      </c>
      <c r="F313" s="172" t="s">
        <v>121</v>
      </c>
      <c r="G313" s="172" t="s">
        <v>85</v>
      </c>
      <c r="H313" s="177">
        <v>1</v>
      </c>
      <c r="I313" s="178">
        <v>1845</v>
      </c>
      <c r="J313" s="176">
        <v>46038</v>
      </c>
      <c r="K313" s="172" t="s">
        <v>94</v>
      </c>
      <c r="L313" s="172" t="s">
        <v>95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187</v>
      </c>
      <c r="B314" s="176">
        <v>46043</v>
      </c>
      <c r="C314" s="172" t="s">
        <v>105</v>
      </c>
      <c r="D314" s="172" t="s">
        <v>106</v>
      </c>
      <c r="E314" s="172" t="s">
        <v>54</v>
      </c>
      <c r="F314" s="172" t="s">
        <v>121</v>
      </c>
      <c r="G314" s="172" t="s">
        <v>85</v>
      </c>
      <c r="H314" s="177">
        <v>1</v>
      </c>
      <c r="I314" s="178">
        <v>1845</v>
      </c>
      <c r="J314" s="176">
        <v>46038</v>
      </c>
      <c r="K314" s="172" t="s">
        <v>94</v>
      </c>
      <c r="L314" s="172" t="s">
        <v>95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187</v>
      </c>
      <c r="B315" s="176">
        <v>46043</v>
      </c>
      <c r="C315" s="172" t="s">
        <v>82</v>
      </c>
      <c r="D315" s="172" t="s">
        <v>96</v>
      </c>
      <c r="E315" s="172" t="s">
        <v>54</v>
      </c>
      <c r="F315" s="172" t="s">
        <v>121</v>
      </c>
      <c r="G315" s="172" t="s">
        <v>85</v>
      </c>
      <c r="H315" s="177">
        <v>1</v>
      </c>
      <c r="I315" s="178">
        <v>1845</v>
      </c>
      <c r="J315" s="176">
        <v>46038</v>
      </c>
      <c r="K315" s="172" t="s">
        <v>94</v>
      </c>
      <c r="L315" s="172" t="s">
        <v>95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188</v>
      </c>
      <c r="B316" s="176">
        <v>46043</v>
      </c>
      <c r="C316" s="172" t="s">
        <v>93</v>
      </c>
      <c r="D316" s="172" t="s">
        <v>24</v>
      </c>
      <c r="E316" s="172" t="s">
        <v>40</v>
      </c>
      <c r="F316" s="172" t="s">
        <v>118</v>
      </c>
      <c r="G316" s="172" t="s">
        <v>85</v>
      </c>
      <c r="H316" s="177">
        <v>1</v>
      </c>
      <c r="I316" s="178">
        <v>1750</v>
      </c>
      <c r="J316" s="176">
        <v>46040</v>
      </c>
      <c r="K316" s="172" t="s">
        <v>94</v>
      </c>
      <c r="L316" s="172" t="s">
        <v>95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188</v>
      </c>
      <c r="B317" s="176">
        <v>46043</v>
      </c>
      <c r="C317" s="172" t="s">
        <v>101</v>
      </c>
      <c r="D317" s="172" t="s">
        <v>102</v>
      </c>
      <c r="E317" s="172" t="s">
        <v>40</v>
      </c>
      <c r="F317" s="172" t="s">
        <v>118</v>
      </c>
      <c r="G317" s="172" t="s">
        <v>85</v>
      </c>
      <c r="H317" s="177">
        <v>1</v>
      </c>
      <c r="I317" s="178">
        <v>1750</v>
      </c>
      <c r="J317" s="176">
        <v>46040</v>
      </c>
      <c r="K317" s="172" t="s">
        <v>94</v>
      </c>
      <c r="L317" s="172" t="s">
        <v>95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188</v>
      </c>
      <c r="B318" s="176">
        <v>46043</v>
      </c>
      <c r="C318" s="172" t="s">
        <v>101</v>
      </c>
      <c r="D318" s="172" t="s">
        <v>103</v>
      </c>
      <c r="E318" s="172" t="s">
        <v>40</v>
      </c>
      <c r="F318" s="172" t="s">
        <v>118</v>
      </c>
      <c r="G318" s="172" t="s">
        <v>85</v>
      </c>
      <c r="H318" s="177">
        <v>1</v>
      </c>
      <c r="I318" s="178">
        <v>1750</v>
      </c>
      <c r="J318" s="176">
        <v>46040</v>
      </c>
      <c r="K318" s="172" t="s">
        <v>94</v>
      </c>
      <c r="L318" s="172" t="s">
        <v>95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188</v>
      </c>
      <c r="B319" s="176">
        <v>46043</v>
      </c>
      <c r="C319" s="172" t="s">
        <v>101</v>
      </c>
      <c r="D319" s="172" t="s">
        <v>104</v>
      </c>
      <c r="E319" s="172" t="s">
        <v>40</v>
      </c>
      <c r="F319" s="172" t="s">
        <v>118</v>
      </c>
      <c r="G319" s="172" t="s">
        <v>85</v>
      </c>
      <c r="H319" s="177">
        <v>1</v>
      </c>
      <c r="I319" s="178">
        <v>1750</v>
      </c>
      <c r="J319" s="176">
        <v>46040</v>
      </c>
      <c r="K319" s="172" t="s">
        <v>94</v>
      </c>
      <c r="L319" s="172" t="s">
        <v>95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188</v>
      </c>
      <c r="B320" s="176">
        <v>46043</v>
      </c>
      <c r="C320" s="172" t="s">
        <v>105</v>
      </c>
      <c r="D320" s="172" t="s">
        <v>106</v>
      </c>
      <c r="E320" s="172" t="s">
        <v>40</v>
      </c>
      <c r="F320" s="172" t="s">
        <v>118</v>
      </c>
      <c r="G320" s="172" t="s">
        <v>85</v>
      </c>
      <c r="H320" s="177">
        <v>1</v>
      </c>
      <c r="I320" s="178">
        <v>1750</v>
      </c>
      <c r="J320" s="176">
        <v>46040</v>
      </c>
      <c r="K320" s="172" t="s">
        <v>94</v>
      </c>
      <c r="L320" s="172" t="s">
        <v>95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188</v>
      </c>
      <c r="B321" s="176">
        <v>46043</v>
      </c>
      <c r="C321" s="172" t="s">
        <v>82</v>
      </c>
      <c r="D321" s="172" t="s">
        <v>96</v>
      </c>
      <c r="E321" s="172" t="s">
        <v>40</v>
      </c>
      <c r="F321" s="172" t="s">
        <v>118</v>
      </c>
      <c r="G321" s="172" t="s">
        <v>85</v>
      </c>
      <c r="H321" s="177">
        <v>1</v>
      </c>
      <c r="I321" s="178">
        <v>1750</v>
      </c>
      <c r="J321" s="176">
        <v>46040</v>
      </c>
      <c r="K321" s="172" t="s">
        <v>94</v>
      </c>
      <c r="L321" s="172" t="s">
        <v>95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189</v>
      </c>
      <c r="B322" s="176">
        <v>46043</v>
      </c>
      <c r="C322" s="172" t="s">
        <v>82</v>
      </c>
      <c r="D322" s="172" t="s">
        <v>83</v>
      </c>
      <c r="E322" s="172" t="s">
        <v>53</v>
      </c>
      <c r="F322" s="172" t="s">
        <v>91</v>
      </c>
      <c r="G322" s="172" t="s">
        <v>85</v>
      </c>
      <c r="H322" s="177">
        <v>1</v>
      </c>
      <c r="I322" s="178">
        <v>0</v>
      </c>
      <c r="J322" s="176">
        <v>46043</v>
      </c>
      <c r="K322" s="172" t="s">
        <v>86</v>
      </c>
      <c r="L322" s="172" t="s">
        <v>86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190</v>
      </c>
      <c r="B323" s="176">
        <v>46043</v>
      </c>
      <c r="C323" s="172" t="s">
        <v>93</v>
      </c>
      <c r="D323" s="172" t="s">
        <v>24</v>
      </c>
      <c r="E323" s="172" t="s">
        <v>53</v>
      </c>
      <c r="F323" s="172" t="s">
        <v>91</v>
      </c>
      <c r="G323" s="172" t="s">
        <v>85</v>
      </c>
      <c r="H323" s="177">
        <v>1</v>
      </c>
      <c r="I323" s="178">
        <v>1885</v>
      </c>
      <c r="J323" s="176">
        <v>46042</v>
      </c>
      <c r="K323" s="172" t="s">
        <v>94</v>
      </c>
      <c r="L323" s="172" t="s">
        <v>95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190</v>
      </c>
      <c r="B324" s="176">
        <v>46043</v>
      </c>
      <c r="C324" s="172" t="s">
        <v>101</v>
      </c>
      <c r="D324" s="172" t="s">
        <v>102</v>
      </c>
      <c r="E324" s="172" t="s">
        <v>53</v>
      </c>
      <c r="F324" s="172" t="s">
        <v>91</v>
      </c>
      <c r="G324" s="172" t="s">
        <v>85</v>
      </c>
      <c r="H324" s="177">
        <v>1</v>
      </c>
      <c r="I324" s="178">
        <v>1885</v>
      </c>
      <c r="J324" s="176">
        <v>46042</v>
      </c>
      <c r="K324" s="172" t="s">
        <v>94</v>
      </c>
      <c r="L324" s="172" t="s">
        <v>95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190</v>
      </c>
      <c r="B325" s="176">
        <v>46043</v>
      </c>
      <c r="C325" s="172" t="s">
        <v>101</v>
      </c>
      <c r="D325" s="172" t="s">
        <v>103</v>
      </c>
      <c r="E325" s="172" t="s">
        <v>53</v>
      </c>
      <c r="F325" s="172" t="s">
        <v>91</v>
      </c>
      <c r="G325" s="172" t="s">
        <v>85</v>
      </c>
      <c r="H325" s="177">
        <v>1</v>
      </c>
      <c r="I325" s="178">
        <v>1885</v>
      </c>
      <c r="J325" s="176">
        <v>46042</v>
      </c>
      <c r="K325" s="172" t="s">
        <v>94</v>
      </c>
      <c r="L325" s="172" t="s">
        <v>95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190</v>
      </c>
      <c r="B326" s="176">
        <v>46043</v>
      </c>
      <c r="C326" s="172" t="s">
        <v>101</v>
      </c>
      <c r="D326" s="172" t="s">
        <v>104</v>
      </c>
      <c r="E326" s="172" t="s">
        <v>53</v>
      </c>
      <c r="F326" s="172" t="s">
        <v>91</v>
      </c>
      <c r="G326" s="172" t="s">
        <v>85</v>
      </c>
      <c r="H326" s="177">
        <v>1</v>
      </c>
      <c r="I326" s="178">
        <v>1885</v>
      </c>
      <c r="J326" s="176">
        <v>46042</v>
      </c>
      <c r="K326" s="172" t="s">
        <v>94</v>
      </c>
      <c r="L326" s="172" t="s">
        <v>95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190</v>
      </c>
      <c r="B327" s="176">
        <v>46043</v>
      </c>
      <c r="C327" s="172" t="s">
        <v>105</v>
      </c>
      <c r="D327" s="172" t="s">
        <v>106</v>
      </c>
      <c r="E327" s="172" t="s">
        <v>53</v>
      </c>
      <c r="F327" s="172" t="s">
        <v>91</v>
      </c>
      <c r="G327" s="172" t="s">
        <v>85</v>
      </c>
      <c r="H327" s="177">
        <v>1</v>
      </c>
      <c r="I327" s="178">
        <v>1885</v>
      </c>
      <c r="J327" s="176">
        <v>46042</v>
      </c>
      <c r="K327" s="172" t="s">
        <v>94</v>
      </c>
      <c r="L327" s="172" t="s">
        <v>95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190</v>
      </c>
      <c r="B328" s="176">
        <v>46043</v>
      </c>
      <c r="C328" s="172" t="s">
        <v>82</v>
      </c>
      <c r="D328" s="172" t="s">
        <v>96</v>
      </c>
      <c r="E328" s="172" t="s">
        <v>53</v>
      </c>
      <c r="F328" s="172" t="s">
        <v>91</v>
      </c>
      <c r="G328" s="172" t="s">
        <v>85</v>
      </c>
      <c r="H328" s="177">
        <v>1</v>
      </c>
      <c r="I328" s="178">
        <v>1885</v>
      </c>
      <c r="J328" s="176">
        <v>46042</v>
      </c>
      <c r="K328" s="172" t="s">
        <v>94</v>
      </c>
      <c r="L328" s="172" t="s">
        <v>95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191</v>
      </c>
      <c r="B329" s="176">
        <v>46043</v>
      </c>
      <c r="C329" s="172" t="s">
        <v>82</v>
      </c>
      <c r="D329" s="172" t="s">
        <v>83</v>
      </c>
      <c r="E329" s="172" t="s">
        <v>42</v>
      </c>
      <c r="F329" s="172" t="s">
        <v>84</v>
      </c>
      <c r="G329" s="172" t="s">
        <v>85</v>
      </c>
      <c r="H329" s="177">
        <v>1</v>
      </c>
      <c r="I329" s="178">
        <v>0</v>
      </c>
      <c r="J329" s="176">
        <v>46043</v>
      </c>
      <c r="K329" s="172" t="s">
        <v>86</v>
      </c>
      <c r="L329" s="172" t="s">
        <v>86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192</v>
      </c>
      <c r="B330" s="176">
        <v>46043</v>
      </c>
      <c r="C330" s="172" t="s">
        <v>82</v>
      </c>
      <c r="D330" s="172" t="s">
        <v>83</v>
      </c>
      <c r="E330" s="172" t="s">
        <v>54</v>
      </c>
      <c r="F330" s="172" t="s">
        <v>121</v>
      </c>
      <c r="G330" s="172" t="s">
        <v>85</v>
      </c>
      <c r="H330" s="177">
        <v>1</v>
      </c>
      <c r="I330" s="178">
        <v>0</v>
      </c>
      <c r="J330" s="176">
        <v>46043</v>
      </c>
      <c r="K330" s="172" t="s">
        <v>86</v>
      </c>
      <c r="L330" s="172" t="s">
        <v>86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193</v>
      </c>
      <c r="B331" s="176">
        <v>46043</v>
      </c>
      <c r="C331" s="172" t="s">
        <v>93</v>
      </c>
      <c r="D331" s="172" t="s">
        <v>24</v>
      </c>
      <c r="E331" s="172" t="s">
        <v>54</v>
      </c>
      <c r="F331" s="172" t="s">
        <v>121</v>
      </c>
      <c r="G331" s="172" t="s">
        <v>85</v>
      </c>
      <c r="H331" s="177">
        <v>1</v>
      </c>
      <c r="I331" s="178">
        <v>1845</v>
      </c>
      <c r="J331" s="176">
        <v>46036</v>
      </c>
      <c r="K331" s="172" t="s">
        <v>94</v>
      </c>
      <c r="L331" s="172" t="s">
        <v>95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193</v>
      </c>
      <c r="B332" s="176">
        <v>46043</v>
      </c>
      <c r="C332" s="172" t="s">
        <v>101</v>
      </c>
      <c r="D332" s="172" t="s">
        <v>102</v>
      </c>
      <c r="E332" s="172" t="s">
        <v>54</v>
      </c>
      <c r="F332" s="172" t="s">
        <v>121</v>
      </c>
      <c r="G332" s="172" t="s">
        <v>85</v>
      </c>
      <c r="H332" s="177">
        <v>1</v>
      </c>
      <c r="I332" s="178">
        <v>1845</v>
      </c>
      <c r="J332" s="176">
        <v>46036</v>
      </c>
      <c r="K332" s="172" t="s">
        <v>94</v>
      </c>
      <c r="L332" s="172" t="s">
        <v>95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193</v>
      </c>
      <c r="B333" s="176">
        <v>46043</v>
      </c>
      <c r="C333" s="172" t="s">
        <v>101</v>
      </c>
      <c r="D333" s="172" t="s">
        <v>103</v>
      </c>
      <c r="E333" s="172" t="s">
        <v>54</v>
      </c>
      <c r="F333" s="172" t="s">
        <v>121</v>
      </c>
      <c r="G333" s="172" t="s">
        <v>85</v>
      </c>
      <c r="H333" s="177">
        <v>1</v>
      </c>
      <c r="I333" s="178">
        <v>1845</v>
      </c>
      <c r="J333" s="176">
        <v>46036</v>
      </c>
      <c r="K333" s="172" t="s">
        <v>94</v>
      </c>
      <c r="L333" s="172" t="s">
        <v>95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193</v>
      </c>
      <c r="B334" s="176">
        <v>46043</v>
      </c>
      <c r="C334" s="172" t="s">
        <v>101</v>
      </c>
      <c r="D334" s="172" t="s">
        <v>104</v>
      </c>
      <c r="E334" s="172" t="s">
        <v>54</v>
      </c>
      <c r="F334" s="172" t="s">
        <v>121</v>
      </c>
      <c r="G334" s="172" t="s">
        <v>85</v>
      </c>
      <c r="H334" s="177">
        <v>1</v>
      </c>
      <c r="I334" s="178">
        <v>1845</v>
      </c>
      <c r="J334" s="176">
        <v>46036</v>
      </c>
      <c r="K334" s="172" t="s">
        <v>94</v>
      </c>
      <c r="L334" s="172" t="s">
        <v>95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193</v>
      </c>
      <c r="B335" s="176">
        <v>46043</v>
      </c>
      <c r="C335" s="172" t="s">
        <v>105</v>
      </c>
      <c r="D335" s="172" t="s">
        <v>106</v>
      </c>
      <c r="E335" s="172" t="s">
        <v>54</v>
      </c>
      <c r="F335" s="172" t="s">
        <v>121</v>
      </c>
      <c r="G335" s="172" t="s">
        <v>85</v>
      </c>
      <c r="H335" s="177">
        <v>1</v>
      </c>
      <c r="I335" s="178">
        <v>1845</v>
      </c>
      <c r="J335" s="176">
        <v>46036</v>
      </c>
      <c r="K335" s="172" t="s">
        <v>94</v>
      </c>
      <c r="L335" s="172" t="s">
        <v>95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193</v>
      </c>
      <c r="B336" s="176">
        <v>46043</v>
      </c>
      <c r="C336" s="172" t="s">
        <v>82</v>
      </c>
      <c r="D336" s="172" t="s">
        <v>96</v>
      </c>
      <c r="E336" s="172" t="s">
        <v>54</v>
      </c>
      <c r="F336" s="172" t="s">
        <v>121</v>
      </c>
      <c r="G336" s="172" t="s">
        <v>85</v>
      </c>
      <c r="H336" s="177">
        <v>1</v>
      </c>
      <c r="I336" s="178">
        <v>1845</v>
      </c>
      <c r="J336" s="176">
        <v>46036</v>
      </c>
      <c r="K336" s="172" t="s">
        <v>94</v>
      </c>
      <c r="L336" s="172" t="s">
        <v>95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194</v>
      </c>
      <c r="B337" s="176">
        <v>46043</v>
      </c>
      <c r="C337" s="172" t="s">
        <v>82</v>
      </c>
      <c r="D337" s="172" t="s">
        <v>83</v>
      </c>
      <c r="E337" s="172" t="s">
        <v>53</v>
      </c>
      <c r="F337" s="172" t="s">
        <v>91</v>
      </c>
      <c r="G337" s="172" t="s">
        <v>85</v>
      </c>
      <c r="H337" s="177">
        <v>1</v>
      </c>
      <c r="I337" s="178">
        <v>0</v>
      </c>
      <c r="J337" s="176">
        <v>46043</v>
      </c>
      <c r="K337" s="172" t="s">
        <v>86</v>
      </c>
      <c r="L337" s="172" t="s">
        <v>86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195</v>
      </c>
      <c r="B338" s="176">
        <v>46043</v>
      </c>
      <c r="C338" s="172" t="s">
        <v>93</v>
      </c>
      <c r="D338" s="172" t="s">
        <v>24</v>
      </c>
      <c r="E338" s="172" t="s">
        <v>42</v>
      </c>
      <c r="F338" s="172" t="s">
        <v>84</v>
      </c>
      <c r="G338" s="172" t="s">
        <v>85</v>
      </c>
      <c r="H338" s="177">
        <v>1</v>
      </c>
      <c r="I338" s="178">
        <v>1750</v>
      </c>
      <c r="J338" s="176">
        <v>46039</v>
      </c>
      <c r="K338" s="172" t="s">
        <v>94</v>
      </c>
      <c r="L338" s="172" t="s">
        <v>95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195</v>
      </c>
      <c r="B339" s="176">
        <v>46043</v>
      </c>
      <c r="C339" s="172" t="s">
        <v>101</v>
      </c>
      <c r="D339" s="172" t="s">
        <v>102</v>
      </c>
      <c r="E339" s="172" t="s">
        <v>42</v>
      </c>
      <c r="F339" s="172" t="s">
        <v>84</v>
      </c>
      <c r="G339" s="172" t="s">
        <v>85</v>
      </c>
      <c r="H339" s="177">
        <v>1</v>
      </c>
      <c r="I339" s="178">
        <v>1750</v>
      </c>
      <c r="J339" s="176">
        <v>46039</v>
      </c>
      <c r="K339" s="172" t="s">
        <v>94</v>
      </c>
      <c r="L339" s="172" t="s">
        <v>95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195</v>
      </c>
      <c r="B340" s="176">
        <v>46043</v>
      </c>
      <c r="C340" s="172" t="s">
        <v>101</v>
      </c>
      <c r="D340" s="172" t="s">
        <v>103</v>
      </c>
      <c r="E340" s="172" t="s">
        <v>42</v>
      </c>
      <c r="F340" s="172" t="s">
        <v>84</v>
      </c>
      <c r="G340" s="172" t="s">
        <v>85</v>
      </c>
      <c r="H340" s="177">
        <v>1</v>
      </c>
      <c r="I340" s="178">
        <v>1750</v>
      </c>
      <c r="J340" s="176">
        <v>46039</v>
      </c>
      <c r="K340" s="172" t="s">
        <v>94</v>
      </c>
      <c r="L340" s="172" t="s">
        <v>95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195</v>
      </c>
      <c r="B341" s="176">
        <v>46043</v>
      </c>
      <c r="C341" s="172" t="s">
        <v>101</v>
      </c>
      <c r="D341" s="172" t="s">
        <v>104</v>
      </c>
      <c r="E341" s="172" t="s">
        <v>42</v>
      </c>
      <c r="F341" s="172" t="s">
        <v>84</v>
      </c>
      <c r="G341" s="172" t="s">
        <v>85</v>
      </c>
      <c r="H341" s="177">
        <v>1</v>
      </c>
      <c r="I341" s="178">
        <v>1750</v>
      </c>
      <c r="J341" s="176">
        <v>46039</v>
      </c>
      <c r="K341" s="172" t="s">
        <v>94</v>
      </c>
      <c r="L341" s="172" t="s">
        <v>95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195</v>
      </c>
      <c r="B342" s="176">
        <v>46043</v>
      </c>
      <c r="C342" s="172" t="s">
        <v>105</v>
      </c>
      <c r="D342" s="172" t="s">
        <v>106</v>
      </c>
      <c r="E342" s="172" t="s">
        <v>42</v>
      </c>
      <c r="F342" s="172" t="s">
        <v>84</v>
      </c>
      <c r="G342" s="172" t="s">
        <v>85</v>
      </c>
      <c r="H342" s="177">
        <v>1</v>
      </c>
      <c r="I342" s="178">
        <v>1750</v>
      </c>
      <c r="J342" s="176">
        <v>46039</v>
      </c>
      <c r="K342" s="172" t="s">
        <v>94</v>
      </c>
      <c r="L342" s="172" t="s">
        <v>95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195</v>
      </c>
      <c r="B343" s="176">
        <v>46043</v>
      </c>
      <c r="C343" s="172" t="s">
        <v>82</v>
      </c>
      <c r="D343" s="172" t="s">
        <v>96</v>
      </c>
      <c r="E343" s="172" t="s">
        <v>42</v>
      </c>
      <c r="F343" s="172" t="s">
        <v>84</v>
      </c>
      <c r="G343" s="172" t="s">
        <v>85</v>
      </c>
      <c r="H343" s="177">
        <v>1</v>
      </c>
      <c r="I343" s="178">
        <v>1750</v>
      </c>
      <c r="J343" s="176">
        <v>46039</v>
      </c>
      <c r="K343" s="172" t="s">
        <v>94</v>
      </c>
      <c r="L343" s="172" t="s">
        <v>95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196</v>
      </c>
      <c r="B344" s="176">
        <v>46043</v>
      </c>
      <c r="C344" s="172" t="s">
        <v>82</v>
      </c>
      <c r="D344" s="172" t="s">
        <v>83</v>
      </c>
      <c r="E344" s="172" t="s">
        <v>42</v>
      </c>
      <c r="F344" s="172" t="s">
        <v>84</v>
      </c>
      <c r="G344" s="172" t="s">
        <v>85</v>
      </c>
      <c r="H344" s="177">
        <v>1</v>
      </c>
      <c r="I344" s="178">
        <v>0</v>
      </c>
      <c r="J344" s="176">
        <v>46043</v>
      </c>
      <c r="K344" s="172" t="s">
        <v>86</v>
      </c>
      <c r="L344" s="172" t="s">
        <v>86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197</v>
      </c>
      <c r="B345" s="176">
        <v>46043</v>
      </c>
      <c r="C345" s="172" t="s">
        <v>93</v>
      </c>
      <c r="D345" s="172" t="s">
        <v>24</v>
      </c>
      <c r="E345" s="172" t="s">
        <v>41</v>
      </c>
      <c r="F345" s="172" t="s">
        <v>198</v>
      </c>
      <c r="G345" s="172" t="s">
        <v>85</v>
      </c>
      <c r="H345" s="177">
        <v>1</v>
      </c>
      <c r="I345" s="178">
        <v>1750</v>
      </c>
      <c r="J345" s="176">
        <v>46041</v>
      </c>
      <c r="K345" s="172" t="s">
        <v>94</v>
      </c>
      <c r="L345" s="172" t="s">
        <v>95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197</v>
      </c>
      <c r="B346" s="176">
        <v>46043</v>
      </c>
      <c r="C346" s="172" t="s">
        <v>101</v>
      </c>
      <c r="D346" s="172" t="s">
        <v>102</v>
      </c>
      <c r="E346" s="172" t="s">
        <v>41</v>
      </c>
      <c r="F346" s="172" t="s">
        <v>198</v>
      </c>
      <c r="G346" s="172" t="s">
        <v>85</v>
      </c>
      <c r="H346" s="177">
        <v>1</v>
      </c>
      <c r="I346" s="178">
        <v>1750</v>
      </c>
      <c r="J346" s="176">
        <v>46041</v>
      </c>
      <c r="K346" s="172" t="s">
        <v>94</v>
      </c>
      <c r="L346" s="172" t="s">
        <v>95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197</v>
      </c>
      <c r="B347" s="176">
        <v>46043</v>
      </c>
      <c r="C347" s="172" t="s">
        <v>101</v>
      </c>
      <c r="D347" s="172" t="s">
        <v>103</v>
      </c>
      <c r="E347" s="172" t="s">
        <v>41</v>
      </c>
      <c r="F347" s="172" t="s">
        <v>198</v>
      </c>
      <c r="G347" s="172" t="s">
        <v>85</v>
      </c>
      <c r="H347" s="177">
        <v>1</v>
      </c>
      <c r="I347" s="178">
        <v>1750</v>
      </c>
      <c r="J347" s="176">
        <v>46041</v>
      </c>
      <c r="K347" s="172" t="s">
        <v>94</v>
      </c>
      <c r="L347" s="172" t="s">
        <v>95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197</v>
      </c>
      <c r="B348" s="176">
        <v>46043</v>
      </c>
      <c r="C348" s="172" t="s">
        <v>101</v>
      </c>
      <c r="D348" s="172" t="s">
        <v>104</v>
      </c>
      <c r="E348" s="172" t="s">
        <v>41</v>
      </c>
      <c r="F348" s="172" t="s">
        <v>198</v>
      </c>
      <c r="G348" s="172" t="s">
        <v>85</v>
      </c>
      <c r="H348" s="177">
        <v>1</v>
      </c>
      <c r="I348" s="178">
        <v>1750</v>
      </c>
      <c r="J348" s="176">
        <v>46041</v>
      </c>
      <c r="K348" s="172" t="s">
        <v>94</v>
      </c>
      <c r="L348" s="172" t="s">
        <v>95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197</v>
      </c>
      <c r="B349" s="176">
        <v>46043</v>
      </c>
      <c r="C349" s="172" t="s">
        <v>105</v>
      </c>
      <c r="D349" s="172" t="s">
        <v>106</v>
      </c>
      <c r="E349" s="172" t="s">
        <v>41</v>
      </c>
      <c r="F349" s="172" t="s">
        <v>198</v>
      </c>
      <c r="G349" s="172" t="s">
        <v>85</v>
      </c>
      <c r="H349" s="177">
        <v>1</v>
      </c>
      <c r="I349" s="178">
        <v>1750</v>
      </c>
      <c r="J349" s="176">
        <v>46041</v>
      </c>
      <c r="K349" s="172" t="s">
        <v>94</v>
      </c>
      <c r="L349" s="172" t="s">
        <v>95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197</v>
      </c>
      <c r="B350" s="176">
        <v>46043</v>
      </c>
      <c r="C350" s="172" t="s">
        <v>82</v>
      </c>
      <c r="D350" s="172" t="s">
        <v>96</v>
      </c>
      <c r="E350" s="172" t="s">
        <v>41</v>
      </c>
      <c r="F350" s="172" t="s">
        <v>198</v>
      </c>
      <c r="G350" s="172" t="s">
        <v>85</v>
      </c>
      <c r="H350" s="177">
        <v>1</v>
      </c>
      <c r="I350" s="178">
        <v>1750</v>
      </c>
      <c r="J350" s="176">
        <v>46041</v>
      </c>
      <c r="K350" s="172" t="s">
        <v>94</v>
      </c>
      <c r="L350" s="172" t="s">
        <v>95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197</v>
      </c>
      <c r="B351" s="176">
        <v>46043</v>
      </c>
      <c r="C351" s="172" t="s">
        <v>82</v>
      </c>
      <c r="D351" s="172" t="s">
        <v>83</v>
      </c>
      <c r="E351" s="172" t="s">
        <v>41</v>
      </c>
      <c r="F351" s="172" t="s">
        <v>198</v>
      </c>
      <c r="G351" s="172" t="s">
        <v>85</v>
      </c>
      <c r="H351" s="177">
        <v>1</v>
      </c>
      <c r="I351" s="178">
        <v>0</v>
      </c>
      <c r="J351" s="176">
        <v>46041</v>
      </c>
      <c r="K351" s="172" t="s">
        <v>86</v>
      </c>
      <c r="L351" s="172" t="s">
        <v>86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199</v>
      </c>
      <c r="B352" s="176">
        <v>46043</v>
      </c>
      <c r="C352" s="172" t="s">
        <v>93</v>
      </c>
      <c r="D352" s="172" t="s">
        <v>24</v>
      </c>
      <c r="E352" s="172" t="s">
        <v>54</v>
      </c>
      <c r="F352" s="172" t="s">
        <v>121</v>
      </c>
      <c r="G352" s="172" t="s">
        <v>85</v>
      </c>
      <c r="H352" s="177">
        <v>1</v>
      </c>
      <c r="I352" s="178">
        <v>1845</v>
      </c>
      <c r="J352" s="176">
        <v>46040</v>
      </c>
      <c r="K352" s="172" t="s">
        <v>94</v>
      </c>
      <c r="L352" s="172" t="s">
        <v>95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199</v>
      </c>
      <c r="B353" s="176">
        <v>46043</v>
      </c>
      <c r="C353" s="172" t="s">
        <v>101</v>
      </c>
      <c r="D353" s="172" t="s">
        <v>102</v>
      </c>
      <c r="E353" s="172" t="s">
        <v>54</v>
      </c>
      <c r="F353" s="172" t="s">
        <v>121</v>
      </c>
      <c r="G353" s="172" t="s">
        <v>85</v>
      </c>
      <c r="H353" s="177">
        <v>1</v>
      </c>
      <c r="I353" s="178">
        <v>1845</v>
      </c>
      <c r="J353" s="176">
        <v>46040</v>
      </c>
      <c r="K353" s="172" t="s">
        <v>94</v>
      </c>
      <c r="L353" s="172" t="s">
        <v>95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199</v>
      </c>
      <c r="B354" s="176">
        <v>46043</v>
      </c>
      <c r="C354" s="172" t="s">
        <v>101</v>
      </c>
      <c r="D354" s="172" t="s">
        <v>103</v>
      </c>
      <c r="E354" s="172" t="s">
        <v>54</v>
      </c>
      <c r="F354" s="172" t="s">
        <v>121</v>
      </c>
      <c r="G354" s="172" t="s">
        <v>85</v>
      </c>
      <c r="H354" s="177">
        <v>1</v>
      </c>
      <c r="I354" s="178">
        <v>1845</v>
      </c>
      <c r="J354" s="176">
        <v>46040</v>
      </c>
      <c r="K354" s="172" t="s">
        <v>94</v>
      </c>
      <c r="L354" s="172" t="s">
        <v>95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199</v>
      </c>
      <c r="B355" s="176">
        <v>46043</v>
      </c>
      <c r="C355" s="172" t="s">
        <v>101</v>
      </c>
      <c r="D355" s="172" t="s">
        <v>104</v>
      </c>
      <c r="E355" s="172" t="s">
        <v>54</v>
      </c>
      <c r="F355" s="172" t="s">
        <v>121</v>
      </c>
      <c r="G355" s="172" t="s">
        <v>85</v>
      </c>
      <c r="H355" s="177">
        <v>1</v>
      </c>
      <c r="I355" s="178">
        <v>1845</v>
      </c>
      <c r="J355" s="176">
        <v>46040</v>
      </c>
      <c r="K355" s="172" t="s">
        <v>94</v>
      </c>
      <c r="L355" s="172" t="s">
        <v>95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199</v>
      </c>
      <c r="B356" s="176">
        <v>46043</v>
      </c>
      <c r="C356" s="172" t="s">
        <v>105</v>
      </c>
      <c r="D356" s="172" t="s">
        <v>106</v>
      </c>
      <c r="E356" s="172" t="s">
        <v>54</v>
      </c>
      <c r="F356" s="172" t="s">
        <v>121</v>
      </c>
      <c r="G356" s="172" t="s">
        <v>85</v>
      </c>
      <c r="H356" s="177">
        <v>1</v>
      </c>
      <c r="I356" s="178">
        <v>1845</v>
      </c>
      <c r="J356" s="176">
        <v>46040</v>
      </c>
      <c r="K356" s="172" t="s">
        <v>94</v>
      </c>
      <c r="L356" s="172" t="s">
        <v>95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199</v>
      </c>
      <c r="B357" s="176">
        <v>46043</v>
      </c>
      <c r="C357" s="172" t="s">
        <v>82</v>
      </c>
      <c r="D357" s="172" t="s">
        <v>96</v>
      </c>
      <c r="E357" s="172" t="s">
        <v>54</v>
      </c>
      <c r="F357" s="172" t="s">
        <v>121</v>
      </c>
      <c r="G357" s="172" t="s">
        <v>85</v>
      </c>
      <c r="H357" s="177">
        <v>1</v>
      </c>
      <c r="I357" s="178">
        <v>1845</v>
      </c>
      <c r="J357" s="176">
        <v>46040</v>
      </c>
      <c r="K357" s="172" t="s">
        <v>94</v>
      </c>
      <c r="L357" s="172" t="s">
        <v>95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199</v>
      </c>
      <c r="B358" s="176">
        <v>46043</v>
      </c>
      <c r="C358" s="172" t="s">
        <v>82</v>
      </c>
      <c r="D358" s="172" t="s">
        <v>83</v>
      </c>
      <c r="E358" s="172" t="s">
        <v>54</v>
      </c>
      <c r="F358" s="172" t="s">
        <v>121</v>
      </c>
      <c r="G358" s="172" t="s">
        <v>85</v>
      </c>
      <c r="H358" s="177">
        <v>1</v>
      </c>
      <c r="I358" s="178">
        <v>0</v>
      </c>
      <c r="J358" s="176">
        <v>46040</v>
      </c>
      <c r="K358" s="172" t="s">
        <v>86</v>
      </c>
      <c r="L358" s="172" t="s">
        <v>86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200</v>
      </c>
      <c r="B359" s="176">
        <v>46043</v>
      </c>
      <c r="C359" s="172" t="s">
        <v>93</v>
      </c>
      <c r="D359" s="172" t="s">
        <v>24</v>
      </c>
      <c r="E359" s="172" t="s">
        <v>44</v>
      </c>
      <c r="F359" s="172" t="s">
        <v>126</v>
      </c>
      <c r="G359" s="172" t="s">
        <v>85</v>
      </c>
      <c r="H359" s="177">
        <v>1</v>
      </c>
      <c r="I359" s="178">
        <v>1750</v>
      </c>
      <c r="J359" s="176">
        <v>46042</v>
      </c>
      <c r="K359" s="172" t="s">
        <v>94</v>
      </c>
      <c r="L359" s="172" t="s">
        <v>95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200</v>
      </c>
      <c r="B360" s="176">
        <v>46043</v>
      </c>
      <c r="C360" s="172" t="s">
        <v>101</v>
      </c>
      <c r="D360" s="172" t="s">
        <v>102</v>
      </c>
      <c r="E360" s="172" t="s">
        <v>44</v>
      </c>
      <c r="F360" s="172" t="s">
        <v>126</v>
      </c>
      <c r="G360" s="172" t="s">
        <v>85</v>
      </c>
      <c r="H360" s="177">
        <v>1</v>
      </c>
      <c r="I360" s="178">
        <v>1750</v>
      </c>
      <c r="J360" s="176">
        <v>46042</v>
      </c>
      <c r="K360" s="172" t="s">
        <v>94</v>
      </c>
      <c r="L360" s="172" t="s">
        <v>95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200</v>
      </c>
      <c r="B361" s="176">
        <v>46043</v>
      </c>
      <c r="C361" s="172" t="s">
        <v>101</v>
      </c>
      <c r="D361" s="172" t="s">
        <v>103</v>
      </c>
      <c r="E361" s="172" t="s">
        <v>44</v>
      </c>
      <c r="F361" s="172" t="s">
        <v>126</v>
      </c>
      <c r="G361" s="172" t="s">
        <v>85</v>
      </c>
      <c r="H361" s="177">
        <v>1</v>
      </c>
      <c r="I361" s="178">
        <v>1750</v>
      </c>
      <c r="J361" s="176">
        <v>46042</v>
      </c>
      <c r="K361" s="172" t="s">
        <v>94</v>
      </c>
      <c r="L361" s="172" t="s">
        <v>95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200</v>
      </c>
      <c r="B362" s="176">
        <v>46043</v>
      </c>
      <c r="C362" s="172" t="s">
        <v>101</v>
      </c>
      <c r="D362" s="172" t="s">
        <v>104</v>
      </c>
      <c r="E362" s="172" t="s">
        <v>44</v>
      </c>
      <c r="F362" s="172" t="s">
        <v>126</v>
      </c>
      <c r="G362" s="172" t="s">
        <v>85</v>
      </c>
      <c r="H362" s="177">
        <v>1</v>
      </c>
      <c r="I362" s="178">
        <v>1750</v>
      </c>
      <c r="J362" s="176">
        <v>46042</v>
      </c>
      <c r="K362" s="172" t="s">
        <v>94</v>
      </c>
      <c r="L362" s="172" t="s">
        <v>95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200</v>
      </c>
      <c r="B363" s="176">
        <v>46043</v>
      </c>
      <c r="C363" s="172" t="s">
        <v>105</v>
      </c>
      <c r="D363" s="172" t="s">
        <v>106</v>
      </c>
      <c r="E363" s="172" t="s">
        <v>44</v>
      </c>
      <c r="F363" s="172" t="s">
        <v>126</v>
      </c>
      <c r="G363" s="172" t="s">
        <v>85</v>
      </c>
      <c r="H363" s="177">
        <v>1</v>
      </c>
      <c r="I363" s="178">
        <v>1750</v>
      </c>
      <c r="J363" s="176">
        <v>46042</v>
      </c>
      <c r="K363" s="172" t="s">
        <v>94</v>
      </c>
      <c r="L363" s="172" t="s">
        <v>95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200</v>
      </c>
      <c r="B364" s="176">
        <v>46043</v>
      </c>
      <c r="C364" s="172" t="s">
        <v>82</v>
      </c>
      <c r="D364" s="172" t="s">
        <v>96</v>
      </c>
      <c r="E364" s="172" t="s">
        <v>44</v>
      </c>
      <c r="F364" s="172" t="s">
        <v>126</v>
      </c>
      <c r="G364" s="172" t="s">
        <v>85</v>
      </c>
      <c r="H364" s="177">
        <v>1</v>
      </c>
      <c r="I364" s="178">
        <v>1750</v>
      </c>
      <c r="J364" s="176">
        <v>46042</v>
      </c>
      <c r="K364" s="172" t="s">
        <v>94</v>
      </c>
      <c r="L364" s="172" t="s">
        <v>95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201</v>
      </c>
      <c r="B365" s="176">
        <v>46043</v>
      </c>
      <c r="C365" s="172" t="s">
        <v>93</v>
      </c>
      <c r="D365" s="172" t="s">
        <v>24</v>
      </c>
      <c r="E365" s="172" t="s">
        <v>42</v>
      </c>
      <c r="F365" s="172" t="s">
        <v>84</v>
      </c>
      <c r="G365" s="172" t="s">
        <v>85</v>
      </c>
      <c r="H365" s="177">
        <v>1</v>
      </c>
      <c r="I365" s="178">
        <v>1750</v>
      </c>
      <c r="J365" s="176">
        <v>46040</v>
      </c>
      <c r="K365" s="172" t="s">
        <v>94</v>
      </c>
      <c r="L365" s="172" t="s">
        <v>95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201</v>
      </c>
      <c r="B366" s="176">
        <v>46043</v>
      </c>
      <c r="C366" s="172" t="s">
        <v>101</v>
      </c>
      <c r="D366" s="172" t="s">
        <v>102</v>
      </c>
      <c r="E366" s="172" t="s">
        <v>42</v>
      </c>
      <c r="F366" s="172" t="s">
        <v>84</v>
      </c>
      <c r="G366" s="172" t="s">
        <v>85</v>
      </c>
      <c r="H366" s="177">
        <v>1</v>
      </c>
      <c r="I366" s="178">
        <v>1750</v>
      </c>
      <c r="J366" s="176">
        <v>46040</v>
      </c>
      <c r="K366" s="172" t="s">
        <v>94</v>
      </c>
      <c r="L366" s="172" t="s">
        <v>95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201</v>
      </c>
      <c r="B367" s="176">
        <v>46043</v>
      </c>
      <c r="C367" s="172" t="s">
        <v>101</v>
      </c>
      <c r="D367" s="172" t="s">
        <v>103</v>
      </c>
      <c r="E367" s="172" t="s">
        <v>42</v>
      </c>
      <c r="F367" s="172" t="s">
        <v>84</v>
      </c>
      <c r="G367" s="172" t="s">
        <v>85</v>
      </c>
      <c r="H367" s="177">
        <v>1</v>
      </c>
      <c r="I367" s="178">
        <v>1750</v>
      </c>
      <c r="J367" s="176">
        <v>46040</v>
      </c>
      <c r="K367" s="172" t="s">
        <v>94</v>
      </c>
      <c r="L367" s="172" t="s">
        <v>95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201</v>
      </c>
      <c r="B368" s="176">
        <v>46043</v>
      </c>
      <c r="C368" s="172" t="s">
        <v>101</v>
      </c>
      <c r="D368" s="172" t="s">
        <v>104</v>
      </c>
      <c r="E368" s="172" t="s">
        <v>42</v>
      </c>
      <c r="F368" s="172" t="s">
        <v>84</v>
      </c>
      <c r="G368" s="172" t="s">
        <v>85</v>
      </c>
      <c r="H368" s="177">
        <v>1</v>
      </c>
      <c r="I368" s="178">
        <v>1750</v>
      </c>
      <c r="J368" s="176">
        <v>46040</v>
      </c>
      <c r="K368" s="172" t="s">
        <v>94</v>
      </c>
      <c r="L368" s="172" t="s">
        <v>95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201</v>
      </c>
      <c r="B369" s="176">
        <v>46043</v>
      </c>
      <c r="C369" s="172" t="s">
        <v>105</v>
      </c>
      <c r="D369" s="172" t="s">
        <v>106</v>
      </c>
      <c r="E369" s="172" t="s">
        <v>42</v>
      </c>
      <c r="F369" s="172" t="s">
        <v>84</v>
      </c>
      <c r="G369" s="172" t="s">
        <v>85</v>
      </c>
      <c r="H369" s="177">
        <v>1</v>
      </c>
      <c r="I369" s="178">
        <v>1750</v>
      </c>
      <c r="J369" s="176">
        <v>46040</v>
      </c>
      <c r="K369" s="172" t="s">
        <v>94</v>
      </c>
      <c r="L369" s="172" t="s">
        <v>95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201</v>
      </c>
      <c r="B370" s="176">
        <v>46043</v>
      </c>
      <c r="C370" s="172" t="s">
        <v>82</v>
      </c>
      <c r="D370" s="172" t="s">
        <v>96</v>
      </c>
      <c r="E370" s="172" t="s">
        <v>42</v>
      </c>
      <c r="F370" s="172" t="s">
        <v>84</v>
      </c>
      <c r="G370" s="172" t="s">
        <v>85</v>
      </c>
      <c r="H370" s="177">
        <v>1</v>
      </c>
      <c r="I370" s="178">
        <v>1750</v>
      </c>
      <c r="J370" s="176">
        <v>46040</v>
      </c>
      <c r="K370" s="172" t="s">
        <v>94</v>
      </c>
      <c r="L370" s="172" t="s">
        <v>95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202</v>
      </c>
      <c r="B371" s="176">
        <v>46043</v>
      </c>
      <c r="C371" s="172" t="s">
        <v>82</v>
      </c>
      <c r="D371" s="172" t="s">
        <v>83</v>
      </c>
      <c r="E371" s="172" t="s">
        <v>43</v>
      </c>
      <c r="F371" s="172" t="s">
        <v>90</v>
      </c>
      <c r="G371" s="172" t="s">
        <v>85</v>
      </c>
      <c r="H371" s="177">
        <v>1</v>
      </c>
      <c r="I371" s="178">
        <v>0</v>
      </c>
      <c r="J371" s="176">
        <v>46043</v>
      </c>
      <c r="K371" s="172" t="s">
        <v>86</v>
      </c>
      <c r="L371" s="172" t="s">
        <v>86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203</v>
      </c>
      <c r="B372" s="176">
        <v>46043</v>
      </c>
      <c r="C372" s="172" t="s">
        <v>82</v>
      </c>
      <c r="D372" s="172" t="s">
        <v>83</v>
      </c>
      <c r="E372" s="172" t="s">
        <v>53</v>
      </c>
      <c r="F372" s="172" t="s">
        <v>91</v>
      </c>
      <c r="G372" s="172" t="s">
        <v>85</v>
      </c>
      <c r="H372" s="177">
        <v>1</v>
      </c>
      <c r="I372" s="178">
        <v>0</v>
      </c>
      <c r="J372" s="176">
        <v>46043</v>
      </c>
      <c r="K372" s="172" t="s">
        <v>86</v>
      </c>
      <c r="L372" s="172" t="s">
        <v>86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204</v>
      </c>
      <c r="B373" s="176">
        <v>46043</v>
      </c>
      <c r="C373" s="172" t="s">
        <v>82</v>
      </c>
      <c r="D373" s="172" t="s">
        <v>83</v>
      </c>
      <c r="E373" s="172" t="s">
        <v>43</v>
      </c>
      <c r="F373" s="172" t="s">
        <v>90</v>
      </c>
      <c r="G373" s="172" t="s">
        <v>85</v>
      </c>
      <c r="H373" s="177">
        <v>1</v>
      </c>
      <c r="I373" s="178">
        <v>0</v>
      </c>
      <c r="J373" s="176">
        <v>46043</v>
      </c>
      <c r="K373" s="172" t="s">
        <v>86</v>
      </c>
      <c r="L373" s="172" t="s">
        <v>86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205</v>
      </c>
      <c r="B374" s="176">
        <v>46043</v>
      </c>
      <c r="C374" s="172" t="s">
        <v>82</v>
      </c>
      <c r="D374" s="172" t="s">
        <v>83</v>
      </c>
      <c r="E374" s="172" t="s">
        <v>53</v>
      </c>
      <c r="F374" s="172" t="s">
        <v>91</v>
      </c>
      <c r="G374" s="172" t="s">
        <v>85</v>
      </c>
      <c r="H374" s="177">
        <v>1</v>
      </c>
      <c r="I374" s="178">
        <v>0</v>
      </c>
      <c r="J374" s="176">
        <v>46043</v>
      </c>
      <c r="K374" s="172" t="s">
        <v>86</v>
      </c>
      <c r="L374" s="172" t="s">
        <v>86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205</v>
      </c>
      <c r="B375" s="176">
        <v>46043</v>
      </c>
      <c r="C375" s="172" t="s">
        <v>82</v>
      </c>
      <c r="D375" s="172" t="s">
        <v>83</v>
      </c>
      <c r="E375" s="172" t="s">
        <v>53</v>
      </c>
      <c r="F375" s="172" t="s">
        <v>91</v>
      </c>
      <c r="G375" s="172" t="s">
        <v>85</v>
      </c>
      <c r="H375" s="177">
        <v>1</v>
      </c>
      <c r="I375" s="178">
        <v>0</v>
      </c>
      <c r="J375" s="176">
        <v>46043</v>
      </c>
      <c r="K375" s="172" t="s">
        <v>86</v>
      </c>
      <c r="L375" s="172" t="s">
        <v>86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206</v>
      </c>
      <c r="B376" s="176">
        <v>46043</v>
      </c>
      <c r="C376" s="172" t="s">
        <v>82</v>
      </c>
      <c r="D376" s="172" t="s">
        <v>83</v>
      </c>
      <c r="E376" s="172" t="s">
        <v>43</v>
      </c>
      <c r="F376" s="172" t="s">
        <v>90</v>
      </c>
      <c r="G376" s="172" t="s">
        <v>85</v>
      </c>
      <c r="H376" s="177">
        <v>1</v>
      </c>
      <c r="I376" s="178">
        <v>0</v>
      </c>
      <c r="J376" s="176">
        <v>46043</v>
      </c>
      <c r="K376" s="172" t="s">
        <v>86</v>
      </c>
      <c r="L376" s="172" t="s">
        <v>86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142</v>
      </c>
      <c r="B377" s="176">
        <v>46043</v>
      </c>
      <c r="C377" s="172" t="s">
        <v>110</v>
      </c>
      <c r="D377" s="172" t="s">
        <v>140</v>
      </c>
      <c r="E377" s="172" t="s">
        <v>86</v>
      </c>
      <c r="F377" s="172" t="s">
        <v>86</v>
      </c>
      <c r="G377" s="172" t="s">
        <v>86</v>
      </c>
      <c r="H377" s="177">
        <v>0</v>
      </c>
      <c r="I377" s="178">
        <v>0</v>
      </c>
      <c r="J377" s="176">
        <v>46043</v>
      </c>
      <c r="K377" s="172" t="s">
        <v>86</v>
      </c>
      <c r="L377" s="172" t="s">
        <v>86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146</v>
      </c>
      <c r="B378" s="176">
        <v>46043</v>
      </c>
      <c r="C378" s="172" t="s">
        <v>110</v>
      </c>
      <c r="D378" s="172" t="s">
        <v>140</v>
      </c>
      <c r="E378" s="172" t="s">
        <v>86</v>
      </c>
      <c r="F378" s="172" t="s">
        <v>86</v>
      </c>
      <c r="G378" s="172" t="s">
        <v>86</v>
      </c>
      <c r="H378" s="177">
        <v>0</v>
      </c>
      <c r="I378" s="178">
        <v>0</v>
      </c>
      <c r="J378" s="176">
        <v>46043</v>
      </c>
      <c r="K378" s="172" t="s">
        <v>86</v>
      </c>
      <c r="L378" s="172" t="s">
        <v>86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145</v>
      </c>
      <c r="B379" s="176">
        <v>46043</v>
      </c>
      <c r="C379" s="172" t="s">
        <v>110</v>
      </c>
      <c r="D379" s="172" t="s">
        <v>140</v>
      </c>
      <c r="E379" s="172" t="s">
        <v>86</v>
      </c>
      <c r="F379" s="172" t="s">
        <v>86</v>
      </c>
      <c r="G379" s="172" t="s">
        <v>86</v>
      </c>
      <c r="H379" s="177">
        <v>0</v>
      </c>
      <c r="I379" s="178">
        <v>0</v>
      </c>
      <c r="J379" s="176">
        <v>46043</v>
      </c>
      <c r="K379" s="172" t="s">
        <v>86</v>
      </c>
      <c r="L379" s="172" t="s">
        <v>86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139</v>
      </c>
      <c r="B380" s="176">
        <v>46043</v>
      </c>
      <c r="C380" s="172" t="s">
        <v>110</v>
      </c>
      <c r="D380" s="172" t="s">
        <v>140</v>
      </c>
      <c r="E380" s="172" t="s">
        <v>86</v>
      </c>
      <c r="F380" s="172" t="s">
        <v>86</v>
      </c>
      <c r="G380" s="172" t="s">
        <v>86</v>
      </c>
      <c r="H380" s="177">
        <v>0</v>
      </c>
      <c r="I380" s="178">
        <v>0</v>
      </c>
      <c r="J380" s="176">
        <v>46043</v>
      </c>
      <c r="K380" s="172" t="s">
        <v>86</v>
      </c>
      <c r="L380" s="172" t="s">
        <v>86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143</v>
      </c>
      <c r="B381" s="176">
        <v>46043</v>
      </c>
      <c r="C381" s="172" t="s">
        <v>110</v>
      </c>
      <c r="D381" s="172" t="s">
        <v>144</v>
      </c>
      <c r="E381" s="172" t="s">
        <v>86</v>
      </c>
      <c r="F381" s="172" t="s">
        <v>86</v>
      </c>
      <c r="G381" s="172" t="s">
        <v>86</v>
      </c>
      <c r="H381" s="177">
        <v>0</v>
      </c>
      <c r="I381" s="178">
        <v>0</v>
      </c>
      <c r="J381" s="176">
        <v>46043</v>
      </c>
      <c r="K381" s="172" t="s">
        <v>86</v>
      </c>
      <c r="L381" s="172" t="s">
        <v>86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207</v>
      </c>
      <c r="B382" s="176">
        <v>46044</v>
      </c>
      <c r="C382" s="172" t="s">
        <v>93</v>
      </c>
      <c r="D382" s="172" t="s">
        <v>24</v>
      </c>
      <c r="E382" s="172" t="s">
        <v>54</v>
      </c>
      <c r="F382" s="172" t="s">
        <v>121</v>
      </c>
      <c r="G382" s="172" t="s">
        <v>85</v>
      </c>
      <c r="H382" s="177">
        <v>1</v>
      </c>
      <c r="I382" s="178">
        <v>0</v>
      </c>
      <c r="J382" s="176">
        <v>46028</v>
      </c>
      <c r="K382" s="172" t="s">
        <v>94</v>
      </c>
      <c r="L382" s="172" t="s">
        <v>95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207</v>
      </c>
      <c r="B383" s="176">
        <v>46044</v>
      </c>
      <c r="C383" s="172" t="s">
        <v>93</v>
      </c>
      <c r="D383" s="172" t="s">
        <v>97</v>
      </c>
      <c r="E383" s="172" t="s">
        <v>54</v>
      </c>
      <c r="F383" s="172" t="s">
        <v>121</v>
      </c>
      <c r="G383" s="172" t="s">
        <v>85</v>
      </c>
      <c r="H383" s="177">
        <v>1</v>
      </c>
      <c r="I383" s="178">
        <v>0</v>
      </c>
      <c r="J383" s="176">
        <v>46028</v>
      </c>
      <c r="K383" s="172" t="s">
        <v>94</v>
      </c>
      <c r="L383" s="172" t="s">
        <v>95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207</v>
      </c>
      <c r="B384" s="176">
        <v>46044</v>
      </c>
      <c r="C384" s="172" t="s">
        <v>93</v>
      </c>
      <c r="D384" s="172" t="s">
        <v>98</v>
      </c>
      <c r="E384" s="172" t="s">
        <v>54</v>
      </c>
      <c r="F384" s="172" t="s">
        <v>121</v>
      </c>
      <c r="G384" s="172" t="s">
        <v>85</v>
      </c>
      <c r="H384" s="177">
        <v>1</v>
      </c>
      <c r="I384" s="178">
        <v>0</v>
      </c>
      <c r="J384" s="176">
        <v>46028</v>
      </c>
      <c r="K384" s="172" t="s">
        <v>94</v>
      </c>
      <c r="L384" s="172" t="s">
        <v>95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208</v>
      </c>
      <c r="B385" s="176">
        <v>46044</v>
      </c>
      <c r="C385" s="172" t="s">
        <v>82</v>
      </c>
      <c r="D385" s="172" t="s">
        <v>83</v>
      </c>
      <c r="E385" s="172" t="s">
        <v>54</v>
      </c>
      <c r="F385" s="172" t="s">
        <v>121</v>
      </c>
      <c r="G385" s="172" t="s">
        <v>85</v>
      </c>
      <c r="H385" s="177">
        <v>1</v>
      </c>
      <c r="I385" s="178">
        <v>0</v>
      </c>
      <c r="J385" s="176">
        <v>46044</v>
      </c>
      <c r="K385" s="172" t="s">
        <v>86</v>
      </c>
      <c r="L385" s="172" t="s">
        <v>86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86</v>
      </c>
      <c r="B386" s="176">
        <v>46044</v>
      </c>
      <c r="C386" s="172" t="s">
        <v>110</v>
      </c>
      <c r="D386" s="172" t="s">
        <v>111</v>
      </c>
      <c r="E386" s="172" t="s">
        <v>86</v>
      </c>
      <c r="F386" s="172" t="s">
        <v>86</v>
      </c>
      <c r="G386" s="172" t="s">
        <v>209</v>
      </c>
      <c r="H386" s="177">
        <v>0</v>
      </c>
      <c r="I386" s="178">
        <v>0</v>
      </c>
      <c r="J386" s="176">
        <v>46044</v>
      </c>
      <c r="K386" s="172" t="s">
        <v>86</v>
      </c>
      <c r="L386" s="172" t="s">
        <v>86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210</v>
      </c>
      <c r="B387" s="176">
        <v>46044</v>
      </c>
      <c r="C387" s="172" t="s">
        <v>93</v>
      </c>
      <c r="D387" s="172" t="s">
        <v>24</v>
      </c>
      <c r="E387" s="172" t="s">
        <v>42</v>
      </c>
      <c r="F387" s="172" t="s">
        <v>84</v>
      </c>
      <c r="G387" s="172" t="s">
        <v>85</v>
      </c>
      <c r="H387" s="177">
        <v>1</v>
      </c>
      <c r="I387" s="178">
        <v>1750</v>
      </c>
      <c r="J387" s="176">
        <v>46036</v>
      </c>
      <c r="K387" s="172" t="s">
        <v>94</v>
      </c>
      <c r="L387" s="172" t="s">
        <v>95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210</v>
      </c>
      <c r="B388" s="176">
        <v>46044</v>
      </c>
      <c r="C388" s="172" t="s">
        <v>101</v>
      </c>
      <c r="D388" s="172" t="s">
        <v>102</v>
      </c>
      <c r="E388" s="172" t="s">
        <v>42</v>
      </c>
      <c r="F388" s="172" t="s">
        <v>84</v>
      </c>
      <c r="G388" s="172" t="s">
        <v>85</v>
      </c>
      <c r="H388" s="177">
        <v>1</v>
      </c>
      <c r="I388" s="178">
        <v>1750</v>
      </c>
      <c r="J388" s="176">
        <v>46036</v>
      </c>
      <c r="K388" s="172" t="s">
        <v>94</v>
      </c>
      <c r="L388" s="172" t="s">
        <v>95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210</v>
      </c>
      <c r="B389" s="176">
        <v>46044</v>
      </c>
      <c r="C389" s="172" t="s">
        <v>101</v>
      </c>
      <c r="D389" s="172" t="s">
        <v>103</v>
      </c>
      <c r="E389" s="172" t="s">
        <v>42</v>
      </c>
      <c r="F389" s="172" t="s">
        <v>84</v>
      </c>
      <c r="G389" s="172" t="s">
        <v>85</v>
      </c>
      <c r="H389" s="177">
        <v>1</v>
      </c>
      <c r="I389" s="178">
        <v>1750</v>
      </c>
      <c r="J389" s="176">
        <v>46036</v>
      </c>
      <c r="K389" s="172" t="s">
        <v>94</v>
      </c>
      <c r="L389" s="172" t="s">
        <v>95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210</v>
      </c>
      <c r="B390" s="176">
        <v>46044</v>
      </c>
      <c r="C390" s="172" t="s">
        <v>101</v>
      </c>
      <c r="D390" s="172" t="s">
        <v>104</v>
      </c>
      <c r="E390" s="172" t="s">
        <v>42</v>
      </c>
      <c r="F390" s="172" t="s">
        <v>84</v>
      </c>
      <c r="G390" s="172" t="s">
        <v>85</v>
      </c>
      <c r="H390" s="177">
        <v>1</v>
      </c>
      <c r="I390" s="178">
        <v>1750</v>
      </c>
      <c r="J390" s="176">
        <v>46036</v>
      </c>
      <c r="K390" s="172" t="s">
        <v>94</v>
      </c>
      <c r="L390" s="172" t="s">
        <v>95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210</v>
      </c>
      <c r="B391" s="176">
        <v>46044</v>
      </c>
      <c r="C391" s="172" t="s">
        <v>105</v>
      </c>
      <c r="D391" s="172" t="s">
        <v>106</v>
      </c>
      <c r="E391" s="172" t="s">
        <v>42</v>
      </c>
      <c r="F391" s="172" t="s">
        <v>84</v>
      </c>
      <c r="G391" s="172" t="s">
        <v>85</v>
      </c>
      <c r="H391" s="177">
        <v>1</v>
      </c>
      <c r="I391" s="178">
        <v>1750</v>
      </c>
      <c r="J391" s="176">
        <v>46036</v>
      </c>
      <c r="K391" s="172" t="s">
        <v>94</v>
      </c>
      <c r="L391" s="172" t="s">
        <v>95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210</v>
      </c>
      <c r="B392" s="176">
        <v>46044</v>
      </c>
      <c r="C392" s="172" t="s">
        <v>82</v>
      </c>
      <c r="D392" s="172" t="s">
        <v>96</v>
      </c>
      <c r="E392" s="172" t="s">
        <v>42</v>
      </c>
      <c r="F392" s="172" t="s">
        <v>84</v>
      </c>
      <c r="G392" s="172" t="s">
        <v>85</v>
      </c>
      <c r="H392" s="177">
        <v>1</v>
      </c>
      <c r="I392" s="178">
        <v>1750</v>
      </c>
      <c r="J392" s="176">
        <v>46036</v>
      </c>
      <c r="K392" s="172" t="s">
        <v>94</v>
      </c>
      <c r="L392" s="172" t="s">
        <v>95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210</v>
      </c>
      <c r="B393" s="176">
        <v>46044</v>
      </c>
      <c r="C393" s="172" t="s">
        <v>82</v>
      </c>
      <c r="D393" s="172" t="s">
        <v>83</v>
      </c>
      <c r="E393" s="172" t="s">
        <v>42</v>
      </c>
      <c r="F393" s="172" t="s">
        <v>84</v>
      </c>
      <c r="G393" s="172" t="s">
        <v>85</v>
      </c>
      <c r="H393" s="177">
        <v>1</v>
      </c>
      <c r="I393" s="178">
        <v>0</v>
      </c>
      <c r="J393" s="176">
        <v>46036</v>
      </c>
      <c r="K393" s="172" t="s">
        <v>86</v>
      </c>
      <c r="L393" s="172" t="s">
        <v>86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211</v>
      </c>
      <c r="B394" s="176">
        <v>46044</v>
      </c>
      <c r="C394" s="172" t="s">
        <v>82</v>
      </c>
      <c r="D394" s="172" t="s">
        <v>83</v>
      </c>
      <c r="E394" s="172" t="s">
        <v>42</v>
      </c>
      <c r="F394" s="172" t="s">
        <v>84</v>
      </c>
      <c r="G394" s="172" t="s">
        <v>85</v>
      </c>
      <c r="H394" s="177">
        <v>1</v>
      </c>
      <c r="I394" s="178">
        <v>0</v>
      </c>
      <c r="J394" s="176">
        <v>46044</v>
      </c>
      <c r="K394" s="172" t="s">
        <v>86</v>
      </c>
      <c r="L394" s="172" t="s">
        <v>86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212</v>
      </c>
      <c r="B395" s="176">
        <v>46044</v>
      </c>
      <c r="C395" s="172" t="s">
        <v>93</v>
      </c>
      <c r="D395" s="172" t="s">
        <v>24</v>
      </c>
      <c r="E395" s="172" t="s">
        <v>53</v>
      </c>
      <c r="F395" s="172" t="s">
        <v>91</v>
      </c>
      <c r="G395" s="172" t="s">
        <v>85</v>
      </c>
      <c r="H395" s="177">
        <v>1</v>
      </c>
      <c r="I395" s="178">
        <v>1885</v>
      </c>
      <c r="J395" s="176">
        <v>46040</v>
      </c>
      <c r="K395" s="172" t="s">
        <v>94</v>
      </c>
      <c r="L395" s="172" t="s">
        <v>95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212</v>
      </c>
      <c r="B396" s="176">
        <v>46044</v>
      </c>
      <c r="C396" s="172" t="s">
        <v>101</v>
      </c>
      <c r="D396" s="172" t="s">
        <v>102</v>
      </c>
      <c r="E396" s="172" t="s">
        <v>53</v>
      </c>
      <c r="F396" s="172" t="s">
        <v>91</v>
      </c>
      <c r="G396" s="172" t="s">
        <v>85</v>
      </c>
      <c r="H396" s="177">
        <v>1</v>
      </c>
      <c r="I396" s="178">
        <v>1885</v>
      </c>
      <c r="J396" s="176">
        <v>46040</v>
      </c>
      <c r="K396" s="172" t="s">
        <v>94</v>
      </c>
      <c r="L396" s="172" t="s">
        <v>95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212</v>
      </c>
      <c r="B397" s="176">
        <v>46044</v>
      </c>
      <c r="C397" s="172" t="s">
        <v>101</v>
      </c>
      <c r="D397" s="172" t="s">
        <v>103</v>
      </c>
      <c r="E397" s="172" t="s">
        <v>53</v>
      </c>
      <c r="F397" s="172" t="s">
        <v>91</v>
      </c>
      <c r="G397" s="172" t="s">
        <v>85</v>
      </c>
      <c r="H397" s="177">
        <v>1</v>
      </c>
      <c r="I397" s="178">
        <v>1885</v>
      </c>
      <c r="J397" s="176">
        <v>46040</v>
      </c>
      <c r="K397" s="172" t="s">
        <v>94</v>
      </c>
      <c r="L397" s="172" t="s">
        <v>95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212</v>
      </c>
      <c r="B398" s="176">
        <v>46044</v>
      </c>
      <c r="C398" s="172" t="s">
        <v>101</v>
      </c>
      <c r="D398" s="172" t="s">
        <v>104</v>
      </c>
      <c r="E398" s="172" t="s">
        <v>53</v>
      </c>
      <c r="F398" s="172" t="s">
        <v>91</v>
      </c>
      <c r="G398" s="172" t="s">
        <v>85</v>
      </c>
      <c r="H398" s="177">
        <v>1</v>
      </c>
      <c r="I398" s="178">
        <v>1885</v>
      </c>
      <c r="J398" s="176">
        <v>46040</v>
      </c>
      <c r="K398" s="172" t="s">
        <v>94</v>
      </c>
      <c r="L398" s="172" t="s">
        <v>95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212</v>
      </c>
      <c r="B399" s="176">
        <v>46044</v>
      </c>
      <c r="C399" s="172" t="s">
        <v>105</v>
      </c>
      <c r="D399" s="172" t="s">
        <v>106</v>
      </c>
      <c r="E399" s="172" t="s">
        <v>53</v>
      </c>
      <c r="F399" s="172" t="s">
        <v>91</v>
      </c>
      <c r="G399" s="172" t="s">
        <v>85</v>
      </c>
      <c r="H399" s="177">
        <v>1</v>
      </c>
      <c r="I399" s="178">
        <v>1885</v>
      </c>
      <c r="J399" s="176">
        <v>46040</v>
      </c>
      <c r="K399" s="172" t="s">
        <v>94</v>
      </c>
      <c r="L399" s="172" t="s">
        <v>95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212</v>
      </c>
      <c r="B400" s="176">
        <v>46044</v>
      </c>
      <c r="C400" s="172" t="s">
        <v>82</v>
      </c>
      <c r="D400" s="172" t="s">
        <v>96</v>
      </c>
      <c r="E400" s="172" t="s">
        <v>53</v>
      </c>
      <c r="F400" s="172" t="s">
        <v>91</v>
      </c>
      <c r="G400" s="172" t="s">
        <v>85</v>
      </c>
      <c r="H400" s="177">
        <v>1</v>
      </c>
      <c r="I400" s="178">
        <v>1885</v>
      </c>
      <c r="J400" s="176">
        <v>46040</v>
      </c>
      <c r="K400" s="172" t="s">
        <v>94</v>
      </c>
      <c r="L400" s="172" t="s">
        <v>95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213</v>
      </c>
      <c r="B401" s="176">
        <v>46044</v>
      </c>
      <c r="C401" s="172" t="s">
        <v>82</v>
      </c>
      <c r="D401" s="172" t="s">
        <v>83</v>
      </c>
      <c r="E401" s="172" t="s">
        <v>53</v>
      </c>
      <c r="F401" s="172" t="s">
        <v>91</v>
      </c>
      <c r="G401" s="172" t="s">
        <v>85</v>
      </c>
      <c r="H401" s="177">
        <v>1</v>
      </c>
      <c r="I401" s="178">
        <v>0</v>
      </c>
      <c r="J401" s="176">
        <v>46044</v>
      </c>
      <c r="K401" s="172" t="s">
        <v>86</v>
      </c>
      <c r="L401" s="172" t="s">
        <v>86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214</v>
      </c>
      <c r="B402" s="176">
        <v>46044</v>
      </c>
      <c r="C402" s="172" t="s">
        <v>82</v>
      </c>
      <c r="D402" s="172" t="s">
        <v>83</v>
      </c>
      <c r="E402" s="172" t="s">
        <v>54</v>
      </c>
      <c r="F402" s="172" t="s">
        <v>121</v>
      </c>
      <c r="G402" s="172" t="s">
        <v>85</v>
      </c>
      <c r="H402" s="177">
        <v>1</v>
      </c>
      <c r="I402" s="178">
        <v>0</v>
      </c>
      <c r="J402" s="176">
        <v>46044</v>
      </c>
      <c r="K402" s="172" t="s">
        <v>86</v>
      </c>
      <c r="L402" s="172" t="s">
        <v>86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215</v>
      </c>
      <c r="B403" s="176">
        <v>46044</v>
      </c>
      <c r="C403" s="172" t="s">
        <v>93</v>
      </c>
      <c r="D403" s="172" t="s">
        <v>24</v>
      </c>
      <c r="E403" s="172" t="s">
        <v>54</v>
      </c>
      <c r="F403" s="172" t="s">
        <v>121</v>
      </c>
      <c r="G403" s="172" t="s">
        <v>85</v>
      </c>
      <c r="H403" s="177">
        <v>1</v>
      </c>
      <c r="I403" s="178">
        <v>0</v>
      </c>
      <c r="J403" s="176">
        <v>46025</v>
      </c>
      <c r="K403" s="172" t="s">
        <v>94</v>
      </c>
      <c r="L403" s="172" t="s">
        <v>95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215</v>
      </c>
      <c r="B404" s="176">
        <v>46044</v>
      </c>
      <c r="C404" s="172" t="s">
        <v>82</v>
      </c>
      <c r="D404" s="172" t="s">
        <v>96</v>
      </c>
      <c r="E404" s="172" t="s">
        <v>54</v>
      </c>
      <c r="F404" s="172" t="s">
        <v>121</v>
      </c>
      <c r="G404" s="172" t="s">
        <v>85</v>
      </c>
      <c r="H404" s="177">
        <v>1</v>
      </c>
      <c r="I404" s="178">
        <v>0</v>
      </c>
      <c r="J404" s="176">
        <v>46025</v>
      </c>
      <c r="K404" s="172" t="s">
        <v>94</v>
      </c>
      <c r="L404" s="172" t="s">
        <v>95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216</v>
      </c>
      <c r="B405" s="176">
        <v>46044</v>
      </c>
      <c r="C405" s="172" t="s">
        <v>82</v>
      </c>
      <c r="D405" s="172" t="s">
        <v>83</v>
      </c>
      <c r="E405" s="172" t="s">
        <v>54</v>
      </c>
      <c r="F405" s="172" t="s">
        <v>121</v>
      </c>
      <c r="G405" s="172" t="s">
        <v>85</v>
      </c>
      <c r="H405" s="177">
        <v>1</v>
      </c>
      <c r="I405" s="178">
        <v>0</v>
      </c>
      <c r="J405" s="176">
        <v>46044</v>
      </c>
      <c r="K405" s="172" t="s">
        <v>86</v>
      </c>
      <c r="L405" s="172" t="s">
        <v>86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215</v>
      </c>
      <c r="B406" s="176">
        <v>46044</v>
      </c>
      <c r="C406" s="172" t="s">
        <v>93</v>
      </c>
      <c r="D406" s="172" t="s">
        <v>97</v>
      </c>
      <c r="E406" s="172" t="s">
        <v>54</v>
      </c>
      <c r="F406" s="172" t="s">
        <v>121</v>
      </c>
      <c r="G406" s="172" t="s">
        <v>85</v>
      </c>
      <c r="H406" s="177">
        <v>1</v>
      </c>
      <c r="I406" s="178">
        <v>0</v>
      </c>
      <c r="J406" s="176">
        <v>46025</v>
      </c>
      <c r="K406" s="172" t="s">
        <v>94</v>
      </c>
      <c r="L406" s="172" t="s">
        <v>95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215</v>
      </c>
      <c r="B407" s="176">
        <v>46044</v>
      </c>
      <c r="C407" s="172" t="s">
        <v>93</v>
      </c>
      <c r="D407" s="172" t="s">
        <v>98</v>
      </c>
      <c r="E407" s="172" t="s">
        <v>54</v>
      </c>
      <c r="F407" s="172" t="s">
        <v>121</v>
      </c>
      <c r="G407" s="172" t="s">
        <v>85</v>
      </c>
      <c r="H407" s="177">
        <v>1</v>
      </c>
      <c r="I407" s="178">
        <v>0</v>
      </c>
      <c r="J407" s="176">
        <v>46025</v>
      </c>
      <c r="K407" s="172" t="s">
        <v>94</v>
      </c>
      <c r="L407" s="172" t="s">
        <v>95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217</v>
      </c>
      <c r="B408" s="176">
        <v>46044</v>
      </c>
      <c r="C408" s="172" t="s">
        <v>82</v>
      </c>
      <c r="D408" s="172" t="s">
        <v>83</v>
      </c>
      <c r="E408" s="172" t="s">
        <v>53</v>
      </c>
      <c r="F408" s="172" t="s">
        <v>91</v>
      </c>
      <c r="G408" s="172" t="s">
        <v>85</v>
      </c>
      <c r="H408" s="177">
        <v>1</v>
      </c>
      <c r="I408" s="178">
        <v>0</v>
      </c>
      <c r="J408" s="176">
        <v>46044</v>
      </c>
      <c r="K408" s="172" t="s">
        <v>86</v>
      </c>
      <c r="L408" s="172" t="s">
        <v>86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218</v>
      </c>
      <c r="B409" s="176">
        <v>46044</v>
      </c>
      <c r="C409" s="172" t="s">
        <v>82</v>
      </c>
      <c r="D409" s="172" t="s">
        <v>83</v>
      </c>
      <c r="E409" s="172" t="s">
        <v>54</v>
      </c>
      <c r="F409" s="172" t="s">
        <v>121</v>
      </c>
      <c r="G409" s="172" t="s">
        <v>85</v>
      </c>
      <c r="H409" s="177">
        <v>1</v>
      </c>
      <c r="I409" s="178">
        <v>0</v>
      </c>
      <c r="J409" s="176">
        <v>46044</v>
      </c>
      <c r="K409" s="172" t="s">
        <v>86</v>
      </c>
      <c r="L409" s="172" t="s">
        <v>86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219</v>
      </c>
      <c r="B410" s="176">
        <v>46044</v>
      </c>
      <c r="C410" s="172" t="s">
        <v>82</v>
      </c>
      <c r="D410" s="172" t="s">
        <v>83</v>
      </c>
      <c r="E410" s="172" t="s">
        <v>54</v>
      </c>
      <c r="F410" s="172" t="s">
        <v>121</v>
      </c>
      <c r="G410" s="172" t="s">
        <v>85</v>
      </c>
      <c r="H410" s="177">
        <v>1</v>
      </c>
      <c r="I410" s="178">
        <v>0</v>
      </c>
      <c r="J410" s="176">
        <v>46044</v>
      </c>
      <c r="K410" s="172" t="s">
        <v>86</v>
      </c>
      <c r="L410" s="172" t="s">
        <v>86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220</v>
      </c>
      <c r="B411" s="176">
        <v>46044</v>
      </c>
      <c r="C411" s="172" t="s">
        <v>93</v>
      </c>
      <c r="D411" s="172" t="s">
        <v>24</v>
      </c>
      <c r="E411" s="172" t="s">
        <v>53</v>
      </c>
      <c r="F411" s="172" t="s">
        <v>91</v>
      </c>
      <c r="G411" s="172" t="s">
        <v>85</v>
      </c>
      <c r="H411" s="177">
        <v>1</v>
      </c>
      <c r="I411" s="178">
        <v>1885</v>
      </c>
      <c r="J411" s="176">
        <v>46043</v>
      </c>
      <c r="K411" s="172" t="s">
        <v>94</v>
      </c>
      <c r="L411" s="172" t="s">
        <v>95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220</v>
      </c>
      <c r="B412" s="176">
        <v>46044</v>
      </c>
      <c r="C412" s="172" t="s">
        <v>101</v>
      </c>
      <c r="D412" s="172" t="s">
        <v>102</v>
      </c>
      <c r="E412" s="172" t="s">
        <v>53</v>
      </c>
      <c r="F412" s="172" t="s">
        <v>91</v>
      </c>
      <c r="G412" s="172" t="s">
        <v>85</v>
      </c>
      <c r="H412" s="177">
        <v>1</v>
      </c>
      <c r="I412" s="178">
        <v>1885</v>
      </c>
      <c r="J412" s="176">
        <v>46043</v>
      </c>
      <c r="K412" s="172" t="s">
        <v>94</v>
      </c>
      <c r="L412" s="172" t="s">
        <v>95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220</v>
      </c>
      <c r="B413" s="176">
        <v>46044</v>
      </c>
      <c r="C413" s="172" t="s">
        <v>101</v>
      </c>
      <c r="D413" s="172" t="s">
        <v>103</v>
      </c>
      <c r="E413" s="172" t="s">
        <v>53</v>
      </c>
      <c r="F413" s="172" t="s">
        <v>91</v>
      </c>
      <c r="G413" s="172" t="s">
        <v>85</v>
      </c>
      <c r="H413" s="177">
        <v>1</v>
      </c>
      <c r="I413" s="178">
        <v>1885</v>
      </c>
      <c r="J413" s="176">
        <v>46043</v>
      </c>
      <c r="K413" s="172" t="s">
        <v>94</v>
      </c>
      <c r="L413" s="172" t="s">
        <v>95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220</v>
      </c>
      <c r="B414" s="176">
        <v>46044</v>
      </c>
      <c r="C414" s="172" t="s">
        <v>101</v>
      </c>
      <c r="D414" s="172" t="s">
        <v>104</v>
      </c>
      <c r="E414" s="172" t="s">
        <v>53</v>
      </c>
      <c r="F414" s="172" t="s">
        <v>91</v>
      </c>
      <c r="G414" s="172" t="s">
        <v>85</v>
      </c>
      <c r="H414" s="177">
        <v>1</v>
      </c>
      <c r="I414" s="178">
        <v>1885</v>
      </c>
      <c r="J414" s="176">
        <v>46043</v>
      </c>
      <c r="K414" s="172" t="s">
        <v>94</v>
      </c>
      <c r="L414" s="172" t="s">
        <v>95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220</v>
      </c>
      <c r="B415" s="176">
        <v>46044</v>
      </c>
      <c r="C415" s="172" t="s">
        <v>105</v>
      </c>
      <c r="D415" s="172" t="s">
        <v>106</v>
      </c>
      <c r="E415" s="172" t="s">
        <v>53</v>
      </c>
      <c r="F415" s="172" t="s">
        <v>91</v>
      </c>
      <c r="G415" s="172" t="s">
        <v>85</v>
      </c>
      <c r="H415" s="177">
        <v>1</v>
      </c>
      <c r="I415" s="178">
        <v>1885</v>
      </c>
      <c r="J415" s="176">
        <v>46043</v>
      </c>
      <c r="K415" s="172" t="s">
        <v>94</v>
      </c>
      <c r="L415" s="172" t="s">
        <v>95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220</v>
      </c>
      <c r="B416" s="176">
        <v>46044</v>
      </c>
      <c r="C416" s="172" t="s">
        <v>82</v>
      </c>
      <c r="D416" s="172" t="s">
        <v>96</v>
      </c>
      <c r="E416" s="172" t="s">
        <v>53</v>
      </c>
      <c r="F416" s="172" t="s">
        <v>91</v>
      </c>
      <c r="G416" s="172" t="s">
        <v>85</v>
      </c>
      <c r="H416" s="177">
        <v>1</v>
      </c>
      <c r="I416" s="178">
        <v>1885</v>
      </c>
      <c r="J416" s="176">
        <v>46043</v>
      </c>
      <c r="K416" s="172" t="s">
        <v>94</v>
      </c>
      <c r="L416" s="172" t="s">
        <v>95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221</v>
      </c>
      <c r="B417" s="176">
        <v>46044</v>
      </c>
      <c r="C417" s="172" t="s">
        <v>82</v>
      </c>
      <c r="D417" s="172" t="s">
        <v>83</v>
      </c>
      <c r="E417" s="172" t="s">
        <v>54</v>
      </c>
      <c r="F417" s="172" t="s">
        <v>121</v>
      </c>
      <c r="G417" s="172" t="s">
        <v>85</v>
      </c>
      <c r="H417" s="177">
        <v>1</v>
      </c>
      <c r="I417" s="178">
        <v>0</v>
      </c>
      <c r="J417" s="176">
        <v>46044</v>
      </c>
      <c r="K417" s="172" t="s">
        <v>86</v>
      </c>
      <c r="L417" s="172" t="s">
        <v>86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222</v>
      </c>
      <c r="B418" s="176">
        <v>46044</v>
      </c>
      <c r="C418" s="172" t="s">
        <v>93</v>
      </c>
      <c r="D418" s="172" t="s">
        <v>24</v>
      </c>
      <c r="E418" s="172" t="s">
        <v>42</v>
      </c>
      <c r="F418" s="172" t="s">
        <v>84</v>
      </c>
      <c r="G418" s="172" t="s">
        <v>85</v>
      </c>
      <c r="H418" s="177">
        <v>1</v>
      </c>
      <c r="I418" s="178">
        <v>1750</v>
      </c>
      <c r="J418" s="176">
        <v>46039</v>
      </c>
      <c r="K418" s="172" t="s">
        <v>94</v>
      </c>
      <c r="L418" s="172" t="s">
        <v>95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222</v>
      </c>
      <c r="B419" s="176">
        <v>46044</v>
      </c>
      <c r="C419" s="172" t="s">
        <v>101</v>
      </c>
      <c r="D419" s="172" t="s">
        <v>102</v>
      </c>
      <c r="E419" s="172" t="s">
        <v>42</v>
      </c>
      <c r="F419" s="172" t="s">
        <v>84</v>
      </c>
      <c r="G419" s="172" t="s">
        <v>85</v>
      </c>
      <c r="H419" s="177">
        <v>1</v>
      </c>
      <c r="I419" s="178">
        <v>1750</v>
      </c>
      <c r="J419" s="176">
        <v>46039</v>
      </c>
      <c r="K419" s="172" t="s">
        <v>94</v>
      </c>
      <c r="L419" s="172" t="s">
        <v>95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222</v>
      </c>
      <c r="B420" s="176">
        <v>46044</v>
      </c>
      <c r="C420" s="172" t="s">
        <v>101</v>
      </c>
      <c r="D420" s="172" t="s">
        <v>103</v>
      </c>
      <c r="E420" s="172" t="s">
        <v>42</v>
      </c>
      <c r="F420" s="172" t="s">
        <v>84</v>
      </c>
      <c r="G420" s="172" t="s">
        <v>85</v>
      </c>
      <c r="H420" s="177">
        <v>1</v>
      </c>
      <c r="I420" s="178">
        <v>1750</v>
      </c>
      <c r="J420" s="176">
        <v>46039</v>
      </c>
      <c r="K420" s="172" t="s">
        <v>94</v>
      </c>
      <c r="L420" s="172" t="s">
        <v>95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222</v>
      </c>
      <c r="B421" s="176">
        <v>46044</v>
      </c>
      <c r="C421" s="172" t="s">
        <v>101</v>
      </c>
      <c r="D421" s="172" t="s">
        <v>104</v>
      </c>
      <c r="E421" s="172" t="s">
        <v>42</v>
      </c>
      <c r="F421" s="172" t="s">
        <v>84</v>
      </c>
      <c r="G421" s="172" t="s">
        <v>85</v>
      </c>
      <c r="H421" s="177">
        <v>1</v>
      </c>
      <c r="I421" s="178">
        <v>1750</v>
      </c>
      <c r="J421" s="176">
        <v>46039</v>
      </c>
      <c r="K421" s="172" t="s">
        <v>94</v>
      </c>
      <c r="L421" s="172" t="s">
        <v>95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222</v>
      </c>
      <c r="B422" s="176">
        <v>46044</v>
      </c>
      <c r="C422" s="172" t="s">
        <v>105</v>
      </c>
      <c r="D422" s="172" t="s">
        <v>106</v>
      </c>
      <c r="E422" s="172" t="s">
        <v>42</v>
      </c>
      <c r="F422" s="172" t="s">
        <v>84</v>
      </c>
      <c r="G422" s="172" t="s">
        <v>85</v>
      </c>
      <c r="H422" s="177">
        <v>1</v>
      </c>
      <c r="I422" s="178">
        <v>1750</v>
      </c>
      <c r="J422" s="176">
        <v>46039</v>
      </c>
      <c r="K422" s="172" t="s">
        <v>94</v>
      </c>
      <c r="L422" s="172" t="s">
        <v>95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222</v>
      </c>
      <c r="B423" s="176">
        <v>46044</v>
      </c>
      <c r="C423" s="172" t="s">
        <v>82</v>
      </c>
      <c r="D423" s="172" t="s">
        <v>96</v>
      </c>
      <c r="E423" s="172" t="s">
        <v>42</v>
      </c>
      <c r="F423" s="172" t="s">
        <v>84</v>
      </c>
      <c r="G423" s="172" t="s">
        <v>85</v>
      </c>
      <c r="H423" s="177">
        <v>1</v>
      </c>
      <c r="I423" s="178">
        <v>1750</v>
      </c>
      <c r="J423" s="176">
        <v>46039</v>
      </c>
      <c r="K423" s="172" t="s">
        <v>94</v>
      </c>
      <c r="L423" s="172" t="s">
        <v>95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223</v>
      </c>
      <c r="B424" s="176">
        <v>46044</v>
      </c>
      <c r="C424" s="172" t="s">
        <v>93</v>
      </c>
      <c r="D424" s="172" t="s">
        <v>24</v>
      </c>
      <c r="E424" s="172" t="s">
        <v>42</v>
      </c>
      <c r="F424" s="172" t="s">
        <v>84</v>
      </c>
      <c r="G424" s="172" t="s">
        <v>85</v>
      </c>
      <c r="H424" s="177">
        <v>1</v>
      </c>
      <c r="I424" s="178">
        <v>1750</v>
      </c>
      <c r="J424" s="176">
        <v>46041</v>
      </c>
      <c r="K424" s="172" t="s">
        <v>94</v>
      </c>
      <c r="L424" s="172" t="s">
        <v>95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223</v>
      </c>
      <c r="B425" s="176">
        <v>46044</v>
      </c>
      <c r="C425" s="172" t="s">
        <v>101</v>
      </c>
      <c r="D425" s="172" t="s">
        <v>102</v>
      </c>
      <c r="E425" s="172" t="s">
        <v>42</v>
      </c>
      <c r="F425" s="172" t="s">
        <v>84</v>
      </c>
      <c r="G425" s="172" t="s">
        <v>85</v>
      </c>
      <c r="H425" s="177">
        <v>1</v>
      </c>
      <c r="I425" s="178">
        <v>1750</v>
      </c>
      <c r="J425" s="176">
        <v>46041</v>
      </c>
      <c r="K425" s="172" t="s">
        <v>94</v>
      </c>
      <c r="L425" s="172" t="s">
        <v>95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223</v>
      </c>
      <c r="B426" s="176">
        <v>46044</v>
      </c>
      <c r="C426" s="172" t="s">
        <v>101</v>
      </c>
      <c r="D426" s="172" t="s">
        <v>103</v>
      </c>
      <c r="E426" s="172" t="s">
        <v>42</v>
      </c>
      <c r="F426" s="172" t="s">
        <v>84</v>
      </c>
      <c r="G426" s="172" t="s">
        <v>85</v>
      </c>
      <c r="H426" s="177">
        <v>1</v>
      </c>
      <c r="I426" s="178">
        <v>1750</v>
      </c>
      <c r="J426" s="176">
        <v>46041</v>
      </c>
      <c r="K426" s="172" t="s">
        <v>94</v>
      </c>
      <c r="L426" s="172" t="s">
        <v>95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223</v>
      </c>
      <c r="B427" s="176">
        <v>46044</v>
      </c>
      <c r="C427" s="172" t="s">
        <v>101</v>
      </c>
      <c r="D427" s="172" t="s">
        <v>104</v>
      </c>
      <c r="E427" s="172" t="s">
        <v>42</v>
      </c>
      <c r="F427" s="172" t="s">
        <v>84</v>
      </c>
      <c r="G427" s="172" t="s">
        <v>85</v>
      </c>
      <c r="H427" s="177">
        <v>1</v>
      </c>
      <c r="I427" s="178">
        <v>1750</v>
      </c>
      <c r="J427" s="176">
        <v>46041</v>
      </c>
      <c r="K427" s="172" t="s">
        <v>94</v>
      </c>
      <c r="L427" s="172" t="s">
        <v>95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223</v>
      </c>
      <c r="B428" s="176">
        <v>46044</v>
      </c>
      <c r="C428" s="172" t="s">
        <v>105</v>
      </c>
      <c r="D428" s="172" t="s">
        <v>106</v>
      </c>
      <c r="E428" s="172" t="s">
        <v>42</v>
      </c>
      <c r="F428" s="172" t="s">
        <v>84</v>
      </c>
      <c r="G428" s="172" t="s">
        <v>85</v>
      </c>
      <c r="H428" s="177">
        <v>1</v>
      </c>
      <c r="I428" s="178">
        <v>1750</v>
      </c>
      <c r="J428" s="176">
        <v>46041</v>
      </c>
      <c r="K428" s="172" t="s">
        <v>94</v>
      </c>
      <c r="L428" s="172" t="s">
        <v>95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223</v>
      </c>
      <c r="B429" s="176">
        <v>46044</v>
      </c>
      <c r="C429" s="172" t="s">
        <v>82</v>
      </c>
      <c r="D429" s="172" t="s">
        <v>96</v>
      </c>
      <c r="E429" s="172" t="s">
        <v>42</v>
      </c>
      <c r="F429" s="172" t="s">
        <v>84</v>
      </c>
      <c r="G429" s="172" t="s">
        <v>85</v>
      </c>
      <c r="H429" s="177">
        <v>1</v>
      </c>
      <c r="I429" s="178">
        <v>1750</v>
      </c>
      <c r="J429" s="176">
        <v>46041</v>
      </c>
      <c r="K429" s="172" t="s">
        <v>94</v>
      </c>
      <c r="L429" s="172" t="s">
        <v>95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224</v>
      </c>
      <c r="B430" s="176">
        <v>46044</v>
      </c>
      <c r="C430" s="172" t="s">
        <v>93</v>
      </c>
      <c r="D430" s="172" t="s">
        <v>24</v>
      </c>
      <c r="E430" s="172" t="s">
        <v>53</v>
      </c>
      <c r="F430" s="172" t="s">
        <v>91</v>
      </c>
      <c r="G430" s="172" t="s">
        <v>85</v>
      </c>
      <c r="H430" s="177">
        <v>1</v>
      </c>
      <c r="I430" s="178">
        <v>0</v>
      </c>
      <c r="J430" s="176">
        <v>46040</v>
      </c>
      <c r="K430" s="172" t="s">
        <v>94</v>
      </c>
      <c r="L430" s="172" t="s">
        <v>95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224</v>
      </c>
      <c r="B431" s="176">
        <v>46044</v>
      </c>
      <c r="C431" s="172" t="s">
        <v>82</v>
      </c>
      <c r="D431" s="172" t="s">
        <v>96</v>
      </c>
      <c r="E431" s="172" t="s">
        <v>53</v>
      </c>
      <c r="F431" s="172" t="s">
        <v>91</v>
      </c>
      <c r="G431" s="172" t="s">
        <v>85</v>
      </c>
      <c r="H431" s="177">
        <v>1</v>
      </c>
      <c r="I431" s="178">
        <v>0</v>
      </c>
      <c r="J431" s="176">
        <v>46040</v>
      </c>
      <c r="K431" s="172" t="s">
        <v>94</v>
      </c>
      <c r="L431" s="172" t="s">
        <v>95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224</v>
      </c>
      <c r="B432" s="176">
        <v>46044</v>
      </c>
      <c r="C432" s="172" t="s">
        <v>93</v>
      </c>
      <c r="D432" s="172" t="s">
        <v>97</v>
      </c>
      <c r="E432" s="172" t="s">
        <v>53</v>
      </c>
      <c r="F432" s="172" t="s">
        <v>91</v>
      </c>
      <c r="G432" s="172" t="s">
        <v>85</v>
      </c>
      <c r="H432" s="177">
        <v>1</v>
      </c>
      <c r="I432" s="178">
        <v>0</v>
      </c>
      <c r="J432" s="176">
        <v>46040</v>
      </c>
      <c r="K432" s="172" t="s">
        <v>94</v>
      </c>
      <c r="L432" s="172" t="s">
        <v>95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224</v>
      </c>
      <c r="B433" s="176">
        <v>46044</v>
      </c>
      <c r="C433" s="172" t="s">
        <v>93</v>
      </c>
      <c r="D433" s="172" t="s">
        <v>98</v>
      </c>
      <c r="E433" s="172" t="s">
        <v>53</v>
      </c>
      <c r="F433" s="172" t="s">
        <v>91</v>
      </c>
      <c r="G433" s="172" t="s">
        <v>85</v>
      </c>
      <c r="H433" s="177">
        <v>1</v>
      </c>
      <c r="I433" s="178">
        <v>0</v>
      </c>
      <c r="J433" s="176">
        <v>46040</v>
      </c>
      <c r="K433" s="172" t="s">
        <v>94</v>
      </c>
      <c r="L433" s="172" t="s">
        <v>95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224</v>
      </c>
      <c r="B434" s="176">
        <v>46044</v>
      </c>
      <c r="C434" s="172" t="s">
        <v>82</v>
      </c>
      <c r="D434" s="172" t="s">
        <v>99</v>
      </c>
      <c r="E434" s="172" t="s">
        <v>53</v>
      </c>
      <c r="F434" s="172" t="s">
        <v>91</v>
      </c>
      <c r="G434" s="172" t="s">
        <v>85</v>
      </c>
      <c r="H434" s="177">
        <v>1</v>
      </c>
      <c r="I434" s="178">
        <v>0</v>
      </c>
      <c r="J434" s="176">
        <v>46040</v>
      </c>
      <c r="K434" s="172" t="s">
        <v>94</v>
      </c>
      <c r="L434" s="172" t="s">
        <v>95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225</v>
      </c>
      <c r="B435" s="176">
        <v>46044</v>
      </c>
      <c r="C435" s="172" t="s">
        <v>82</v>
      </c>
      <c r="D435" s="172" t="s">
        <v>83</v>
      </c>
      <c r="E435" s="172" t="s">
        <v>43</v>
      </c>
      <c r="F435" s="172" t="s">
        <v>90</v>
      </c>
      <c r="G435" s="172" t="s">
        <v>85</v>
      </c>
      <c r="H435" s="177">
        <v>1</v>
      </c>
      <c r="I435" s="178">
        <v>0</v>
      </c>
      <c r="J435" s="176">
        <v>46044</v>
      </c>
      <c r="K435" s="172" t="s">
        <v>86</v>
      </c>
      <c r="L435" s="172" t="s">
        <v>86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226</v>
      </c>
      <c r="B436" s="176">
        <v>46044</v>
      </c>
      <c r="C436" s="172" t="s">
        <v>82</v>
      </c>
      <c r="D436" s="172" t="s">
        <v>83</v>
      </c>
      <c r="E436" s="172" t="s">
        <v>54</v>
      </c>
      <c r="F436" s="172" t="s">
        <v>121</v>
      </c>
      <c r="G436" s="172" t="s">
        <v>85</v>
      </c>
      <c r="H436" s="177">
        <v>1</v>
      </c>
      <c r="I436" s="178">
        <v>0</v>
      </c>
      <c r="J436" s="176">
        <v>46044</v>
      </c>
      <c r="K436" s="172" t="s">
        <v>86</v>
      </c>
      <c r="L436" s="172" t="s">
        <v>86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142</v>
      </c>
      <c r="B437" s="176">
        <v>46044</v>
      </c>
      <c r="C437" s="172" t="s">
        <v>110</v>
      </c>
      <c r="D437" s="172" t="s">
        <v>140</v>
      </c>
      <c r="E437" s="172" t="s">
        <v>86</v>
      </c>
      <c r="F437" s="172" t="s">
        <v>86</v>
      </c>
      <c r="G437" s="172" t="s">
        <v>86</v>
      </c>
      <c r="H437" s="177">
        <v>0</v>
      </c>
      <c r="I437" s="178">
        <v>0</v>
      </c>
      <c r="J437" s="176">
        <v>46044</v>
      </c>
      <c r="K437" s="172" t="s">
        <v>86</v>
      </c>
      <c r="L437" s="172" t="s">
        <v>86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146</v>
      </c>
      <c r="B438" s="176">
        <v>46044</v>
      </c>
      <c r="C438" s="172" t="s">
        <v>110</v>
      </c>
      <c r="D438" s="172" t="s">
        <v>140</v>
      </c>
      <c r="E438" s="172" t="s">
        <v>86</v>
      </c>
      <c r="F438" s="172" t="s">
        <v>86</v>
      </c>
      <c r="G438" s="172" t="s">
        <v>86</v>
      </c>
      <c r="H438" s="177">
        <v>0</v>
      </c>
      <c r="I438" s="178">
        <v>0</v>
      </c>
      <c r="J438" s="176">
        <v>46044</v>
      </c>
      <c r="K438" s="172" t="s">
        <v>86</v>
      </c>
      <c r="L438" s="172" t="s">
        <v>86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139</v>
      </c>
      <c r="B439" s="176">
        <v>46044</v>
      </c>
      <c r="C439" s="172" t="s">
        <v>110</v>
      </c>
      <c r="D439" s="172" t="s">
        <v>140</v>
      </c>
      <c r="E439" s="172" t="s">
        <v>86</v>
      </c>
      <c r="F439" s="172" t="s">
        <v>86</v>
      </c>
      <c r="G439" s="172" t="s">
        <v>86</v>
      </c>
      <c r="H439" s="177">
        <v>0</v>
      </c>
      <c r="I439" s="178">
        <v>0</v>
      </c>
      <c r="J439" s="176">
        <v>46044</v>
      </c>
      <c r="K439" s="172" t="s">
        <v>86</v>
      </c>
      <c r="L439" s="172" t="s">
        <v>86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145</v>
      </c>
      <c r="B440" s="176">
        <v>46044</v>
      </c>
      <c r="C440" s="172" t="s">
        <v>110</v>
      </c>
      <c r="D440" s="172" t="s">
        <v>140</v>
      </c>
      <c r="E440" s="172" t="s">
        <v>86</v>
      </c>
      <c r="F440" s="172" t="s">
        <v>86</v>
      </c>
      <c r="G440" s="172" t="s">
        <v>86</v>
      </c>
      <c r="H440" s="177">
        <v>0</v>
      </c>
      <c r="I440" s="178">
        <v>0</v>
      </c>
      <c r="J440" s="176">
        <v>46044</v>
      </c>
      <c r="K440" s="172" t="s">
        <v>86</v>
      </c>
      <c r="L440" s="172" t="s">
        <v>86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143</v>
      </c>
      <c r="B441" s="176">
        <v>46044</v>
      </c>
      <c r="C441" s="172" t="s">
        <v>110</v>
      </c>
      <c r="D441" s="172" t="s">
        <v>144</v>
      </c>
      <c r="E441" s="172" t="s">
        <v>86</v>
      </c>
      <c r="F441" s="172" t="s">
        <v>86</v>
      </c>
      <c r="G441" s="172" t="s">
        <v>86</v>
      </c>
      <c r="H441" s="177">
        <v>0</v>
      </c>
      <c r="I441" s="178">
        <v>0</v>
      </c>
      <c r="J441" s="176">
        <v>46044</v>
      </c>
      <c r="K441" s="172" t="s">
        <v>86</v>
      </c>
      <c r="L441" s="172" t="s">
        <v>86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227</v>
      </c>
      <c r="B442" s="176">
        <v>46045</v>
      </c>
      <c r="C442" s="172" t="s">
        <v>82</v>
      </c>
      <c r="D442" s="172" t="s">
        <v>83</v>
      </c>
      <c r="E442" s="172" t="s">
        <v>43</v>
      </c>
      <c r="F442" s="172" t="s">
        <v>90</v>
      </c>
      <c r="G442" s="172" t="s">
        <v>85</v>
      </c>
      <c r="H442" s="177">
        <v>1</v>
      </c>
      <c r="I442" s="178">
        <v>0</v>
      </c>
      <c r="J442" s="176">
        <v>46044</v>
      </c>
      <c r="K442" s="172" t="s">
        <v>86</v>
      </c>
      <c r="L442" s="172" t="s">
        <v>86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228</v>
      </c>
      <c r="B443" s="176">
        <v>46045</v>
      </c>
      <c r="C443" s="172" t="s">
        <v>93</v>
      </c>
      <c r="D443" s="172" t="s">
        <v>24</v>
      </c>
      <c r="E443" s="172" t="s">
        <v>53</v>
      </c>
      <c r="F443" s="172" t="s">
        <v>91</v>
      </c>
      <c r="G443" s="172" t="s">
        <v>85</v>
      </c>
      <c r="H443" s="177">
        <v>1</v>
      </c>
      <c r="I443" s="178">
        <v>0</v>
      </c>
      <c r="J443" s="176">
        <v>46023</v>
      </c>
      <c r="K443" s="172" t="s">
        <v>94</v>
      </c>
      <c r="L443" s="172" t="s">
        <v>95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228</v>
      </c>
      <c r="B444" s="176">
        <v>46045</v>
      </c>
      <c r="C444" s="172" t="s">
        <v>82</v>
      </c>
      <c r="D444" s="172" t="s">
        <v>96</v>
      </c>
      <c r="E444" s="172" t="s">
        <v>53</v>
      </c>
      <c r="F444" s="172" t="s">
        <v>91</v>
      </c>
      <c r="G444" s="172" t="s">
        <v>85</v>
      </c>
      <c r="H444" s="177">
        <v>1</v>
      </c>
      <c r="I444" s="178">
        <v>0</v>
      </c>
      <c r="J444" s="176">
        <v>46023</v>
      </c>
      <c r="K444" s="172" t="s">
        <v>94</v>
      </c>
      <c r="L444" s="172" t="s">
        <v>95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228</v>
      </c>
      <c r="B445" s="176">
        <v>46045</v>
      </c>
      <c r="C445" s="172" t="s">
        <v>93</v>
      </c>
      <c r="D445" s="172" t="s">
        <v>97</v>
      </c>
      <c r="E445" s="172" t="s">
        <v>53</v>
      </c>
      <c r="F445" s="172" t="s">
        <v>91</v>
      </c>
      <c r="G445" s="172" t="s">
        <v>85</v>
      </c>
      <c r="H445" s="177">
        <v>1</v>
      </c>
      <c r="I445" s="178">
        <v>0</v>
      </c>
      <c r="J445" s="176">
        <v>46023</v>
      </c>
      <c r="K445" s="172" t="s">
        <v>94</v>
      </c>
      <c r="L445" s="172" t="s">
        <v>95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228</v>
      </c>
      <c r="B446" s="176">
        <v>46045</v>
      </c>
      <c r="C446" s="172" t="s">
        <v>93</v>
      </c>
      <c r="D446" s="172" t="s">
        <v>98</v>
      </c>
      <c r="E446" s="172" t="s">
        <v>53</v>
      </c>
      <c r="F446" s="172" t="s">
        <v>91</v>
      </c>
      <c r="G446" s="172" t="s">
        <v>85</v>
      </c>
      <c r="H446" s="177">
        <v>1</v>
      </c>
      <c r="I446" s="178">
        <v>0</v>
      </c>
      <c r="J446" s="176">
        <v>46023</v>
      </c>
      <c r="K446" s="172" t="s">
        <v>94</v>
      </c>
      <c r="L446" s="172" t="s">
        <v>95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228</v>
      </c>
      <c r="B447" s="176">
        <v>46045</v>
      </c>
      <c r="C447" s="172" t="s">
        <v>82</v>
      </c>
      <c r="D447" s="172" t="s">
        <v>99</v>
      </c>
      <c r="E447" s="172" t="s">
        <v>53</v>
      </c>
      <c r="F447" s="172" t="s">
        <v>91</v>
      </c>
      <c r="G447" s="172" t="s">
        <v>85</v>
      </c>
      <c r="H447" s="177">
        <v>1</v>
      </c>
      <c r="I447" s="178">
        <v>0</v>
      </c>
      <c r="J447" s="176">
        <v>46023</v>
      </c>
      <c r="K447" s="172" t="s">
        <v>94</v>
      </c>
      <c r="L447" s="172" t="s">
        <v>95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86</v>
      </c>
      <c r="B448" s="176">
        <v>46045</v>
      </c>
      <c r="C448" s="172" t="s">
        <v>110</v>
      </c>
      <c r="D448" s="172" t="s">
        <v>111</v>
      </c>
      <c r="E448" s="172" t="s">
        <v>86</v>
      </c>
      <c r="F448" s="172" t="s">
        <v>86</v>
      </c>
      <c r="G448" s="172" t="s">
        <v>229</v>
      </c>
      <c r="H448" s="177">
        <v>0</v>
      </c>
      <c r="I448" s="178">
        <v>0</v>
      </c>
      <c r="J448" s="176">
        <v>46045</v>
      </c>
      <c r="K448" s="172" t="s">
        <v>86</v>
      </c>
      <c r="L448" s="172" t="s">
        <v>86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230</v>
      </c>
      <c r="B449" s="176">
        <v>46045</v>
      </c>
      <c r="C449" s="172" t="s">
        <v>82</v>
      </c>
      <c r="D449" s="172" t="s">
        <v>83</v>
      </c>
      <c r="E449" s="172" t="s">
        <v>53</v>
      </c>
      <c r="F449" s="172" t="s">
        <v>91</v>
      </c>
      <c r="G449" s="172" t="s">
        <v>85</v>
      </c>
      <c r="H449" s="177">
        <v>1</v>
      </c>
      <c r="I449" s="178">
        <v>0</v>
      </c>
      <c r="J449" s="176">
        <v>46045</v>
      </c>
      <c r="K449" s="172" t="s">
        <v>86</v>
      </c>
      <c r="L449" s="172" t="s">
        <v>86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231</v>
      </c>
      <c r="B450" s="176">
        <v>46045</v>
      </c>
      <c r="C450" s="172" t="s">
        <v>93</v>
      </c>
      <c r="D450" s="172" t="s">
        <v>24</v>
      </c>
      <c r="E450" s="172" t="s">
        <v>41</v>
      </c>
      <c r="F450" s="172" t="s">
        <v>198</v>
      </c>
      <c r="G450" s="172" t="s">
        <v>85</v>
      </c>
      <c r="H450" s="177">
        <v>1</v>
      </c>
      <c r="I450" s="178">
        <v>0</v>
      </c>
      <c r="J450" s="176">
        <v>46039</v>
      </c>
      <c r="K450" s="172" t="s">
        <v>94</v>
      </c>
      <c r="L450" s="172" t="s">
        <v>95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231</v>
      </c>
      <c r="B451" s="176">
        <v>46045</v>
      </c>
      <c r="C451" s="172" t="s">
        <v>82</v>
      </c>
      <c r="D451" s="172" t="s">
        <v>96</v>
      </c>
      <c r="E451" s="172" t="s">
        <v>41</v>
      </c>
      <c r="F451" s="172" t="s">
        <v>198</v>
      </c>
      <c r="G451" s="172" t="s">
        <v>85</v>
      </c>
      <c r="H451" s="177">
        <v>1</v>
      </c>
      <c r="I451" s="178">
        <v>0</v>
      </c>
      <c r="J451" s="176">
        <v>46039</v>
      </c>
      <c r="K451" s="172" t="s">
        <v>94</v>
      </c>
      <c r="L451" s="172" t="s">
        <v>95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231</v>
      </c>
      <c r="B452" s="176">
        <v>46045</v>
      </c>
      <c r="C452" s="172" t="s">
        <v>93</v>
      </c>
      <c r="D452" s="172" t="s">
        <v>97</v>
      </c>
      <c r="E452" s="172" t="s">
        <v>41</v>
      </c>
      <c r="F452" s="172" t="s">
        <v>198</v>
      </c>
      <c r="G452" s="172" t="s">
        <v>85</v>
      </c>
      <c r="H452" s="177">
        <v>1</v>
      </c>
      <c r="I452" s="178">
        <v>0</v>
      </c>
      <c r="J452" s="176">
        <v>46039</v>
      </c>
      <c r="K452" s="172" t="s">
        <v>94</v>
      </c>
      <c r="L452" s="172" t="s">
        <v>95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231</v>
      </c>
      <c r="B453" s="176">
        <v>46045</v>
      </c>
      <c r="C453" s="172" t="s">
        <v>93</v>
      </c>
      <c r="D453" s="172" t="s">
        <v>98</v>
      </c>
      <c r="E453" s="172" t="s">
        <v>41</v>
      </c>
      <c r="F453" s="172" t="s">
        <v>198</v>
      </c>
      <c r="G453" s="172" t="s">
        <v>85</v>
      </c>
      <c r="H453" s="177">
        <v>1</v>
      </c>
      <c r="I453" s="178">
        <v>0</v>
      </c>
      <c r="J453" s="176">
        <v>46039</v>
      </c>
      <c r="K453" s="172" t="s">
        <v>94</v>
      </c>
      <c r="L453" s="172" t="s">
        <v>95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232</v>
      </c>
      <c r="B454" s="176">
        <v>46045</v>
      </c>
      <c r="C454" s="172" t="s">
        <v>93</v>
      </c>
      <c r="D454" s="172" t="s">
        <v>24</v>
      </c>
      <c r="E454" s="172" t="s">
        <v>43</v>
      </c>
      <c r="F454" s="172" t="s">
        <v>90</v>
      </c>
      <c r="G454" s="172" t="s">
        <v>85</v>
      </c>
      <c r="H454" s="177">
        <v>1</v>
      </c>
      <c r="I454" s="178">
        <v>1750</v>
      </c>
      <c r="J454" s="176">
        <v>46037</v>
      </c>
      <c r="K454" s="172" t="s">
        <v>94</v>
      </c>
      <c r="L454" s="172" t="s">
        <v>95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232</v>
      </c>
      <c r="B455" s="176">
        <v>46045</v>
      </c>
      <c r="C455" s="172" t="s">
        <v>101</v>
      </c>
      <c r="D455" s="172" t="s">
        <v>102</v>
      </c>
      <c r="E455" s="172" t="s">
        <v>43</v>
      </c>
      <c r="F455" s="172" t="s">
        <v>90</v>
      </c>
      <c r="G455" s="172" t="s">
        <v>85</v>
      </c>
      <c r="H455" s="177">
        <v>1</v>
      </c>
      <c r="I455" s="178">
        <v>1750</v>
      </c>
      <c r="J455" s="176">
        <v>46037</v>
      </c>
      <c r="K455" s="172" t="s">
        <v>94</v>
      </c>
      <c r="L455" s="172" t="s">
        <v>95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232</v>
      </c>
      <c r="B456" s="176">
        <v>46045</v>
      </c>
      <c r="C456" s="172" t="s">
        <v>101</v>
      </c>
      <c r="D456" s="172" t="s">
        <v>103</v>
      </c>
      <c r="E456" s="172" t="s">
        <v>43</v>
      </c>
      <c r="F456" s="172" t="s">
        <v>90</v>
      </c>
      <c r="G456" s="172" t="s">
        <v>85</v>
      </c>
      <c r="H456" s="177">
        <v>1</v>
      </c>
      <c r="I456" s="178">
        <v>1750</v>
      </c>
      <c r="J456" s="176">
        <v>46037</v>
      </c>
      <c r="K456" s="172" t="s">
        <v>94</v>
      </c>
      <c r="L456" s="172" t="s">
        <v>95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232</v>
      </c>
      <c r="B457" s="176">
        <v>46045</v>
      </c>
      <c r="C457" s="172" t="s">
        <v>101</v>
      </c>
      <c r="D457" s="172" t="s">
        <v>104</v>
      </c>
      <c r="E457" s="172" t="s">
        <v>43</v>
      </c>
      <c r="F457" s="172" t="s">
        <v>90</v>
      </c>
      <c r="G457" s="172" t="s">
        <v>85</v>
      </c>
      <c r="H457" s="177">
        <v>1</v>
      </c>
      <c r="I457" s="178">
        <v>1750</v>
      </c>
      <c r="J457" s="176">
        <v>46037</v>
      </c>
      <c r="K457" s="172" t="s">
        <v>94</v>
      </c>
      <c r="L457" s="172" t="s">
        <v>95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232</v>
      </c>
      <c r="B458" s="176">
        <v>46045</v>
      </c>
      <c r="C458" s="172" t="s">
        <v>105</v>
      </c>
      <c r="D458" s="172" t="s">
        <v>106</v>
      </c>
      <c r="E458" s="172" t="s">
        <v>43</v>
      </c>
      <c r="F458" s="172" t="s">
        <v>90</v>
      </c>
      <c r="G458" s="172" t="s">
        <v>85</v>
      </c>
      <c r="H458" s="177">
        <v>1</v>
      </c>
      <c r="I458" s="178">
        <v>1750</v>
      </c>
      <c r="J458" s="176">
        <v>46037</v>
      </c>
      <c r="K458" s="172" t="s">
        <v>94</v>
      </c>
      <c r="L458" s="172" t="s">
        <v>95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232</v>
      </c>
      <c r="B459" s="176">
        <v>46045</v>
      </c>
      <c r="C459" s="172" t="s">
        <v>82</v>
      </c>
      <c r="D459" s="172" t="s">
        <v>96</v>
      </c>
      <c r="E459" s="172" t="s">
        <v>43</v>
      </c>
      <c r="F459" s="172" t="s">
        <v>90</v>
      </c>
      <c r="G459" s="172" t="s">
        <v>85</v>
      </c>
      <c r="H459" s="177">
        <v>1</v>
      </c>
      <c r="I459" s="178">
        <v>1750</v>
      </c>
      <c r="J459" s="176">
        <v>46037</v>
      </c>
      <c r="K459" s="172" t="s">
        <v>94</v>
      </c>
      <c r="L459" s="172" t="s">
        <v>95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233</v>
      </c>
      <c r="B460" s="176">
        <v>46045</v>
      </c>
      <c r="C460" s="172" t="s">
        <v>93</v>
      </c>
      <c r="D460" s="172" t="s">
        <v>24</v>
      </c>
      <c r="E460" s="172" t="s">
        <v>43</v>
      </c>
      <c r="F460" s="172" t="s">
        <v>90</v>
      </c>
      <c r="G460" s="172" t="s">
        <v>85</v>
      </c>
      <c r="H460" s="177">
        <v>1</v>
      </c>
      <c r="I460" s="178">
        <v>1750</v>
      </c>
      <c r="J460" s="176">
        <v>46041</v>
      </c>
      <c r="K460" s="172" t="s">
        <v>94</v>
      </c>
      <c r="L460" s="172" t="s">
        <v>95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233</v>
      </c>
      <c r="B461" s="176">
        <v>46045</v>
      </c>
      <c r="C461" s="172" t="s">
        <v>101</v>
      </c>
      <c r="D461" s="172" t="s">
        <v>102</v>
      </c>
      <c r="E461" s="172" t="s">
        <v>43</v>
      </c>
      <c r="F461" s="172" t="s">
        <v>90</v>
      </c>
      <c r="G461" s="172" t="s">
        <v>85</v>
      </c>
      <c r="H461" s="177">
        <v>1</v>
      </c>
      <c r="I461" s="178">
        <v>1750</v>
      </c>
      <c r="J461" s="176">
        <v>46041</v>
      </c>
      <c r="K461" s="172" t="s">
        <v>94</v>
      </c>
      <c r="L461" s="172" t="s">
        <v>95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233</v>
      </c>
      <c r="B462" s="176">
        <v>46045</v>
      </c>
      <c r="C462" s="172" t="s">
        <v>101</v>
      </c>
      <c r="D462" s="172" t="s">
        <v>103</v>
      </c>
      <c r="E462" s="172" t="s">
        <v>43</v>
      </c>
      <c r="F462" s="172" t="s">
        <v>90</v>
      </c>
      <c r="G462" s="172" t="s">
        <v>85</v>
      </c>
      <c r="H462" s="177">
        <v>1</v>
      </c>
      <c r="I462" s="178">
        <v>1750</v>
      </c>
      <c r="J462" s="176">
        <v>46041</v>
      </c>
      <c r="K462" s="172" t="s">
        <v>94</v>
      </c>
      <c r="L462" s="172" t="s">
        <v>95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233</v>
      </c>
      <c r="B463" s="176">
        <v>46045</v>
      </c>
      <c r="C463" s="172" t="s">
        <v>101</v>
      </c>
      <c r="D463" s="172" t="s">
        <v>104</v>
      </c>
      <c r="E463" s="172" t="s">
        <v>43</v>
      </c>
      <c r="F463" s="172" t="s">
        <v>90</v>
      </c>
      <c r="G463" s="172" t="s">
        <v>85</v>
      </c>
      <c r="H463" s="177">
        <v>1</v>
      </c>
      <c r="I463" s="178">
        <v>1750</v>
      </c>
      <c r="J463" s="176">
        <v>46041</v>
      </c>
      <c r="K463" s="172" t="s">
        <v>94</v>
      </c>
      <c r="L463" s="172" t="s">
        <v>95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233</v>
      </c>
      <c r="B464" s="176">
        <v>46045</v>
      </c>
      <c r="C464" s="172" t="s">
        <v>105</v>
      </c>
      <c r="D464" s="172" t="s">
        <v>106</v>
      </c>
      <c r="E464" s="172" t="s">
        <v>43</v>
      </c>
      <c r="F464" s="172" t="s">
        <v>90</v>
      </c>
      <c r="G464" s="172" t="s">
        <v>85</v>
      </c>
      <c r="H464" s="177">
        <v>1</v>
      </c>
      <c r="I464" s="178">
        <v>1750</v>
      </c>
      <c r="J464" s="176">
        <v>46041</v>
      </c>
      <c r="K464" s="172" t="s">
        <v>94</v>
      </c>
      <c r="L464" s="172" t="s">
        <v>95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233</v>
      </c>
      <c r="B465" s="176">
        <v>46045</v>
      </c>
      <c r="C465" s="172" t="s">
        <v>82</v>
      </c>
      <c r="D465" s="172" t="s">
        <v>96</v>
      </c>
      <c r="E465" s="172" t="s">
        <v>43</v>
      </c>
      <c r="F465" s="172" t="s">
        <v>90</v>
      </c>
      <c r="G465" s="172" t="s">
        <v>85</v>
      </c>
      <c r="H465" s="177">
        <v>1</v>
      </c>
      <c r="I465" s="178">
        <v>1750</v>
      </c>
      <c r="J465" s="176">
        <v>46041</v>
      </c>
      <c r="K465" s="172" t="s">
        <v>94</v>
      </c>
      <c r="L465" s="172" t="s">
        <v>95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234</v>
      </c>
      <c r="B466" s="176">
        <v>46045</v>
      </c>
      <c r="C466" s="172" t="s">
        <v>93</v>
      </c>
      <c r="D466" s="172" t="s">
        <v>24</v>
      </c>
      <c r="E466" s="172" t="s">
        <v>42</v>
      </c>
      <c r="F466" s="172" t="s">
        <v>84</v>
      </c>
      <c r="G466" s="172" t="s">
        <v>85</v>
      </c>
      <c r="H466" s="177">
        <v>1</v>
      </c>
      <c r="I466" s="178">
        <v>1750</v>
      </c>
      <c r="J466" s="176">
        <v>46040</v>
      </c>
      <c r="K466" s="172" t="s">
        <v>94</v>
      </c>
      <c r="L466" s="172" t="s">
        <v>95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234</v>
      </c>
      <c r="B467" s="176">
        <v>46045</v>
      </c>
      <c r="C467" s="172" t="s">
        <v>101</v>
      </c>
      <c r="D467" s="172" t="s">
        <v>102</v>
      </c>
      <c r="E467" s="172" t="s">
        <v>42</v>
      </c>
      <c r="F467" s="172" t="s">
        <v>84</v>
      </c>
      <c r="G467" s="172" t="s">
        <v>85</v>
      </c>
      <c r="H467" s="177">
        <v>1</v>
      </c>
      <c r="I467" s="178">
        <v>1750</v>
      </c>
      <c r="J467" s="176">
        <v>46040</v>
      </c>
      <c r="K467" s="172" t="s">
        <v>94</v>
      </c>
      <c r="L467" s="172" t="s">
        <v>95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234</v>
      </c>
      <c r="B468" s="176">
        <v>46045</v>
      </c>
      <c r="C468" s="172" t="s">
        <v>101</v>
      </c>
      <c r="D468" s="172" t="s">
        <v>103</v>
      </c>
      <c r="E468" s="172" t="s">
        <v>42</v>
      </c>
      <c r="F468" s="172" t="s">
        <v>84</v>
      </c>
      <c r="G468" s="172" t="s">
        <v>85</v>
      </c>
      <c r="H468" s="177">
        <v>1</v>
      </c>
      <c r="I468" s="178">
        <v>1750</v>
      </c>
      <c r="J468" s="176">
        <v>46040</v>
      </c>
      <c r="K468" s="172" t="s">
        <v>94</v>
      </c>
      <c r="L468" s="172" t="s">
        <v>95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234</v>
      </c>
      <c r="B469" s="176">
        <v>46045</v>
      </c>
      <c r="C469" s="172" t="s">
        <v>101</v>
      </c>
      <c r="D469" s="172" t="s">
        <v>104</v>
      </c>
      <c r="E469" s="172" t="s">
        <v>42</v>
      </c>
      <c r="F469" s="172" t="s">
        <v>84</v>
      </c>
      <c r="G469" s="172" t="s">
        <v>85</v>
      </c>
      <c r="H469" s="177">
        <v>1</v>
      </c>
      <c r="I469" s="178">
        <v>1750</v>
      </c>
      <c r="J469" s="176">
        <v>46040</v>
      </c>
      <c r="K469" s="172" t="s">
        <v>94</v>
      </c>
      <c r="L469" s="172" t="s">
        <v>95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234</v>
      </c>
      <c r="B470" s="176">
        <v>46045</v>
      </c>
      <c r="C470" s="172" t="s">
        <v>105</v>
      </c>
      <c r="D470" s="172" t="s">
        <v>106</v>
      </c>
      <c r="E470" s="172" t="s">
        <v>42</v>
      </c>
      <c r="F470" s="172" t="s">
        <v>84</v>
      </c>
      <c r="G470" s="172" t="s">
        <v>85</v>
      </c>
      <c r="H470" s="177">
        <v>1</v>
      </c>
      <c r="I470" s="178">
        <v>1750</v>
      </c>
      <c r="J470" s="176">
        <v>46040</v>
      </c>
      <c r="K470" s="172" t="s">
        <v>94</v>
      </c>
      <c r="L470" s="172" t="s">
        <v>95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234</v>
      </c>
      <c r="B471" s="176">
        <v>46045</v>
      </c>
      <c r="C471" s="172" t="s">
        <v>82</v>
      </c>
      <c r="D471" s="172" t="s">
        <v>96</v>
      </c>
      <c r="E471" s="172" t="s">
        <v>42</v>
      </c>
      <c r="F471" s="172" t="s">
        <v>84</v>
      </c>
      <c r="G471" s="172" t="s">
        <v>85</v>
      </c>
      <c r="H471" s="177">
        <v>1</v>
      </c>
      <c r="I471" s="178">
        <v>1750</v>
      </c>
      <c r="J471" s="176">
        <v>46040</v>
      </c>
      <c r="K471" s="172" t="s">
        <v>94</v>
      </c>
      <c r="L471" s="172" t="s">
        <v>95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234</v>
      </c>
      <c r="B472" s="176">
        <v>46045</v>
      </c>
      <c r="C472" s="172" t="s">
        <v>82</v>
      </c>
      <c r="D472" s="172" t="s">
        <v>83</v>
      </c>
      <c r="E472" s="172" t="s">
        <v>42</v>
      </c>
      <c r="F472" s="172" t="s">
        <v>84</v>
      </c>
      <c r="G472" s="172" t="s">
        <v>85</v>
      </c>
      <c r="H472" s="177">
        <v>1</v>
      </c>
      <c r="I472" s="178">
        <v>0</v>
      </c>
      <c r="J472" s="176">
        <v>46040</v>
      </c>
      <c r="K472" s="172" t="s">
        <v>86</v>
      </c>
      <c r="L472" s="172" t="s">
        <v>86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235</v>
      </c>
      <c r="B473" s="176">
        <v>46045</v>
      </c>
      <c r="C473" s="172" t="s">
        <v>93</v>
      </c>
      <c r="D473" s="172" t="s">
        <v>24</v>
      </c>
      <c r="E473" s="172" t="s">
        <v>53</v>
      </c>
      <c r="F473" s="172" t="s">
        <v>91</v>
      </c>
      <c r="G473" s="172" t="s">
        <v>85</v>
      </c>
      <c r="H473" s="177">
        <v>1</v>
      </c>
      <c r="I473" s="178">
        <v>1885</v>
      </c>
      <c r="J473" s="176">
        <v>46043</v>
      </c>
      <c r="K473" s="172" t="s">
        <v>94</v>
      </c>
      <c r="L473" s="172" t="s">
        <v>95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235</v>
      </c>
      <c r="B474" s="176">
        <v>46045</v>
      </c>
      <c r="C474" s="172" t="s">
        <v>101</v>
      </c>
      <c r="D474" s="172" t="s">
        <v>102</v>
      </c>
      <c r="E474" s="172" t="s">
        <v>53</v>
      </c>
      <c r="F474" s="172" t="s">
        <v>91</v>
      </c>
      <c r="G474" s="172" t="s">
        <v>85</v>
      </c>
      <c r="H474" s="177">
        <v>1</v>
      </c>
      <c r="I474" s="178">
        <v>1885</v>
      </c>
      <c r="J474" s="176">
        <v>46043</v>
      </c>
      <c r="K474" s="172" t="s">
        <v>94</v>
      </c>
      <c r="L474" s="172" t="s">
        <v>95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235</v>
      </c>
      <c r="B475" s="176">
        <v>46045</v>
      </c>
      <c r="C475" s="172" t="s">
        <v>101</v>
      </c>
      <c r="D475" s="172" t="s">
        <v>103</v>
      </c>
      <c r="E475" s="172" t="s">
        <v>53</v>
      </c>
      <c r="F475" s="172" t="s">
        <v>91</v>
      </c>
      <c r="G475" s="172" t="s">
        <v>85</v>
      </c>
      <c r="H475" s="177">
        <v>1</v>
      </c>
      <c r="I475" s="178">
        <v>1885</v>
      </c>
      <c r="J475" s="176">
        <v>46043</v>
      </c>
      <c r="K475" s="172" t="s">
        <v>94</v>
      </c>
      <c r="L475" s="172" t="s">
        <v>95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235</v>
      </c>
      <c r="B476" s="176">
        <v>46045</v>
      </c>
      <c r="C476" s="172" t="s">
        <v>101</v>
      </c>
      <c r="D476" s="172" t="s">
        <v>104</v>
      </c>
      <c r="E476" s="172" t="s">
        <v>53</v>
      </c>
      <c r="F476" s="172" t="s">
        <v>91</v>
      </c>
      <c r="G476" s="172" t="s">
        <v>85</v>
      </c>
      <c r="H476" s="177">
        <v>1</v>
      </c>
      <c r="I476" s="178">
        <v>1885</v>
      </c>
      <c r="J476" s="176">
        <v>46043</v>
      </c>
      <c r="K476" s="172" t="s">
        <v>94</v>
      </c>
      <c r="L476" s="172" t="s">
        <v>95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235</v>
      </c>
      <c r="B477" s="176">
        <v>46045</v>
      </c>
      <c r="C477" s="172" t="s">
        <v>105</v>
      </c>
      <c r="D477" s="172" t="s">
        <v>106</v>
      </c>
      <c r="E477" s="172" t="s">
        <v>53</v>
      </c>
      <c r="F477" s="172" t="s">
        <v>91</v>
      </c>
      <c r="G477" s="172" t="s">
        <v>85</v>
      </c>
      <c r="H477" s="177">
        <v>1</v>
      </c>
      <c r="I477" s="178">
        <v>1885</v>
      </c>
      <c r="J477" s="176">
        <v>46043</v>
      </c>
      <c r="K477" s="172" t="s">
        <v>94</v>
      </c>
      <c r="L477" s="172" t="s">
        <v>95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235</v>
      </c>
      <c r="B478" s="176">
        <v>46045</v>
      </c>
      <c r="C478" s="172" t="s">
        <v>82</v>
      </c>
      <c r="D478" s="172" t="s">
        <v>96</v>
      </c>
      <c r="E478" s="172" t="s">
        <v>53</v>
      </c>
      <c r="F478" s="172" t="s">
        <v>91</v>
      </c>
      <c r="G478" s="172" t="s">
        <v>85</v>
      </c>
      <c r="H478" s="177">
        <v>1</v>
      </c>
      <c r="I478" s="178">
        <v>1885</v>
      </c>
      <c r="J478" s="176">
        <v>46043</v>
      </c>
      <c r="K478" s="172" t="s">
        <v>94</v>
      </c>
      <c r="L478" s="172" t="s">
        <v>95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236</v>
      </c>
      <c r="B479" s="176">
        <v>46045</v>
      </c>
      <c r="C479" s="172" t="s">
        <v>93</v>
      </c>
      <c r="D479" s="172" t="s">
        <v>24</v>
      </c>
      <c r="E479" s="172" t="s">
        <v>54</v>
      </c>
      <c r="F479" s="172" t="s">
        <v>121</v>
      </c>
      <c r="G479" s="172" t="s">
        <v>85</v>
      </c>
      <c r="H479" s="177">
        <v>1</v>
      </c>
      <c r="I479" s="178">
        <v>1845</v>
      </c>
      <c r="J479" s="176">
        <v>46037</v>
      </c>
      <c r="K479" s="172" t="s">
        <v>94</v>
      </c>
      <c r="L479" s="172" t="s">
        <v>95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236</v>
      </c>
      <c r="B480" s="176">
        <v>46045</v>
      </c>
      <c r="C480" s="172" t="s">
        <v>101</v>
      </c>
      <c r="D480" s="172" t="s">
        <v>102</v>
      </c>
      <c r="E480" s="172" t="s">
        <v>54</v>
      </c>
      <c r="F480" s="172" t="s">
        <v>121</v>
      </c>
      <c r="G480" s="172" t="s">
        <v>85</v>
      </c>
      <c r="H480" s="177">
        <v>1</v>
      </c>
      <c r="I480" s="178">
        <v>1845</v>
      </c>
      <c r="J480" s="176">
        <v>46037</v>
      </c>
      <c r="K480" s="172" t="s">
        <v>94</v>
      </c>
      <c r="L480" s="172" t="s">
        <v>95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236</v>
      </c>
      <c r="B481" s="176">
        <v>46045</v>
      </c>
      <c r="C481" s="172" t="s">
        <v>101</v>
      </c>
      <c r="D481" s="172" t="s">
        <v>103</v>
      </c>
      <c r="E481" s="172" t="s">
        <v>54</v>
      </c>
      <c r="F481" s="172" t="s">
        <v>121</v>
      </c>
      <c r="G481" s="172" t="s">
        <v>85</v>
      </c>
      <c r="H481" s="177">
        <v>1</v>
      </c>
      <c r="I481" s="178">
        <v>1845</v>
      </c>
      <c r="J481" s="176">
        <v>46037</v>
      </c>
      <c r="K481" s="172" t="s">
        <v>94</v>
      </c>
      <c r="L481" s="172" t="s">
        <v>95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236</v>
      </c>
      <c r="B482" s="176">
        <v>46045</v>
      </c>
      <c r="C482" s="172" t="s">
        <v>101</v>
      </c>
      <c r="D482" s="172" t="s">
        <v>104</v>
      </c>
      <c r="E482" s="172" t="s">
        <v>54</v>
      </c>
      <c r="F482" s="172" t="s">
        <v>121</v>
      </c>
      <c r="G482" s="172" t="s">
        <v>85</v>
      </c>
      <c r="H482" s="177">
        <v>1</v>
      </c>
      <c r="I482" s="178">
        <v>1845</v>
      </c>
      <c r="J482" s="176">
        <v>46037</v>
      </c>
      <c r="K482" s="172" t="s">
        <v>94</v>
      </c>
      <c r="L482" s="172" t="s">
        <v>95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236</v>
      </c>
      <c r="B483" s="176">
        <v>46045</v>
      </c>
      <c r="C483" s="172" t="s">
        <v>105</v>
      </c>
      <c r="D483" s="172" t="s">
        <v>106</v>
      </c>
      <c r="E483" s="172" t="s">
        <v>54</v>
      </c>
      <c r="F483" s="172" t="s">
        <v>121</v>
      </c>
      <c r="G483" s="172" t="s">
        <v>85</v>
      </c>
      <c r="H483" s="177">
        <v>1</v>
      </c>
      <c r="I483" s="178">
        <v>1845</v>
      </c>
      <c r="J483" s="176">
        <v>46037</v>
      </c>
      <c r="K483" s="172" t="s">
        <v>94</v>
      </c>
      <c r="L483" s="172" t="s">
        <v>95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236</v>
      </c>
      <c r="B484" s="176">
        <v>46045</v>
      </c>
      <c r="C484" s="172" t="s">
        <v>82</v>
      </c>
      <c r="D484" s="172" t="s">
        <v>96</v>
      </c>
      <c r="E484" s="172" t="s">
        <v>54</v>
      </c>
      <c r="F484" s="172" t="s">
        <v>121</v>
      </c>
      <c r="G484" s="172" t="s">
        <v>85</v>
      </c>
      <c r="H484" s="177">
        <v>1</v>
      </c>
      <c r="I484" s="178">
        <v>1845</v>
      </c>
      <c r="J484" s="176">
        <v>46037</v>
      </c>
      <c r="K484" s="172" t="s">
        <v>94</v>
      </c>
      <c r="L484" s="172" t="s">
        <v>95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237</v>
      </c>
      <c r="B485" s="176">
        <v>46045</v>
      </c>
      <c r="C485" s="172" t="s">
        <v>93</v>
      </c>
      <c r="D485" s="172" t="s">
        <v>24</v>
      </c>
      <c r="E485" s="172" t="s">
        <v>53</v>
      </c>
      <c r="F485" s="172" t="s">
        <v>91</v>
      </c>
      <c r="G485" s="172" t="s">
        <v>85</v>
      </c>
      <c r="H485" s="177">
        <v>1</v>
      </c>
      <c r="I485" s="178">
        <v>1621</v>
      </c>
      <c r="J485" s="176">
        <v>46031</v>
      </c>
      <c r="K485" s="172" t="s">
        <v>94</v>
      </c>
      <c r="L485" s="172" t="s">
        <v>95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237</v>
      </c>
      <c r="B486" s="176">
        <v>46045</v>
      </c>
      <c r="C486" s="172" t="s">
        <v>101</v>
      </c>
      <c r="D486" s="172" t="s">
        <v>102</v>
      </c>
      <c r="E486" s="172" t="s">
        <v>53</v>
      </c>
      <c r="F486" s="172" t="s">
        <v>91</v>
      </c>
      <c r="G486" s="172" t="s">
        <v>85</v>
      </c>
      <c r="H486" s="177">
        <v>1</v>
      </c>
      <c r="I486" s="178">
        <v>1621</v>
      </c>
      <c r="J486" s="176">
        <v>46031</v>
      </c>
      <c r="K486" s="172" t="s">
        <v>94</v>
      </c>
      <c r="L486" s="172" t="s">
        <v>95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237</v>
      </c>
      <c r="B487" s="176">
        <v>46045</v>
      </c>
      <c r="C487" s="172" t="s">
        <v>101</v>
      </c>
      <c r="D487" s="172" t="s">
        <v>103</v>
      </c>
      <c r="E487" s="172" t="s">
        <v>53</v>
      </c>
      <c r="F487" s="172" t="s">
        <v>91</v>
      </c>
      <c r="G487" s="172" t="s">
        <v>85</v>
      </c>
      <c r="H487" s="177">
        <v>1</v>
      </c>
      <c r="I487" s="178">
        <v>1621</v>
      </c>
      <c r="J487" s="176">
        <v>46031</v>
      </c>
      <c r="K487" s="172" t="s">
        <v>94</v>
      </c>
      <c r="L487" s="172" t="s">
        <v>95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237</v>
      </c>
      <c r="B488" s="176">
        <v>46045</v>
      </c>
      <c r="C488" s="172" t="s">
        <v>101</v>
      </c>
      <c r="D488" s="172" t="s">
        <v>104</v>
      </c>
      <c r="E488" s="172" t="s">
        <v>53</v>
      </c>
      <c r="F488" s="172" t="s">
        <v>91</v>
      </c>
      <c r="G488" s="172" t="s">
        <v>85</v>
      </c>
      <c r="H488" s="177">
        <v>1</v>
      </c>
      <c r="I488" s="178">
        <v>1621</v>
      </c>
      <c r="J488" s="176">
        <v>46031</v>
      </c>
      <c r="K488" s="172" t="s">
        <v>94</v>
      </c>
      <c r="L488" s="172" t="s">
        <v>95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237</v>
      </c>
      <c r="B489" s="176">
        <v>46045</v>
      </c>
      <c r="C489" s="172" t="s">
        <v>105</v>
      </c>
      <c r="D489" s="172" t="s">
        <v>106</v>
      </c>
      <c r="E489" s="172" t="s">
        <v>53</v>
      </c>
      <c r="F489" s="172" t="s">
        <v>91</v>
      </c>
      <c r="G489" s="172" t="s">
        <v>85</v>
      </c>
      <c r="H489" s="177">
        <v>1</v>
      </c>
      <c r="I489" s="178">
        <v>1621</v>
      </c>
      <c r="J489" s="176">
        <v>46031</v>
      </c>
      <c r="K489" s="172" t="s">
        <v>94</v>
      </c>
      <c r="L489" s="172" t="s">
        <v>95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237</v>
      </c>
      <c r="B490" s="176">
        <v>46045</v>
      </c>
      <c r="C490" s="172" t="s">
        <v>82</v>
      </c>
      <c r="D490" s="172" t="s">
        <v>96</v>
      </c>
      <c r="E490" s="172" t="s">
        <v>53</v>
      </c>
      <c r="F490" s="172" t="s">
        <v>91</v>
      </c>
      <c r="G490" s="172" t="s">
        <v>85</v>
      </c>
      <c r="H490" s="177">
        <v>1</v>
      </c>
      <c r="I490" s="178">
        <v>1621</v>
      </c>
      <c r="J490" s="176">
        <v>46031</v>
      </c>
      <c r="K490" s="172" t="s">
        <v>94</v>
      </c>
      <c r="L490" s="172" t="s">
        <v>95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236</v>
      </c>
      <c r="B491" s="176">
        <v>46045</v>
      </c>
      <c r="C491" s="172" t="s">
        <v>82</v>
      </c>
      <c r="D491" s="172" t="s">
        <v>83</v>
      </c>
      <c r="E491" s="172" t="s">
        <v>54</v>
      </c>
      <c r="F491" s="172" t="s">
        <v>121</v>
      </c>
      <c r="G491" s="172" t="s">
        <v>85</v>
      </c>
      <c r="H491" s="177">
        <v>1</v>
      </c>
      <c r="I491" s="178">
        <v>0</v>
      </c>
      <c r="J491" s="176">
        <v>46037</v>
      </c>
      <c r="K491" s="172" t="s">
        <v>86</v>
      </c>
      <c r="L491" s="172" t="s">
        <v>86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238</v>
      </c>
      <c r="B492" s="176">
        <v>46045</v>
      </c>
      <c r="C492" s="172" t="s">
        <v>82</v>
      </c>
      <c r="D492" s="172" t="s">
        <v>83</v>
      </c>
      <c r="E492" s="172" t="s">
        <v>43</v>
      </c>
      <c r="F492" s="172" t="s">
        <v>90</v>
      </c>
      <c r="G492" s="172" t="s">
        <v>85</v>
      </c>
      <c r="H492" s="177">
        <v>1</v>
      </c>
      <c r="I492" s="178">
        <v>0</v>
      </c>
      <c r="J492" s="176">
        <v>46045</v>
      </c>
      <c r="K492" s="172" t="s">
        <v>86</v>
      </c>
      <c r="L492" s="172" t="s">
        <v>86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237</v>
      </c>
      <c r="B493" s="176">
        <v>46045</v>
      </c>
      <c r="C493" s="172" t="s">
        <v>82</v>
      </c>
      <c r="D493" s="172" t="s">
        <v>83</v>
      </c>
      <c r="E493" s="172" t="s">
        <v>53</v>
      </c>
      <c r="F493" s="172" t="s">
        <v>91</v>
      </c>
      <c r="G493" s="172" t="s">
        <v>85</v>
      </c>
      <c r="H493" s="177">
        <v>1</v>
      </c>
      <c r="I493" s="178">
        <v>0</v>
      </c>
      <c r="J493" s="176">
        <v>46031</v>
      </c>
      <c r="K493" s="172" t="s">
        <v>86</v>
      </c>
      <c r="L493" s="172" t="s">
        <v>86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239</v>
      </c>
      <c r="B494" s="176">
        <v>46045</v>
      </c>
      <c r="C494" s="172" t="s">
        <v>82</v>
      </c>
      <c r="D494" s="172" t="s">
        <v>83</v>
      </c>
      <c r="E494" s="172" t="s">
        <v>53</v>
      </c>
      <c r="F494" s="172" t="s">
        <v>91</v>
      </c>
      <c r="G494" s="172" t="s">
        <v>85</v>
      </c>
      <c r="H494" s="177">
        <v>1</v>
      </c>
      <c r="I494" s="178">
        <v>0</v>
      </c>
      <c r="J494" s="176">
        <v>46045</v>
      </c>
      <c r="K494" s="172" t="s">
        <v>86</v>
      </c>
      <c r="L494" s="172" t="s">
        <v>86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240</v>
      </c>
      <c r="B495" s="176">
        <v>46045</v>
      </c>
      <c r="C495" s="172" t="s">
        <v>93</v>
      </c>
      <c r="D495" s="172" t="s">
        <v>24</v>
      </c>
      <c r="E495" s="172" t="s">
        <v>53</v>
      </c>
      <c r="F495" s="172" t="s">
        <v>91</v>
      </c>
      <c r="G495" s="172" t="s">
        <v>85</v>
      </c>
      <c r="H495" s="177">
        <v>1</v>
      </c>
      <c r="I495" s="178">
        <v>2027</v>
      </c>
      <c r="J495" s="176">
        <v>46037</v>
      </c>
      <c r="K495" s="172" t="s">
        <v>94</v>
      </c>
      <c r="L495" s="172" t="s">
        <v>95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240</v>
      </c>
      <c r="B496" s="176">
        <v>46045</v>
      </c>
      <c r="C496" s="172" t="s">
        <v>101</v>
      </c>
      <c r="D496" s="172" t="s">
        <v>102</v>
      </c>
      <c r="E496" s="172" t="s">
        <v>53</v>
      </c>
      <c r="F496" s="172" t="s">
        <v>91</v>
      </c>
      <c r="G496" s="172" t="s">
        <v>85</v>
      </c>
      <c r="H496" s="177">
        <v>1</v>
      </c>
      <c r="I496" s="178">
        <v>2027</v>
      </c>
      <c r="J496" s="176">
        <v>46037</v>
      </c>
      <c r="K496" s="172" t="s">
        <v>94</v>
      </c>
      <c r="L496" s="172" t="s">
        <v>95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240</v>
      </c>
      <c r="B497" s="176">
        <v>46045</v>
      </c>
      <c r="C497" s="172" t="s">
        <v>101</v>
      </c>
      <c r="D497" s="172" t="s">
        <v>103</v>
      </c>
      <c r="E497" s="172" t="s">
        <v>53</v>
      </c>
      <c r="F497" s="172" t="s">
        <v>91</v>
      </c>
      <c r="G497" s="172" t="s">
        <v>85</v>
      </c>
      <c r="H497" s="177">
        <v>1</v>
      </c>
      <c r="I497" s="178">
        <v>2027</v>
      </c>
      <c r="J497" s="176">
        <v>46037</v>
      </c>
      <c r="K497" s="172" t="s">
        <v>94</v>
      </c>
      <c r="L497" s="172" t="s">
        <v>95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240</v>
      </c>
      <c r="B498" s="176">
        <v>46045</v>
      </c>
      <c r="C498" s="172" t="s">
        <v>101</v>
      </c>
      <c r="D498" s="172" t="s">
        <v>104</v>
      </c>
      <c r="E498" s="172" t="s">
        <v>53</v>
      </c>
      <c r="F498" s="172" t="s">
        <v>91</v>
      </c>
      <c r="G498" s="172" t="s">
        <v>85</v>
      </c>
      <c r="H498" s="177">
        <v>1</v>
      </c>
      <c r="I498" s="178">
        <v>2027</v>
      </c>
      <c r="J498" s="176">
        <v>46037</v>
      </c>
      <c r="K498" s="172" t="s">
        <v>94</v>
      </c>
      <c r="L498" s="172" t="s">
        <v>95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240</v>
      </c>
      <c r="B499" s="176">
        <v>46045</v>
      </c>
      <c r="C499" s="172" t="s">
        <v>105</v>
      </c>
      <c r="D499" s="172" t="s">
        <v>106</v>
      </c>
      <c r="E499" s="172" t="s">
        <v>53</v>
      </c>
      <c r="F499" s="172" t="s">
        <v>91</v>
      </c>
      <c r="G499" s="172" t="s">
        <v>85</v>
      </c>
      <c r="H499" s="177">
        <v>1</v>
      </c>
      <c r="I499" s="178">
        <v>2027</v>
      </c>
      <c r="J499" s="176">
        <v>46037</v>
      </c>
      <c r="K499" s="172" t="s">
        <v>94</v>
      </c>
      <c r="L499" s="172" t="s">
        <v>95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240</v>
      </c>
      <c r="B500" s="176">
        <v>46045</v>
      </c>
      <c r="C500" s="172" t="s">
        <v>82</v>
      </c>
      <c r="D500" s="172" t="s">
        <v>96</v>
      </c>
      <c r="E500" s="172" t="s">
        <v>53</v>
      </c>
      <c r="F500" s="172" t="s">
        <v>91</v>
      </c>
      <c r="G500" s="172" t="s">
        <v>85</v>
      </c>
      <c r="H500" s="177">
        <v>1</v>
      </c>
      <c r="I500" s="178">
        <v>2027</v>
      </c>
      <c r="J500" s="176">
        <v>46037</v>
      </c>
      <c r="K500" s="172" t="s">
        <v>94</v>
      </c>
      <c r="L500" s="172" t="s">
        <v>95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241</v>
      </c>
      <c r="B501" s="176">
        <v>46045</v>
      </c>
      <c r="C501" s="172" t="s">
        <v>93</v>
      </c>
      <c r="D501" s="172" t="s">
        <v>24</v>
      </c>
      <c r="E501" s="172" t="s">
        <v>54</v>
      </c>
      <c r="F501" s="172" t="s">
        <v>121</v>
      </c>
      <c r="G501" s="172" t="s">
        <v>85</v>
      </c>
      <c r="H501" s="177">
        <v>1</v>
      </c>
      <c r="I501" s="178">
        <v>1845</v>
      </c>
      <c r="J501" s="176">
        <v>46041</v>
      </c>
      <c r="K501" s="172" t="s">
        <v>94</v>
      </c>
      <c r="L501" s="172" t="s">
        <v>95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241</v>
      </c>
      <c r="B502" s="176">
        <v>46045</v>
      </c>
      <c r="C502" s="172" t="s">
        <v>101</v>
      </c>
      <c r="D502" s="172" t="s">
        <v>102</v>
      </c>
      <c r="E502" s="172" t="s">
        <v>54</v>
      </c>
      <c r="F502" s="172" t="s">
        <v>121</v>
      </c>
      <c r="G502" s="172" t="s">
        <v>85</v>
      </c>
      <c r="H502" s="177">
        <v>1</v>
      </c>
      <c r="I502" s="178">
        <v>1845</v>
      </c>
      <c r="J502" s="176">
        <v>46041</v>
      </c>
      <c r="K502" s="172" t="s">
        <v>94</v>
      </c>
      <c r="L502" s="172" t="s">
        <v>95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241</v>
      </c>
      <c r="B503" s="176">
        <v>46045</v>
      </c>
      <c r="C503" s="172" t="s">
        <v>101</v>
      </c>
      <c r="D503" s="172" t="s">
        <v>103</v>
      </c>
      <c r="E503" s="172" t="s">
        <v>54</v>
      </c>
      <c r="F503" s="172" t="s">
        <v>121</v>
      </c>
      <c r="G503" s="172" t="s">
        <v>85</v>
      </c>
      <c r="H503" s="177">
        <v>1</v>
      </c>
      <c r="I503" s="178">
        <v>1845</v>
      </c>
      <c r="J503" s="176">
        <v>46041</v>
      </c>
      <c r="K503" s="172" t="s">
        <v>94</v>
      </c>
      <c r="L503" s="172" t="s">
        <v>95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241</v>
      </c>
      <c r="B504" s="176">
        <v>46045</v>
      </c>
      <c r="C504" s="172" t="s">
        <v>101</v>
      </c>
      <c r="D504" s="172" t="s">
        <v>104</v>
      </c>
      <c r="E504" s="172" t="s">
        <v>54</v>
      </c>
      <c r="F504" s="172" t="s">
        <v>121</v>
      </c>
      <c r="G504" s="172" t="s">
        <v>85</v>
      </c>
      <c r="H504" s="177">
        <v>1</v>
      </c>
      <c r="I504" s="178">
        <v>1845</v>
      </c>
      <c r="J504" s="176">
        <v>46041</v>
      </c>
      <c r="K504" s="172" t="s">
        <v>94</v>
      </c>
      <c r="L504" s="172" t="s">
        <v>95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241</v>
      </c>
      <c r="B505" s="176">
        <v>46045</v>
      </c>
      <c r="C505" s="172" t="s">
        <v>105</v>
      </c>
      <c r="D505" s="172" t="s">
        <v>106</v>
      </c>
      <c r="E505" s="172" t="s">
        <v>54</v>
      </c>
      <c r="F505" s="172" t="s">
        <v>121</v>
      </c>
      <c r="G505" s="172" t="s">
        <v>85</v>
      </c>
      <c r="H505" s="177">
        <v>1</v>
      </c>
      <c r="I505" s="178">
        <v>1845</v>
      </c>
      <c r="J505" s="176">
        <v>46041</v>
      </c>
      <c r="K505" s="172" t="s">
        <v>94</v>
      </c>
      <c r="L505" s="172" t="s">
        <v>95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241</v>
      </c>
      <c r="B506" s="176">
        <v>46045</v>
      </c>
      <c r="C506" s="172" t="s">
        <v>82</v>
      </c>
      <c r="D506" s="172" t="s">
        <v>96</v>
      </c>
      <c r="E506" s="172" t="s">
        <v>54</v>
      </c>
      <c r="F506" s="172" t="s">
        <v>121</v>
      </c>
      <c r="G506" s="172" t="s">
        <v>85</v>
      </c>
      <c r="H506" s="177">
        <v>1</v>
      </c>
      <c r="I506" s="178">
        <v>1845</v>
      </c>
      <c r="J506" s="176">
        <v>46041</v>
      </c>
      <c r="K506" s="172" t="s">
        <v>94</v>
      </c>
      <c r="L506" s="172" t="s">
        <v>95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242</v>
      </c>
      <c r="B507" s="176">
        <v>46045</v>
      </c>
      <c r="C507" s="172" t="s">
        <v>93</v>
      </c>
      <c r="D507" s="172" t="s">
        <v>24</v>
      </c>
      <c r="E507" s="172" t="s">
        <v>53</v>
      </c>
      <c r="F507" s="172" t="s">
        <v>91</v>
      </c>
      <c r="G507" s="172" t="s">
        <v>85</v>
      </c>
      <c r="H507" s="177">
        <v>1</v>
      </c>
      <c r="I507" s="178">
        <v>0</v>
      </c>
      <c r="J507" s="176">
        <v>46032</v>
      </c>
      <c r="K507" s="172" t="s">
        <v>94</v>
      </c>
      <c r="L507" s="172" t="s">
        <v>95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242</v>
      </c>
      <c r="B508" s="176">
        <v>46045</v>
      </c>
      <c r="C508" s="172" t="s">
        <v>82</v>
      </c>
      <c r="D508" s="172" t="s">
        <v>96</v>
      </c>
      <c r="E508" s="172" t="s">
        <v>53</v>
      </c>
      <c r="F508" s="172" t="s">
        <v>91</v>
      </c>
      <c r="G508" s="172" t="s">
        <v>85</v>
      </c>
      <c r="H508" s="177">
        <v>1</v>
      </c>
      <c r="I508" s="178">
        <v>0</v>
      </c>
      <c r="J508" s="176">
        <v>46032</v>
      </c>
      <c r="K508" s="172" t="s">
        <v>94</v>
      </c>
      <c r="L508" s="172" t="s">
        <v>95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240</v>
      </c>
      <c r="B509" s="176">
        <v>46045</v>
      </c>
      <c r="C509" s="172" t="s">
        <v>82</v>
      </c>
      <c r="D509" s="172" t="s">
        <v>83</v>
      </c>
      <c r="E509" s="172" t="s">
        <v>53</v>
      </c>
      <c r="F509" s="172" t="s">
        <v>91</v>
      </c>
      <c r="G509" s="172" t="s">
        <v>85</v>
      </c>
      <c r="H509" s="177">
        <v>1</v>
      </c>
      <c r="I509" s="178">
        <v>0</v>
      </c>
      <c r="J509" s="176">
        <v>46037</v>
      </c>
      <c r="K509" s="172" t="s">
        <v>86</v>
      </c>
      <c r="L509" s="172" t="s">
        <v>86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243</v>
      </c>
      <c r="B510" s="176">
        <v>46045</v>
      </c>
      <c r="C510" s="172" t="s">
        <v>82</v>
      </c>
      <c r="D510" s="172" t="s">
        <v>83</v>
      </c>
      <c r="E510" s="172" t="s">
        <v>54</v>
      </c>
      <c r="F510" s="172" t="s">
        <v>121</v>
      </c>
      <c r="G510" s="172" t="s">
        <v>85</v>
      </c>
      <c r="H510" s="177">
        <v>1</v>
      </c>
      <c r="I510" s="178">
        <v>0</v>
      </c>
      <c r="J510" s="176">
        <v>46045</v>
      </c>
      <c r="K510" s="172" t="s">
        <v>86</v>
      </c>
      <c r="L510" s="172" t="s">
        <v>86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242</v>
      </c>
      <c r="B511" s="176">
        <v>46045</v>
      </c>
      <c r="C511" s="172" t="s">
        <v>93</v>
      </c>
      <c r="D511" s="172" t="s">
        <v>97</v>
      </c>
      <c r="E511" s="172" t="s">
        <v>53</v>
      </c>
      <c r="F511" s="172" t="s">
        <v>91</v>
      </c>
      <c r="G511" s="172" t="s">
        <v>85</v>
      </c>
      <c r="H511" s="177">
        <v>1</v>
      </c>
      <c r="I511" s="178">
        <v>0</v>
      </c>
      <c r="J511" s="176">
        <v>46032</v>
      </c>
      <c r="K511" s="172" t="s">
        <v>94</v>
      </c>
      <c r="L511" s="172" t="s">
        <v>95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242</v>
      </c>
      <c r="B512" s="176">
        <v>46045</v>
      </c>
      <c r="C512" s="172" t="s">
        <v>93</v>
      </c>
      <c r="D512" s="172" t="s">
        <v>98</v>
      </c>
      <c r="E512" s="172" t="s">
        <v>53</v>
      </c>
      <c r="F512" s="172" t="s">
        <v>91</v>
      </c>
      <c r="G512" s="172" t="s">
        <v>85</v>
      </c>
      <c r="H512" s="177">
        <v>1</v>
      </c>
      <c r="I512" s="178">
        <v>0</v>
      </c>
      <c r="J512" s="176">
        <v>46032</v>
      </c>
      <c r="K512" s="172" t="s">
        <v>94</v>
      </c>
      <c r="L512" s="172" t="s">
        <v>95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242</v>
      </c>
      <c r="B513" s="176">
        <v>46045</v>
      </c>
      <c r="C513" s="172" t="s">
        <v>82</v>
      </c>
      <c r="D513" s="172" t="s">
        <v>99</v>
      </c>
      <c r="E513" s="172" t="s">
        <v>53</v>
      </c>
      <c r="F513" s="172" t="s">
        <v>91</v>
      </c>
      <c r="G513" s="172" t="s">
        <v>85</v>
      </c>
      <c r="H513" s="177">
        <v>1</v>
      </c>
      <c r="I513" s="178">
        <v>0</v>
      </c>
      <c r="J513" s="176">
        <v>46032</v>
      </c>
      <c r="K513" s="172" t="s">
        <v>94</v>
      </c>
      <c r="L513" s="172" t="s">
        <v>95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244</v>
      </c>
      <c r="B514" s="176">
        <v>46045</v>
      </c>
      <c r="C514" s="172" t="s">
        <v>93</v>
      </c>
      <c r="D514" s="172" t="s">
        <v>24</v>
      </c>
      <c r="E514" s="172" t="s">
        <v>53</v>
      </c>
      <c r="F514" s="172" t="s">
        <v>91</v>
      </c>
      <c r="G514" s="172" t="s">
        <v>85</v>
      </c>
      <c r="H514" s="177">
        <v>1</v>
      </c>
      <c r="I514" s="178">
        <v>1621</v>
      </c>
      <c r="J514" s="176">
        <v>46036</v>
      </c>
      <c r="K514" s="172" t="s">
        <v>94</v>
      </c>
      <c r="L514" s="172" t="s">
        <v>95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244</v>
      </c>
      <c r="B515" s="176">
        <v>46045</v>
      </c>
      <c r="C515" s="172" t="s">
        <v>101</v>
      </c>
      <c r="D515" s="172" t="s">
        <v>102</v>
      </c>
      <c r="E515" s="172" t="s">
        <v>53</v>
      </c>
      <c r="F515" s="172" t="s">
        <v>91</v>
      </c>
      <c r="G515" s="172" t="s">
        <v>85</v>
      </c>
      <c r="H515" s="177">
        <v>1</v>
      </c>
      <c r="I515" s="178">
        <v>1621</v>
      </c>
      <c r="J515" s="176">
        <v>46036</v>
      </c>
      <c r="K515" s="172" t="s">
        <v>94</v>
      </c>
      <c r="L515" s="172" t="s">
        <v>95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244</v>
      </c>
      <c r="B516" s="176">
        <v>46045</v>
      </c>
      <c r="C516" s="172" t="s">
        <v>101</v>
      </c>
      <c r="D516" s="172" t="s">
        <v>103</v>
      </c>
      <c r="E516" s="172" t="s">
        <v>53</v>
      </c>
      <c r="F516" s="172" t="s">
        <v>91</v>
      </c>
      <c r="G516" s="172" t="s">
        <v>85</v>
      </c>
      <c r="H516" s="177">
        <v>1</v>
      </c>
      <c r="I516" s="178">
        <v>1621</v>
      </c>
      <c r="J516" s="176">
        <v>46036</v>
      </c>
      <c r="K516" s="172" t="s">
        <v>94</v>
      </c>
      <c r="L516" s="172" t="s">
        <v>95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244</v>
      </c>
      <c r="B517" s="176">
        <v>46045</v>
      </c>
      <c r="C517" s="172" t="s">
        <v>101</v>
      </c>
      <c r="D517" s="172" t="s">
        <v>104</v>
      </c>
      <c r="E517" s="172" t="s">
        <v>53</v>
      </c>
      <c r="F517" s="172" t="s">
        <v>91</v>
      </c>
      <c r="G517" s="172" t="s">
        <v>85</v>
      </c>
      <c r="H517" s="177">
        <v>1</v>
      </c>
      <c r="I517" s="178">
        <v>1621</v>
      </c>
      <c r="J517" s="176">
        <v>46036</v>
      </c>
      <c r="K517" s="172" t="s">
        <v>94</v>
      </c>
      <c r="L517" s="172" t="s">
        <v>95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244</v>
      </c>
      <c r="B518" s="176">
        <v>46045</v>
      </c>
      <c r="C518" s="172" t="s">
        <v>105</v>
      </c>
      <c r="D518" s="172" t="s">
        <v>106</v>
      </c>
      <c r="E518" s="172" t="s">
        <v>53</v>
      </c>
      <c r="F518" s="172" t="s">
        <v>91</v>
      </c>
      <c r="G518" s="172" t="s">
        <v>85</v>
      </c>
      <c r="H518" s="177">
        <v>1</v>
      </c>
      <c r="I518" s="178">
        <v>1621</v>
      </c>
      <c r="J518" s="176">
        <v>46036</v>
      </c>
      <c r="K518" s="172" t="s">
        <v>94</v>
      </c>
      <c r="L518" s="172" t="s">
        <v>95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245</v>
      </c>
      <c r="B519" s="176">
        <v>46045</v>
      </c>
      <c r="C519" s="172" t="s">
        <v>82</v>
      </c>
      <c r="D519" s="172" t="s">
        <v>83</v>
      </c>
      <c r="E519" s="172" t="s">
        <v>43</v>
      </c>
      <c r="F519" s="172" t="s">
        <v>90</v>
      </c>
      <c r="G519" s="172" t="s">
        <v>85</v>
      </c>
      <c r="H519" s="177">
        <v>1</v>
      </c>
      <c r="I519" s="178">
        <v>0</v>
      </c>
      <c r="J519" s="176">
        <v>46045</v>
      </c>
      <c r="K519" s="172" t="s">
        <v>86</v>
      </c>
      <c r="L519" s="172" t="s">
        <v>86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241</v>
      </c>
      <c r="B520" s="176">
        <v>46045</v>
      </c>
      <c r="C520" s="172" t="s">
        <v>82</v>
      </c>
      <c r="D520" s="172" t="s">
        <v>83</v>
      </c>
      <c r="E520" s="172" t="s">
        <v>54</v>
      </c>
      <c r="F520" s="172" t="s">
        <v>121</v>
      </c>
      <c r="G520" s="172" t="s">
        <v>85</v>
      </c>
      <c r="H520" s="177">
        <v>1</v>
      </c>
      <c r="I520" s="178">
        <v>0</v>
      </c>
      <c r="J520" s="176">
        <v>46041</v>
      </c>
      <c r="K520" s="172" t="s">
        <v>86</v>
      </c>
      <c r="L520" s="172" t="s">
        <v>86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246</v>
      </c>
      <c r="B521" s="176">
        <v>46045</v>
      </c>
      <c r="C521" s="172" t="s">
        <v>93</v>
      </c>
      <c r="D521" s="172" t="s">
        <v>24</v>
      </c>
      <c r="E521" s="172" t="s">
        <v>53</v>
      </c>
      <c r="F521" s="172" t="s">
        <v>91</v>
      </c>
      <c r="G521" s="172" t="s">
        <v>85</v>
      </c>
      <c r="H521" s="177">
        <v>1</v>
      </c>
      <c r="I521" s="178">
        <v>1885</v>
      </c>
      <c r="J521" s="176">
        <v>46043</v>
      </c>
      <c r="K521" s="172" t="s">
        <v>94</v>
      </c>
      <c r="L521" s="172" t="s">
        <v>95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246</v>
      </c>
      <c r="B522" s="176">
        <v>46045</v>
      </c>
      <c r="C522" s="172" t="s">
        <v>101</v>
      </c>
      <c r="D522" s="172" t="s">
        <v>102</v>
      </c>
      <c r="E522" s="172" t="s">
        <v>53</v>
      </c>
      <c r="F522" s="172" t="s">
        <v>91</v>
      </c>
      <c r="G522" s="172" t="s">
        <v>85</v>
      </c>
      <c r="H522" s="177">
        <v>1</v>
      </c>
      <c r="I522" s="178">
        <v>1885</v>
      </c>
      <c r="J522" s="176">
        <v>46043</v>
      </c>
      <c r="K522" s="172" t="s">
        <v>94</v>
      </c>
      <c r="L522" s="172" t="s">
        <v>95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246</v>
      </c>
      <c r="B523" s="176">
        <v>46045</v>
      </c>
      <c r="C523" s="172" t="s">
        <v>101</v>
      </c>
      <c r="D523" s="172" t="s">
        <v>103</v>
      </c>
      <c r="E523" s="172" t="s">
        <v>53</v>
      </c>
      <c r="F523" s="172" t="s">
        <v>91</v>
      </c>
      <c r="G523" s="172" t="s">
        <v>85</v>
      </c>
      <c r="H523" s="177">
        <v>1</v>
      </c>
      <c r="I523" s="178">
        <v>1885</v>
      </c>
      <c r="J523" s="176">
        <v>46043</v>
      </c>
      <c r="K523" s="172" t="s">
        <v>94</v>
      </c>
      <c r="L523" s="172" t="s">
        <v>95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246</v>
      </c>
      <c r="B524" s="176">
        <v>46045</v>
      </c>
      <c r="C524" s="172" t="s">
        <v>101</v>
      </c>
      <c r="D524" s="172" t="s">
        <v>104</v>
      </c>
      <c r="E524" s="172" t="s">
        <v>53</v>
      </c>
      <c r="F524" s="172" t="s">
        <v>91</v>
      </c>
      <c r="G524" s="172" t="s">
        <v>85</v>
      </c>
      <c r="H524" s="177">
        <v>1</v>
      </c>
      <c r="I524" s="178">
        <v>1885</v>
      </c>
      <c r="J524" s="176">
        <v>46043</v>
      </c>
      <c r="K524" s="172" t="s">
        <v>94</v>
      </c>
      <c r="L524" s="172" t="s">
        <v>95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246</v>
      </c>
      <c r="B525" s="176">
        <v>46045</v>
      </c>
      <c r="C525" s="172" t="s">
        <v>105</v>
      </c>
      <c r="D525" s="172" t="s">
        <v>106</v>
      </c>
      <c r="E525" s="172" t="s">
        <v>53</v>
      </c>
      <c r="F525" s="172" t="s">
        <v>91</v>
      </c>
      <c r="G525" s="172" t="s">
        <v>85</v>
      </c>
      <c r="H525" s="177">
        <v>1</v>
      </c>
      <c r="I525" s="178">
        <v>1885</v>
      </c>
      <c r="J525" s="176">
        <v>46043</v>
      </c>
      <c r="K525" s="172" t="s">
        <v>94</v>
      </c>
      <c r="L525" s="172" t="s">
        <v>95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246</v>
      </c>
      <c r="B526" s="176">
        <v>46045</v>
      </c>
      <c r="C526" s="172" t="s">
        <v>82</v>
      </c>
      <c r="D526" s="172" t="s">
        <v>96</v>
      </c>
      <c r="E526" s="172" t="s">
        <v>53</v>
      </c>
      <c r="F526" s="172" t="s">
        <v>91</v>
      </c>
      <c r="G526" s="172" t="s">
        <v>85</v>
      </c>
      <c r="H526" s="177">
        <v>1</v>
      </c>
      <c r="I526" s="178">
        <v>1885</v>
      </c>
      <c r="J526" s="176">
        <v>46043</v>
      </c>
      <c r="K526" s="172" t="s">
        <v>94</v>
      </c>
      <c r="L526" s="172" t="s">
        <v>95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247</v>
      </c>
      <c r="B527" s="176">
        <v>46045</v>
      </c>
      <c r="C527" s="172" t="s">
        <v>82</v>
      </c>
      <c r="D527" s="172" t="s">
        <v>83</v>
      </c>
      <c r="E527" s="172" t="s">
        <v>44</v>
      </c>
      <c r="F527" s="172" t="s">
        <v>126</v>
      </c>
      <c r="G527" s="172" t="s">
        <v>85</v>
      </c>
      <c r="H527" s="177">
        <v>1</v>
      </c>
      <c r="I527" s="178">
        <v>0</v>
      </c>
      <c r="J527" s="176">
        <v>46045</v>
      </c>
      <c r="K527" s="172" t="s">
        <v>86</v>
      </c>
      <c r="L527" s="172" t="s">
        <v>86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246</v>
      </c>
      <c r="B528" s="176">
        <v>46045</v>
      </c>
      <c r="C528" s="172" t="s">
        <v>82</v>
      </c>
      <c r="D528" s="172" t="s">
        <v>83</v>
      </c>
      <c r="E528" s="172" t="s">
        <v>53</v>
      </c>
      <c r="F528" s="172" t="s">
        <v>91</v>
      </c>
      <c r="G528" s="172" t="s">
        <v>85</v>
      </c>
      <c r="H528" s="177">
        <v>1</v>
      </c>
      <c r="I528" s="178">
        <v>0</v>
      </c>
      <c r="J528" s="176">
        <v>46043</v>
      </c>
      <c r="K528" s="172" t="s">
        <v>86</v>
      </c>
      <c r="L528" s="172" t="s">
        <v>86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248</v>
      </c>
      <c r="B529" s="176">
        <v>46045</v>
      </c>
      <c r="C529" s="172" t="s">
        <v>167</v>
      </c>
      <c r="D529" s="172" t="s">
        <v>168</v>
      </c>
      <c r="E529" s="172" t="s">
        <v>44</v>
      </c>
      <c r="F529" s="172" t="s">
        <v>126</v>
      </c>
      <c r="G529" s="172" t="s">
        <v>85</v>
      </c>
      <c r="H529" s="177">
        <v>1</v>
      </c>
      <c r="I529" s="178">
        <v>-1202</v>
      </c>
      <c r="J529" s="176">
        <v>46025</v>
      </c>
      <c r="K529" s="172" t="s">
        <v>94</v>
      </c>
      <c r="L529" s="172" t="s">
        <v>95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248</v>
      </c>
      <c r="B530" s="176">
        <v>46045</v>
      </c>
      <c r="C530" s="172" t="s">
        <v>167</v>
      </c>
      <c r="D530" s="172" t="s">
        <v>103</v>
      </c>
      <c r="E530" s="172" t="s">
        <v>44</v>
      </c>
      <c r="F530" s="172" t="s">
        <v>126</v>
      </c>
      <c r="G530" s="172" t="s">
        <v>85</v>
      </c>
      <c r="H530" s="177">
        <v>1</v>
      </c>
      <c r="I530" s="178">
        <v>-1202</v>
      </c>
      <c r="J530" s="176">
        <v>46025</v>
      </c>
      <c r="K530" s="172" t="s">
        <v>94</v>
      </c>
      <c r="L530" s="172" t="s">
        <v>95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248</v>
      </c>
      <c r="B531" s="176">
        <v>46045</v>
      </c>
      <c r="C531" s="172" t="s">
        <v>167</v>
      </c>
      <c r="D531" s="172" t="s">
        <v>104</v>
      </c>
      <c r="E531" s="172" t="s">
        <v>44</v>
      </c>
      <c r="F531" s="172" t="s">
        <v>126</v>
      </c>
      <c r="G531" s="172" t="s">
        <v>85</v>
      </c>
      <c r="H531" s="177">
        <v>1</v>
      </c>
      <c r="I531" s="178">
        <v>-1202</v>
      </c>
      <c r="J531" s="176">
        <v>46025</v>
      </c>
      <c r="K531" s="172" t="s">
        <v>94</v>
      </c>
      <c r="L531" s="172" t="s">
        <v>95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248</v>
      </c>
      <c r="B532" s="176">
        <v>46045</v>
      </c>
      <c r="C532" s="172" t="s">
        <v>105</v>
      </c>
      <c r="D532" s="172" t="s">
        <v>169</v>
      </c>
      <c r="E532" s="172" t="s">
        <v>44</v>
      </c>
      <c r="F532" s="172" t="s">
        <v>126</v>
      </c>
      <c r="G532" s="172" t="s">
        <v>85</v>
      </c>
      <c r="H532" s="177">
        <v>1</v>
      </c>
      <c r="I532" s="178">
        <v>-1202</v>
      </c>
      <c r="J532" s="176">
        <v>46025</v>
      </c>
      <c r="K532" s="172" t="s">
        <v>94</v>
      </c>
      <c r="L532" s="172" t="s">
        <v>95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249</v>
      </c>
      <c r="B533" s="176">
        <v>46045</v>
      </c>
      <c r="C533" s="172" t="s">
        <v>93</v>
      </c>
      <c r="D533" s="172" t="s">
        <v>24</v>
      </c>
      <c r="E533" s="172" t="s">
        <v>41</v>
      </c>
      <c r="F533" s="172" t="s">
        <v>198</v>
      </c>
      <c r="G533" s="172" t="s">
        <v>85</v>
      </c>
      <c r="H533" s="177">
        <v>1</v>
      </c>
      <c r="I533" s="178">
        <v>1750</v>
      </c>
      <c r="J533" s="176">
        <v>46033</v>
      </c>
      <c r="K533" s="172" t="s">
        <v>94</v>
      </c>
      <c r="L533" s="172" t="s">
        <v>95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249</v>
      </c>
      <c r="B534" s="176">
        <v>46045</v>
      </c>
      <c r="C534" s="172" t="s">
        <v>101</v>
      </c>
      <c r="D534" s="172" t="s">
        <v>102</v>
      </c>
      <c r="E534" s="172" t="s">
        <v>41</v>
      </c>
      <c r="F534" s="172" t="s">
        <v>198</v>
      </c>
      <c r="G534" s="172" t="s">
        <v>85</v>
      </c>
      <c r="H534" s="177">
        <v>1</v>
      </c>
      <c r="I534" s="178">
        <v>1750</v>
      </c>
      <c r="J534" s="176">
        <v>46033</v>
      </c>
      <c r="K534" s="172" t="s">
        <v>94</v>
      </c>
      <c r="L534" s="172" t="s">
        <v>95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249</v>
      </c>
      <c r="B535" s="176">
        <v>46045</v>
      </c>
      <c r="C535" s="172" t="s">
        <v>101</v>
      </c>
      <c r="D535" s="172" t="s">
        <v>103</v>
      </c>
      <c r="E535" s="172" t="s">
        <v>41</v>
      </c>
      <c r="F535" s="172" t="s">
        <v>198</v>
      </c>
      <c r="G535" s="172" t="s">
        <v>85</v>
      </c>
      <c r="H535" s="177">
        <v>1</v>
      </c>
      <c r="I535" s="178">
        <v>1750</v>
      </c>
      <c r="J535" s="176">
        <v>46033</v>
      </c>
      <c r="K535" s="172" t="s">
        <v>94</v>
      </c>
      <c r="L535" s="172" t="s">
        <v>95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249</v>
      </c>
      <c r="B536" s="176">
        <v>46045</v>
      </c>
      <c r="C536" s="172" t="s">
        <v>101</v>
      </c>
      <c r="D536" s="172" t="s">
        <v>104</v>
      </c>
      <c r="E536" s="172" t="s">
        <v>41</v>
      </c>
      <c r="F536" s="172" t="s">
        <v>198</v>
      </c>
      <c r="G536" s="172" t="s">
        <v>85</v>
      </c>
      <c r="H536" s="177">
        <v>1</v>
      </c>
      <c r="I536" s="178">
        <v>1750</v>
      </c>
      <c r="J536" s="176">
        <v>46033</v>
      </c>
      <c r="K536" s="172" t="s">
        <v>94</v>
      </c>
      <c r="L536" s="172" t="s">
        <v>95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249</v>
      </c>
      <c r="B537" s="176">
        <v>46045</v>
      </c>
      <c r="C537" s="172" t="s">
        <v>105</v>
      </c>
      <c r="D537" s="172" t="s">
        <v>106</v>
      </c>
      <c r="E537" s="172" t="s">
        <v>41</v>
      </c>
      <c r="F537" s="172" t="s">
        <v>198</v>
      </c>
      <c r="G537" s="172" t="s">
        <v>85</v>
      </c>
      <c r="H537" s="177">
        <v>1</v>
      </c>
      <c r="I537" s="178">
        <v>1750</v>
      </c>
      <c r="J537" s="176">
        <v>46033</v>
      </c>
      <c r="K537" s="172" t="s">
        <v>94</v>
      </c>
      <c r="L537" s="172" t="s">
        <v>95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249</v>
      </c>
      <c r="B538" s="176">
        <v>46045</v>
      </c>
      <c r="C538" s="172" t="s">
        <v>82</v>
      </c>
      <c r="D538" s="172" t="s">
        <v>96</v>
      </c>
      <c r="E538" s="172" t="s">
        <v>41</v>
      </c>
      <c r="F538" s="172" t="s">
        <v>198</v>
      </c>
      <c r="G538" s="172" t="s">
        <v>85</v>
      </c>
      <c r="H538" s="177">
        <v>1</v>
      </c>
      <c r="I538" s="178">
        <v>1750</v>
      </c>
      <c r="J538" s="176">
        <v>46033</v>
      </c>
      <c r="K538" s="172" t="s">
        <v>94</v>
      </c>
      <c r="L538" s="172" t="s">
        <v>95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250</v>
      </c>
      <c r="B539" s="176">
        <v>46045</v>
      </c>
      <c r="C539" s="172" t="s">
        <v>82</v>
      </c>
      <c r="D539" s="172" t="s">
        <v>83</v>
      </c>
      <c r="E539" s="172" t="s">
        <v>44</v>
      </c>
      <c r="F539" s="172" t="s">
        <v>126</v>
      </c>
      <c r="G539" s="172" t="s">
        <v>85</v>
      </c>
      <c r="H539" s="177">
        <v>1</v>
      </c>
      <c r="I539" s="178">
        <v>0</v>
      </c>
      <c r="J539" s="176">
        <v>46025</v>
      </c>
      <c r="K539" s="172" t="s">
        <v>86</v>
      </c>
      <c r="L539" s="172" t="s">
        <v>86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249</v>
      </c>
      <c r="B540" s="176">
        <v>46045</v>
      </c>
      <c r="C540" s="172" t="s">
        <v>82</v>
      </c>
      <c r="D540" s="172" t="s">
        <v>83</v>
      </c>
      <c r="E540" s="172" t="s">
        <v>41</v>
      </c>
      <c r="F540" s="172" t="s">
        <v>198</v>
      </c>
      <c r="G540" s="172" t="s">
        <v>85</v>
      </c>
      <c r="H540" s="177">
        <v>1</v>
      </c>
      <c r="I540" s="178">
        <v>0</v>
      </c>
      <c r="J540" s="176">
        <v>46033</v>
      </c>
      <c r="K540" s="172" t="s">
        <v>86</v>
      </c>
      <c r="L540" s="172" t="s">
        <v>86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251</v>
      </c>
      <c r="B541" s="176">
        <v>46045</v>
      </c>
      <c r="C541" s="172" t="s">
        <v>82</v>
      </c>
      <c r="D541" s="172" t="s">
        <v>83</v>
      </c>
      <c r="E541" s="172" t="s">
        <v>54</v>
      </c>
      <c r="F541" s="172" t="s">
        <v>121</v>
      </c>
      <c r="G541" s="172" t="s">
        <v>85</v>
      </c>
      <c r="H541" s="177">
        <v>1</v>
      </c>
      <c r="I541" s="178">
        <v>0</v>
      </c>
      <c r="J541" s="176">
        <v>46045</v>
      </c>
      <c r="K541" s="172" t="s">
        <v>86</v>
      </c>
      <c r="L541" s="172" t="s">
        <v>86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252</v>
      </c>
      <c r="B542" s="176">
        <v>46045</v>
      </c>
      <c r="C542" s="172" t="s">
        <v>93</v>
      </c>
      <c r="D542" s="172" t="s">
        <v>24</v>
      </c>
      <c r="E542" s="172" t="s">
        <v>54</v>
      </c>
      <c r="F542" s="172" t="s">
        <v>121</v>
      </c>
      <c r="G542" s="172" t="s">
        <v>85</v>
      </c>
      <c r="H542" s="177">
        <v>1</v>
      </c>
      <c r="I542" s="178">
        <v>1845</v>
      </c>
      <c r="J542" s="176">
        <v>46044</v>
      </c>
      <c r="K542" s="172" t="s">
        <v>94</v>
      </c>
      <c r="L542" s="172" t="s">
        <v>95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252</v>
      </c>
      <c r="B543" s="176">
        <v>46045</v>
      </c>
      <c r="C543" s="172" t="s">
        <v>101</v>
      </c>
      <c r="D543" s="172" t="s">
        <v>102</v>
      </c>
      <c r="E543" s="172" t="s">
        <v>54</v>
      </c>
      <c r="F543" s="172" t="s">
        <v>121</v>
      </c>
      <c r="G543" s="172" t="s">
        <v>85</v>
      </c>
      <c r="H543" s="177">
        <v>1</v>
      </c>
      <c r="I543" s="178">
        <v>1845</v>
      </c>
      <c r="J543" s="176">
        <v>46044</v>
      </c>
      <c r="K543" s="172" t="s">
        <v>94</v>
      </c>
      <c r="L543" s="172" t="s">
        <v>95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252</v>
      </c>
      <c r="B544" s="176">
        <v>46045</v>
      </c>
      <c r="C544" s="172" t="s">
        <v>101</v>
      </c>
      <c r="D544" s="172" t="s">
        <v>103</v>
      </c>
      <c r="E544" s="172" t="s">
        <v>54</v>
      </c>
      <c r="F544" s="172" t="s">
        <v>121</v>
      </c>
      <c r="G544" s="172" t="s">
        <v>85</v>
      </c>
      <c r="H544" s="177">
        <v>1</v>
      </c>
      <c r="I544" s="178">
        <v>1845</v>
      </c>
      <c r="J544" s="176">
        <v>46044</v>
      </c>
      <c r="K544" s="172" t="s">
        <v>94</v>
      </c>
      <c r="L544" s="172" t="s">
        <v>95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252</v>
      </c>
      <c r="B545" s="176">
        <v>46045</v>
      </c>
      <c r="C545" s="172" t="s">
        <v>101</v>
      </c>
      <c r="D545" s="172" t="s">
        <v>104</v>
      </c>
      <c r="E545" s="172" t="s">
        <v>54</v>
      </c>
      <c r="F545" s="172" t="s">
        <v>121</v>
      </c>
      <c r="G545" s="172" t="s">
        <v>85</v>
      </c>
      <c r="H545" s="177">
        <v>1</v>
      </c>
      <c r="I545" s="178">
        <v>1845</v>
      </c>
      <c r="J545" s="176">
        <v>46044</v>
      </c>
      <c r="K545" s="172" t="s">
        <v>94</v>
      </c>
      <c r="L545" s="172" t="s">
        <v>95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252</v>
      </c>
      <c r="B546" s="176">
        <v>46045</v>
      </c>
      <c r="C546" s="172" t="s">
        <v>105</v>
      </c>
      <c r="D546" s="172" t="s">
        <v>106</v>
      </c>
      <c r="E546" s="172" t="s">
        <v>54</v>
      </c>
      <c r="F546" s="172" t="s">
        <v>121</v>
      </c>
      <c r="G546" s="172" t="s">
        <v>85</v>
      </c>
      <c r="H546" s="177">
        <v>1</v>
      </c>
      <c r="I546" s="178">
        <v>1845</v>
      </c>
      <c r="J546" s="176">
        <v>46044</v>
      </c>
      <c r="K546" s="172" t="s">
        <v>94</v>
      </c>
      <c r="L546" s="172" t="s">
        <v>95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253</v>
      </c>
      <c r="B547" s="176">
        <v>46045</v>
      </c>
      <c r="C547" s="172" t="s">
        <v>93</v>
      </c>
      <c r="D547" s="172" t="s">
        <v>24</v>
      </c>
      <c r="E547" s="172" t="s">
        <v>53</v>
      </c>
      <c r="F547" s="172" t="s">
        <v>91</v>
      </c>
      <c r="G547" s="172" t="s">
        <v>85</v>
      </c>
      <c r="H547" s="177">
        <v>1</v>
      </c>
      <c r="I547" s="178">
        <v>1885</v>
      </c>
      <c r="J547" s="176">
        <v>46044</v>
      </c>
      <c r="K547" s="172" t="s">
        <v>94</v>
      </c>
      <c r="L547" s="172" t="s">
        <v>95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253</v>
      </c>
      <c r="B548" s="176">
        <v>46045</v>
      </c>
      <c r="C548" s="172" t="s">
        <v>101</v>
      </c>
      <c r="D548" s="172" t="s">
        <v>102</v>
      </c>
      <c r="E548" s="172" t="s">
        <v>53</v>
      </c>
      <c r="F548" s="172" t="s">
        <v>91</v>
      </c>
      <c r="G548" s="172" t="s">
        <v>85</v>
      </c>
      <c r="H548" s="177">
        <v>1</v>
      </c>
      <c r="I548" s="178">
        <v>1885</v>
      </c>
      <c r="J548" s="176">
        <v>46044</v>
      </c>
      <c r="K548" s="172" t="s">
        <v>94</v>
      </c>
      <c r="L548" s="172" t="s">
        <v>95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253</v>
      </c>
      <c r="B549" s="176">
        <v>46045</v>
      </c>
      <c r="C549" s="172" t="s">
        <v>101</v>
      </c>
      <c r="D549" s="172" t="s">
        <v>103</v>
      </c>
      <c r="E549" s="172" t="s">
        <v>53</v>
      </c>
      <c r="F549" s="172" t="s">
        <v>91</v>
      </c>
      <c r="G549" s="172" t="s">
        <v>85</v>
      </c>
      <c r="H549" s="177">
        <v>1</v>
      </c>
      <c r="I549" s="178">
        <v>1885</v>
      </c>
      <c r="J549" s="176">
        <v>46044</v>
      </c>
      <c r="K549" s="172" t="s">
        <v>94</v>
      </c>
      <c r="L549" s="172" t="s">
        <v>95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253</v>
      </c>
      <c r="B550" s="176">
        <v>46045</v>
      </c>
      <c r="C550" s="172" t="s">
        <v>101</v>
      </c>
      <c r="D550" s="172" t="s">
        <v>104</v>
      </c>
      <c r="E550" s="172" t="s">
        <v>53</v>
      </c>
      <c r="F550" s="172" t="s">
        <v>91</v>
      </c>
      <c r="G550" s="172" t="s">
        <v>85</v>
      </c>
      <c r="H550" s="177">
        <v>1</v>
      </c>
      <c r="I550" s="178">
        <v>1885</v>
      </c>
      <c r="J550" s="176">
        <v>46044</v>
      </c>
      <c r="K550" s="172" t="s">
        <v>94</v>
      </c>
      <c r="L550" s="172" t="s">
        <v>95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253</v>
      </c>
      <c r="B551" s="176">
        <v>46045</v>
      </c>
      <c r="C551" s="172" t="s">
        <v>105</v>
      </c>
      <c r="D551" s="172" t="s">
        <v>106</v>
      </c>
      <c r="E551" s="172" t="s">
        <v>53</v>
      </c>
      <c r="F551" s="172" t="s">
        <v>91</v>
      </c>
      <c r="G551" s="172" t="s">
        <v>85</v>
      </c>
      <c r="H551" s="177">
        <v>1</v>
      </c>
      <c r="I551" s="178">
        <v>1885</v>
      </c>
      <c r="J551" s="176">
        <v>46044</v>
      </c>
      <c r="K551" s="172" t="s">
        <v>94</v>
      </c>
      <c r="L551" s="172" t="s">
        <v>95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253</v>
      </c>
      <c r="B552" s="176">
        <v>46045</v>
      </c>
      <c r="C552" s="172" t="s">
        <v>82</v>
      </c>
      <c r="D552" s="172" t="s">
        <v>96</v>
      </c>
      <c r="E552" s="172" t="s">
        <v>53</v>
      </c>
      <c r="F552" s="172" t="s">
        <v>91</v>
      </c>
      <c r="G552" s="172" t="s">
        <v>85</v>
      </c>
      <c r="H552" s="177">
        <v>1</v>
      </c>
      <c r="I552" s="178">
        <v>1885</v>
      </c>
      <c r="J552" s="176">
        <v>46044</v>
      </c>
      <c r="K552" s="172" t="s">
        <v>94</v>
      </c>
      <c r="L552" s="172" t="s">
        <v>95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254</v>
      </c>
      <c r="B553" s="176">
        <v>46045</v>
      </c>
      <c r="C553" s="172" t="s">
        <v>93</v>
      </c>
      <c r="D553" s="172" t="s">
        <v>24</v>
      </c>
      <c r="E553" s="172" t="s">
        <v>40</v>
      </c>
      <c r="F553" s="172" t="s">
        <v>118</v>
      </c>
      <c r="G553" s="172" t="s">
        <v>85</v>
      </c>
      <c r="H553" s="177">
        <v>1</v>
      </c>
      <c r="I553" s="178">
        <v>1750</v>
      </c>
      <c r="J553" s="176">
        <v>46044</v>
      </c>
      <c r="K553" s="172" t="s">
        <v>94</v>
      </c>
      <c r="L553" s="172" t="s">
        <v>95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254</v>
      </c>
      <c r="B554" s="176">
        <v>46045</v>
      </c>
      <c r="C554" s="172" t="s">
        <v>101</v>
      </c>
      <c r="D554" s="172" t="s">
        <v>102</v>
      </c>
      <c r="E554" s="172" t="s">
        <v>40</v>
      </c>
      <c r="F554" s="172" t="s">
        <v>118</v>
      </c>
      <c r="G554" s="172" t="s">
        <v>85</v>
      </c>
      <c r="H554" s="177">
        <v>1</v>
      </c>
      <c r="I554" s="178">
        <v>1750</v>
      </c>
      <c r="J554" s="176">
        <v>46044</v>
      </c>
      <c r="K554" s="172" t="s">
        <v>94</v>
      </c>
      <c r="L554" s="172" t="s">
        <v>95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254</v>
      </c>
      <c r="B555" s="176">
        <v>46045</v>
      </c>
      <c r="C555" s="172" t="s">
        <v>101</v>
      </c>
      <c r="D555" s="172" t="s">
        <v>103</v>
      </c>
      <c r="E555" s="172" t="s">
        <v>40</v>
      </c>
      <c r="F555" s="172" t="s">
        <v>118</v>
      </c>
      <c r="G555" s="172" t="s">
        <v>85</v>
      </c>
      <c r="H555" s="177">
        <v>1</v>
      </c>
      <c r="I555" s="178">
        <v>1750</v>
      </c>
      <c r="J555" s="176">
        <v>46044</v>
      </c>
      <c r="K555" s="172" t="s">
        <v>94</v>
      </c>
      <c r="L555" s="172" t="s">
        <v>95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254</v>
      </c>
      <c r="B556" s="176">
        <v>46045</v>
      </c>
      <c r="C556" s="172" t="s">
        <v>101</v>
      </c>
      <c r="D556" s="172" t="s">
        <v>104</v>
      </c>
      <c r="E556" s="172" t="s">
        <v>40</v>
      </c>
      <c r="F556" s="172" t="s">
        <v>118</v>
      </c>
      <c r="G556" s="172" t="s">
        <v>85</v>
      </c>
      <c r="H556" s="177">
        <v>1</v>
      </c>
      <c r="I556" s="178">
        <v>1750</v>
      </c>
      <c r="J556" s="176">
        <v>46044</v>
      </c>
      <c r="K556" s="172" t="s">
        <v>94</v>
      </c>
      <c r="L556" s="172" t="s">
        <v>95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254</v>
      </c>
      <c r="B557" s="176">
        <v>46045</v>
      </c>
      <c r="C557" s="172" t="s">
        <v>105</v>
      </c>
      <c r="D557" s="172" t="s">
        <v>106</v>
      </c>
      <c r="E557" s="172" t="s">
        <v>40</v>
      </c>
      <c r="F557" s="172" t="s">
        <v>118</v>
      </c>
      <c r="G557" s="172" t="s">
        <v>85</v>
      </c>
      <c r="H557" s="177">
        <v>1</v>
      </c>
      <c r="I557" s="178">
        <v>1750</v>
      </c>
      <c r="J557" s="176">
        <v>46044</v>
      </c>
      <c r="K557" s="172" t="s">
        <v>94</v>
      </c>
      <c r="L557" s="172" t="s">
        <v>95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254</v>
      </c>
      <c r="B558" s="176">
        <v>46045</v>
      </c>
      <c r="C558" s="172" t="s">
        <v>82</v>
      </c>
      <c r="D558" s="172" t="s">
        <v>96</v>
      </c>
      <c r="E558" s="172" t="s">
        <v>40</v>
      </c>
      <c r="F558" s="172" t="s">
        <v>118</v>
      </c>
      <c r="G558" s="172" t="s">
        <v>85</v>
      </c>
      <c r="H558" s="177">
        <v>1</v>
      </c>
      <c r="I558" s="178">
        <v>1750</v>
      </c>
      <c r="J558" s="176">
        <v>46044</v>
      </c>
      <c r="K558" s="172" t="s">
        <v>94</v>
      </c>
      <c r="L558" s="172" t="s">
        <v>95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254</v>
      </c>
      <c r="B559" s="176">
        <v>46045</v>
      </c>
      <c r="C559" s="172" t="s">
        <v>82</v>
      </c>
      <c r="D559" s="172" t="s">
        <v>83</v>
      </c>
      <c r="E559" s="172" t="s">
        <v>40</v>
      </c>
      <c r="F559" s="172" t="s">
        <v>118</v>
      </c>
      <c r="G559" s="172" t="s">
        <v>85</v>
      </c>
      <c r="H559" s="177">
        <v>1</v>
      </c>
      <c r="I559" s="178">
        <v>0</v>
      </c>
      <c r="J559" s="176">
        <v>46044</v>
      </c>
      <c r="K559" s="172" t="s">
        <v>86</v>
      </c>
      <c r="L559" s="172" t="s">
        <v>86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255</v>
      </c>
      <c r="B560" s="176">
        <v>46045</v>
      </c>
      <c r="C560" s="172" t="s">
        <v>93</v>
      </c>
      <c r="D560" s="172" t="s">
        <v>24</v>
      </c>
      <c r="E560" s="172" t="s">
        <v>43</v>
      </c>
      <c r="F560" s="172" t="s">
        <v>90</v>
      </c>
      <c r="G560" s="172" t="s">
        <v>85</v>
      </c>
      <c r="H560" s="177">
        <v>1</v>
      </c>
      <c r="I560" s="178">
        <v>1750</v>
      </c>
      <c r="J560" s="176">
        <v>46043</v>
      </c>
      <c r="K560" s="172" t="s">
        <v>94</v>
      </c>
      <c r="L560" s="172" t="s">
        <v>95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255</v>
      </c>
      <c r="B561" s="176">
        <v>46045</v>
      </c>
      <c r="C561" s="172" t="s">
        <v>101</v>
      </c>
      <c r="D561" s="172" t="s">
        <v>102</v>
      </c>
      <c r="E561" s="172" t="s">
        <v>43</v>
      </c>
      <c r="F561" s="172" t="s">
        <v>90</v>
      </c>
      <c r="G561" s="172" t="s">
        <v>85</v>
      </c>
      <c r="H561" s="177">
        <v>1</v>
      </c>
      <c r="I561" s="178">
        <v>1750</v>
      </c>
      <c r="J561" s="176">
        <v>46043</v>
      </c>
      <c r="K561" s="172" t="s">
        <v>94</v>
      </c>
      <c r="L561" s="172" t="s">
        <v>95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255</v>
      </c>
      <c r="B562" s="176">
        <v>46045</v>
      </c>
      <c r="C562" s="172" t="s">
        <v>101</v>
      </c>
      <c r="D562" s="172" t="s">
        <v>103</v>
      </c>
      <c r="E562" s="172" t="s">
        <v>43</v>
      </c>
      <c r="F562" s="172" t="s">
        <v>90</v>
      </c>
      <c r="G562" s="172" t="s">
        <v>85</v>
      </c>
      <c r="H562" s="177">
        <v>1</v>
      </c>
      <c r="I562" s="178">
        <v>1750</v>
      </c>
      <c r="J562" s="176">
        <v>46043</v>
      </c>
      <c r="K562" s="172" t="s">
        <v>94</v>
      </c>
      <c r="L562" s="172" t="s">
        <v>95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255</v>
      </c>
      <c r="B563" s="176">
        <v>46045</v>
      </c>
      <c r="C563" s="172" t="s">
        <v>101</v>
      </c>
      <c r="D563" s="172" t="s">
        <v>104</v>
      </c>
      <c r="E563" s="172" t="s">
        <v>43</v>
      </c>
      <c r="F563" s="172" t="s">
        <v>90</v>
      </c>
      <c r="G563" s="172" t="s">
        <v>85</v>
      </c>
      <c r="H563" s="177">
        <v>1</v>
      </c>
      <c r="I563" s="178">
        <v>1750</v>
      </c>
      <c r="J563" s="176">
        <v>46043</v>
      </c>
      <c r="K563" s="172" t="s">
        <v>94</v>
      </c>
      <c r="L563" s="172" t="s">
        <v>95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255</v>
      </c>
      <c r="B564" s="176">
        <v>46045</v>
      </c>
      <c r="C564" s="172" t="s">
        <v>105</v>
      </c>
      <c r="D564" s="172" t="s">
        <v>106</v>
      </c>
      <c r="E564" s="172" t="s">
        <v>43</v>
      </c>
      <c r="F564" s="172" t="s">
        <v>90</v>
      </c>
      <c r="G564" s="172" t="s">
        <v>85</v>
      </c>
      <c r="H564" s="177">
        <v>1</v>
      </c>
      <c r="I564" s="178">
        <v>1750</v>
      </c>
      <c r="J564" s="176">
        <v>46043</v>
      </c>
      <c r="K564" s="172" t="s">
        <v>94</v>
      </c>
      <c r="L564" s="172" t="s">
        <v>95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256</v>
      </c>
      <c r="B565" s="176">
        <v>46045</v>
      </c>
      <c r="C565" s="172" t="s">
        <v>82</v>
      </c>
      <c r="D565" s="172" t="s">
        <v>83</v>
      </c>
      <c r="E565" s="172" t="s">
        <v>53</v>
      </c>
      <c r="F565" s="172" t="s">
        <v>91</v>
      </c>
      <c r="G565" s="172" t="s">
        <v>85</v>
      </c>
      <c r="H565" s="177">
        <v>1</v>
      </c>
      <c r="I565" s="178">
        <v>0</v>
      </c>
      <c r="J565" s="176">
        <v>46045</v>
      </c>
      <c r="K565" s="172" t="s">
        <v>86</v>
      </c>
      <c r="L565" s="172" t="s">
        <v>86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257</v>
      </c>
      <c r="B566" s="176">
        <v>46045</v>
      </c>
      <c r="C566" s="172" t="s">
        <v>93</v>
      </c>
      <c r="D566" s="172" t="s">
        <v>24</v>
      </c>
      <c r="E566" s="172" t="s">
        <v>54</v>
      </c>
      <c r="F566" s="172" t="s">
        <v>121</v>
      </c>
      <c r="G566" s="172" t="s">
        <v>85</v>
      </c>
      <c r="H566" s="177">
        <v>1</v>
      </c>
      <c r="I566" s="178">
        <v>0</v>
      </c>
      <c r="J566" s="176">
        <v>46040</v>
      </c>
      <c r="K566" s="172" t="s">
        <v>94</v>
      </c>
      <c r="L566" s="172" t="s">
        <v>95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257</v>
      </c>
      <c r="B567" s="176">
        <v>46045</v>
      </c>
      <c r="C567" s="172" t="s">
        <v>82</v>
      </c>
      <c r="D567" s="172" t="s">
        <v>96</v>
      </c>
      <c r="E567" s="172" t="s">
        <v>54</v>
      </c>
      <c r="F567" s="172" t="s">
        <v>121</v>
      </c>
      <c r="G567" s="172" t="s">
        <v>85</v>
      </c>
      <c r="H567" s="177">
        <v>1</v>
      </c>
      <c r="I567" s="178">
        <v>0</v>
      </c>
      <c r="J567" s="176">
        <v>46040</v>
      </c>
      <c r="K567" s="172" t="s">
        <v>94</v>
      </c>
      <c r="L567" s="172" t="s">
        <v>95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257</v>
      </c>
      <c r="B568" s="176">
        <v>46045</v>
      </c>
      <c r="C568" s="172" t="s">
        <v>93</v>
      </c>
      <c r="D568" s="172" t="s">
        <v>97</v>
      </c>
      <c r="E568" s="172" t="s">
        <v>54</v>
      </c>
      <c r="F568" s="172" t="s">
        <v>121</v>
      </c>
      <c r="G568" s="172" t="s">
        <v>85</v>
      </c>
      <c r="H568" s="177">
        <v>1</v>
      </c>
      <c r="I568" s="178">
        <v>0</v>
      </c>
      <c r="J568" s="176">
        <v>46040</v>
      </c>
      <c r="K568" s="172" t="s">
        <v>94</v>
      </c>
      <c r="L568" s="172" t="s">
        <v>95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257</v>
      </c>
      <c r="B569" s="176">
        <v>46045</v>
      </c>
      <c r="C569" s="172" t="s">
        <v>93</v>
      </c>
      <c r="D569" s="172" t="s">
        <v>98</v>
      </c>
      <c r="E569" s="172" t="s">
        <v>54</v>
      </c>
      <c r="F569" s="172" t="s">
        <v>121</v>
      </c>
      <c r="G569" s="172" t="s">
        <v>85</v>
      </c>
      <c r="H569" s="177">
        <v>1</v>
      </c>
      <c r="I569" s="178">
        <v>0</v>
      </c>
      <c r="J569" s="176">
        <v>46040</v>
      </c>
      <c r="K569" s="172" t="s">
        <v>94</v>
      </c>
      <c r="L569" s="172" t="s">
        <v>95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257</v>
      </c>
      <c r="B570" s="176">
        <v>46045</v>
      </c>
      <c r="C570" s="172" t="s">
        <v>82</v>
      </c>
      <c r="D570" s="172" t="s">
        <v>99</v>
      </c>
      <c r="E570" s="172" t="s">
        <v>54</v>
      </c>
      <c r="F570" s="172" t="s">
        <v>121</v>
      </c>
      <c r="G570" s="172" t="s">
        <v>85</v>
      </c>
      <c r="H570" s="177">
        <v>1</v>
      </c>
      <c r="I570" s="178">
        <v>0</v>
      </c>
      <c r="J570" s="176">
        <v>46040</v>
      </c>
      <c r="K570" s="172" t="s">
        <v>94</v>
      </c>
      <c r="L570" s="172" t="s">
        <v>95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258</v>
      </c>
      <c r="B571" s="176">
        <v>46045</v>
      </c>
      <c r="C571" s="172" t="s">
        <v>82</v>
      </c>
      <c r="D571" s="172" t="s">
        <v>83</v>
      </c>
      <c r="E571" s="172" t="s">
        <v>42</v>
      </c>
      <c r="F571" s="172" t="s">
        <v>84</v>
      </c>
      <c r="G571" s="172" t="s">
        <v>85</v>
      </c>
      <c r="H571" s="177">
        <v>1</v>
      </c>
      <c r="I571" s="178">
        <v>0</v>
      </c>
      <c r="J571" s="176">
        <v>46045</v>
      </c>
      <c r="K571" s="172" t="s">
        <v>86</v>
      </c>
      <c r="L571" s="172" t="s">
        <v>86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259</v>
      </c>
      <c r="B572" s="176">
        <v>46045</v>
      </c>
      <c r="C572" s="172" t="s">
        <v>93</v>
      </c>
      <c r="D572" s="172" t="s">
        <v>24</v>
      </c>
      <c r="E572" s="172" t="s">
        <v>54</v>
      </c>
      <c r="F572" s="172" t="s">
        <v>121</v>
      </c>
      <c r="G572" s="172" t="s">
        <v>85</v>
      </c>
      <c r="H572" s="177">
        <v>1</v>
      </c>
      <c r="I572" s="178">
        <v>1845</v>
      </c>
      <c r="J572" s="176">
        <v>46044</v>
      </c>
      <c r="K572" s="172" t="s">
        <v>94</v>
      </c>
      <c r="L572" s="172" t="s">
        <v>95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259</v>
      </c>
      <c r="B573" s="176">
        <v>46045</v>
      </c>
      <c r="C573" s="172" t="s">
        <v>101</v>
      </c>
      <c r="D573" s="172" t="s">
        <v>102</v>
      </c>
      <c r="E573" s="172" t="s">
        <v>54</v>
      </c>
      <c r="F573" s="172" t="s">
        <v>121</v>
      </c>
      <c r="G573" s="172" t="s">
        <v>85</v>
      </c>
      <c r="H573" s="177">
        <v>1</v>
      </c>
      <c r="I573" s="178">
        <v>1845</v>
      </c>
      <c r="J573" s="176">
        <v>46044</v>
      </c>
      <c r="K573" s="172" t="s">
        <v>94</v>
      </c>
      <c r="L573" s="172" t="s">
        <v>95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259</v>
      </c>
      <c r="B574" s="176">
        <v>46045</v>
      </c>
      <c r="C574" s="172" t="s">
        <v>101</v>
      </c>
      <c r="D574" s="172" t="s">
        <v>103</v>
      </c>
      <c r="E574" s="172" t="s">
        <v>54</v>
      </c>
      <c r="F574" s="172" t="s">
        <v>121</v>
      </c>
      <c r="G574" s="172" t="s">
        <v>85</v>
      </c>
      <c r="H574" s="177">
        <v>1</v>
      </c>
      <c r="I574" s="178">
        <v>1845</v>
      </c>
      <c r="J574" s="176">
        <v>46044</v>
      </c>
      <c r="K574" s="172" t="s">
        <v>94</v>
      </c>
      <c r="L574" s="172" t="s">
        <v>95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259</v>
      </c>
      <c r="B575" s="176">
        <v>46045</v>
      </c>
      <c r="C575" s="172" t="s">
        <v>101</v>
      </c>
      <c r="D575" s="172" t="s">
        <v>104</v>
      </c>
      <c r="E575" s="172" t="s">
        <v>54</v>
      </c>
      <c r="F575" s="172" t="s">
        <v>121</v>
      </c>
      <c r="G575" s="172" t="s">
        <v>85</v>
      </c>
      <c r="H575" s="177">
        <v>1</v>
      </c>
      <c r="I575" s="178">
        <v>1845</v>
      </c>
      <c r="J575" s="176">
        <v>46044</v>
      </c>
      <c r="K575" s="172" t="s">
        <v>94</v>
      </c>
      <c r="L575" s="172" t="s">
        <v>95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259</v>
      </c>
      <c r="B576" s="176">
        <v>46045</v>
      </c>
      <c r="C576" s="172" t="s">
        <v>105</v>
      </c>
      <c r="D576" s="172" t="s">
        <v>106</v>
      </c>
      <c r="E576" s="172" t="s">
        <v>54</v>
      </c>
      <c r="F576" s="172" t="s">
        <v>121</v>
      </c>
      <c r="G576" s="172" t="s">
        <v>85</v>
      </c>
      <c r="H576" s="177">
        <v>1</v>
      </c>
      <c r="I576" s="178">
        <v>1845</v>
      </c>
      <c r="J576" s="176">
        <v>46044</v>
      </c>
      <c r="K576" s="172" t="s">
        <v>94</v>
      </c>
      <c r="L576" s="172" t="s">
        <v>95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259</v>
      </c>
      <c r="B577" s="176">
        <v>46045</v>
      </c>
      <c r="C577" s="172" t="s">
        <v>82</v>
      </c>
      <c r="D577" s="172" t="s">
        <v>96</v>
      </c>
      <c r="E577" s="172" t="s">
        <v>54</v>
      </c>
      <c r="F577" s="172" t="s">
        <v>121</v>
      </c>
      <c r="G577" s="172" t="s">
        <v>85</v>
      </c>
      <c r="H577" s="177">
        <v>1</v>
      </c>
      <c r="I577" s="178">
        <v>1845</v>
      </c>
      <c r="J577" s="176">
        <v>46044</v>
      </c>
      <c r="K577" s="172" t="s">
        <v>94</v>
      </c>
      <c r="L577" s="172" t="s">
        <v>95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259</v>
      </c>
      <c r="B578" s="176">
        <v>46045</v>
      </c>
      <c r="C578" s="172" t="s">
        <v>82</v>
      </c>
      <c r="D578" s="172" t="s">
        <v>83</v>
      </c>
      <c r="E578" s="172" t="s">
        <v>54</v>
      </c>
      <c r="F578" s="172" t="s">
        <v>121</v>
      </c>
      <c r="G578" s="172" t="s">
        <v>85</v>
      </c>
      <c r="H578" s="177">
        <v>1</v>
      </c>
      <c r="I578" s="178">
        <v>0</v>
      </c>
      <c r="J578" s="176">
        <v>46044</v>
      </c>
      <c r="K578" s="172" t="s">
        <v>86</v>
      </c>
      <c r="L578" s="172" t="s">
        <v>86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260</v>
      </c>
      <c r="B579" s="176">
        <v>46045</v>
      </c>
      <c r="C579" s="172" t="s">
        <v>93</v>
      </c>
      <c r="D579" s="172" t="s">
        <v>24</v>
      </c>
      <c r="E579" s="172" t="s">
        <v>43</v>
      </c>
      <c r="F579" s="172" t="s">
        <v>90</v>
      </c>
      <c r="G579" s="172" t="s">
        <v>85</v>
      </c>
      <c r="H579" s="177">
        <v>1</v>
      </c>
      <c r="I579" s="178">
        <v>1750</v>
      </c>
      <c r="J579" s="176">
        <v>46042</v>
      </c>
      <c r="K579" s="172" t="s">
        <v>94</v>
      </c>
      <c r="L579" s="172" t="s">
        <v>95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260</v>
      </c>
      <c r="B580" s="176">
        <v>46045</v>
      </c>
      <c r="C580" s="172" t="s">
        <v>101</v>
      </c>
      <c r="D580" s="172" t="s">
        <v>102</v>
      </c>
      <c r="E580" s="172" t="s">
        <v>43</v>
      </c>
      <c r="F580" s="172" t="s">
        <v>90</v>
      </c>
      <c r="G580" s="172" t="s">
        <v>85</v>
      </c>
      <c r="H580" s="177">
        <v>1</v>
      </c>
      <c r="I580" s="178">
        <v>1750</v>
      </c>
      <c r="J580" s="176">
        <v>46042</v>
      </c>
      <c r="K580" s="172" t="s">
        <v>94</v>
      </c>
      <c r="L580" s="172" t="s">
        <v>95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260</v>
      </c>
      <c r="B581" s="176">
        <v>46045</v>
      </c>
      <c r="C581" s="172" t="s">
        <v>101</v>
      </c>
      <c r="D581" s="172" t="s">
        <v>103</v>
      </c>
      <c r="E581" s="172" t="s">
        <v>43</v>
      </c>
      <c r="F581" s="172" t="s">
        <v>90</v>
      </c>
      <c r="G581" s="172" t="s">
        <v>85</v>
      </c>
      <c r="H581" s="177">
        <v>1</v>
      </c>
      <c r="I581" s="178">
        <v>1750</v>
      </c>
      <c r="J581" s="176">
        <v>46042</v>
      </c>
      <c r="K581" s="172" t="s">
        <v>94</v>
      </c>
      <c r="L581" s="172" t="s">
        <v>95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260</v>
      </c>
      <c r="B582" s="176">
        <v>46045</v>
      </c>
      <c r="C582" s="172" t="s">
        <v>101</v>
      </c>
      <c r="D582" s="172" t="s">
        <v>104</v>
      </c>
      <c r="E582" s="172" t="s">
        <v>43</v>
      </c>
      <c r="F582" s="172" t="s">
        <v>90</v>
      </c>
      <c r="G582" s="172" t="s">
        <v>85</v>
      </c>
      <c r="H582" s="177">
        <v>1</v>
      </c>
      <c r="I582" s="178">
        <v>1750</v>
      </c>
      <c r="J582" s="176">
        <v>46042</v>
      </c>
      <c r="K582" s="172" t="s">
        <v>94</v>
      </c>
      <c r="L582" s="172" t="s">
        <v>95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260</v>
      </c>
      <c r="B583" s="176">
        <v>46045</v>
      </c>
      <c r="C583" s="172" t="s">
        <v>105</v>
      </c>
      <c r="D583" s="172" t="s">
        <v>106</v>
      </c>
      <c r="E583" s="172" t="s">
        <v>43</v>
      </c>
      <c r="F583" s="172" t="s">
        <v>90</v>
      </c>
      <c r="G583" s="172" t="s">
        <v>85</v>
      </c>
      <c r="H583" s="177">
        <v>1</v>
      </c>
      <c r="I583" s="178">
        <v>1750</v>
      </c>
      <c r="J583" s="176">
        <v>46042</v>
      </c>
      <c r="K583" s="172" t="s">
        <v>94</v>
      </c>
      <c r="L583" s="172" t="s">
        <v>95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260</v>
      </c>
      <c r="B584" s="176">
        <v>46045</v>
      </c>
      <c r="C584" s="172" t="s">
        <v>82</v>
      </c>
      <c r="D584" s="172" t="s">
        <v>96</v>
      </c>
      <c r="E584" s="172" t="s">
        <v>43</v>
      </c>
      <c r="F584" s="172" t="s">
        <v>90</v>
      </c>
      <c r="G584" s="172" t="s">
        <v>85</v>
      </c>
      <c r="H584" s="177">
        <v>1</v>
      </c>
      <c r="I584" s="178">
        <v>1750</v>
      </c>
      <c r="J584" s="176">
        <v>46042</v>
      </c>
      <c r="K584" s="172" t="s">
        <v>94</v>
      </c>
      <c r="L584" s="172" t="s">
        <v>95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260</v>
      </c>
      <c r="B585" s="176">
        <v>46045</v>
      </c>
      <c r="C585" s="172" t="s">
        <v>82</v>
      </c>
      <c r="D585" s="172" t="s">
        <v>83</v>
      </c>
      <c r="E585" s="172" t="s">
        <v>43</v>
      </c>
      <c r="F585" s="172" t="s">
        <v>90</v>
      </c>
      <c r="G585" s="172" t="s">
        <v>85</v>
      </c>
      <c r="H585" s="177">
        <v>1</v>
      </c>
      <c r="I585" s="178">
        <v>0</v>
      </c>
      <c r="J585" s="176">
        <v>46042</v>
      </c>
      <c r="K585" s="172" t="s">
        <v>86</v>
      </c>
      <c r="L585" s="172" t="s">
        <v>86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261</v>
      </c>
      <c r="B586" s="176">
        <v>46045</v>
      </c>
      <c r="C586" s="172" t="s">
        <v>82</v>
      </c>
      <c r="D586" s="172" t="s">
        <v>83</v>
      </c>
      <c r="E586" s="172" t="s">
        <v>54</v>
      </c>
      <c r="F586" s="172" t="s">
        <v>121</v>
      </c>
      <c r="G586" s="172" t="s">
        <v>85</v>
      </c>
      <c r="H586" s="177">
        <v>1</v>
      </c>
      <c r="I586" s="178">
        <v>0</v>
      </c>
      <c r="J586" s="176">
        <v>46045</v>
      </c>
      <c r="K586" s="172" t="s">
        <v>86</v>
      </c>
      <c r="L586" s="172" t="s">
        <v>86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262</v>
      </c>
      <c r="B587" s="176">
        <v>46045</v>
      </c>
      <c r="C587" s="172" t="s">
        <v>93</v>
      </c>
      <c r="D587" s="172" t="s">
        <v>24</v>
      </c>
      <c r="E587" s="172" t="s">
        <v>54</v>
      </c>
      <c r="F587" s="172" t="s">
        <v>121</v>
      </c>
      <c r="G587" s="172" t="s">
        <v>85</v>
      </c>
      <c r="H587" s="177">
        <v>1</v>
      </c>
      <c r="I587" s="178">
        <v>0</v>
      </c>
      <c r="J587" s="176">
        <v>46033</v>
      </c>
      <c r="K587" s="172" t="s">
        <v>94</v>
      </c>
      <c r="L587" s="172" t="s">
        <v>95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262</v>
      </c>
      <c r="B588" s="176">
        <v>46045</v>
      </c>
      <c r="C588" s="172" t="s">
        <v>82</v>
      </c>
      <c r="D588" s="172" t="s">
        <v>96</v>
      </c>
      <c r="E588" s="172" t="s">
        <v>54</v>
      </c>
      <c r="F588" s="172" t="s">
        <v>121</v>
      </c>
      <c r="G588" s="172" t="s">
        <v>85</v>
      </c>
      <c r="H588" s="177">
        <v>1</v>
      </c>
      <c r="I588" s="178">
        <v>0</v>
      </c>
      <c r="J588" s="176">
        <v>46033</v>
      </c>
      <c r="K588" s="172" t="s">
        <v>94</v>
      </c>
      <c r="L588" s="172" t="s">
        <v>95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262</v>
      </c>
      <c r="B589" s="176">
        <v>46045</v>
      </c>
      <c r="C589" s="172" t="s">
        <v>93</v>
      </c>
      <c r="D589" s="172" t="s">
        <v>97</v>
      </c>
      <c r="E589" s="172" t="s">
        <v>54</v>
      </c>
      <c r="F589" s="172" t="s">
        <v>121</v>
      </c>
      <c r="G589" s="172" t="s">
        <v>85</v>
      </c>
      <c r="H589" s="177">
        <v>1</v>
      </c>
      <c r="I589" s="178">
        <v>0</v>
      </c>
      <c r="J589" s="176">
        <v>46033</v>
      </c>
      <c r="K589" s="172" t="s">
        <v>94</v>
      </c>
      <c r="L589" s="172" t="s">
        <v>95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262</v>
      </c>
      <c r="B590" s="176">
        <v>46045</v>
      </c>
      <c r="C590" s="172" t="s">
        <v>93</v>
      </c>
      <c r="D590" s="172" t="s">
        <v>98</v>
      </c>
      <c r="E590" s="172" t="s">
        <v>54</v>
      </c>
      <c r="F590" s="172" t="s">
        <v>121</v>
      </c>
      <c r="G590" s="172" t="s">
        <v>85</v>
      </c>
      <c r="H590" s="177">
        <v>1</v>
      </c>
      <c r="I590" s="178">
        <v>0</v>
      </c>
      <c r="J590" s="176">
        <v>46033</v>
      </c>
      <c r="K590" s="172" t="s">
        <v>94</v>
      </c>
      <c r="L590" s="172" t="s">
        <v>95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262</v>
      </c>
      <c r="B591" s="176">
        <v>46045</v>
      </c>
      <c r="C591" s="172" t="s">
        <v>82</v>
      </c>
      <c r="D591" s="172" t="s">
        <v>99</v>
      </c>
      <c r="E591" s="172" t="s">
        <v>54</v>
      </c>
      <c r="F591" s="172" t="s">
        <v>121</v>
      </c>
      <c r="G591" s="172" t="s">
        <v>85</v>
      </c>
      <c r="H591" s="177">
        <v>1</v>
      </c>
      <c r="I591" s="178">
        <v>0</v>
      </c>
      <c r="J591" s="176">
        <v>46033</v>
      </c>
      <c r="K591" s="172" t="s">
        <v>94</v>
      </c>
      <c r="L591" s="172" t="s">
        <v>95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142</v>
      </c>
      <c r="B592" s="176">
        <v>46045</v>
      </c>
      <c r="C592" s="172" t="s">
        <v>110</v>
      </c>
      <c r="D592" s="172" t="s">
        <v>140</v>
      </c>
      <c r="E592" s="172" t="s">
        <v>86</v>
      </c>
      <c r="F592" s="172" t="s">
        <v>86</v>
      </c>
      <c r="G592" s="172" t="s">
        <v>86</v>
      </c>
      <c r="H592" s="177">
        <v>0</v>
      </c>
      <c r="I592" s="178">
        <v>0</v>
      </c>
      <c r="J592" s="176">
        <v>46045</v>
      </c>
      <c r="K592" s="172" t="s">
        <v>86</v>
      </c>
      <c r="L592" s="172" t="s">
        <v>86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146</v>
      </c>
      <c r="B593" s="176">
        <v>46045</v>
      </c>
      <c r="C593" s="172" t="s">
        <v>110</v>
      </c>
      <c r="D593" s="172" t="s">
        <v>140</v>
      </c>
      <c r="E593" s="172" t="s">
        <v>86</v>
      </c>
      <c r="F593" s="172" t="s">
        <v>86</v>
      </c>
      <c r="G593" s="172" t="s">
        <v>86</v>
      </c>
      <c r="H593" s="177">
        <v>0</v>
      </c>
      <c r="I593" s="178">
        <v>0</v>
      </c>
      <c r="J593" s="176">
        <v>46045</v>
      </c>
      <c r="K593" s="172" t="s">
        <v>86</v>
      </c>
      <c r="L593" s="172" t="s">
        <v>86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139</v>
      </c>
      <c r="B594" s="176">
        <v>46045</v>
      </c>
      <c r="C594" s="172" t="s">
        <v>110</v>
      </c>
      <c r="D594" s="172" t="s">
        <v>140</v>
      </c>
      <c r="E594" s="172" t="s">
        <v>86</v>
      </c>
      <c r="F594" s="172" t="s">
        <v>86</v>
      </c>
      <c r="G594" s="172" t="s">
        <v>86</v>
      </c>
      <c r="H594" s="177">
        <v>0</v>
      </c>
      <c r="I594" s="178">
        <v>0</v>
      </c>
      <c r="J594" s="176">
        <v>46045</v>
      </c>
      <c r="K594" s="172" t="s">
        <v>86</v>
      </c>
      <c r="L594" s="172" t="s">
        <v>86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145</v>
      </c>
      <c r="B595" s="176">
        <v>46045</v>
      </c>
      <c r="C595" s="172" t="s">
        <v>110</v>
      </c>
      <c r="D595" s="172" t="s">
        <v>140</v>
      </c>
      <c r="E595" s="172" t="s">
        <v>86</v>
      </c>
      <c r="F595" s="172" t="s">
        <v>86</v>
      </c>
      <c r="G595" s="172" t="s">
        <v>86</v>
      </c>
      <c r="H595" s="177">
        <v>0</v>
      </c>
      <c r="I595" s="178">
        <v>0</v>
      </c>
      <c r="J595" s="176">
        <v>46045</v>
      </c>
      <c r="K595" s="172" t="s">
        <v>86</v>
      </c>
      <c r="L595" s="172" t="s">
        <v>86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143</v>
      </c>
      <c r="B596" s="176">
        <v>46045</v>
      </c>
      <c r="C596" s="172" t="s">
        <v>110</v>
      </c>
      <c r="D596" s="172" t="s">
        <v>144</v>
      </c>
      <c r="E596" s="172" t="s">
        <v>86</v>
      </c>
      <c r="F596" s="172" t="s">
        <v>86</v>
      </c>
      <c r="G596" s="172" t="s">
        <v>86</v>
      </c>
      <c r="H596" s="177">
        <v>0</v>
      </c>
      <c r="I596" s="178">
        <v>0</v>
      </c>
      <c r="J596" s="176">
        <v>46045</v>
      </c>
      <c r="K596" s="172" t="s">
        <v>86</v>
      </c>
      <c r="L596" s="172" t="s">
        <v>86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263</v>
      </c>
      <c r="B597" s="176">
        <v>46046</v>
      </c>
      <c r="C597" s="172" t="s">
        <v>93</v>
      </c>
      <c r="D597" s="172" t="s">
        <v>24</v>
      </c>
      <c r="E597" s="172" t="s">
        <v>53</v>
      </c>
      <c r="F597" s="172" t="s">
        <v>91</v>
      </c>
      <c r="G597" s="172" t="s">
        <v>85</v>
      </c>
      <c r="H597" s="177">
        <v>1</v>
      </c>
      <c r="I597" s="178">
        <v>0</v>
      </c>
      <c r="J597" s="176">
        <v>46035</v>
      </c>
      <c r="K597" s="172" t="s">
        <v>94</v>
      </c>
      <c r="L597" s="172" t="s">
        <v>95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263</v>
      </c>
      <c r="B598" s="176">
        <v>46046</v>
      </c>
      <c r="C598" s="172" t="s">
        <v>82</v>
      </c>
      <c r="D598" s="172" t="s">
        <v>96</v>
      </c>
      <c r="E598" s="172" t="s">
        <v>53</v>
      </c>
      <c r="F598" s="172" t="s">
        <v>91</v>
      </c>
      <c r="G598" s="172" t="s">
        <v>85</v>
      </c>
      <c r="H598" s="177">
        <v>1</v>
      </c>
      <c r="I598" s="178">
        <v>0</v>
      </c>
      <c r="J598" s="176">
        <v>46035</v>
      </c>
      <c r="K598" s="172" t="s">
        <v>94</v>
      </c>
      <c r="L598" s="172" t="s">
        <v>95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263</v>
      </c>
      <c r="B599" s="176">
        <v>46046</v>
      </c>
      <c r="C599" s="172" t="s">
        <v>93</v>
      </c>
      <c r="D599" s="172" t="s">
        <v>97</v>
      </c>
      <c r="E599" s="172" t="s">
        <v>53</v>
      </c>
      <c r="F599" s="172" t="s">
        <v>91</v>
      </c>
      <c r="G599" s="172" t="s">
        <v>85</v>
      </c>
      <c r="H599" s="177">
        <v>1</v>
      </c>
      <c r="I599" s="178">
        <v>0</v>
      </c>
      <c r="J599" s="176">
        <v>46035</v>
      </c>
      <c r="K599" s="172" t="s">
        <v>94</v>
      </c>
      <c r="L599" s="172" t="s">
        <v>95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263</v>
      </c>
      <c r="B600" s="176">
        <v>46046</v>
      </c>
      <c r="C600" s="172" t="s">
        <v>93</v>
      </c>
      <c r="D600" s="172" t="s">
        <v>98</v>
      </c>
      <c r="E600" s="172" t="s">
        <v>53</v>
      </c>
      <c r="F600" s="172" t="s">
        <v>91</v>
      </c>
      <c r="G600" s="172" t="s">
        <v>85</v>
      </c>
      <c r="H600" s="177">
        <v>1</v>
      </c>
      <c r="I600" s="178">
        <v>0</v>
      </c>
      <c r="J600" s="176">
        <v>46035</v>
      </c>
      <c r="K600" s="172" t="s">
        <v>94</v>
      </c>
      <c r="L600" s="172" t="s">
        <v>95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263</v>
      </c>
      <c r="B601" s="176">
        <v>46046</v>
      </c>
      <c r="C601" s="172" t="s">
        <v>82</v>
      </c>
      <c r="D601" s="172" t="s">
        <v>99</v>
      </c>
      <c r="E601" s="172" t="s">
        <v>53</v>
      </c>
      <c r="F601" s="172" t="s">
        <v>91</v>
      </c>
      <c r="G601" s="172" t="s">
        <v>85</v>
      </c>
      <c r="H601" s="177">
        <v>1</v>
      </c>
      <c r="I601" s="178">
        <v>0</v>
      </c>
      <c r="J601" s="176">
        <v>46035</v>
      </c>
      <c r="K601" s="172" t="s">
        <v>94</v>
      </c>
      <c r="L601" s="172" t="s">
        <v>95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264</v>
      </c>
      <c r="B602" s="176">
        <v>46046</v>
      </c>
      <c r="C602" s="172" t="s">
        <v>93</v>
      </c>
      <c r="D602" s="172" t="s">
        <v>24</v>
      </c>
      <c r="E602" s="172" t="s">
        <v>53</v>
      </c>
      <c r="F602" s="172" t="s">
        <v>91</v>
      </c>
      <c r="G602" s="172" t="s">
        <v>85</v>
      </c>
      <c r="H602" s="177">
        <v>1</v>
      </c>
      <c r="I602" s="178">
        <v>1621</v>
      </c>
      <c r="J602" s="176">
        <v>46032</v>
      </c>
      <c r="K602" s="172" t="s">
        <v>94</v>
      </c>
      <c r="L602" s="172" t="s">
        <v>95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264</v>
      </c>
      <c r="B603" s="176">
        <v>46046</v>
      </c>
      <c r="C603" s="172" t="s">
        <v>101</v>
      </c>
      <c r="D603" s="172" t="s">
        <v>102</v>
      </c>
      <c r="E603" s="172" t="s">
        <v>53</v>
      </c>
      <c r="F603" s="172" t="s">
        <v>91</v>
      </c>
      <c r="G603" s="172" t="s">
        <v>85</v>
      </c>
      <c r="H603" s="177">
        <v>1</v>
      </c>
      <c r="I603" s="178">
        <v>1621</v>
      </c>
      <c r="J603" s="176">
        <v>46032</v>
      </c>
      <c r="K603" s="172" t="s">
        <v>94</v>
      </c>
      <c r="L603" s="172" t="s">
        <v>95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264</v>
      </c>
      <c r="B604" s="176">
        <v>46046</v>
      </c>
      <c r="C604" s="172" t="s">
        <v>101</v>
      </c>
      <c r="D604" s="172" t="s">
        <v>103</v>
      </c>
      <c r="E604" s="172" t="s">
        <v>53</v>
      </c>
      <c r="F604" s="172" t="s">
        <v>91</v>
      </c>
      <c r="G604" s="172" t="s">
        <v>85</v>
      </c>
      <c r="H604" s="177">
        <v>1</v>
      </c>
      <c r="I604" s="178">
        <v>1621</v>
      </c>
      <c r="J604" s="176">
        <v>46032</v>
      </c>
      <c r="K604" s="172" t="s">
        <v>94</v>
      </c>
      <c r="L604" s="172" t="s">
        <v>95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264</v>
      </c>
      <c r="B605" s="176">
        <v>46046</v>
      </c>
      <c r="C605" s="172" t="s">
        <v>101</v>
      </c>
      <c r="D605" s="172" t="s">
        <v>104</v>
      </c>
      <c r="E605" s="172" t="s">
        <v>53</v>
      </c>
      <c r="F605" s="172" t="s">
        <v>91</v>
      </c>
      <c r="G605" s="172" t="s">
        <v>85</v>
      </c>
      <c r="H605" s="177">
        <v>1</v>
      </c>
      <c r="I605" s="178">
        <v>1621</v>
      </c>
      <c r="J605" s="176">
        <v>46032</v>
      </c>
      <c r="K605" s="172" t="s">
        <v>94</v>
      </c>
      <c r="L605" s="172" t="s">
        <v>95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264</v>
      </c>
      <c r="B606" s="176">
        <v>46046</v>
      </c>
      <c r="C606" s="172" t="s">
        <v>105</v>
      </c>
      <c r="D606" s="172" t="s">
        <v>106</v>
      </c>
      <c r="E606" s="172" t="s">
        <v>53</v>
      </c>
      <c r="F606" s="172" t="s">
        <v>91</v>
      </c>
      <c r="G606" s="172" t="s">
        <v>85</v>
      </c>
      <c r="H606" s="177">
        <v>1</v>
      </c>
      <c r="I606" s="178">
        <v>1621</v>
      </c>
      <c r="J606" s="176">
        <v>46032</v>
      </c>
      <c r="K606" s="172" t="s">
        <v>94</v>
      </c>
      <c r="L606" s="172" t="s">
        <v>95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264</v>
      </c>
      <c r="B607" s="176">
        <v>46046</v>
      </c>
      <c r="C607" s="172" t="s">
        <v>82</v>
      </c>
      <c r="D607" s="172" t="s">
        <v>96</v>
      </c>
      <c r="E607" s="172" t="s">
        <v>53</v>
      </c>
      <c r="F607" s="172" t="s">
        <v>91</v>
      </c>
      <c r="G607" s="172" t="s">
        <v>85</v>
      </c>
      <c r="H607" s="177">
        <v>1</v>
      </c>
      <c r="I607" s="178">
        <v>1621</v>
      </c>
      <c r="J607" s="176">
        <v>46032</v>
      </c>
      <c r="K607" s="172" t="s">
        <v>94</v>
      </c>
      <c r="L607" s="172" t="s">
        <v>95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265</v>
      </c>
      <c r="B608" s="176">
        <v>46046</v>
      </c>
      <c r="C608" s="172" t="s">
        <v>93</v>
      </c>
      <c r="D608" s="172" t="s">
        <v>24</v>
      </c>
      <c r="E608" s="172" t="s">
        <v>44</v>
      </c>
      <c r="F608" s="172" t="s">
        <v>126</v>
      </c>
      <c r="G608" s="172" t="s">
        <v>85</v>
      </c>
      <c r="H608" s="177">
        <v>1</v>
      </c>
      <c r="I608" s="178">
        <v>0</v>
      </c>
      <c r="J608" s="176">
        <v>46033</v>
      </c>
      <c r="K608" s="172" t="s">
        <v>94</v>
      </c>
      <c r="L608" s="172" t="s">
        <v>95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265</v>
      </c>
      <c r="B609" s="176">
        <v>46046</v>
      </c>
      <c r="C609" s="172" t="s">
        <v>82</v>
      </c>
      <c r="D609" s="172" t="s">
        <v>96</v>
      </c>
      <c r="E609" s="172" t="s">
        <v>44</v>
      </c>
      <c r="F609" s="172" t="s">
        <v>126</v>
      </c>
      <c r="G609" s="172" t="s">
        <v>85</v>
      </c>
      <c r="H609" s="177">
        <v>1</v>
      </c>
      <c r="I609" s="178">
        <v>0</v>
      </c>
      <c r="J609" s="176">
        <v>46033</v>
      </c>
      <c r="K609" s="172" t="s">
        <v>94</v>
      </c>
      <c r="L609" s="172" t="s">
        <v>95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265</v>
      </c>
      <c r="B610" s="176">
        <v>46046</v>
      </c>
      <c r="C610" s="172" t="s">
        <v>93</v>
      </c>
      <c r="D610" s="172" t="s">
        <v>97</v>
      </c>
      <c r="E610" s="172" t="s">
        <v>44</v>
      </c>
      <c r="F610" s="172" t="s">
        <v>126</v>
      </c>
      <c r="G610" s="172" t="s">
        <v>85</v>
      </c>
      <c r="H610" s="177">
        <v>1</v>
      </c>
      <c r="I610" s="178">
        <v>0</v>
      </c>
      <c r="J610" s="176">
        <v>46033</v>
      </c>
      <c r="K610" s="172" t="s">
        <v>94</v>
      </c>
      <c r="L610" s="172" t="s">
        <v>95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265</v>
      </c>
      <c r="B611" s="176">
        <v>46046</v>
      </c>
      <c r="C611" s="172" t="s">
        <v>93</v>
      </c>
      <c r="D611" s="172" t="s">
        <v>98</v>
      </c>
      <c r="E611" s="172" t="s">
        <v>44</v>
      </c>
      <c r="F611" s="172" t="s">
        <v>126</v>
      </c>
      <c r="G611" s="172" t="s">
        <v>85</v>
      </c>
      <c r="H611" s="177">
        <v>1</v>
      </c>
      <c r="I611" s="178">
        <v>0</v>
      </c>
      <c r="J611" s="176">
        <v>46033</v>
      </c>
      <c r="K611" s="172" t="s">
        <v>94</v>
      </c>
      <c r="L611" s="172" t="s">
        <v>95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265</v>
      </c>
      <c r="B612" s="176">
        <v>46046</v>
      </c>
      <c r="C612" s="172" t="s">
        <v>82</v>
      </c>
      <c r="D612" s="172" t="s">
        <v>99</v>
      </c>
      <c r="E612" s="172" t="s">
        <v>44</v>
      </c>
      <c r="F612" s="172" t="s">
        <v>126</v>
      </c>
      <c r="G612" s="172" t="s">
        <v>85</v>
      </c>
      <c r="H612" s="177">
        <v>1</v>
      </c>
      <c r="I612" s="178">
        <v>0</v>
      </c>
      <c r="J612" s="176">
        <v>46033</v>
      </c>
      <c r="K612" s="172" t="s">
        <v>94</v>
      </c>
      <c r="L612" s="172" t="s">
        <v>95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266</v>
      </c>
      <c r="B613" s="176">
        <v>46046</v>
      </c>
      <c r="C613" s="172" t="s">
        <v>82</v>
      </c>
      <c r="D613" s="172" t="s">
        <v>83</v>
      </c>
      <c r="E613" s="172" t="s">
        <v>54</v>
      </c>
      <c r="F613" s="172" t="s">
        <v>121</v>
      </c>
      <c r="G613" s="172" t="s">
        <v>85</v>
      </c>
      <c r="H613" s="177">
        <v>1</v>
      </c>
      <c r="I613" s="178">
        <v>0</v>
      </c>
      <c r="J613" s="176">
        <v>46046</v>
      </c>
      <c r="K613" s="172" t="s">
        <v>86</v>
      </c>
      <c r="L613" s="172" t="s">
        <v>86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86</v>
      </c>
      <c r="B614" s="176">
        <v>46046</v>
      </c>
      <c r="C614" s="172" t="s">
        <v>110</v>
      </c>
      <c r="D614" s="172" t="s">
        <v>111</v>
      </c>
      <c r="E614" s="172" t="s">
        <v>86</v>
      </c>
      <c r="F614" s="172" t="s">
        <v>86</v>
      </c>
      <c r="G614" s="172" t="s">
        <v>267</v>
      </c>
      <c r="H614" s="177">
        <v>0</v>
      </c>
      <c r="I614" s="178">
        <v>0</v>
      </c>
      <c r="J614" s="176">
        <v>46046</v>
      </c>
      <c r="K614" s="172" t="s">
        <v>86</v>
      </c>
      <c r="L614" s="172" t="s">
        <v>86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268</v>
      </c>
      <c r="B615" s="176">
        <v>46046</v>
      </c>
      <c r="C615" s="172" t="s">
        <v>82</v>
      </c>
      <c r="D615" s="172" t="s">
        <v>83</v>
      </c>
      <c r="E615" s="172" t="s">
        <v>43</v>
      </c>
      <c r="F615" s="172" t="s">
        <v>90</v>
      </c>
      <c r="G615" s="172" t="s">
        <v>85</v>
      </c>
      <c r="H615" s="177">
        <v>1</v>
      </c>
      <c r="I615" s="178">
        <v>0</v>
      </c>
      <c r="J615" s="176">
        <v>46046</v>
      </c>
      <c r="K615" s="172" t="s">
        <v>86</v>
      </c>
      <c r="L615" s="172" t="s">
        <v>86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269</v>
      </c>
      <c r="B616" s="176">
        <v>46046</v>
      </c>
      <c r="C616" s="172" t="s">
        <v>93</v>
      </c>
      <c r="D616" s="172" t="s">
        <v>24</v>
      </c>
      <c r="E616" s="172" t="s">
        <v>42</v>
      </c>
      <c r="F616" s="172" t="s">
        <v>84</v>
      </c>
      <c r="G616" s="172" t="s">
        <v>85</v>
      </c>
      <c r="H616" s="177">
        <v>1</v>
      </c>
      <c r="I616" s="178">
        <v>1600</v>
      </c>
      <c r="J616" s="176">
        <v>46026</v>
      </c>
      <c r="K616" s="172" t="s">
        <v>94</v>
      </c>
      <c r="L616" s="172" t="s">
        <v>95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269</v>
      </c>
      <c r="B617" s="176">
        <v>46046</v>
      </c>
      <c r="C617" s="172" t="s">
        <v>101</v>
      </c>
      <c r="D617" s="172" t="s">
        <v>102</v>
      </c>
      <c r="E617" s="172" t="s">
        <v>42</v>
      </c>
      <c r="F617" s="172" t="s">
        <v>84</v>
      </c>
      <c r="G617" s="172" t="s">
        <v>85</v>
      </c>
      <c r="H617" s="177">
        <v>1</v>
      </c>
      <c r="I617" s="178">
        <v>1600</v>
      </c>
      <c r="J617" s="176">
        <v>46026</v>
      </c>
      <c r="K617" s="172" t="s">
        <v>94</v>
      </c>
      <c r="L617" s="172" t="s">
        <v>95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269</v>
      </c>
      <c r="B618" s="176">
        <v>46046</v>
      </c>
      <c r="C618" s="172" t="s">
        <v>101</v>
      </c>
      <c r="D618" s="172" t="s">
        <v>103</v>
      </c>
      <c r="E618" s="172" t="s">
        <v>42</v>
      </c>
      <c r="F618" s="172" t="s">
        <v>84</v>
      </c>
      <c r="G618" s="172" t="s">
        <v>85</v>
      </c>
      <c r="H618" s="177">
        <v>1</v>
      </c>
      <c r="I618" s="178">
        <v>1600</v>
      </c>
      <c r="J618" s="176">
        <v>46026</v>
      </c>
      <c r="K618" s="172" t="s">
        <v>94</v>
      </c>
      <c r="L618" s="172" t="s">
        <v>95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269</v>
      </c>
      <c r="B619" s="176">
        <v>46046</v>
      </c>
      <c r="C619" s="172" t="s">
        <v>101</v>
      </c>
      <c r="D619" s="172" t="s">
        <v>104</v>
      </c>
      <c r="E619" s="172" t="s">
        <v>42</v>
      </c>
      <c r="F619" s="172" t="s">
        <v>84</v>
      </c>
      <c r="G619" s="172" t="s">
        <v>85</v>
      </c>
      <c r="H619" s="177">
        <v>1</v>
      </c>
      <c r="I619" s="178">
        <v>1600</v>
      </c>
      <c r="J619" s="176">
        <v>46026</v>
      </c>
      <c r="K619" s="172" t="s">
        <v>94</v>
      </c>
      <c r="L619" s="172" t="s">
        <v>95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269</v>
      </c>
      <c r="B620" s="176">
        <v>46046</v>
      </c>
      <c r="C620" s="172" t="s">
        <v>105</v>
      </c>
      <c r="D620" s="172" t="s">
        <v>106</v>
      </c>
      <c r="E620" s="172" t="s">
        <v>42</v>
      </c>
      <c r="F620" s="172" t="s">
        <v>84</v>
      </c>
      <c r="G620" s="172" t="s">
        <v>85</v>
      </c>
      <c r="H620" s="177">
        <v>1</v>
      </c>
      <c r="I620" s="178">
        <v>1600</v>
      </c>
      <c r="J620" s="176">
        <v>46026</v>
      </c>
      <c r="K620" s="172" t="s">
        <v>94</v>
      </c>
      <c r="L620" s="172" t="s">
        <v>95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270</v>
      </c>
      <c r="B621" s="176">
        <v>46046</v>
      </c>
      <c r="C621" s="172" t="s">
        <v>93</v>
      </c>
      <c r="D621" s="172" t="s">
        <v>24</v>
      </c>
      <c r="E621" s="172" t="s">
        <v>53</v>
      </c>
      <c r="F621" s="172" t="s">
        <v>91</v>
      </c>
      <c r="G621" s="172" t="s">
        <v>85</v>
      </c>
      <c r="H621" s="177">
        <v>1</v>
      </c>
      <c r="I621" s="178">
        <v>1621</v>
      </c>
      <c r="J621" s="176">
        <v>46036</v>
      </c>
      <c r="K621" s="172" t="s">
        <v>94</v>
      </c>
      <c r="L621" s="172" t="s">
        <v>95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270</v>
      </c>
      <c r="B622" s="176">
        <v>46046</v>
      </c>
      <c r="C622" s="172" t="s">
        <v>101</v>
      </c>
      <c r="D622" s="172" t="s">
        <v>102</v>
      </c>
      <c r="E622" s="172" t="s">
        <v>53</v>
      </c>
      <c r="F622" s="172" t="s">
        <v>91</v>
      </c>
      <c r="G622" s="172" t="s">
        <v>85</v>
      </c>
      <c r="H622" s="177">
        <v>1</v>
      </c>
      <c r="I622" s="178">
        <v>1621</v>
      </c>
      <c r="J622" s="176">
        <v>46036</v>
      </c>
      <c r="K622" s="172" t="s">
        <v>94</v>
      </c>
      <c r="L622" s="172" t="s">
        <v>95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270</v>
      </c>
      <c r="B623" s="176">
        <v>46046</v>
      </c>
      <c r="C623" s="172" t="s">
        <v>101</v>
      </c>
      <c r="D623" s="172" t="s">
        <v>103</v>
      </c>
      <c r="E623" s="172" t="s">
        <v>53</v>
      </c>
      <c r="F623" s="172" t="s">
        <v>91</v>
      </c>
      <c r="G623" s="172" t="s">
        <v>85</v>
      </c>
      <c r="H623" s="177">
        <v>1</v>
      </c>
      <c r="I623" s="178">
        <v>1621</v>
      </c>
      <c r="J623" s="176">
        <v>46036</v>
      </c>
      <c r="K623" s="172" t="s">
        <v>94</v>
      </c>
      <c r="L623" s="172" t="s">
        <v>95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270</v>
      </c>
      <c r="B624" s="176">
        <v>46046</v>
      </c>
      <c r="C624" s="172" t="s">
        <v>101</v>
      </c>
      <c r="D624" s="172" t="s">
        <v>104</v>
      </c>
      <c r="E624" s="172" t="s">
        <v>53</v>
      </c>
      <c r="F624" s="172" t="s">
        <v>91</v>
      </c>
      <c r="G624" s="172" t="s">
        <v>85</v>
      </c>
      <c r="H624" s="177">
        <v>1</v>
      </c>
      <c r="I624" s="178">
        <v>1621</v>
      </c>
      <c r="J624" s="176">
        <v>46036</v>
      </c>
      <c r="K624" s="172" t="s">
        <v>94</v>
      </c>
      <c r="L624" s="172" t="s">
        <v>95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270</v>
      </c>
      <c r="B625" s="176">
        <v>46046</v>
      </c>
      <c r="C625" s="172" t="s">
        <v>105</v>
      </c>
      <c r="D625" s="172" t="s">
        <v>106</v>
      </c>
      <c r="E625" s="172" t="s">
        <v>53</v>
      </c>
      <c r="F625" s="172" t="s">
        <v>91</v>
      </c>
      <c r="G625" s="172" t="s">
        <v>85</v>
      </c>
      <c r="H625" s="177">
        <v>1</v>
      </c>
      <c r="I625" s="178">
        <v>1621</v>
      </c>
      <c r="J625" s="176">
        <v>46036</v>
      </c>
      <c r="K625" s="172" t="s">
        <v>94</v>
      </c>
      <c r="L625" s="172" t="s">
        <v>95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271</v>
      </c>
      <c r="B626" s="176">
        <v>46046</v>
      </c>
      <c r="C626" s="172" t="s">
        <v>93</v>
      </c>
      <c r="D626" s="172" t="s">
        <v>24</v>
      </c>
      <c r="E626" s="172" t="s">
        <v>53</v>
      </c>
      <c r="F626" s="172" t="s">
        <v>91</v>
      </c>
      <c r="G626" s="172" t="s">
        <v>85</v>
      </c>
      <c r="H626" s="177">
        <v>1</v>
      </c>
      <c r="I626" s="178">
        <v>1885</v>
      </c>
      <c r="J626" s="176">
        <v>46038</v>
      </c>
      <c r="K626" s="172" t="s">
        <v>94</v>
      </c>
      <c r="L626" s="172" t="s">
        <v>95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271</v>
      </c>
      <c r="B627" s="176">
        <v>46046</v>
      </c>
      <c r="C627" s="172" t="s">
        <v>101</v>
      </c>
      <c r="D627" s="172" t="s">
        <v>102</v>
      </c>
      <c r="E627" s="172" t="s">
        <v>53</v>
      </c>
      <c r="F627" s="172" t="s">
        <v>91</v>
      </c>
      <c r="G627" s="172" t="s">
        <v>85</v>
      </c>
      <c r="H627" s="177">
        <v>1</v>
      </c>
      <c r="I627" s="178">
        <v>1885</v>
      </c>
      <c r="J627" s="176">
        <v>46038</v>
      </c>
      <c r="K627" s="172" t="s">
        <v>94</v>
      </c>
      <c r="L627" s="172" t="s">
        <v>95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271</v>
      </c>
      <c r="B628" s="176">
        <v>46046</v>
      </c>
      <c r="C628" s="172" t="s">
        <v>101</v>
      </c>
      <c r="D628" s="172" t="s">
        <v>103</v>
      </c>
      <c r="E628" s="172" t="s">
        <v>53</v>
      </c>
      <c r="F628" s="172" t="s">
        <v>91</v>
      </c>
      <c r="G628" s="172" t="s">
        <v>85</v>
      </c>
      <c r="H628" s="177">
        <v>1</v>
      </c>
      <c r="I628" s="178">
        <v>1885</v>
      </c>
      <c r="J628" s="176">
        <v>46038</v>
      </c>
      <c r="K628" s="172" t="s">
        <v>94</v>
      </c>
      <c r="L628" s="172" t="s">
        <v>95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271</v>
      </c>
      <c r="B629" s="176">
        <v>46046</v>
      </c>
      <c r="C629" s="172" t="s">
        <v>101</v>
      </c>
      <c r="D629" s="172" t="s">
        <v>104</v>
      </c>
      <c r="E629" s="172" t="s">
        <v>53</v>
      </c>
      <c r="F629" s="172" t="s">
        <v>91</v>
      </c>
      <c r="G629" s="172" t="s">
        <v>85</v>
      </c>
      <c r="H629" s="177">
        <v>1</v>
      </c>
      <c r="I629" s="178">
        <v>1885</v>
      </c>
      <c r="J629" s="176">
        <v>46038</v>
      </c>
      <c r="K629" s="172" t="s">
        <v>94</v>
      </c>
      <c r="L629" s="172" t="s">
        <v>95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271</v>
      </c>
      <c r="B630" s="176">
        <v>46046</v>
      </c>
      <c r="C630" s="172" t="s">
        <v>105</v>
      </c>
      <c r="D630" s="172" t="s">
        <v>106</v>
      </c>
      <c r="E630" s="172" t="s">
        <v>53</v>
      </c>
      <c r="F630" s="172" t="s">
        <v>91</v>
      </c>
      <c r="G630" s="172" t="s">
        <v>85</v>
      </c>
      <c r="H630" s="177">
        <v>1</v>
      </c>
      <c r="I630" s="178">
        <v>1885</v>
      </c>
      <c r="J630" s="176">
        <v>46038</v>
      </c>
      <c r="K630" s="172" t="s">
        <v>94</v>
      </c>
      <c r="L630" s="172" t="s">
        <v>95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271</v>
      </c>
      <c r="B631" s="176">
        <v>46046</v>
      </c>
      <c r="C631" s="172" t="s">
        <v>82</v>
      </c>
      <c r="D631" s="172" t="s">
        <v>96</v>
      </c>
      <c r="E631" s="172" t="s">
        <v>53</v>
      </c>
      <c r="F631" s="172" t="s">
        <v>91</v>
      </c>
      <c r="G631" s="172" t="s">
        <v>85</v>
      </c>
      <c r="H631" s="177">
        <v>1</v>
      </c>
      <c r="I631" s="178">
        <v>1885</v>
      </c>
      <c r="J631" s="176">
        <v>46038</v>
      </c>
      <c r="K631" s="172" t="s">
        <v>94</v>
      </c>
      <c r="L631" s="172" t="s">
        <v>95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272</v>
      </c>
      <c r="B632" s="176">
        <v>46046</v>
      </c>
      <c r="C632" s="172" t="s">
        <v>93</v>
      </c>
      <c r="D632" s="172" t="s">
        <v>24</v>
      </c>
      <c r="E632" s="172" t="s">
        <v>53</v>
      </c>
      <c r="F632" s="172" t="s">
        <v>91</v>
      </c>
      <c r="G632" s="172" t="s">
        <v>85</v>
      </c>
      <c r="H632" s="177">
        <v>1</v>
      </c>
      <c r="I632" s="178">
        <v>1885</v>
      </c>
      <c r="J632" s="176">
        <v>46040</v>
      </c>
      <c r="K632" s="172" t="s">
        <v>94</v>
      </c>
      <c r="L632" s="172" t="s">
        <v>95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272</v>
      </c>
      <c r="B633" s="176">
        <v>46046</v>
      </c>
      <c r="C633" s="172" t="s">
        <v>101</v>
      </c>
      <c r="D633" s="172" t="s">
        <v>102</v>
      </c>
      <c r="E633" s="172" t="s">
        <v>53</v>
      </c>
      <c r="F633" s="172" t="s">
        <v>91</v>
      </c>
      <c r="G633" s="172" t="s">
        <v>85</v>
      </c>
      <c r="H633" s="177">
        <v>1</v>
      </c>
      <c r="I633" s="178">
        <v>1885</v>
      </c>
      <c r="J633" s="176">
        <v>46040</v>
      </c>
      <c r="K633" s="172" t="s">
        <v>94</v>
      </c>
      <c r="L633" s="172" t="s">
        <v>95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272</v>
      </c>
      <c r="B634" s="176">
        <v>46046</v>
      </c>
      <c r="C634" s="172" t="s">
        <v>101</v>
      </c>
      <c r="D634" s="172" t="s">
        <v>103</v>
      </c>
      <c r="E634" s="172" t="s">
        <v>53</v>
      </c>
      <c r="F634" s="172" t="s">
        <v>91</v>
      </c>
      <c r="G634" s="172" t="s">
        <v>85</v>
      </c>
      <c r="H634" s="177">
        <v>1</v>
      </c>
      <c r="I634" s="178">
        <v>1885</v>
      </c>
      <c r="J634" s="176">
        <v>46040</v>
      </c>
      <c r="K634" s="172" t="s">
        <v>94</v>
      </c>
      <c r="L634" s="172" t="s">
        <v>95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272</v>
      </c>
      <c r="B635" s="176">
        <v>46046</v>
      </c>
      <c r="C635" s="172" t="s">
        <v>101</v>
      </c>
      <c r="D635" s="172" t="s">
        <v>104</v>
      </c>
      <c r="E635" s="172" t="s">
        <v>53</v>
      </c>
      <c r="F635" s="172" t="s">
        <v>91</v>
      </c>
      <c r="G635" s="172" t="s">
        <v>85</v>
      </c>
      <c r="H635" s="177">
        <v>1</v>
      </c>
      <c r="I635" s="178">
        <v>1885</v>
      </c>
      <c r="J635" s="176">
        <v>46040</v>
      </c>
      <c r="K635" s="172" t="s">
        <v>94</v>
      </c>
      <c r="L635" s="172" t="s">
        <v>95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272</v>
      </c>
      <c r="B636" s="176">
        <v>46046</v>
      </c>
      <c r="C636" s="172" t="s">
        <v>105</v>
      </c>
      <c r="D636" s="172" t="s">
        <v>106</v>
      </c>
      <c r="E636" s="172" t="s">
        <v>53</v>
      </c>
      <c r="F636" s="172" t="s">
        <v>91</v>
      </c>
      <c r="G636" s="172" t="s">
        <v>85</v>
      </c>
      <c r="H636" s="177">
        <v>1</v>
      </c>
      <c r="I636" s="178">
        <v>1885</v>
      </c>
      <c r="J636" s="176">
        <v>46040</v>
      </c>
      <c r="K636" s="172" t="s">
        <v>94</v>
      </c>
      <c r="L636" s="172" t="s">
        <v>95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272</v>
      </c>
      <c r="B637" s="176">
        <v>46046</v>
      </c>
      <c r="C637" s="172" t="s">
        <v>82</v>
      </c>
      <c r="D637" s="172" t="s">
        <v>96</v>
      </c>
      <c r="E637" s="172" t="s">
        <v>53</v>
      </c>
      <c r="F637" s="172" t="s">
        <v>91</v>
      </c>
      <c r="G637" s="172" t="s">
        <v>85</v>
      </c>
      <c r="H637" s="177">
        <v>1</v>
      </c>
      <c r="I637" s="178">
        <v>1885</v>
      </c>
      <c r="J637" s="176">
        <v>46040</v>
      </c>
      <c r="K637" s="172" t="s">
        <v>94</v>
      </c>
      <c r="L637" s="172" t="s">
        <v>95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272</v>
      </c>
      <c r="B638" s="176">
        <v>46046</v>
      </c>
      <c r="C638" s="172" t="s">
        <v>82</v>
      </c>
      <c r="D638" s="172" t="s">
        <v>83</v>
      </c>
      <c r="E638" s="172" t="s">
        <v>53</v>
      </c>
      <c r="F638" s="172" t="s">
        <v>91</v>
      </c>
      <c r="G638" s="172" t="s">
        <v>85</v>
      </c>
      <c r="H638" s="177">
        <v>1</v>
      </c>
      <c r="I638" s="178">
        <v>0</v>
      </c>
      <c r="J638" s="176">
        <v>46040</v>
      </c>
      <c r="K638" s="172" t="s">
        <v>86</v>
      </c>
      <c r="L638" s="172" t="s">
        <v>86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166</v>
      </c>
      <c r="B639" s="176">
        <v>46046</v>
      </c>
      <c r="C639" s="172" t="s">
        <v>93</v>
      </c>
      <c r="D639" s="172" t="s">
        <v>273</v>
      </c>
      <c r="E639" s="172" t="s">
        <v>53</v>
      </c>
      <c r="F639" s="172" t="s">
        <v>91</v>
      </c>
      <c r="G639" s="172" t="s">
        <v>85</v>
      </c>
      <c r="H639" s="177">
        <v>1</v>
      </c>
      <c r="I639" s="178">
        <v>0</v>
      </c>
      <c r="J639" s="176">
        <v>46036</v>
      </c>
      <c r="K639" s="172" t="s">
        <v>94</v>
      </c>
      <c r="L639" s="172" t="s">
        <v>95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166</v>
      </c>
      <c r="B640" s="176">
        <v>46046</v>
      </c>
      <c r="C640" s="172" t="s">
        <v>93</v>
      </c>
      <c r="D640" s="172" t="s">
        <v>98</v>
      </c>
      <c r="E640" s="172" t="s">
        <v>53</v>
      </c>
      <c r="F640" s="172" t="s">
        <v>91</v>
      </c>
      <c r="G640" s="172" t="s">
        <v>85</v>
      </c>
      <c r="H640" s="177">
        <v>1</v>
      </c>
      <c r="I640" s="178">
        <v>0</v>
      </c>
      <c r="J640" s="176">
        <v>46036</v>
      </c>
      <c r="K640" s="172" t="s">
        <v>94</v>
      </c>
      <c r="L640" s="172" t="s">
        <v>95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166</v>
      </c>
      <c r="B641" s="176">
        <v>46046</v>
      </c>
      <c r="C641" s="172" t="s">
        <v>82</v>
      </c>
      <c r="D641" s="172" t="s">
        <v>99</v>
      </c>
      <c r="E641" s="172" t="s">
        <v>53</v>
      </c>
      <c r="F641" s="172" t="s">
        <v>91</v>
      </c>
      <c r="G641" s="172" t="s">
        <v>85</v>
      </c>
      <c r="H641" s="177">
        <v>1</v>
      </c>
      <c r="I641" s="178">
        <v>0</v>
      </c>
      <c r="J641" s="176">
        <v>46036</v>
      </c>
      <c r="K641" s="172" t="s">
        <v>94</v>
      </c>
      <c r="L641" s="172" t="s">
        <v>95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274</v>
      </c>
      <c r="B642" s="176">
        <v>46046</v>
      </c>
      <c r="C642" s="172" t="s">
        <v>93</v>
      </c>
      <c r="D642" s="172" t="s">
        <v>24</v>
      </c>
      <c r="E642" s="172" t="s">
        <v>43</v>
      </c>
      <c r="F642" s="172" t="s">
        <v>90</v>
      </c>
      <c r="G642" s="172" t="s">
        <v>85</v>
      </c>
      <c r="H642" s="177">
        <v>1</v>
      </c>
      <c r="I642" s="178">
        <v>1750</v>
      </c>
      <c r="J642" s="176">
        <v>46044</v>
      </c>
      <c r="K642" s="172" t="s">
        <v>94</v>
      </c>
      <c r="L642" s="172" t="s">
        <v>95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274</v>
      </c>
      <c r="B643" s="176">
        <v>46046</v>
      </c>
      <c r="C643" s="172" t="s">
        <v>101</v>
      </c>
      <c r="D643" s="172" t="s">
        <v>102</v>
      </c>
      <c r="E643" s="172" t="s">
        <v>43</v>
      </c>
      <c r="F643" s="172" t="s">
        <v>90</v>
      </c>
      <c r="G643" s="172" t="s">
        <v>85</v>
      </c>
      <c r="H643" s="177">
        <v>1</v>
      </c>
      <c r="I643" s="178">
        <v>1750</v>
      </c>
      <c r="J643" s="176">
        <v>46044</v>
      </c>
      <c r="K643" s="172" t="s">
        <v>94</v>
      </c>
      <c r="L643" s="172" t="s">
        <v>95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274</v>
      </c>
      <c r="B644" s="176">
        <v>46046</v>
      </c>
      <c r="C644" s="172" t="s">
        <v>101</v>
      </c>
      <c r="D644" s="172" t="s">
        <v>103</v>
      </c>
      <c r="E644" s="172" t="s">
        <v>43</v>
      </c>
      <c r="F644" s="172" t="s">
        <v>90</v>
      </c>
      <c r="G644" s="172" t="s">
        <v>85</v>
      </c>
      <c r="H644" s="177">
        <v>1</v>
      </c>
      <c r="I644" s="178">
        <v>1750</v>
      </c>
      <c r="J644" s="176">
        <v>46044</v>
      </c>
      <c r="K644" s="172" t="s">
        <v>94</v>
      </c>
      <c r="L644" s="172" t="s">
        <v>95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274</v>
      </c>
      <c r="B645" s="176">
        <v>46046</v>
      </c>
      <c r="C645" s="172" t="s">
        <v>101</v>
      </c>
      <c r="D645" s="172" t="s">
        <v>104</v>
      </c>
      <c r="E645" s="172" t="s">
        <v>43</v>
      </c>
      <c r="F645" s="172" t="s">
        <v>90</v>
      </c>
      <c r="G645" s="172" t="s">
        <v>85</v>
      </c>
      <c r="H645" s="177">
        <v>1</v>
      </c>
      <c r="I645" s="178">
        <v>1750</v>
      </c>
      <c r="J645" s="176">
        <v>46044</v>
      </c>
      <c r="K645" s="172" t="s">
        <v>94</v>
      </c>
      <c r="L645" s="172" t="s">
        <v>95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274</v>
      </c>
      <c r="B646" s="176">
        <v>46046</v>
      </c>
      <c r="C646" s="172" t="s">
        <v>105</v>
      </c>
      <c r="D646" s="172" t="s">
        <v>106</v>
      </c>
      <c r="E646" s="172" t="s">
        <v>43</v>
      </c>
      <c r="F646" s="172" t="s">
        <v>90</v>
      </c>
      <c r="G646" s="172" t="s">
        <v>85</v>
      </c>
      <c r="H646" s="177">
        <v>1</v>
      </c>
      <c r="I646" s="178">
        <v>1750</v>
      </c>
      <c r="J646" s="176">
        <v>46044</v>
      </c>
      <c r="K646" s="172" t="s">
        <v>94</v>
      </c>
      <c r="L646" s="172" t="s">
        <v>95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274</v>
      </c>
      <c r="B647" s="176">
        <v>46046</v>
      </c>
      <c r="C647" s="172" t="s">
        <v>82</v>
      </c>
      <c r="D647" s="172" t="s">
        <v>96</v>
      </c>
      <c r="E647" s="172" t="s">
        <v>43</v>
      </c>
      <c r="F647" s="172" t="s">
        <v>90</v>
      </c>
      <c r="G647" s="172" t="s">
        <v>85</v>
      </c>
      <c r="H647" s="177">
        <v>1</v>
      </c>
      <c r="I647" s="178">
        <v>1750</v>
      </c>
      <c r="J647" s="176">
        <v>46044</v>
      </c>
      <c r="K647" s="172" t="s">
        <v>94</v>
      </c>
      <c r="L647" s="172" t="s">
        <v>95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275</v>
      </c>
      <c r="B648" s="176">
        <v>46046</v>
      </c>
      <c r="C648" s="172" t="s">
        <v>93</v>
      </c>
      <c r="D648" s="172" t="s">
        <v>24</v>
      </c>
      <c r="E648" s="172" t="s">
        <v>42</v>
      </c>
      <c r="F648" s="172" t="s">
        <v>84</v>
      </c>
      <c r="G648" s="172" t="s">
        <v>85</v>
      </c>
      <c r="H648" s="177">
        <v>1</v>
      </c>
      <c r="I648" s="178">
        <v>1750</v>
      </c>
      <c r="J648" s="176">
        <v>46042</v>
      </c>
      <c r="K648" s="172" t="s">
        <v>94</v>
      </c>
      <c r="L648" s="172" t="s">
        <v>95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275</v>
      </c>
      <c r="B649" s="176">
        <v>46046</v>
      </c>
      <c r="C649" s="172" t="s">
        <v>101</v>
      </c>
      <c r="D649" s="172" t="s">
        <v>102</v>
      </c>
      <c r="E649" s="172" t="s">
        <v>42</v>
      </c>
      <c r="F649" s="172" t="s">
        <v>84</v>
      </c>
      <c r="G649" s="172" t="s">
        <v>85</v>
      </c>
      <c r="H649" s="177">
        <v>1</v>
      </c>
      <c r="I649" s="178">
        <v>1750</v>
      </c>
      <c r="J649" s="176">
        <v>46042</v>
      </c>
      <c r="K649" s="172" t="s">
        <v>94</v>
      </c>
      <c r="L649" s="172" t="s">
        <v>95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275</v>
      </c>
      <c r="B650" s="176">
        <v>46046</v>
      </c>
      <c r="C650" s="172" t="s">
        <v>101</v>
      </c>
      <c r="D650" s="172" t="s">
        <v>103</v>
      </c>
      <c r="E650" s="172" t="s">
        <v>42</v>
      </c>
      <c r="F650" s="172" t="s">
        <v>84</v>
      </c>
      <c r="G650" s="172" t="s">
        <v>85</v>
      </c>
      <c r="H650" s="177">
        <v>1</v>
      </c>
      <c r="I650" s="178">
        <v>1750</v>
      </c>
      <c r="J650" s="176">
        <v>46042</v>
      </c>
      <c r="K650" s="172" t="s">
        <v>94</v>
      </c>
      <c r="L650" s="172" t="s">
        <v>95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275</v>
      </c>
      <c r="B651" s="176">
        <v>46046</v>
      </c>
      <c r="C651" s="172" t="s">
        <v>101</v>
      </c>
      <c r="D651" s="172" t="s">
        <v>104</v>
      </c>
      <c r="E651" s="172" t="s">
        <v>42</v>
      </c>
      <c r="F651" s="172" t="s">
        <v>84</v>
      </c>
      <c r="G651" s="172" t="s">
        <v>85</v>
      </c>
      <c r="H651" s="177">
        <v>1</v>
      </c>
      <c r="I651" s="178">
        <v>1750</v>
      </c>
      <c r="J651" s="176">
        <v>46042</v>
      </c>
      <c r="K651" s="172" t="s">
        <v>94</v>
      </c>
      <c r="L651" s="172" t="s">
        <v>95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275</v>
      </c>
      <c r="B652" s="176">
        <v>46046</v>
      </c>
      <c r="C652" s="172" t="s">
        <v>105</v>
      </c>
      <c r="D652" s="172" t="s">
        <v>106</v>
      </c>
      <c r="E652" s="172" t="s">
        <v>42</v>
      </c>
      <c r="F652" s="172" t="s">
        <v>84</v>
      </c>
      <c r="G652" s="172" t="s">
        <v>85</v>
      </c>
      <c r="H652" s="177">
        <v>1</v>
      </c>
      <c r="I652" s="178">
        <v>1750</v>
      </c>
      <c r="J652" s="176">
        <v>46042</v>
      </c>
      <c r="K652" s="172" t="s">
        <v>94</v>
      </c>
      <c r="L652" s="172" t="s">
        <v>95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275</v>
      </c>
      <c r="B653" s="176">
        <v>46046</v>
      </c>
      <c r="C653" s="172" t="s">
        <v>82</v>
      </c>
      <c r="D653" s="172" t="s">
        <v>96</v>
      </c>
      <c r="E653" s="172" t="s">
        <v>42</v>
      </c>
      <c r="F653" s="172" t="s">
        <v>84</v>
      </c>
      <c r="G653" s="172" t="s">
        <v>85</v>
      </c>
      <c r="H653" s="177">
        <v>1</v>
      </c>
      <c r="I653" s="178">
        <v>1750</v>
      </c>
      <c r="J653" s="176">
        <v>46042</v>
      </c>
      <c r="K653" s="172" t="s">
        <v>94</v>
      </c>
      <c r="L653" s="172" t="s">
        <v>95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276</v>
      </c>
      <c r="B654" s="176">
        <v>46046</v>
      </c>
      <c r="C654" s="172" t="s">
        <v>82</v>
      </c>
      <c r="D654" s="172" t="s">
        <v>277</v>
      </c>
      <c r="E654" s="172" t="s">
        <v>42</v>
      </c>
      <c r="F654" s="172" t="s">
        <v>84</v>
      </c>
      <c r="G654" s="172" t="s">
        <v>85</v>
      </c>
      <c r="H654" s="177">
        <v>1</v>
      </c>
      <c r="I654" s="178">
        <v>0</v>
      </c>
      <c r="J654" s="176">
        <v>46046</v>
      </c>
      <c r="K654" s="172" t="s">
        <v>86</v>
      </c>
      <c r="L654" s="172" t="s">
        <v>86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278</v>
      </c>
      <c r="B655" s="176">
        <v>46046</v>
      </c>
      <c r="C655" s="172" t="s">
        <v>82</v>
      </c>
      <c r="D655" s="172" t="s">
        <v>277</v>
      </c>
      <c r="E655" s="172" t="s">
        <v>54</v>
      </c>
      <c r="F655" s="172" t="s">
        <v>121</v>
      </c>
      <c r="G655" s="172" t="s">
        <v>85</v>
      </c>
      <c r="H655" s="177">
        <v>1</v>
      </c>
      <c r="I655" s="178">
        <v>0</v>
      </c>
      <c r="J655" s="176">
        <v>46046</v>
      </c>
      <c r="K655" s="172" t="s">
        <v>86</v>
      </c>
      <c r="L655" s="172" t="s">
        <v>86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279</v>
      </c>
      <c r="B656" s="176">
        <v>46046</v>
      </c>
      <c r="C656" s="172" t="s">
        <v>93</v>
      </c>
      <c r="D656" s="172" t="s">
        <v>24</v>
      </c>
      <c r="E656" s="172" t="s">
        <v>39</v>
      </c>
      <c r="F656" s="172" t="s">
        <v>88</v>
      </c>
      <c r="G656" s="172" t="s">
        <v>85</v>
      </c>
      <c r="H656" s="177">
        <v>1</v>
      </c>
      <c r="I656" s="178">
        <v>1750</v>
      </c>
      <c r="J656" s="176">
        <v>46042</v>
      </c>
      <c r="K656" s="172" t="s">
        <v>94</v>
      </c>
      <c r="L656" s="172" t="s">
        <v>95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279</v>
      </c>
      <c r="B657" s="176">
        <v>46046</v>
      </c>
      <c r="C657" s="172" t="s">
        <v>101</v>
      </c>
      <c r="D657" s="172" t="s">
        <v>102</v>
      </c>
      <c r="E657" s="172" t="s">
        <v>39</v>
      </c>
      <c r="F657" s="172" t="s">
        <v>88</v>
      </c>
      <c r="G657" s="172" t="s">
        <v>85</v>
      </c>
      <c r="H657" s="177">
        <v>1</v>
      </c>
      <c r="I657" s="178">
        <v>1750</v>
      </c>
      <c r="J657" s="176">
        <v>46042</v>
      </c>
      <c r="K657" s="172" t="s">
        <v>94</v>
      </c>
      <c r="L657" s="172" t="s">
        <v>95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279</v>
      </c>
      <c r="B658" s="176">
        <v>46046</v>
      </c>
      <c r="C658" s="172" t="s">
        <v>101</v>
      </c>
      <c r="D658" s="172" t="s">
        <v>103</v>
      </c>
      <c r="E658" s="172" t="s">
        <v>39</v>
      </c>
      <c r="F658" s="172" t="s">
        <v>88</v>
      </c>
      <c r="G658" s="172" t="s">
        <v>85</v>
      </c>
      <c r="H658" s="177">
        <v>1</v>
      </c>
      <c r="I658" s="178">
        <v>1750</v>
      </c>
      <c r="J658" s="176">
        <v>46042</v>
      </c>
      <c r="K658" s="172" t="s">
        <v>94</v>
      </c>
      <c r="L658" s="172" t="s">
        <v>95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279</v>
      </c>
      <c r="B659" s="176">
        <v>46046</v>
      </c>
      <c r="C659" s="172" t="s">
        <v>101</v>
      </c>
      <c r="D659" s="172" t="s">
        <v>104</v>
      </c>
      <c r="E659" s="172" t="s">
        <v>39</v>
      </c>
      <c r="F659" s="172" t="s">
        <v>88</v>
      </c>
      <c r="G659" s="172" t="s">
        <v>85</v>
      </c>
      <c r="H659" s="177">
        <v>1</v>
      </c>
      <c r="I659" s="178">
        <v>1750</v>
      </c>
      <c r="J659" s="176">
        <v>46042</v>
      </c>
      <c r="K659" s="172" t="s">
        <v>94</v>
      </c>
      <c r="L659" s="172" t="s">
        <v>95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279</v>
      </c>
      <c r="B660" s="176">
        <v>46046</v>
      </c>
      <c r="C660" s="172" t="s">
        <v>105</v>
      </c>
      <c r="D660" s="172" t="s">
        <v>106</v>
      </c>
      <c r="E660" s="172" t="s">
        <v>39</v>
      </c>
      <c r="F660" s="172" t="s">
        <v>88</v>
      </c>
      <c r="G660" s="172" t="s">
        <v>85</v>
      </c>
      <c r="H660" s="177">
        <v>1</v>
      </c>
      <c r="I660" s="178">
        <v>1750</v>
      </c>
      <c r="J660" s="176">
        <v>46042</v>
      </c>
      <c r="K660" s="172" t="s">
        <v>94</v>
      </c>
      <c r="L660" s="172" t="s">
        <v>95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279</v>
      </c>
      <c r="B661" s="176">
        <v>46046</v>
      </c>
      <c r="C661" s="172" t="s">
        <v>82</v>
      </c>
      <c r="D661" s="172" t="s">
        <v>96</v>
      </c>
      <c r="E661" s="172" t="s">
        <v>39</v>
      </c>
      <c r="F661" s="172" t="s">
        <v>88</v>
      </c>
      <c r="G661" s="172" t="s">
        <v>85</v>
      </c>
      <c r="H661" s="177">
        <v>1</v>
      </c>
      <c r="I661" s="178">
        <v>1750</v>
      </c>
      <c r="J661" s="176">
        <v>46042</v>
      </c>
      <c r="K661" s="172" t="s">
        <v>94</v>
      </c>
      <c r="L661" s="172" t="s">
        <v>95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280</v>
      </c>
      <c r="B662" s="176">
        <v>46046</v>
      </c>
      <c r="C662" s="172" t="s">
        <v>93</v>
      </c>
      <c r="D662" s="172" t="s">
        <v>24</v>
      </c>
      <c r="E662" s="172" t="s">
        <v>42</v>
      </c>
      <c r="F662" s="172" t="s">
        <v>84</v>
      </c>
      <c r="G662" s="172" t="s">
        <v>85</v>
      </c>
      <c r="H662" s="177">
        <v>1</v>
      </c>
      <c r="I662" s="178">
        <v>1750</v>
      </c>
      <c r="J662" s="176">
        <v>46042</v>
      </c>
      <c r="K662" s="172" t="s">
        <v>94</v>
      </c>
      <c r="L662" s="172" t="s">
        <v>95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280</v>
      </c>
      <c r="B663" s="176">
        <v>46046</v>
      </c>
      <c r="C663" s="172" t="s">
        <v>101</v>
      </c>
      <c r="D663" s="172" t="s">
        <v>102</v>
      </c>
      <c r="E663" s="172" t="s">
        <v>42</v>
      </c>
      <c r="F663" s="172" t="s">
        <v>84</v>
      </c>
      <c r="G663" s="172" t="s">
        <v>85</v>
      </c>
      <c r="H663" s="177">
        <v>1</v>
      </c>
      <c r="I663" s="178">
        <v>1750</v>
      </c>
      <c r="J663" s="176">
        <v>46042</v>
      </c>
      <c r="K663" s="172" t="s">
        <v>94</v>
      </c>
      <c r="L663" s="172" t="s">
        <v>95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280</v>
      </c>
      <c r="B664" s="176">
        <v>46046</v>
      </c>
      <c r="C664" s="172" t="s">
        <v>101</v>
      </c>
      <c r="D664" s="172" t="s">
        <v>103</v>
      </c>
      <c r="E664" s="172" t="s">
        <v>42</v>
      </c>
      <c r="F664" s="172" t="s">
        <v>84</v>
      </c>
      <c r="G664" s="172" t="s">
        <v>85</v>
      </c>
      <c r="H664" s="177">
        <v>1</v>
      </c>
      <c r="I664" s="178">
        <v>1750</v>
      </c>
      <c r="J664" s="176">
        <v>46042</v>
      </c>
      <c r="K664" s="172" t="s">
        <v>94</v>
      </c>
      <c r="L664" s="172" t="s">
        <v>95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280</v>
      </c>
      <c r="B665" s="176">
        <v>46046</v>
      </c>
      <c r="C665" s="172" t="s">
        <v>101</v>
      </c>
      <c r="D665" s="172" t="s">
        <v>104</v>
      </c>
      <c r="E665" s="172" t="s">
        <v>42</v>
      </c>
      <c r="F665" s="172" t="s">
        <v>84</v>
      </c>
      <c r="G665" s="172" t="s">
        <v>85</v>
      </c>
      <c r="H665" s="177">
        <v>1</v>
      </c>
      <c r="I665" s="178">
        <v>1750</v>
      </c>
      <c r="J665" s="176">
        <v>46042</v>
      </c>
      <c r="K665" s="172" t="s">
        <v>94</v>
      </c>
      <c r="L665" s="172" t="s">
        <v>95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280</v>
      </c>
      <c r="B666" s="176">
        <v>46046</v>
      </c>
      <c r="C666" s="172" t="s">
        <v>105</v>
      </c>
      <c r="D666" s="172" t="s">
        <v>106</v>
      </c>
      <c r="E666" s="172" t="s">
        <v>42</v>
      </c>
      <c r="F666" s="172" t="s">
        <v>84</v>
      </c>
      <c r="G666" s="172" t="s">
        <v>85</v>
      </c>
      <c r="H666" s="177">
        <v>1</v>
      </c>
      <c r="I666" s="178">
        <v>1750</v>
      </c>
      <c r="J666" s="176">
        <v>46042</v>
      </c>
      <c r="K666" s="172" t="s">
        <v>94</v>
      </c>
      <c r="L666" s="172" t="s">
        <v>95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280</v>
      </c>
      <c r="B667" s="176">
        <v>46046</v>
      </c>
      <c r="C667" s="172" t="s">
        <v>82</v>
      </c>
      <c r="D667" s="172" t="s">
        <v>96</v>
      </c>
      <c r="E667" s="172" t="s">
        <v>42</v>
      </c>
      <c r="F667" s="172" t="s">
        <v>84</v>
      </c>
      <c r="G667" s="172" t="s">
        <v>85</v>
      </c>
      <c r="H667" s="177">
        <v>1</v>
      </c>
      <c r="I667" s="178">
        <v>1750</v>
      </c>
      <c r="J667" s="176">
        <v>46042</v>
      </c>
      <c r="K667" s="172" t="s">
        <v>94</v>
      </c>
      <c r="L667" s="172" t="s">
        <v>95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281</v>
      </c>
      <c r="B668" s="176">
        <v>46046</v>
      </c>
      <c r="C668" s="172" t="s">
        <v>82</v>
      </c>
      <c r="D668" s="172" t="s">
        <v>83</v>
      </c>
      <c r="E668" s="172" t="s">
        <v>40</v>
      </c>
      <c r="F668" s="172" t="s">
        <v>118</v>
      </c>
      <c r="G668" s="172" t="s">
        <v>85</v>
      </c>
      <c r="H668" s="177">
        <v>1</v>
      </c>
      <c r="I668" s="178">
        <v>0</v>
      </c>
      <c r="J668" s="176">
        <v>46046</v>
      </c>
      <c r="K668" s="172" t="s">
        <v>86</v>
      </c>
      <c r="L668" s="172" t="s">
        <v>86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282</v>
      </c>
      <c r="B669" s="176">
        <v>46046</v>
      </c>
      <c r="C669" s="172" t="s">
        <v>93</v>
      </c>
      <c r="D669" s="172" t="s">
        <v>24</v>
      </c>
      <c r="E669" s="172" t="s">
        <v>54</v>
      </c>
      <c r="F669" s="172" t="s">
        <v>121</v>
      </c>
      <c r="G669" s="172" t="s">
        <v>85</v>
      </c>
      <c r="H669" s="177">
        <v>1</v>
      </c>
      <c r="I669" s="178">
        <v>1845</v>
      </c>
      <c r="J669" s="176">
        <v>46042</v>
      </c>
      <c r="K669" s="172" t="s">
        <v>94</v>
      </c>
      <c r="L669" s="172" t="s">
        <v>95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282</v>
      </c>
      <c r="B670" s="176">
        <v>46046</v>
      </c>
      <c r="C670" s="172" t="s">
        <v>101</v>
      </c>
      <c r="D670" s="172" t="s">
        <v>102</v>
      </c>
      <c r="E670" s="172" t="s">
        <v>54</v>
      </c>
      <c r="F670" s="172" t="s">
        <v>121</v>
      </c>
      <c r="G670" s="172" t="s">
        <v>85</v>
      </c>
      <c r="H670" s="177">
        <v>1</v>
      </c>
      <c r="I670" s="178">
        <v>1845</v>
      </c>
      <c r="J670" s="176">
        <v>46042</v>
      </c>
      <c r="K670" s="172" t="s">
        <v>94</v>
      </c>
      <c r="L670" s="172" t="s">
        <v>95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282</v>
      </c>
      <c r="B671" s="176">
        <v>46046</v>
      </c>
      <c r="C671" s="172" t="s">
        <v>101</v>
      </c>
      <c r="D671" s="172" t="s">
        <v>103</v>
      </c>
      <c r="E671" s="172" t="s">
        <v>54</v>
      </c>
      <c r="F671" s="172" t="s">
        <v>121</v>
      </c>
      <c r="G671" s="172" t="s">
        <v>85</v>
      </c>
      <c r="H671" s="177">
        <v>1</v>
      </c>
      <c r="I671" s="178">
        <v>1845</v>
      </c>
      <c r="J671" s="176">
        <v>46042</v>
      </c>
      <c r="K671" s="172" t="s">
        <v>94</v>
      </c>
      <c r="L671" s="172" t="s">
        <v>95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282</v>
      </c>
      <c r="B672" s="176">
        <v>46046</v>
      </c>
      <c r="C672" s="172" t="s">
        <v>101</v>
      </c>
      <c r="D672" s="172" t="s">
        <v>104</v>
      </c>
      <c r="E672" s="172" t="s">
        <v>54</v>
      </c>
      <c r="F672" s="172" t="s">
        <v>121</v>
      </c>
      <c r="G672" s="172" t="s">
        <v>85</v>
      </c>
      <c r="H672" s="177">
        <v>1</v>
      </c>
      <c r="I672" s="178">
        <v>1845</v>
      </c>
      <c r="J672" s="176">
        <v>46042</v>
      </c>
      <c r="K672" s="172" t="s">
        <v>94</v>
      </c>
      <c r="L672" s="172" t="s">
        <v>95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282</v>
      </c>
      <c r="B673" s="176">
        <v>46046</v>
      </c>
      <c r="C673" s="172" t="s">
        <v>105</v>
      </c>
      <c r="D673" s="172" t="s">
        <v>106</v>
      </c>
      <c r="E673" s="172" t="s">
        <v>54</v>
      </c>
      <c r="F673" s="172" t="s">
        <v>121</v>
      </c>
      <c r="G673" s="172" t="s">
        <v>85</v>
      </c>
      <c r="H673" s="177">
        <v>1</v>
      </c>
      <c r="I673" s="178">
        <v>1845</v>
      </c>
      <c r="J673" s="176">
        <v>46042</v>
      </c>
      <c r="K673" s="172" t="s">
        <v>94</v>
      </c>
      <c r="L673" s="172" t="s">
        <v>95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282</v>
      </c>
      <c r="B674" s="176">
        <v>46046</v>
      </c>
      <c r="C674" s="172" t="s">
        <v>82</v>
      </c>
      <c r="D674" s="172" t="s">
        <v>96</v>
      </c>
      <c r="E674" s="172" t="s">
        <v>54</v>
      </c>
      <c r="F674" s="172" t="s">
        <v>121</v>
      </c>
      <c r="G674" s="172" t="s">
        <v>85</v>
      </c>
      <c r="H674" s="177">
        <v>1</v>
      </c>
      <c r="I674" s="178">
        <v>1845</v>
      </c>
      <c r="J674" s="176">
        <v>46042</v>
      </c>
      <c r="K674" s="172" t="s">
        <v>94</v>
      </c>
      <c r="L674" s="172" t="s">
        <v>95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283</v>
      </c>
      <c r="B675" s="176">
        <v>46046</v>
      </c>
      <c r="C675" s="172" t="s">
        <v>93</v>
      </c>
      <c r="D675" s="172" t="s">
        <v>24</v>
      </c>
      <c r="E675" s="172" t="s">
        <v>54</v>
      </c>
      <c r="F675" s="172" t="s">
        <v>121</v>
      </c>
      <c r="G675" s="172" t="s">
        <v>85</v>
      </c>
      <c r="H675" s="177">
        <v>1</v>
      </c>
      <c r="I675" s="178">
        <v>1845</v>
      </c>
      <c r="J675" s="176">
        <v>46044</v>
      </c>
      <c r="K675" s="172" t="s">
        <v>94</v>
      </c>
      <c r="L675" s="172" t="s">
        <v>95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283</v>
      </c>
      <c r="B676" s="176">
        <v>46046</v>
      </c>
      <c r="C676" s="172" t="s">
        <v>101</v>
      </c>
      <c r="D676" s="172" t="s">
        <v>102</v>
      </c>
      <c r="E676" s="172" t="s">
        <v>54</v>
      </c>
      <c r="F676" s="172" t="s">
        <v>121</v>
      </c>
      <c r="G676" s="172" t="s">
        <v>85</v>
      </c>
      <c r="H676" s="177">
        <v>1</v>
      </c>
      <c r="I676" s="178">
        <v>1845</v>
      </c>
      <c r="J676" s="176">
        <v>46044</v>
      </c>
      <c r="K676" s="172" t="s">
        <v>94</v>
      </c>
      <c r="L676" s="172" t="s">
        <v>95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283</v>
      </c>
      <c r="B677" s="176">
        <v>46046</v>
      </c>
      <c r="C677" s="172" t="s">
        <v>101</v>
      </c>
      <c r="D677" s="172" t="s">
        <v>103</v>
      </c>
      <c r="E677" s="172" t="s">
        <v>54</v>
      </c>
      <c r="F677" s="172" t="s">
        <v>121</v>
      </c>
      <c r="G677" s="172" t="s">
        <v>85</v>
      </c>
      <c r="H677" s="177">
        <v>1</v>
      </c>
      <c r="I677" s="178">
        <v>1845</v>
      </c>
      <c r="J677" s="176">
        <v>46044</v>
      </c>
      <c r="K677" s="172" t="s">
        <v>94</v>
      </c>
      <c r="L677" s="172" t="s">
        <v>95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283</v>
      </c>
      <c r="B678" s="176">
        <v>46046</v>
      </c>
      <c r="C678" s="172" t="s">
        <v>101</v>
      </c>
      <c r="D678" s="172" t="s">
        <v>104</v>
      </c>
      <c r="E678" s="172" t="s">
        <v>54</v>
      </c>
      <c r="F678" s="172" t="s">
        <v>121</v>
      </c>
      <c r="G678" s="172" t="s">
        <v>85</v>
      </c>
      <c r="H678" s="177">
        <v>1</v>
      </c>
      <c r="I678" s="178">
        <v>1845</v>
      </c>
      <c r="J678" s="176">
        <v>46044</v>
      </c>
      <c r="K678" s="172" t="s">
        <v>94</v>
      </c>
      <c r="L678" s="172" t="s">
        <v>95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283</v>
      </c>
      <c r="B679" s="176">
        <v>46046</v>
      </c>
      <c r="C679" s="172" t="s">
        <v>105</v>
      </c>
      <c r="D679" s="172" t="s">
        <v>106</v>
      </c>
      <c r="E679" s="172" t="s">
        <v>54</v>
      </c>
      <c r="F679" s="172" t="s">
        <v>121</v>
      </c>
      <c r="G679" s="172" t="s">
        <v>85</v>
      </c>
      <c r="H679" s="177">
        <v>1</v>
      </c>
      <c r="I679" s="178">
        <v>1845</v>
      </c>
      <c r="J679" s="176">
        <v>46044</v>
      </c>
      <c r="K679" s="172" t="s">
        <v>94</v>
      </c>
      <c r="L679" s="172" t="s">
        <v>95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283</v>
      </c>
      <c r="B680" s="176">
        <v>46046</v>
      </c>
      <c r="C680" s="172" t="s">
        <v>82</v>
      </c>
      <c r="D680" s="172" t="s">
        <v>96</v>
      </c>
      <c r="E680" s="172" t="s">
        <v>54</v>
      </c>
      <c r="F680" s="172" t="s">
        <v>121</v>
      </c>
      <c r="G680" s="172" t="s">
        <v>85</v>
      </c>
      <c r="H680" s="177">
        <v>1</v>
      </c>
      <c r="I680" s="178">
        <v>1845</v>
      </c>
      <c r="J680" s="176">
        <v>46044</v>
      </c>
      <c r="K680" s="172" t="s">
        <v>94</v>
      </c>
      <c r="L680" s="172" t="s">
        <v>95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284</v>
      </c>
      <c r="B681" s="176">
        <v>46046</v>
      </c>
      <c r="C681" s="172" t="s">
        <v>93</v>
      </c>
      <c r="D681" s="172" t="s">
        <v>24</v>
      </c>
      <c r="E681" s="172" t="s">
        <v>53</v>
      </c>
      <c r="F681" s="172" t="s">
        <v>91</v>
      </c>
      <c r="G681" s="172" t="s">
        <v>85</v>
      </c>
      <c r="H681" s="177">
        <v>1</v>
      </c>
      <c r="I681" s="178">
        <v>1885</v>
      </c>
      <c r="J681" s="176">
        <v>46043</v>
      </c>
      <c r="K681" s="172" t="s">
        <v>94</v>
      </c>
      <c r="L681" s="172" t="s">
        <v>95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284</v>
      </c>
      <c r="B682" s="176">
        <v>46046</v>
      </c>
      <c r="C682" s="172" t="s">
        <v>101</v>
      </c>
      <c r="D682" s="172" t="s">
        <v>102</v>
      </c>
      <c r="E682" s="172" t="s">
        <v>53</v>
      </c>
      <c r="F682" s="172" t="s">
        <v>91</v>
      </c>
      <c r="G682" s="172" t="s">
        <v>85</v>
      </c>
      <c r="H682" s="177">
        <v>1</v>
      </c>
      <c r="I682" s="178">
        <v>1885</v>
      </c>
      <c r="J682" s="176">
        <v>46043</v>
      </c>
      <c r="K682" s="172" t="s">
        <v>94</v>
      </c>
      <c r="L682" s="172" t="s">
        <v>95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284</v>
      </c>
      <c r="B683" s="176">
        <v>46046</v>
      </c>
      <c r="C683" s="172" t="s">
        <v>101</v>
      </c>
      <c r="D683" s="172" t="s">
        <v>103</v>
      </c>
      <c r="E683" s="172" t="s">
        <v>53</v>
      </c>
      <c r="F683" s="172" t="s">
        <v>91</v>
      </c>
      <c r="G683" s="172" t="s">
        <v>85</v>
      </c>
      <c r="H683" s="177">
        <v>1</v>
      </c>
      <c r="I683" s="178">
        <v>1885</v>
      </c>
      <c r="J683" s="176">
        <v>46043</v>
      </c>
      <c r="K683" s="172" t="s">
        <v>94</v>
      </c>
      <c r="L683" s="172" t="s">
        <v>95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284</v>
      </c>
      <c r="B684" s="176">
        <v>46046</v>
      </c>
      <c r="C684" s="172" t="s">
        <v>101</v>
      </c>
      <c r="D684" s="172" t="s">
        <v>104</v>
      </c>
      <c r="E684" s="172" t="s">
        <v>53</v>
      </c>
      <c r="F684" s="172" t="s">
        <v>91</v>
      </c>
      <c r="G684" s="172" t="s">
        <v>85</v>
      </c>
      <c r="H684" s="177">
        <v>1</v>
      </c>
      <c r="I684" s="178">
        <v>1885</v>
      </c>
      <c r="J684" s="176">
        <v>46043</v>
      </c>
      <c r="K684" s="172" t="s">
        <v>94</v>
      </c>
      <c r="L684" s="172" t="s">
        <v>95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284</v>
      </c>
      <c r="B685" s="176">
        <v>46046</v>
      </c>
      <c r="C685" s="172" t="s">
        <v>105</v>
      </c>
      <c r="D685" s="172" t="s">
        <v>106</v>
      </c>
      <c r="E685" s="172" t="s">
        <v>53</v>
      </c>
      <c r="F685" s="172" t="s">
        <v>91</v>
      </c>
      <c r="G685" s="172" t="s">
        <v>85</v>
      </c>
      <c r="H685" s="177">
        <v>1</v>
      </c>
      <c r="I685" s="178">
        <v>1885</v>
      </c>
      <c r="J685" s="176">
        <v>46043</v>
      </c>
      <c r="K685" s="172" t="s">
        <v>94</v>
      </c>
      <c r="L685" s="172" t="s">
        <v>95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284</v>
      </c>
      <c r="B686" s="176">
        <v>46046</v>
      </c>
      <c r="C686" s="172" t="s">
        <v>82</v>
      </c>
      <c r="D686" s="172" t="s">
        <v>96</v>
      </c>
      <c r="E686" s="172" t="s">
        <v>53</v>
      </c>
      <c r="F686" s="172" t="s">
        <v>91</v>
      </c>
      <c r="G686" s="172" t="s">
        <v>85</v>
      </c>
      <c r="H686" s="177">
        <v>1</v>
      </c>
      <c r="I686" s="178">
        <v>1885</v>
      </c>
      <c r="J686" s="176">
        <v>46043</v>
      </c>
      <c r="K686" s="172" t="s">
        <v>94</v>
      </c>
      <c r="L686" s="172" t="s">
        <v>95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285</v>
      </c>
      <c r="B687" s="176">
        <v>46046</v>
      </c>
      <c r="C687" s="172" t="s">
        <v>93</v>
      </c>
      <c r="D687" s="172" t="s">
        <v>24</v>
      </c>
      <c r="E687" s="172" t="s">
        <v>42</v>
      </c>
      <c r="F687" s="172" t="s">
        <v>84</v>
      </c>
      <c r="G687" s="172" t="s">
        <v>85</v>
      </c>
      <c r="H687" s="177">
        <v>1</v>
      </c>
      <c r="I687" s="178">
        <v>1750</v>
      </c>
      <c r="J687" s="176">
        <v>46043</v>
      </c>
      <c r="K687" s="172" t="s">
        <v>94</v>
      </c>
      <c r="L687" s="172" t="s">
        <v>95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285</v>
      </c>
      <c r="B688" s="176">
        <v>46046</v>
      </c>
      <c r="C688" s="172" t="s">
        <v>101</v>
      </c>
      <c r="D688" s="172" t="s">
        <v>102</v>
      </c>
      <c r="E688" s="172" t="s">
        <v>42</v>
      </c>
      <c r="F688" s="172" t="s">
        <v>84</v>
      </c>
      <c r="G688" s="172" t="s">
        <v>85</v>
      </c>
      <c r="H688" s="177">
        <v>1</v>
      </c>
      <c r="I688" s="178">
        <v>1750</v>
      </c>
      <c r="J688" s="176">
        <v>46043</v>
      </c>
      <c r="K688" s="172" t="s">
        <v>94</v>
      </c>
      <c r="L688" s="172" t="s">
        <v>95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285</v>
      </c>
      <c r="B689" s="176">
        <v>46046</v>
      </c>
      <c r="C689" s="172" t="s">
        <v>101</v>
      </c>
      <c r="D689" s="172" t="s">
        <v>103</v>
      </c>
      <c r="E689" s="172" t="s">
        <v>42</v>
      </c>
      <c r="F689" s="172" t="s">
        <v>84</v>
      </c>
      <c r="G689" s="172" t="s">
        <v>85</v>
      </c>
      <c r="H689" s="177">
        <v>1</v>
      </c>
      <c r="I689" s="178">
        <v>1750</v>
      </c>
      <c r="J689" s="176">
        <v>46043</v>
      </c>
      <c r="K689" s="172" t="s">
        <v>94</v>
      </c>
      <c r="L689" s="172" t="s">
        <v>95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285</v>
      </c>
      <c r="B690" s="176">
        <v>46046</v>
      </c>
      <c r="C690" s="172" t="s">
        <v>101</v>
      </c>
      <c r="D690" s="172" t="s">
        <v>104</v>
      </c>
      <c r="E690" s="172" t="s">
        <v>42</v>
      </c>
      <c r="F690" s="172" t="s">
        <v>84</v>
      </c>
      <c r="G690" s="172" t="s">
        <v>85</v>
      </c>
      <c r="H690" s="177">
        <v>1</v>
      </c>
      <c r="I690" s="178">
        <v>1750</v>
      </c>
      <c r="J690" s="176">
        <v>46043</v>
      </c>
      <c r="K690" s="172" t="s">
        <v>94</v>
      </c>
      <c r="L690" s="172" t="s">
        <v>95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285</v>
      </c>
      <c r="B691" s="176">
        <v>46046</v>
      </c>
      <c r="C691" s="172" t="s">
        <v>105</v>
      </c>
      <c r="D691" s="172" t="s">
        <v>106</v>
      </c>
      <c r="E691" s="172" t="s">
        <v>42</v>
      </c>
      <c r="F691" s="172" t="s">
        <v>84</v>
      </c>
      <c r="G691" s="172" t="s">
        <v>85</v>
      </c>
      <c r="H691" s="177">
        <v>1</v>
      </c>
      <c r="I691" s="178">
        <v>1750</v>
      </c>
      <c r="J691" s="176">
        <v>46043</v>
      </c>
      <c r="K691" s="172" t="s">
        <v>94</v>
      </c>
      <c r="L691" s="172" t="s">
        <v>95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285</v>
      </c>
      <c r="B692" s="176">
        <v>46046</v>
      </c>
      <c r="C692" s="172" t="s">
        <v>82</v>
      </c>
      <c r="D692" s="172" t="s">
        <v>96</v>
      </c>
      <c r="E692" s="172" t="s">
        <v>42</v>
      </c>
      <c r="F692" s="172" t="s">
        <v>84</v>
      </c>
      <c r="G692" s="172" t="s">
        <v>85</v>
      </c>
      <c r="H692" s="177">
        <v>1</v>
      </c>
      <c r="I692" s="178">
        <v>1750</v>
      </c>
      <c r="J692" s="176">
        <v>46043</v>
      </c>
      <c r="K692" s="172" t="s">
        <v>94</v>
      </c>
      <c r="L692" s="172" t="s">
        <v>95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286</v>
      </c>
      <c r="B693" s="176">
        <v>46046</v>
      </c>
      <c r="C693" s="172" t="s">
        <v>93</v>
      </c>
      <c r="D693" s="172" t="s">
        <v>24</v>
      </c>
      <c r="E693" s="172" t="s">
        <v>53</v>
      </c>
      <c r="F693" s="172" t="s">
        <v>91</v>
      </c>
      <c r="G693" s="172" t="s">
        <v>85</v>
      </c>
      <c r="H693" s="177">
        <v>1</v>
      </c>
      <c r="I693" s="178">
        <v>1242</v>
      </c>
      <c r="J693" s="176">
        <v>46045</v>
      </c>
      <c r="K693" s="172" t="s">
        <v>94</v>
      </c>
      <c r="L693" s="172" t="s">
        <v>95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286</v>
      </c>
      <c r="B694" s="176">
        <v>46046</v>
      </c>
      <c r="C694" s="172" t="s">
        <v>101</v>
      </c>
      <c r="D694" s="172" t="s">
        <v>102</v>
      </c>
      <c r="E694" s="172" t="s">
        <v>53</v>
      </c>
      <c r="F694" s="172" t="s">
        <v>91</v>
      </c>
      <c r="G694" s="172" t="s">
        <v>85</v>
      </c>
      <c r="H694" s="177">
        <v>1</v>
      </c>
      <c r="I694" s="178">
        <v>1242</v>
      </c>
      <c r="J694" s="176">
        <v>46045</v>
      </c>
      <c r="K694" s="172" t="s">
        <v>94</v>
      </c>
      <c r="L694" s="172" t="s">
        <v>95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286</v>
      </c>
      <c r="B695" s="176">
        <v>46046</v>
      </c>
      <c r="C695" s="172" t="s">
        <v>101</v>
      </c>
      <c r="D695" s="172" t="s">
        <v>103</v>
      </c>
      <c r="E695" s="172" t="s">
        <v>53</v>
      </c>
      <c r="F695" s="172" t="s">
        <v>91</v>
      </c>
      <c r="G695" s="172" t="s">
        <v>85</v>
      </c>
      <c r="H695" s="177">
        <v>1</v>
      </c>
      <c r="I695" s="178">
        <v>1242</v>
      </c>
      <c r="J695" s="176">
        <v>46045</v>
      </c>
      <c r="K695" s="172" t="s">
        <v>94</v>
      </c>
      <c r="L695" s="172" t="s">
        <v>95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286</v>
      </c>
      <c r="B696" s="176">
        <v>46046</v>
      </c>
      <c r="C696" s="172" t="s">
        <v>101</v>
      </c>
      <c r="D696" s="172" t="s">
        <v>104</v>
      </c>
      <c r="E696" s="172" t="s">
        <v>53</v>
      </c>
      <c r="F696" s="172" t="s">
        <v>91</v>
      </c>
      <c r="G696" s="172" t="s">
        <v>85</v>
      </c>
      <c r="H696" s="177">
        <v>1</v>
      </c>
      <c r="I696" s="178">
        <v>1242</v>
      </c>
      <c r="J696" s="176">
        <v>46045</v>
      </c>
      <c r="K696" s="172" t="s">
        <v>94</v>
      </c>
      <c r="L696" s="172" t="s">
        <v>95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286</v>
      </c>
      <c r="B697" s="176">
        <v>46046</v>
      </c>
      <c r="C697" s="172" t="s">
        <v>105</v>
      </c>
      <c r="D697" s="172" t="s">
        <v>106</v>
      </c>
      <c r="E697" s="172" t="s">
        <v>53</v>
      </c>
      <c r="F697" s="172" t="s">
        <v>91</v>
      </c>
      <c r="G697" s="172" t="s">
        <v>85</v>
      </c>
      <c r="H697" s="177">
        <v>1</v>
      </c>
      <c r="I697" s="178">
        <v>1242</v>
      </c>
      <c r="J697" s="176">
        <v>46045</v>
      </c>
      <c r="K697" s="172" t="s">
        <v>94</v>
      </c>
      <c r="L697" s="172" t="s">
        <v>95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286</v>
      </c>
      <c r="B698" s="176">
        <v>46046</v>
      </c>
      <c r="C698" s="172" t="s">
        <v>82</v>
      </c>
      <c r="D698" s="172" t="s">
        <v>96</v>
      </c>
      <c r="E698" s="172" t="s">
        <v>53</v>
      </c>
      <c r="F698" s="172" t="s">
        <v>91</v>
      </c>
      <c r="G698" s="172" t="s">
        <v>85</v>
      </c>
      <c r="H698" s="177">
        <v>1</v>
      </c>
      <c r="I698" s="178">
        <v>1242</v>
      </c>
      <c r="J698" s="176">
        <v>46045</v>
      </c>
      <c r="K698" s="172" t="s">
        <v>94</v>
      </c>
      <c r="L698" s="172" t="s">
        <v>95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287</v>
      </c>
      <c r="B699" s="176">
        <v>46046</v>
      </c>
      <c r="C699" s="172" t="s">
        <v>93</v>
      </c>
      <c r="D699" s="172" t="s">
        <v>24</v>
      </c>
      <c r="E699" s="172" t="s">
        <v>40</v>
      </c>
      <c r="F699" s="172" t="s">
        <v>118</v>
      </c>
      <c r="G699" s="172" t="s">
        <v>85</v>
      </c>
      <c r="H699" s="177">
        <v>1</v>
      </c>
      <c r="I699" s="178">
        <v>1750</v>
      </c>
      <c r="J699" s="176">
        <v>46044</v>
      </c>
      <c r="K699" s="172" t="s">
        <v>94</v>
      </c>
      <c r="L699" s="172" t="s">
        <v>95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287</v>
      </c>
      <c r="B700" s="176">
        <v>46046</v>
      </c>
      <c r="C700" s="172" t="s">
        <v>101</v>
      </c>
      <c r="D700" s="172" t="s">
        <v>102</v>
      </c>
      <c r="E700" s="172" t="s">
        <v>40</v>
      </c>
      <c r="F700" s="172" t="s">
        <v>118</v>
      </c>
      <c r="G700" s="172" t="s">
        <v>85</v>
      </c>
      <c r="H700" s="177">
        <v>1</v>
      </c>
      <c r="I700" s="178">
        <v>1750</v>
      </c>
      <c r="J700" s="176">
        <v>46044</v>
      </c>
      <c r="K700" s="172" t="s">
        <v>94</v>
      </c>
      <c r="L700" s="172" t="s">
        <v>95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287</v>
      </c>
      <c r="B701" s="176">
        <v>46046</v>
      </c>
      <c r="C701" s="172" t="s">
        <v>101</v>
      </c>
      <c r="D701" s="172" t="s">
        <v>103</v>
      </c>
      <c r="E701" s="172" t="s">
        <v>40</v>
      </c>
      <c r="F701" s="172" t="s">
        <v>118</v>
      </c>
      <c r="G701" s="172" t="s">
        <v>85</v>
      </c>
      <c r="H701" s="177">
        <v>1</v>
      </c>
      <c r="I701" s="178">
        <v>1750</v>
      </c>
      <c r="J701" s="176">
        <v>46044</v>
      </c>
      <c r="K701" s="172" t="s">
        <v>94</v>
      </c>
      <c r="L701" s="172" t="s">
        <v>95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287</v>
      </c>
      <c r="B702" s="176">
        <v>46046</v>
      </c>
      <c r="C702" s="172" t="s">
        <v>101</v>
      </c>
      <c r="D702" s="172" t="s">
        <v>104</v>
      </c>
      <c r="E702" s="172" t="s">
        <v>40</v>
      </c>
      <c r="F702" s="172" t="s">
        <v>118</v>
      </c>
      <c r="G702" s="172" t="s">
        <v>85</v>
      </c>
      <c r="H702" s="177">
        <v>1</v>
      </c>
      <c r="I702" s="178">
        <v>1750</v>
      </c>
      <c r="J702" s="176">
        <v>46044</v>
      </c>
      <c r="K702" s="172" t="s">
        <v>94</v>
      </c>
      <c r="L702" s="172" t="s">
        <v>95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287</v>
      </c>
      <c r="B703" s="176">
        <v>46046</v>
      </c>
      <c r="C703" s="172" t="s">
        <v>105</v>
      </c>
      <c r="D703" s="172" t="s">
        <v>106</v>
      </c>
      <c r="E703" s="172" t="s">
        <v>40</v>
      </c>
      <c r="F703" s="172" t="s">
        <v>118</v>
      </c>
      <c r="G703" s="172" t="s">
        <v>85</v>
      </c>
      <c r="H703" s="177">
        <v>1</v>
      </c>
      <c r="I703" s="178">
        <v>1750</v>
      </c>
      <c r="J703" s="176">
        <v>46044</v>
      </c>
      <c r="K703" s="172" t="s">
        <v>94</v>
      </c>
      <c r="L703" s="172" t="s">
        <v>95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287</v>
      </c>
      <c r="B704" s="176">
        <v>46046</v>
      </c>
      <c r="C704" s="172" t="s">
        <v>82</v>
      </c>
      <c r="D704" s="172" t="s">
        <v>96</v>
      </c>
      <c r="E704" s="172" t="s">
        <v>40</v>
      </c>
      <c r="F704" s="172" t="s">
        <v>118</v>
      </c>
      <c r="G704" s="172" t="s">
        <v>85</v>
      </c>
      <c r="H704" s="177">
        <v>1</v>
      </c>
      <c r="I704" s="178">
        <v>1750</v>
      </c>
      <c r="J704" s="176">
        <v>46044</v>
      </c>
      <c r="K704" s="172" t="s">
        <v>94</v>
      </c>
      <c r="L704" s="172" t="s">
        <v>95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286</v>
      </c>
      <c r="B705" s="176">
        <v>46046</v>
      </c>
      <c r="C705" s="172" t="s">
        <v>82</v>
      </c>
      <c r="D705" s="172" t="s">
        <v>83</v>
      </c>
      <c r="E705" s="172" t="s">
        <v>53</v>
      </c>
      <c r="F705" s="172" t="s">
        <v>91</v>
      </c>
      <c r="G705" s="172" t="s">
        <v>85</v>
      </c>
      <c r="H705" s="177">
        <v>1</v>
      </c>
      <c r="I705" s="178">
        <v>0</v>
      </c>
      <c r="J705" s="176">
        <v>46045</v>
      </c>
      <c r="K705" s="172" t="s">
        <v>86</v>
      </c>
      <c r="L705" s="172" t="s">
        <v>86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288</v>
      </c>
      <c r="B706" s="176">
        <v>46046</v>
      </c>
      <c r="C706" s="172" t="s">
        <v>93</v>
      </c>
      <c r="D706" s="172" t="s">
        <v>24</v>
      </c>
      <c r="E706" s="172" t="s">
        <v>54</v>
      </c>
      <c r="F706" s="172" t="s">
        <v>121</v>
      </c>
      <c r="G706" s="172" t="s">
        <v>85</v>
      </c>
      <c r="H706" s="177">
        <v>1</v>
      </c>
      <c r="I706" s="178">
        <v>1845</v>
      </c>
      <c r="J706" s="176">
        <v>46044</v>
      </c>
      <c r="K706" s="172" t="s">
        <v>94</v>
      </c>
      <c r="L706" s="172" t="s">
        <v>95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288</v>
      </c>
      <c r="B707" s="176">
        <v>46046</v>
      </c>
      <c r="C707" s="172" t="s">
        <v>101</v>
      </c>
      <c r="D707" s="172" t="s">
        <v>102</v>
      </c>
      <c r="E707" s="172" t="s">
        <v>54</v>
      </c>
      <c r="F707" s="172" t="s">
        <v>121</v>
      </c>
      <c r="G707" s="172" t="s">
        <v>85</v>
      </c>
      <c r="H707" s="177">
        <v>1</v>
      </c>
      <c r="I707" s="178">
        <v>1845</v>
      </c>
      <c r="J707" s="176">
        <v>46044</v>
      </c>
      <c r="K707" s="172" t="s">
        <v>94</v>
      </c>
      <c r="L707" s="172" t="s">
        <v>95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288</v>
      </c>
      <c r="B708" s="176">
        <v>46046</v>
      </c>
      <c r="C708" s="172" t="s">
        <v>101</v>
      </c>
      <c r="D708" s="172" t="s">
        <v>103</v>
      </c>
      <c r="E708" s="172" t="s">
        <v>54</v>
      </c>
      <c r="F708" s="172" t="s">
        <v>121</v>
      </c>
      <c r="G708" s="172" t="s">
        <v>85</v>
      </c>
      <c r="H708" s="177">
        <v>1</v>
      </c>
      <c r="I708" s="178">
        <v>1845</v>
      </c>
      <c r="J708" s="176">
        <v>46044</v>
      </c>
      <c r="K708" s="172" t="s">
        <v>94</v>
      </c>
      <c r="L708" s="172" t="s">
        <v>95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288</v>
      </c>
      <c r="B709" s="176">
        <v>46046</v>
      </c>
      <c r="C709" s="172" t="s">
        <v>101</v>
      </c>
      <c r="D709" s="172" t="s">
        <v>104</v>
      </c>
      <c r="E709" s="172" t="s">
        <v>54</v>
      </c>
      <c r="F709" s="172" t="s">
        <v>121</v>
      </c>
      <c r="G709" s="172" t="s">
        <v>85</v>
      </c>
      <c r="H709" s="177">
        <v>1</v>
      </c>
      <c r="I709" s="178">
        <v>1845</v>
      </c>
      <c r="J709" s="176">
        <v>46044</v>
      </c>
      <c r="K709" s="172" t="s">
        <v>94</v>
      </c>
      <c r="L709" s="172" t="s">
        <v>95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288</v>
      </c>
      <c r="B710" s="176">
        <v>46046</v>
      </c>
      <c r="C710" s="172" t="s">
        <v>105</v>
      </c>
      <c r="D710" s="172" t="s">
        <v>106</v>
      </c>
      <c r="E710" s="172" t="s">
        <v>54</v>
      </c>
      <c r="F710" s="172" t="s">
        <v>121</v>
      </c>
      <c r="G710" s="172" t="s">
        <v>85</v>
      </c>
      <c r="H710" s="177">
        <v>1</v>
      </c>
      <c r="I710" s="178">
        <v>1845</v>
      </c>
      <c r="J710" s="176">
        <v>46044</v>
      </c>
      <c r="K710" s="172" t="s">
        <v>94</v>
      </c>
      <c r="L710" s="172" t="s">
        <v>95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288</v>
      </c>
      <c r="B711" s="176">
        <v>46046</v>
      </c>
      <c r="C711" s="172" t="s">
        <v>82</v>
      </c>
      <c r="D711" s="172" t="s">
        <v>96</v>
      </c>
      <c r="E711" s="172" t="s">
        <v>54</v>
      </c>
      <c r="F711" s="172" t="s">
        <v>121</v>
      </c>
      <c r="G711" s="172" t="s">
        <v>85</v>
      </c>
      <c r="H711" s="177">
        <v>1</v>
      </c>
      <c r="I711" s="178">
        <v>1845</v>
      </c>
      <c r="J711" s="176">
        <v>46044</v>
      </c>
      <c r="K711" s="172" t="s">
        <v>94</v>
      </c>
      <c r="L711" s="172" t="s">
        <v>95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287</v>
      </c>
      <c r="B712" s="176">
        <v>46046</v>
      </c>
      <c r="C712" s="172" t="s">
        <v>82</v>
      </c>
      <c r="D712" s="172" t="s">
        <v>83</v>
      </c>
      <c r="E712" s="172" t="s">
        <v>40</v>
      </c>
      <c r="F712" s="172" t="s">
        <v>118</v>
      </c>
      <c r="G712" s="172" t="s">
        <v>85</v>
      </c>
      <c r="H712" s="177">
        <v>1</v>
      </c>
      <c r="I712" s="178">
        <v>0</v>
      </c>
      <c r="J712" s="176">
        <v>46044</v>
      </c>
      <c r="K712" s="172" t="s">
        <v>86</v>
      </c>
      <c r="L712" s="172" t="s">
        <v>86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289</v>
      </c>
      <c r="B713" s="176">
        <v>46046</v>
      </c>
      <c r="C713" s="172" t="s">
        <v>93</v>
      </c>
      <c r="D713" s="172" t="s">
        <v>24</v>
      </c>
      <c r="E713" s="172" t="s">
        <v>53</v>
      </c>
      <c r="F713" s="172" t="s">
        <v>91</v>
      </c>
      <c r="G713" s="172" t="s">
        <v>85</v>
      </c>
      <c r="H713" s="177">
        <v>1</v>
      </c>
      <c r="I713" s="178">
        <v>1885</v>
      </c>
      <c r="J713" s="176">
        <v>46044</v>
      </c>
      <c r="K713" s="172" t="s">
        <v>94</v>
      </c>
      <c r="L713" s="172" t="s">
        <v>95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289</v>
      </c>
      <c r="B714" s="176">
        <v>46046</v>
      </c>
      <c r="C714" s="172" t="s">
        <v>101</v>
      </c>
      <c r="D714" s="172" t="s">
        <v>102</v>
      </c>
      <c r="E714" s="172" t="s">
        <v>53</v>
      </c>
      <c r="F714" s="172" t="s">
        <v>91</v>
      </c>
      <c r="G714" s="172" t="s">
        <v>85</v>
      </c>
      <c r="H714" s="177">
        <v>1</v>
      </c>
      <c r="I714" s="178">
        <v>1885</v>
      </c>
      <c r="J714" s="176">
        <v>46044</v>
      </c>
      <c r="K714" s="172" t="s">
        <v>94</v>
      </c>
      <c r="L714" s="172" t="s">
        <v>95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289</v>
      </c>
      <c r="B715" s="176">
        <v>46046</v>
      </c>
      <c r="C715" s="172" t="s">
        <v>101</v>
      </c>
      <c r="D715" s="172" t="s">
        <v>103</v>
      </c>
      <c r="E715" s="172" t="s">
        <v>53</v>
      </c>
      <c r="F715" s="172" t="s">
        <v>91</v>
      </c>
      <c r="G715" s="172" t="s">
        <v>85</v>
      </c>
      <c r="H715" s="177">
        <v>1</v>
      </c>
      <c r="I715" s="178">
        <v>1885</v>
      </c>
      <c r="J715" s="176">
        <v>46044</v>
      </c>
      <c r="K715" s="172" t="s">
        <v>94</v>
      </c>
      <c r="L715" s="172" t="s">
        <v>95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289</v>
      </c>
      <c r="B716" s="176">
        <v>46046</v>
      </c>
      <c r="C716" s="172" t="s">
        <v>101</v>
      </c>
      <c r="D716" s="172" t="s">
        <v>104</v>
      </c>
      <c r="E716" s="172" t="s">
        <v>53</v>
      </c>
      <c r="F716" s="172" t="s">
        <v>91</v>
      </c>
      <c r="G716" s="172" t="s">
        <v>85</v>
      </c>
      <c r="H716" s="177">
        <v>1</v>
      </c>
      <c r="I716" s="178">
        <v>1885</v>
      </c>
      <c r="J716" s="176">
        <v>46044</v>
      </c>
      <c r="K716" s="172" t="s">
        <v>94</v>
      </c>
      <c r="L716" s="172" t="s">
        <v>95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289</v>
      </c>
      <c r="B717" s="176">
        <v>46046</v>
      </c>
      <c r="C717" s="172" t="s">
        <v>105</v>
      </c>
      <c r="D717" s="172" t="s">
        <v>106</v>
      </c>
      <c r="E717" s="172" t="s">
        <v>53</v>
      </c>
      <c r="F717" s="172" t="s">
        <v>91</v>
      </c>
      <c r="G717" s="172" t="s">
        <v>85</v>
      </c>
      <c r="H717" s="177">
        <v>1</v>
      </c>
      <c r="I717" s="178">
        <v>1885</v>
      </c>
      <c r="J717" s="176">
        <v>46044</v>
      </c>
      <c r="K717" s="172" t="s">
        <v>94</v>
      </c>
      <c r="L717" s="172" t="s">
        <v>95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289</v>
      </c>
      <c r="B718" s="176">
        <v>46046</v>
      </c>
      <c r="C718" s="172" t="s">
        <v>82</v>
      </c>
      <c r="D718" s="172" t="s">
        <v>96</v>
      </c>
      <c r="E718" s="172" t="s">
        <v>53</v>
      </c>
      <c r="F718" s="172" t="s">
        <v>91</v>
      </c>
      <c r="G718" s="172" t="s">
        <v>85</v>
      </c>
      <c r="H718" s="177">
        <v>1</v>
      </c>
      <c r="I718" s="178">
        <v>1885</v>
      </c>
      <c r="J718" s="176">
        <v>46044</v>
      </c>
      <c r="K718" s="172" t="s">
        <v>94</v>
      </c>
      <c r="L718" s="172" t="s">
        <v>95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290</v>
      </c>
      <c r="B719" s="176">
        <v>46046</v>
      </c>
      <c r="C719" s="172" t="s">
        <v>93</v>
      </c>
      <c r="D719" s="172" t="s">
        <v>24</v>
      </c>
      <c r="E719" s="172" t="s">
        <v>42</v>
      </c>
      <c r="F719" s="172" t="s">
        <v>84</v>
      </c>
      <c r="G719" s="172" t="s">
        <v>85</v>
      </c>
      <c r="H719" s="177">
        <v>1</v>
      </c>
      <c r="I719" s="178">
        <v>1750</v>
      </c>
      <c r="J719" s="176">
        <v>46043</v>
      </c>
      <c r="K719" s="172" t="s">
        <v>94</v>
      </c>
      <c r="L719" s="172" t="s">
        <v>95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290</v>
      </c>
      <c r="B720" s="176">
        <v>46046</v>
      </c>
      <c r="C720" s="172" t="s">
        <v>101</v>
      </c>
      <c r="D720" s="172" t="s">
        <v>102</v>
      </c>
      <c r="E720" s="172" t="s">
        <v>42</v>
      </c>
      <c r="F720" s="172" t="s">
        <v>84</v>
      </c>
      <c r="G720" s="172" t="s">
        <v>85</v>
      </c>
      <c r="H720" s="177">
        <v>1</v>
      </c>
      <c r="I720" s="178">
        <v>1750</v>
      </c>
      <c r="J720" s="176">
        <v>46043</v>
      </c>
      <c r="K720" s="172" t="s">
        <v>94</v>
      </c>
      <c r="L720" s="172" t="s">
        <v>95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290</v>
      </c>
      <c r="B721" s="176">
        <v>46046</v>
      </c>
      <c r="C721" s="172" t="s">
        <v>101</v>
      </c>
      <c r="D721" s="172" t="s">
        <v>103</v>
      </c>
      <c r="E721" s="172" t="s">
        <v>42</v>
      </c>
      <c r="F721" s="172" t="s">
        <v>84</v>
      </c>
      <c r="G721" s="172" t="s">
        <v>85</v>
      </c>
      <c r="H721" s="177">
        <v>1</v>
      </c>
      <c r="I721" s="178">
        <v>1750</v>
      </c>
      <c r="J721" s="176">
        <v>46043</v>
      </c>
      <c r="K721" s="172" t="s">
        <v>94</v>
      </c>
      <c r="L721" s="172" t="s">
        <v>95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290</v>
      </c>
      <c r="B722" s="176">
        <v>46046</v>
      </c>
      <c r="C722" s="172" t="s">
        <v>101</v>
      </c>
      <c r="D722" s="172" t="s">
        <v>104</v>
      </c>
      <c r="E722" s="172" t="s">
        <v>42</v>
      </c>
      <c r="F722" s="172" t="s">
        <v>84</v>
      </c>
      <c r="G722" s="172" t="s">
        <v>85</v>
      </c>
      <c r="H722" s="177">
        <v>1</v>
      </c>
      <c r="I722" s="178">
        <v>1750</v>
      </c>
      <c r="J722" s="176">
        <v>46043</v>
      </c>
      <c r="K722" s="172" t="s">
        <v>94</v>
      </c>
      <c r="L722" s="172" t="s">
        <v>95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290</v>
      </c>
      <c r="B723" s="176">
        <v>46046</v>
      </c>
      <c r="C723" s="172" t="s">
        <v>105</v>
      </c>
      <c r="D723" s="172" t="s">
        <v>106</v>
      </c>
      <c r="E723" s="172" t="s">
        <v>42</v>
      </c>
      <c r="F723" s="172" t="s">
        <v>84</v>
      </c>
      <c r="G723" s="172" t="s">
        <v>85</v>
      </c>
      <c r="H723" s="177">
        <v>1</v>
      </c>
      <c r="I723" s="178">
        <v>1750</v>
      </c>
      <c r="J723" s="176">
        <v>46043</v>
      </c>
      <c r="K723" s="172" t="s">
        <v>94</v>
      </c>
      <c r="L723" s="172" t="s">
        <v>95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290</v>
      </c>
      <c r="B724" s="176">
        <v>46046</v>
      </c>
      <c r="C724" s="172" t="s">
        <v>82</v>
      </c>
      <c r="D724" s="172" t="s">
        <v>96</v>
      </c>
      <c r="E724" s="172" t="s">
        <v>42</v>
      </c>
      <c r="F724" s="172" t="s">
        <v>84</v>
      </c>
      <c r="G724" s="172" t="s">
        <v>85</v>
      </c>
      <c r="H724" s="177">
        <v>1</v>
      </c>
      <c r="I724" s="178">
        <v>1750</v>
      </c>
      <c r="J724" s="176">
        <v>46043</v>
      </c>
      <c r="K724" s="172" t="s">
        <v>94</v>
      </c>
      <c r="L724" s="172" t="s">
        <v>95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291</v>
      </c>
      <c r="B725" s="176">
        <v>46046</v>
      </c>
      <c r="C725" s="172" t="s">
        <v>82</v>
      </c>
      <c r="D725" s="172" t="s">
        <v>83</v>
      </c>
      <c r="E725" s="172" t="s">
        <v>54</v>
      </c>
      <c r="F725" s="172" t="s">
        <v>121</v>
      </c>
      <c r="G725" s="172" t="s">
        <v>85</v>
      </c>
      <c r="H725" s="177">
        <v>1</v>
      </c>
      <c r="I725" s="178">
        <v>0</v>
      </c>
      <c r="J725" s="176">
        <v>46046</v>
      </c>
      <c r="K725" s="172" t="s">
        <v>86</v>
      </c>
      <c r="L725" s="172" t="s">
        <v>86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292</v>
      </c>
      <c r="B726" s="176">
        <v>46046</v>
      </c>
      <c r="C726" s="172" t="s">
        <v>93</v>
      </c>
      <c r="D726" s="172" t="s">
        <v>24</v>
      </c>
      <c r="E726" s="172" t="s">
        <v>53</v>
      </c>
      <c r="F726" s="172" t="s">
        <v>91</v>
      </c>
      <c r="G726" s="172" t="s">
        <v>85</v>
      </c>
      <c r="H726" s="177">
        <v>1</v>
      </c>
      <c r="I726" s="178">
        <v>1885</v>
      </c>
      <c r="J726" s="176">
        <v>46044</v>
      </c>
      <c r="K726" s="172" t="s">
        <v>94</v>
      </c>
      <c r="L726" s="172" t="s">
        <v>95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292</v>
      </c>
      <c r="B727" s="176">
        <v>46046</v>
      </c>
      <c r="C727" s="172" t="s">
        <v>101</v>
      </c>
      <c r="D727" s="172" t="s">
        <v>102</v>
      </c>
      <c r="E727" s="172" t="s">
        <v>53</v>
      </c>
      <c r="F727" s="172" t="s">
        <v>91</v>
      </c>
      <c r="G727" s="172" t="s">
        <v>85</v>
      </c>
      <c r="H727" s="177">
        <v>1</v>
      </c>
      <c r="I727" s="178">
        <v>1885</v>
      </c>
      <c r="J727" s="176">
        <v>46044</v>
      </c>
      <c r="K727" s="172" t="s">
        <v>94</v>
      </c>
      <c r="L727" s="172" t="s">
        <v>95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292</v>
      </c>
      <c r="B728" s="176">
        <v>46046</v>
      </c>
      <c r="C728" s="172" t="s">
        <v>101</v>
      </c>
      <c r="D728" s="172" t="s">
        <v>103</v>
      </c>
      <c r="E728" s="172" t="s">
        <v>53</v>
      </c>
      <c r="F728" s="172" t="s">
        <v>91</v>
      </c>
      <c r="G728" s="172" t="s">
        <v>85</v>
      </c>
      <c r="H728" s="177">
        <v>1</v>
      </c>
      <c r="I728" s="178">
        <v>1885</v>
      </c>
      <c r="J728" s="176">
        <v>46044</v>
      </c>
      <c r="K728" s="172" t="s">
        <v>94</v>
      </c>
      <c r="L728" s="172" t="s">
        <v>95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292</v>
      </c>
      <c r="B729" s="176">
        <v>46046</v>
      </c>
      <c r="C729" s="172" t="s">
        <v>101</v>
      </c>
      <c r="D729" s="172" t="s">
        <v>104</v>
      </c>
      <c r="E729" s="172" t="s">
        <v>53</v>
      </c>
      <c r="F729" s="172" t="s">
        <v>91</v>
      </c>
      <c r="G729" s="172" t="s">
        <v>85</v>
      </c>
      <c r="H729" s="177">
        <v>1</v>
      </c>
      <c r="I729" s="178">
        <v>1885</v>
      </c>
      <c r="J729" s="176">
        <v>46044</v>
      </c>
      <c r="K729" s="172" t="s">
        <v>94</v>
      </c>
      <c r="L729" s="172" t="s">
        <v>95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292</v>
      </c>
      <c r="B730" s="176">
        <v>46046</v>
      </c>
      <c r="C730" s="172" t="s">
        <v>105</v>
      </c>
      <c r="D730" s="172" t="s">
        <v>106</v>
      </c>
      <c r="E730" s="172" t="s">
        <v>53</v>
      </c>
      <c r="F730" s="172" t="s">
        <v>91</v>
      </c>
      <c r="G730" s="172" t="s">
        <v>85</v>
      </c>
      <c r="H730" s="177">
        <v>1</v>
      </c>
      <c r="I730" s="178">
        <v>1885</v>
      </c>
      <c r="J730" s="176">
        <v>46044</v>
      </c>
      <c r="K730" s="172" t="s">
        <v>94</v>
      </c>
      <c r="L730" s="172" t="s">
        <v>95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292</v>
      </c>
      <c r="B731" s="176">
        <v>46046</v>
      </c>
      <c r="C731" s="172" t="s">
        <v>82</v>
      </c>
      <c r="D731" s="172" t="s">
        <v>96</v>
      </c>
      <c r="E731" s="172" t="s">
        <v>53</v>
      </c>
      <c r="F731" s="172" t="s">
        <v>91</v>
      </c>
      <c r="G731" s="172" t="s">
        <v>85</v>
      </c>
      <c r="H731" s="177">
        <v>1</v>
      </c>
      <c r="I731" s="178">
        <v>1885</v>
      </c>
      <c r="J731" s="176">
        <v>46044</v>
      </c>
      <c r="K731" s="172" t="s">
        <v>94</v>
      </c>
      <c r="L731" s="172" t="s">
        <v>95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293</v>
      </c>
      <c r="B732" s="176">
        <v>46046</v>
      </c>
      <c r="C732" s="172" t="s">
        <v>82</v>
      </c>
      <c r="D732" s="172" t="s">
        <v>83</v>
      </c>
      <c r="E732" s="172" t="s">
        <v>53</v>
      </c>
      <c r="F732" s="172" t="s">
        <v>91</v>
      </c>
      <c r="G732" s="172" t="s">
        <v>85</v>
      </c>
      <c r="H732" s="177">
        <v>1</v>
      </c>
      <c r="I732" s="178">
        <v>0</v>
      </c>
      <c r="J732" s="176">
        <v>46046</v>
      </c>
      <c r="K732" s="172" t="s">
        <v>86</v>
      </c>
      <c r="L732" s="172" t="s">
        <v>86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294</v>
      </c>
      <c r="B733" s="176">
        <v>46046</v>
      </c>
      <c r="C733" s="172" t="s">
        <v>82</v>
      </c>
      <c r="D733" s="172" t="s">
        <v>83</v>
      </c>
      <c r="E733" s="172" t="s">
        <v>42</v>
      </c>
      <c r="F733" s="172" t="s">
        <v>84</v>
      </c>
      <c r="G733" s="172" t="s">
        <v>85</v>
      </c>
      <c r="H733" s="177">
        <v>1</v>
      </c>
      <c r="I733" s="178">
        <v>0</v>
      </c>
      <c r="J733" s="176">
        <v>46046</v>
      </c>
      <c r="K733" s="172" t="s">
        <v>86</v>
      </c>
      <c r="L733" s="172" t="s">
        <v>86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289</v>
      </c>
      <c r="B734" s="176">
        <v>46046</v>
      </c>
      <c r="C734" s="172" t="s">
        <v>82</v>
      </c>
      <c r="D734" s="172" t="s">
        <v>83</v>
      </c>
      <c r="E734" s="172" t="s">
        <v>53</v>
      </c>
      <c r="F734" s="172" t="s">
        <v>91</v>
      </c>
      <c r="G734" s="172" t="s">
        <v>85</v>
      </c>
      <c r="H734" s="177">
        <v>1</v>
      </c>
      <c r="I734" s="178">
        <v>0</v>
      </c>
      <c r="J734" s="176">
        <v>46044</v>
      </c>
      <c r="K734" s="172" t="s">
        <v>86</v>
      </c>
      <c r="L734" s="172" t="s">
        <v>86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295</v>
      </c>
      <c r="B735" s="176">
        <v>46046</v>
      </c>
      <c r="C735" s="172" t="s">
        <v>93</v>
      </c>
      <c r="D735" s="172" t="s">
        <v>24</v>
      </c>
      <c r="E735" s="172" t="s">
        <v>42</v>
      </c>
      <c r="F735" s="172" t="s">
        <v>84</v>
      </c>
      <c r="G735" s="172" t="s">
        <v>85</v>
      </c>
      <c r="H735" s="177">
        <v>1</v>
      </c>
      <c r="I735" s="178">
        <v>1750</v>
      </c>
      <c r="J735" s="176">
        <v>46045</v>
      </c>
      <c r="K735" s="172" t="s">
        <v>94</v>
      </c>
      <c r="L735" s="172" t="s">
        <v>95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295</v>
      </c>
      <c r="B736" s="176">
        <v>46046</v>
      </c>
      <c r="C736" s="172" t="s">
        <v>101</v>
      </c>
      <c r="D736" s="172" t="s">
        <v>102</v>
      </c>
      <c r="E736" s="172" t="s">
        <v>42</v>
      </c>
      <c r="F736" s="172" t="s">
        <v>84</v>
      </c>
      <c r="G736" s="172" t="s">
        <v>85</v>
      </c>
      <c r="H736" s="177">
        <v>1</v>
      </c>
      <c r="I736" s="178">
        <v>1750</v>
      </c>
      <c r="J736" s="176">
        <v>46045</v>
      </c>
      <c r="K736" s="172" t="s">
        <v>94</v>
      </c>
      <c r="L736" s="172" t="s">
        <v>95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295</v>
      </c>
      <c r="B737" s="176">
        <v>46046</v>
      </c>
      <c r="C737" s="172" t="s">
        <v>101</v>
      </c>
      <c r="D737" s="172" t="s">
        <v>103</v>
      </c>
      <c r="E737" s="172" t="s">
        <v>42</v>
      </c>
      <c r="F737" s="172" t="s">
        <v>84</v>
      </c>
      <c r="G737" s="172" t="s">
        <v>85</v>
      </c>
      <c r="H737" s="177">
        <v>1</v>
      </c>
      <c r="I737" s="178">
        <v>1750</v>
      </c>
      <c r="J737" s="176">
        <v>46045</v>
      </c>
      <c r="K737" s="172" t="s">
        <v>94</v>
      </c>
      <c r="L737" s="172" t="s">
        <v>95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295</v>
      </c>
      <c r="B738" s="176">
        <v>46046</v>
      </c>
      <c r="C738" s="172" t="s">
        <v>101</v>
      </c>
      <c r="D738" s="172" t="s">
        <v>104</v>
      </c>
      <c r="E738" s="172" t="s">
        <v>42</v>
      </c>
      <c r="F738" s="172" t="s">
        <v>84</v>
      </c>
      <c r="G738" s="172" t="s">
        <v>85</v>
      </c>
      <c r="H738" s="177">
        <v>1</v>
      </c>
      <c r="I738" s="178">
        <v>1750</v>
      </c>
      <c r="J738" s="176">
        <v>46045</v>
      </c>
      <c r="K738" s="172" t="s">
        <v>94</v>
      </c>
      <c r="L738" s="172" t="s">
        <v>95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295</v>
      </c>
      <c r="B739" s="176">
        <v>46046</v>
      </c>
      <c r="C739" s="172" t="s">
        <v>105</v>
      </c>
      <c r="D739" s="172" t="s">
        <v>106</v>
      </c>
      <c r="E739" s="172" t="s">
        <v>42</v>
      </c>
      <c r="F739" s="172" t="s">
        <v>84</v>
      </c>
      <c r="G739" s="172" t="s">
        <v>85</v>
      </c>
      <c r="H739" s="177">
        <v>1</v>
      </c>
      <c r="I739" s="178">
        <v>1750</v>
      </c>
      <c r="J739" s="176">
        <v>46045</v>
      </c>
      <c r="K739" s="172" t="s">
        <v>94</v>
      </c>
      <c r="L739" s="172" t="s">
        <v>95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296</v>
      </c>
      <c r="B740" s="176">
        <v>46046</v>
      </c>
      <c r="C740" s="172" t="s">
        <v>82</v>
      </c>
      <c r="D740" s="172" t="s">
        <v>83</v>
      </c>
      <c r="E740" s="172" t="s">
        <v>54</v>
      </c>
      <c r="F740" s="172" t="s">
        <v>121</v>
      </c>
      <c r="G740" s="172" t="s">
        <v>85</v>
      </c>
      <c r="H740" s="177">
        <v>1</v>
      </c>
      <c r="I740" s="178">
        <v>0</v>
      </c>
      <c r="J740" s="176">
        <v>46046</v>
      </c>
      <c r="K740" s="172" t="s">
        <v>86</v>
      </c>
      <c r="L740" s="172" t="s">
        <v>86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296</v>
      </c>
      <c r="B741" s="176">
        <v>46046</v>
      </c>
      <c r="C741" s="172" t="s">
        <v>82</v>
      </c>
      <c r="D741" s="172" t="s">
        <v>83</v>
      </c>
      <c r="E741" s="172" t="s">
        <v>54</v>
      </c>
      <c r="F741" s="172" t="s">
        <v>121</v>
      </c>
      <c r="G741" s="172" t="s">
        <v>85</v>
      </c>
      <c r="H741" s="177">
        <v>1</v>
      </c>
      <c r="I741" s="178">
        <v>0</v>
      </c>
      <c r="J741" s="176">
        <v>46046</v>
      </c>
      <c r="K741" s="172" t="s">
        <v>86</v>
      </c>
      <c r="L741" s="172" t="s">
        <v>86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161</v>
      </c>
      <c r="B742" s="176">
        <v>46046</v>
      </c>
      <c r="C742" s="172" t="s">
        <v>82</v>
      </c>
      <c r="D742" s="172" t="s">
        <v>83</v>
      </c>
      <c r="E742" s="172" t="s">
        <v>42</v>
      </c>
      <c r="F742" s="172" t="s">
        <v>84</v>
      </c>
      <c r="G742" s="172" t="s">
        <v>85</v>
      </c>
      <c r="H742" s="177">
        <v>1</v>
      </c>
      <c r="I742" s="178">
        <v>0</v>
      </c>
      <c r="J742" s="176">
        <v>46042</v>
      </c>
      <c r="K742" s="172" t="s">
        <v>86</v>
      </c>
      <c r="L742" s="172" t="s">
        <v>86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297</v>
      </c>
      <c r="B743" s="176">
        <v>46046</v>
      </c>
      <c r="C743" s="172" t="s">
        <v>93</v>
      </c>
      <c r="D743" s="172" t="s">
        <v>24</v>
      </c>
      <c r="E743" s="172" t="s">
        <v>54</v>
      </c>
      <c r="F743" s="172" t="s">
        <v>121</v>
      </c>
      <c r="G743" s="172" t="s">
        <v>85</v>
      </c>
      <c r="H743" s="177">
        <v>1</v>
      </c>
      <c r="I743" s="178">
        <v>0</v>
      </c>
      <c r="J743" s="176">
        <v>46040</v>
      </c>
      <c r="K743" s="172" t="s">
        <v>94</v>
      </c>
      <c r="L743" s="172" t="s">
        <v>95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297</v>
      </c>
      <c r="B744" s="176">
        <v>46046</v>
      </c>
      <c r="C744" s="172" t="s">
        <v>82</v>
      </c>
      <c r="D744" s="172" t="s">
        <v>96</v>
      </c>
      <c r="E744" s="172" t="s">
        <v>54</v>
      </c>
      <c r="F744" s="172" t="s">
        <v>121</v>
      </c>
      <c r="G744" s="172" t="s">
        <v>85</v>
      </c>
      <c r="H744" s="177">
        <v>1</v>
      </c>
      <c r="I744" s="178">
        <v>0</v>
      </c>
      <c r="J744" s="176">
        <v>46040</v>
      </c>
      <c r="K744" s="172" t="s">
        <v>94</v>
      </c>
      <c r="L744" s="172" t="s">
        <v>95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297</v>
      </c>
      <c r="B745" s="176">
        <v>46046</v>
      </c>
      <c r="C745" s="172" t="s">
        <v>93</v>
      </c>
      <c r="D745" s="172" t="s">
        <v>97</v>
      </c>
      <c r="E745" s="172" t="s">
        <v>54</v>
      </c>
      <c r="F745" s="172" t="s">
        <v>121</v>
      </c>
      <c r="G745" s="172" t="s">
        <v>85</v>
      </c>
      <c r="H745" s="177">
        <v>1</v>
      </c>
      <c r="I745" s="178">
        <v>0</v>
      </c>
      <c r="J745" s="176">
        <v>46040</v>
      </c>
      <c r="K745" s="172" t="s">
        <v>94</v>
      </c>
      <c r="L745" s="172" t="s">
        <v>95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297</v>
      </c>
      <c r="B746" s="176">
        <v>46046</v>
      </c>
      <c r="C746" s="172" t="s">
        <v>93</v>
      </c>
      <c r="D746" s="172" t="s">
        <v>98</v>
      </c>
      <c r="E746" s="172" t="s">
        <v>54</v>
      </c>
      <c r="F746" s="172" t="s">
        <v>121</v>
      </c>
      <c r="G746" s="172" t="s">
        <v>85</v>
      </c>
      <c r="H746" s="177">
        <v>1</v>
      </c>
      <c r="I746" s="178">
        <v>0</v>
      </c>
      <c r="J746" s="176">
        <v>46040</v>
      </c>
      <c r="K746" s="172" t="s">
        <v>94</v>
      </c>
      <c r="L746" s="172" t="s">
        <v>95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297</v>
      </c>
      <c r="B747" s="176">
        <v>46046</v>
      </c>
      <c r="C747" s="172" t="s">
        <v>82</v>
      </c>
      <c r="D747" s="172" t="s">
        <v>99</v>
      </c>
      <c r="E747" s="172" t="s">
        <v>54</v>
      </c>
      <c r="F747" s="172" t="s">
        <v>121</v>
      </c>
      <c r="G747" s="172" t="s">
        <v>85</v>
      </c>
      <c r="H747" s="177">
        <v>1</v>
      </c>
      <c r="I747" s="178">
        <v>0</v>
      </c>
      <c r="J747" s="176">
        <v>46040</v>
      </c>
      <c r="K747" s="172" t="s">
        <v>94</v>
      </c>
      <c r="L747" s="172" t="s">
        <v>95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298</v>
      </c>
      <c r="B748" s="176">
        <v>46046</v>
      </c>
      <c r="C748" s="172" t="s">
        <v>82</v>
      </c>
      <c r="D748" s="172" t="s">
        <v>83</v>
      </c>
      <c r="E748" s="172" t="s">
        <v>54</v>
      </c>
      <c r="F748" s="172" t="s">
        <v>121</v>
      </c>
      <c r="G748" s="172" t="s">
        <v>85</v>
      </c>
      <c r="H748" s="177">
        <v>1</v>
      </c>
      <c r="I748" s="178">
        <v>0</v>
      </c>
      <c r="J748" s="176">
        <v>46046</v>
      </c>
      <c r="K748" s="172" t="s">
        <v>86</v>
      </c>
      <c r="L748" s="172" t="s">
        <v>86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299</v>
      </c>
      <c r="B749" s="176">
        <v>46046</v>
      </c>
      <c r="C749" s="172" t="s">
        <v>82</v>
      </c>
      <c r="D749" s="172" t="s">
        <v>83</v>
      </c>
      <c r="E749" s="172" t="s">
        <v>54</v>
      </c>
      <c r="F749" s="172" t="s">
        <v>121</v>
      </c>
      <c r="G749" s="172" t="s">
        <v>85</v>
      </c>
      <c r="H749" s="177">
        <v>1</v>
      </c>
      <c r="I749" s="178">
        <v>0</v>
      </c>
      <c r="J749" s="176">
        <v>46046</v>
      </c>
      <c r="K749" s="172" t="s">
        <v>86</v>
      </c>
      <c r="L749" s="172" t="s">
        <v>86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300</v>
      </c>
      <c r="B750" s="176">
        <v>46046</v>
      </c>
      <c r="C750" s="172" t="s">
        <v>82</v>
      </c>
      <c r="D750" s="172" t="s">
        <v>83</v>
      </c>
      <c r="E750" s="172" t="s">
        <v>44</v>
      </c>
      <c r="F750" s="172" t="s">
        <v>126</v>
      </c>
      <c r="G750" s="172" t="s">
        <v>85</v>
      </c>
      <c r="H750" s="177">
        <v>1</v>
      </c>
      <c r="I750" s="178">
        <v>0</v>
      </c>
      <c r="J750" s="176">
        <v>46046</v>
      </c>
      <c r="K750" s="172" t="s">
        <v>86</v>
      </c>
      <c r="L750" s="172" t="s">
        <v>86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301</v>
      </c>
      <c r="B751" s="176">
        <v>46046</v>
      </c>
      <c r="C751" s="172" t="s">
        <v>93</v>
      </c>
      <c r="D751" s="172" t="s">
        <v>273</v>
      </c>
      <c r="E751" s="172" t="s">
        <v>54</v>
      </c>
      <c r="F751" s="172" t="s">
        <v>121</v>
      </c>
      <c r="G751" s="172" t="s">
        <v>85</v>
      </c>
      <c r="H751" s="177">
        <v>1</v>
      </c>
      <c r="I751" s="178">
        <v>0</v>
      </c>
      <c r="J751" s="176">
        <v>45996</v>
      </c>
      <c r="K751" s="172" t="s">
        <v>94</v>
      </c>
      <c r="L751" s="172" t="s">
        <v>95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301</v>
      </c>
      <c r="B752" s="176">
        <v>46046</v>
      </c>
      <c r="C752" s="172" t="s">
        <v>93</v>
      </c>
      <c r="D752" s="172" t="s">
        <v>98</v>
      </c>
      <c r="E752" s="172" t="s">
        <v>54</v>
      </c>
      <c r="F752" s="172" t="s">
        <v>121</v>
      </c>
      <c r="G752" s="172" t="s">
        <v>85</v>
      </c>
      <c r="H752" s="177">
        <v>1</v>
      </c>
      <c r="I752" s="178">
        <v>0</v>
      </c>
      <c r="J752" s="176">
        <v>45996</v>
      </c>
      <c r="K752" s="172" t="s">
        <v>94</v>
      </c>
      <c r="L752" s="172" t="s">
        <v>95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301</v>
      </c>
      <c r="B753" s="176">
        <v>46046</v>
      </c>
      <c r="C753" s="172" t="s">
        <v>82</v>
      </c>
      <c r="D753" s="172" t="s">
        <v>99</v>
      </c>
      <c r="E753" s="172" t="s">
        <v>54</v>
      </c>
      <c r="F753" s="172" t="s">
        <v>121</v>
      </c>
      <c r="G753" s="172" t="s">
        <v>85</v>
      </c>
      <c r="H753" s="177">
        <v>1</v>
      </c>
      <c r="I753" s="178">
        <v>0</v>
      </c>
      <c r="J753" s="176">
        <v>45996</v>
      </c>
      <c r="K753" s="172" t="s">
        <v>94</v>
      </c>
      <c r="L753" s="172" t="s">
        <v>95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142</v>
      </c>
      <c r="B754" s="176">
        <v>46046</v>
      </c>
      <c r="C754" s="172" t="s">
        <v>110</v>
      </c>
      <c r="D754" s="172" t="s">
        <v>140</v>
      </c>
      <c r="E754" s="172" t="s">
        <v>86</v>
      </c>
      <c r="F754" s="172" t="s">
        <v>86</v>
      </c>
      <c r="G754" s="172" t="s">
        <v>86</v>
      </c>
      <c r="H754" s="177">
        <v>0</v>
      </c>
      <c r="I754" s="178">
        <v>0</v>
      </c>
      <c r="J754" s="176">
        <v>46046</v>
      </c>
      <c r="K754" s="172" t="s">
        <v>86</v>
      </c>
      <c r="L754" s="172" t="s">
        <v>86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146</v>
      </c>
      <c r="B755" s="176">
        <v>46046</v>
      </c>
      <c r="C755" s="172" t="s">
        <v>110</v>
      </c>
      <c r="D755" s="172" t="s">
        <v>140</v>
      </c>
      <c r="E755" s="172" t="s">
        <v>86</v>
      </c>
      <c r="F755" s="172" t="s">
        <v>86</v>
      </c>
      <c r="G755" s="172" t="s">
        <v>86</v>
      </c>
      <c r="H755" s="177">
        <v>0</v>
      </c>
      <c r="I755" s="178">
        <v>0</v>
      </c>
      <c r="J755" s="176">
        <v>46046</v>
      </c>
      <c r="K755" s="172" t="s">
        <v>86</v>
      </c>
      <c r="L755" s="172" t="s">
        <v>86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145</v>
      </c>
      <c r="B756" s="176">
        <v>46046</v>
      </c>
      <c r="C756" s="172" t="s">
        <v>110</v>
      </c>
      <c r="D756" s="172" t="s">
        <v>140</v>
      </c>
      <c r="E756" s="172" t="s">
        <v>86</v>
      </c>
      <c r="F756" s="172" t="s">
        <v>86</v>
      </c>
      <c r="G756" s="172" t="s">
        <v>86</v>
      </c>
      <c r="H756" s="177">
        <v>0</v>
      </c>
      <c r="I756" s="178">
        <v>0</v>
      </c>
      <c r="J756" s="176">
        <v>46046</v>
      </c>
      <c r="K756" s="172" t="s">
        <v>86</v>
      </c>
      <c r="L756" s="172" t="s">
        <v>86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139</v>
      </c>
      <c r="B757" s="176">
        <v>46046</v>
      </c>
      <c r="C757" s="172" t="s">
        <v>110</v>
      </c>
      <c r="D757" s="172" t="s">
        <v>140</v>
      </c>
      <c r="E757" s="172" t="s">
        <v>86</v>
      </c>
      <c r="F757" s="172" t="s">
        <v>86</v>
      </c>
      <c r="G757" s="172" t="s">
        <v>86</v>
      </c>
      <c r="H757" s="177">
        <v>0</v>
      </c>
      <c r="I757" s="178">
        <v>0</v>
      </c>
      <c r="J757" s="176">
        <v>46046</v>
      </c>
      <c r="K757" s="172" t="s">
        <v>86</v>
      </c>
      <c r="L757" s="172" t="s">
        <v>86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143</v>
      </c>
      <c r="B758" s="176">
        <v>46046</v>
      </c>
      <c r="C758" s="172" t="s">
        <v>110</v>
      </c>
      <c r="D758" s="172" t="s">
        <v>144</v>
      </c>
      <c r="E758" s="172" t="s">
        <v>86</v>
      </c>
      <c r="F758" s="172" t="s">
        <v>86</v>
      </c>
      <c r="G758" s="172" t="s">
        <v>86</v>
      </c>
      <c r="H758" s="177">
        <v>0</v>
      </c>
      <c r="I758" s="178">
        <v>0</v>
      </c>
      <c r="J758" s="176">
        <v>46046</v>
      </c>
      <c r="K758" s="172" t="s">
        <v>86</v>
      </c>
      <c r="L758" s="172" t="s">
        <v>86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302</v>
      </c>
      <c r="B759" s="176">
        <v>46047</v>
      </c>
      <c r="C759" s="172" t="s">
        <v>82</v>
      </c>
      <c r="D759" s="172" t="s">
        <v>83</v>
      </c>
      <c r="E759" s="172" t="s">
        <v>43</v>
      </c>
      <c r="F759" s="172" t="s">
        <v>90</v>
      </c>
      <c r="G759" s="172" t="s">
        <v>85</v>
      </c>
      <c r="H759" s="177">
        <v>1</v>
      </c>
      <c r="I759" s="178">
        <v>0</v>
      </c>
      <c r="J759" s="176">
        <v>46047</v>
      </c>
      <c r="K759" s="172" t="s">
        <v>86</v>
      </c>
      <c r="L759" s="172" t="s">
        <v>86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303</v>
      </c>
      <c r="B760" s="176">
        <v>46047</v>
      </c>
      <c r="C760" s="172" t="s">
        <v>82</v>
      </c>
      <c r="D760" s="172" t="s">
        <v>83</v>
      </c>
      <c r="E760" s="172" t="s">
        <v>54</v>
      </c>
      <c r="F760" s="172" t="s">
        <v>121</v>
      </c>
      <c r="G760" s="172" t="s">
        <v>85</v>
      </c>
      <c r="H760" s="177">
        <v>1</v>
      </c>
      <c r="I760" s="178">
        <v>0</v>
      </c>
      <c r="J760" s="176">
        <v>46047</v>
      </c>
      <c r="K760" s="172" t="s">
        <v>86</v>
      </c>
      <c r="L760" s="172" t="s">
        <v>86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304</v>
      </c>
      <c r="B761" s="176">
        <v>46047</v>
      </c>
      <c r="C761" s="172" t="s">
        <v>82</v>
      </c>
      <c r="D761" s="172" t="s">
        <v>83</v>
      </c>
      <c r="E761" s="172" t="s">
        <v>54</v>
      </c>
      <c r="F761" s="172" t="s">
        <v>121</v>
      </c>
      <c r="G761" s="172" t="s">
        <v>85</v>
      </c>
      <c r="H761" s="177">
        <v>1</v>
      </c>
      <c r="I761" s="178">
        <v>0</v>
      </c>
      <c r="J761" s="176">
        <v>46047</v>
      </c>
      <c r="K761" s="172" t="s">
        <v>86</v>
      </c>
      <c r="L761" s="172" t="s">
        <v>86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305</v>
      </c>
      <c r="B762" s="176">
        <v>46047</v>
      </c>
      <c r="C762" s="172" t="s">
        <v>82</v>
      </c>
      <c r="D762" s="172" t="s">
        <v>83</v>
      </c>
      <c r="E762" s="172" t="s">
        <v>54</v>
      </c>
      <c r="F762" s="172" t="s">
        <v>121</v>
      </c>
      <c r="G762" s="172" t="s">
        <v>85</v>
      </c>
      <c r="H762" s="177">
        <v>1</v>
      </c>
      <c r="I762" s="178">
        <v>0</v>
      </c>
      <c r="J762" s="176">
        <v>46047</v>
      </c>
      <c r="K762" s="172" t="s">
        <v>86</v>
      </c>
      <c r="L762" s="172" t="s">
        <v>86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306</v>
      </c>
      <c r="B763" s="176">
        <v>46047</v>
      </c>
      <c r="C763" s="172" t="s">
        <v>93</v>
      </c>
      <c r="D763" s="172" t="s">
        <v>24</v>
      </c>
      <c r="E763" s="172" t="s">
        <v>42</v>
      </c>
      <c r="F763" s="172" t="s">
        <v>84</v>
      </c>
      <c r="G763" s="172" t="s">
        <v>85</v>
      </c>
      <c r="H763" s="177">
        <v>1</v>
      </c>
      <c r="I763" s="178">
        <v>0</v>
      </c>
      <c r="J763" s="176">
        <v>46036</v>
      </c>
      <c r="K763" s="172" t="s">
        <v>94</v>
      </c>
      <c r="L763" s="172" t="s">
        <v>95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306</v>
      </c>
      <c r="B764" s="176">
        <v>46047</v>
      </c>
      <c r="C764" s="172" t="s">
        <v>82</v>
      </c>
      <c r="D764" s="172" t="s">
        <v>96</v>
      </c>
      <c r="E764" s="172" t="s">
        <v>42</v>
      </c>
      <c r="F764" s="172" t="s">
        <v>84</v>
      </c>
      <c r="G764" s="172" t="s">
        <v>85</v>
      </c>
      <c r="H764" s="177">
        <v>1</v>
      </c>
      <c r="I764" s="178">
        <v>0</v>
      </c>
      <c r="J764" s="176">
        <v>46036</v>
      </c>
      <c r="K764" s="172" t="s">
        <v>94</v>
      </c>
      <c r="L764" s="172" t="s">
        <v>95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306</v>
      </c>
      <c r="B765" s="176">
        <v>46047</v>
      </c>
      <c r="C765" s="172" t="s">
        <v>93</v>
      </c>
      <c r="D765" s="172" t="s">
        <v>97</v>
      </c>
      <c r="E765" s="172" t="s">
        <v>42</v>
      </c>
      <c r="F765" s="172" t="s">
        <v>84</v>
      </c>
      <c r="G765" s="172" t="s">
        <v>85</v>
      </c>
      <c r="H765" s="177">
        <v>1</v>
      </c>
      <c r="I765" s="178">
        <v>0</v>
      </c>
      <c r="J765" s="176">
        <v>46036</v>
      </c>
      <c r="K765" s="172" t="s">
        <v>94</v>
      </c>
      <c r="L765" s="172" t="s">
        <v>95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306</v>
      </c>
      <c r="B766" s="176">
        <v>46047</v>
      </c>
      <c r="C766" s="172" t="s">
        <v>93</v>
      </c>
      <c r="D766" s="172" t="s">
        <v>98</v>
      </c>
      <c r="E766" s="172" t="s">
        <v>42</v>
      </c>
      <c r="F766" s="172" t="s">
        <v>84</v>
      </c>
      <c r="G766" s="172" t="s">
        <v>85</v>
      </c>
      <c r="H766" s="177">
        <v>1</v>
      </c>
      <c r="I766" s="178">
        <v>0</v>
      </c>
      <c r="J766" s="176">
        <v>46036</v>
      </c>
      <c r="K766" s="172" t="s">
        <v>94</v>
      </c>
      <c r="L766" s="172" t="s">
        <v>95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306</v>
      </c>
      <c r="B767" s="176">
        <v>46047</v>
      </c>
      <c r="C767" s="172" t="s">
        <v>82</v>
      </c>
      <c r="D767" s="172" t="s">
        <v>99</v>
      </c>
      <c r="E767" s="172" t="s">
        <v>42</v>
      </c>
      <c r="F767" s="172" t="s">
        <v>84</v>
      </c>
      <c r="G767" s="172" t="s">
        <v>85</v>
      </c>
      <c r="H767" s="177">
        <v>1</v>
      </c>
      <c r="I767" s="178">
        <v>0</v>
      </c>
      <c r="J767" s="176">
        <v>46036</v>
      </c>
      <c r="K767" s="172" t="s">
        <v>94</v>
      </c>
      <c r="L767" s="172" t="s">
        <v>95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307</v>
      </c>
      <c r="B768" s="176">
        <v>46047</v>
      </c>
      <c r="C768" s="172" t="s">
        <v>82</v>
      </c>
      <c r="D768" s="172" t="s">
        <v>83</v>
      </c>
      <c r="E768" s="172" t="s">
        <v>54</v>
      </c>
      <c r="F768" s="172" t="s">
        <v>121</v>
      </c>
      <c r="G768" s="172" t="s">
        <v>85</v>
      </c>
      <c r="H768" s="177">
        <v>1</v>
      </c>
      <c r="I768" s="178">
        <v>0</v>
      </c>
      <c r="J768" s="176">
        <v>46047</v>
      </c>
      <c r="K768" s="172" t="s">
        <v>86</v>
      </c>
      <c r="L768" s="172" t="s">
        <v>86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86</v>
      </c>
      <c r="B769" s="176">
        <v>46047</v>
      </c>
      <c r="C769" s="172" t="s">
        <v>110</v>
      </c>
      <c r="D769" s="172" t="s">
        <v>111</v>
      </c>
      <c r="E769" s="172" t="s">
        <v>86</v>
      </c>
      <c r="F769" s="172" t="s">
        <v>86</v>
      </c>
      <c r="G769" s="172" t="s">
        <v>308</v>
      </c>
      <c r="H769" s="177">
        <v>0</v>
      </c>
      <c r="I769" s="178">
        <v>0</v>
      </c>
      <c r="J769" s="176">
        <v>46047</v>
      </c>
      <c r="K769" s="172" t="s">
        <v>86</v>
      </c>
      <c r="L769" s="172" t="s">
        <v>86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309</v>
      </c>
      <c r="B770" s="176">
        <v>46047</v>
      </c>
      <c r="C770" s="172" t="s">
        <v>93</v>
      </c>
      <c r="D770" s="172" t="s">
        <v>24</v>
      </c>
      <c r="E770" s="172" t="s">
        <v>54</v>
      </c>
      <c r="F770" s="172" t="s">
        <v>121</v>
      </c>
      <c r="G770" s="172" t="s">
        <v>85</v>
      </c>
      <c r="H770" s="177">
        <v>1</v>
      </c>
      <c r="I770" s="178">
        <v>0</v>
      </c>
      <c r="J770" s="176">
        <v>46031</v>
      </c>
      <c r="K770" s="172" t="s">
        <v>94</v>
      </c>
      <c r="L770" s="172" t="s">
        <v>95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309</v>
      </c>
      <c r="B771" s="176">
        <v>46047</v>
      </c>
      <c r="C771" s="172" t="s">
        <v>82</v>
      </c>
      <c r="D771" s="172" t="s">
        <v>96</v>
      </c>
      <c r="E771" s="172" t="s">
        <v>54</v>
      </c>
      <c r="F771" s="172" t="s">
        <v>121</v>
      </c>
      <c r="G771" s="172" t="s">
        <v>85</v>
      </c>
      <c r="H771" s="177">
        <v>1</v>
      </c>
      <c r="I771" s="178">
        <v>0</v>
      </c>
      <c r="J771" s="176">
        <v>46031</v>
      </c>
      <c r="K771" s="172" t="s">
        <v>94</v>
      </c>
      <c r="L771" s="172" t="s">
        <v>95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310</v>
      </c>
      <c r="B772" s="176">
        <v>46047</v>
      </c>
      <c r="C772" s="172" t="s">
        <v>93</v>
      </c>
      <c r="D772" s="172" t="s">
        <v>24</v>
      </c>
      <c r="E772" s="172" t="s">
        <v>44</v>
      </c>
      <c r="F772" s="172" t="s">
        <v>126</v>
      </c>
      <c r="G772" s="172" t="s">
        <v>85</v>
      </c>
      <c r="H772" s="177">
        <v>1</v>
      </c>
      <c r="I772" s="178">
        <v>1750</v>
      </c>
      <c r="J772" s="176">
        <v>46042</v>
      </c>
      <c r="K772" s="172" t="s">
        <v>94</v>
      </c>
      <c r="L772" s="172" t="s">
        <v>95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310</v>
      </c>
      <c r="B773" s="176">
        <v>46047</v>
      </c>
      <c r="C773" s="172" t="s">
        <v>101</v>
      </c>
      <c r="D773" s="172" t="s">
        <v>102</v>
      </c>
      <c r="E773" s="172" t="s">
        <v>44</v>
      </c>
      <c r="F773" s="172" t="s">
        <v>126</v>
      </c>
      <c r="G773" s="172" t="s">
        <v>85</v>
      </c>
      <c r="H773" s="177">
        <v>1</v>
      </c>
      <c r="I773" s="178">
        <v>1750</v>
      </c>
      <c r="J773" s="176">
        <v>46042</v>
      </c>
      <c r="K773" s="172" t="s">
        <v>94</v>
      </c>
      <c r="L773" s="172" t="s">
        <v>95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310</v>
      </c>
      <c r="B774" s="176">
        <v>46047</v>
      </c>
      <c r="C774" s="172" t="s">
        <v>101</v>
      </c>
      <c r="D774" s="172" t="s">
        <v>103</v>
      </c>
      <c r="E774" s="172" t="s">
        <v>44</v>
      </c>
      <c r="F774" s="172" t="s">
        <v>126</v>
      </c>
      <c r="G774" s="172" t="s">
        <v>85</v>
      </c>
      <c r="H774" s="177">
        <v>1</v>
      </c>
      <c r="I774" s="178">
        <v>1750</v>
      </c>
      <c r="J774" s="176">
        <v>46042</v>
      </c>
      <c r="K774" s="172" t="s">
        <v>94</v>
      </c>
      <c r="L774" s="172" t="s">
        <v>95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310</v>
      </c>
      <c r="B775" s="176">
        <v>46047</v>
      </c>
      <c r="C775" s="172" t="s">
        <v>101</v>
      </c>
      <c r="D775" s="172" t="s">
        <v>104</v>
      </c>
      <c r="E775" s="172" t="s">
        <v>44</v>
      </c>
      <c r="F775" s="172" t="s">
        <v>126</v>
      </c>
      <c r="G775" s="172" t="s">
        <v>85</v>
      </c>
      <c r="H775" s="177">
        <v>1</v>
      </c>
      <c r="I775" s="178">
        <v>1750</v>
      </c>
      <c r="J775" s="176">
        <v>46042</v>
      </c>
      <c r="K775" s="172" t="s">
        <v>94</v>
      </c>
      <c r="L775" s="172" t="s">
        <v>95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310</v>
      </c>
      <c r="B776" s="176">
        <v>46047</v>
      </c>
      <c r="C776" s="172" t="s">
        <v>105</v>
      </c>
      <c r="D776" s="172" t="s">
        <v>106</v>
      </c>
      <c r="E776" s="172" t="s">
        <v>44</v>
      </c>
      <c r="F776" s="172" t="s">
        <v>126</v>
      </c>
      <c r="G776" s="172" t="s">
        <v>85</v>
      </c>
      <c r="H776" s="177">
        <v>1</v>
      </c>
      <c r="I776" s="178">
        <v>1750</v>
      </c>
      <c r="J776" s="176">
        <v>46042</v>
      </c>
      <c r="K776" s="172" t="s">
        <v>94</v>
      </c>
      <c r="L776" s="172" t="s">
        <v>95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310</v>
      </c>
      <c r="B777" s="176">
        <v>46047</v>
      </c>
      <c r="C777" s="172" t="s">
        <v>82</v>
      </c>
      <c r="D777" s="172" t="s">
        <v>96</v>
      </c>
      <c r="E777" s="172" t="s">
        <v>44</v>
      </c>
      <c r="F777" s="172" t="s">
        <v>126</v>
      </c>
      <c r="G777" s="172" t="s">
        <v>85</v>
      </c>
      <c r="H777" s="177">
        <v>1</v>
      </c>
      <c r="I777" s="178">
        <v>1750</v>
      </c>
      <c r="J777" s="176">
        <v>46042</v>
      </c>
      <c r="K777" s="172" t="s">
        <v>94</v>
      </c>
      <c r="L777" s="172" t="s">
        <v>95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311</v>
      </c>
      <c r="B778" s="176">
        <v>46047</v>
      </c>
      <c r="C778" s="172" t="s">
        <v>93</v>
      </c>
      <c r="D778" s="172" t="s">
        <v>24</v>
      </c>
      <c r="E778" s="172" t="s">
        <v>53</v>
      </c>
      <c r="F778" s="172" t="s">
        <v>91</v>
      </c>
      <c r="G778" s="172" t="s">
        <v>85</v>
      </c>
      <c r="H778" s="177">
        <v>1</v>
      </c>
      <c r="I778" s="178">
        <v>1885</v>
      </c>
      <c r="J778" s="176">
        <v>46041</v>
      </c>
      <c r="K778" s="172" t="s">
        <v>94</v>
      </c>
      <c r="L778" s="172" t="s">
        <v>95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311</v>
      </c>
      <c r="B779" s="176">
        <v>46047</v>
      </c>
      <c r="C779" s="172" t="s">
        <v>101</v>
      </c>
      <c r="D779" s="172" t="s">
        <v>102</v>
      </c>
      <c r="E779" s="172" t="s">
        <v>53</v>
      </c>
      <c r="F779" s="172" t="s">
        <v>91</v>
      </c>
      <c r="G779" s="172" t="s">
        <v>85</v>
      </c>
      <c r="H779" s="177">
        <v>1</v>
      </c>
      <c r="I779" s="178">
        <v>1885</v>
      </c>
      <c r="J779" s="176">
        <v>46041</v>
      </c>
      <c r="K779" s="172" t="s">
        <v>94</v>
      </c>
      <c r="L779" s="172" t="s">
        <v>95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311</v>
      </c>
      <c r="B780" s="176">
        <v>46047</v>
      </c>
      <c r="C780" s="172" t="s">
        <v>101</v>
      </c>
      <c r="D780" s="172" t="s">
        <v>103</v>
      </c>
      <c r="E780" s="172" t="s">
        <v>53</v>
      </c>
      <c r="F780" s="172" t="s">
        <v>91</v>
      </c>
      <c r="G780" s="172" t="s">
        <v>85</v>
      </c>
      <c r="H780" s="177">
        <v>1</v>
      </c>
      <c r="I780" s="178">
        <v>1885</v>
      </c>
      <c r="J780" s="176">
        <v>46041</v>
      </c>
      <c r="K780" s="172" t="s">
        <v>94</v>
      </c>
      <c r="L780" s="172" t="s">
        <v>95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311</v>
      </c>
      <c r="B781" s="176">
        <v>46047</v>
      </c>
      <c r="C781" s="172" t="s">
        <v>101</v>
      </c>
      <c r="D781" s="172" t="s">
        <v>104</v>
      </c>
      <c r="E781" s="172" t="s">
        <v>53</v>
      </c>
      <c r="F781" s="172" t="s">
        <v>91</v>
      </c>
      <c r="G781" s="172" t="s">
        <v>85</v>
      </c>
      <c r="H781" s="177">
        <v>1</v>
      </c>
      <c r="I781" s="178">
        <v>1885</v>
      </c>
      <c r="J781" s="176">
        <v>46041</v>
      </c>
      <c r="K781" s="172" t="s">
        <v>94</v>
      </c>
      <c r="L781" s="172" t="s">
        <v>95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311</v>
      </c>
      <c r="B782" s="176">
        <v>46047</v>
      </c>
      <c r="C782" s="172" t="s">
        <v>105</v>
      </c>
      <c r="D782" s="172" t="s">
        <v>106</v>
      </c>
      <c r="E782" s="172" t="s">
        <v>53</v>
      </c>
      <c r="F782" s="172" t="s">
        <v>91</v>
      </c>
      <c r="G782" s="172" t="s">
        <v>85</v>
      </c>
      <c r="H782" s="177">
        <v>1</v>
      </c>
      <c r="I782" s="178">
        <v>1885</v>
      </c>
      <c r="J782" s="176">
        <v>46041</v>
      </c>
      <c r="K782" s="172" t="s">
        <v>94</v>
      </c>
      <c r="L782" s="172" t="s">
        <v>95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311</v>
      </c>
      <c r="B783" s="176">
        <v>46047</v>
      </c>
      <c r="C783" s="172" t="s">
        <v>82</v>
      </c>
      <c r="D783" s="172" t="s">
        <v>96</v>
      </c>
      <c r="E783" s="172" t="s">
        <v>53</v>
      </c>
      <c r="F783" s="172" t="s">
        <v>91</v>
      </c>
      <c r="G783" s="172" t="s">
        <v>85</v>
      </c>
      <c r="H783" s="177">
        <v>1</v>
      </c>
      <c r="I783" s="178">
        <v>1885</v>
      </c>
      <c r="J783" s="176">
        <v>46041</v>
      </c>
      <c r="K783" s="172" t="s">
        <v>94</v>
      </c>
      <c r="L783" s="172" t="s">
        <v>95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312</v>
      </c>
      <c r="B784" s="176">
        <v>46047</v>
      </c>
      <c r="C784" s="172" t="s">
        <v>93</v>
      </c>
      <c r="D784" s="172" t="s">
        <v>24</v>
      </c>
      <c r="E784" s="172" t="s">
        <v>41</v>
      </c>
      <c r="F784" s="172" t="s">
        <v>198</v>
      </c>
      <c r="G784" s="172" t="s">
        <v>85</v>
      </c>
      <c r="H784" s="177">
        <v>1</v>
      </c>
      <c r="I784" s="178">
        <v>1750</v>
      </c>
      <c r="J784" s="176">
        <v>46040</v>
      </c>
      <c r="K784" s="172" t="s">
        <v>94</v>
      </c>
      <c r="L784" s="172" t="s">
        <v>95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312</v>
      </c>
      <c r="B785" s="176">
        <v>46047</v>
      </c>
      <c r="C785" s="172" t="s">
        <v>101</v>
      </c>
      <c r="D785" s="172" t="s">
        <v>102</v>
      </c>
      <c r="E785" s="172" t="s">
        <v>41</v>
      </c>
      <c r="F785" s="172" t="s">
        <v>198</v>
      </c>
      <c r="G785" s="172" t="s">
        <v>85</v>
      </c>
      <c r="H785" s="177">
        <v>1</v>
      </c>
      <c r="I785" s="178">
        <v>1750</v>
      </c>
      <c r="J785" s="176">
        <v>46040</v>
      </c>
      <c r="K785" s="172" t="s">
        <v>94</v>
      </c>
      <c r="L785" s="172" t="s">
        <v>95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312</v>
      </c>
      <c r="B786" s="176">
        <v>46047</v>
      </c>
      <c r="C786" s="172" t="s">
        <v>101</v>
      </c>
      <c r="D786" s="172" t="s">
        <v>103</v>
      </c>
      <c r="E786" s="172" t="s">
        <v>41</v>
      </c>
      <c r="F786" s="172" t="s">
        <v>198</v>
      </c>
      <c r="G786" s="172" t="s">
        <v>85</v>
      </c>
      <c r="H786" s="177">
        <v>1</v>
      </c>
      <c r="I786" s="178">
        <v>1750</v>
      </c>
      <c r="J786" s="176">
        <v>46040</v>
      </c>
      <c r="K786" s="172" t="s">
        <v>94</v>
      </c>
      <c r="L786" s="172" t="s">
        <v>95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312</v>
      </c>
      <c r="B787" s="176">
        <v>46047</v>
      </c>
      <c r="C787" s="172" t="s">
        <v>101</v>
      </c>
      <c r="D787" s="172" t="s">
        <v>104</v>
      </c>
      <c r="E787" s="172" t="s">
        <v>41</v>
      </c>
      <c r="F787" s="172" t="s">
        <v>198</v>
      </c>
      <c r="G787" s="172" t="s">
        <v>85</v>
      </c>
      <c r="H787" s="177">
        <v>1</v>
      </c>
      <c r="I787" s="178">
        <v>1750</v>
      </c>
      <c r="J787" s="176">
        <v>46040</v>
      </c>
      <c r="K787" s="172" t="s">
        <v>94</v>
      </c>
      <c r="L787" s="172" t="s">
        <v>95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312</v>
      </c>
      <c r="B788" s="176">
        <v>46047</v>
      </c>
      <c r="C788" s="172" t="s">
        <v>105</v>
      </c>
      <c r="D788" s="172" t="s">
        <v>106</v>
      </c>
      <c r="E788" s="172" t="s">
        <v>41</v>
      </c>
      <c r="F788" s="172" t="s">
        <v>198</v>
      </c>
      <c r="G788" s="172" t="s">
        <v>85</v>
      </c>
      <c r="H788" s="177">
        <v>1</v>
      </c>
      <c r="I788" s="178">
        <v>1750</v>
      </c>
      <c r="J788" s="176">
        <v>46040</v>
      </c>
      <c r="K788" s="172" t="s">
        <v>94</v>
      </c>
      <c r="L788" s="172" t="s">
        <v>95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312</v>
      </c>
      <c r="B789" s="176">
        <v>46047</v>
      </c>
      <c r="C789" s="172" t="s">
        <v>82</v>
      </c>
      <c r="D789" s="172" t="s">
        <v>96</v>
      </c>
      <c r="E789" s="172" t="s">
        <v>41</v>
      </c>
      <c r="F789" s="172" t="s">
        <v>198</v>
      </c>
      <c r="G789" s="172" t="s">
        <v>85</v>
      </c>
      <c r="H789" s="177">
        <v>1</v>
      </c>
      <c r="I789" s="178">
        <v>1750</v>
      </c>
      <c r="J789" s="176">
        <v>46040</v>
      </c>
      <c r="K789" s="172" t="s">
        <v>94</v>
      </c>
      <c r="L789" s="172" t="s">
        <v>95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309</v>
      </c>
      <c r="B790" s="176">
        <v>46047</v>
      </c>
      <c r="C790" s="172" t="s">
        <v>93</v>
      </c>
      <c r="D790" s="172" t="s">
        <v>97</v>
      </c>
      <c r="E790" s="172" t="s">
        <v>54</v>
      </c>
      <c r="F790" s="172" t="s">
        <v>121</v>
      </c>
      <c r="G790" s="172" t="s">
        <v>85</v>
      </c>
      <c r="H790" s="177">
        <v>1</v>
      </c>
      <c r="I790" s="178">
        <v>0</v>
      </c>
      <c r="J790" s="176">
        <v>46031</v>
      </c>
      <c r="K790" s="172" t="s">
        <v>94</v>
      </c>
      <c r="L790" s="172" t="s">
        <v>95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309</v>
      </c>
      <c r="B791" s="176">
        <v>46047</v>
      </c>
      <c r="C791" s="172" t="s">
        <v>93</v>
      </c>
      <c r="D791" s="172" t="s">
        <v>98</v>
      </c>
      <c r="E791" s="172" t="s">
        <v>54</v>
      </c>
      <c r="F791" s="172" t="s">
        <v>121</v>
      </c>
      <c r="G791" s="172" t="s">
        <v>85</v>
      </c>
      <c r="H791" s="177">
        <v>1</v>
      </c>
      <c r="I791" s="178">
        <v>0</v>
      </c>
      <c r="J791" s="176">
        <v>46031</v>
      </c>
      <c r="K791" s="172" t="s">
        <v>94</v>
      </c>
      <c r="L791" s="172" t="s">
        <v>95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309</v>
      </c>
      <c r="B792" s="176">
        <v>46047</v>
      </c>
      <c r="C792" s="172" t="s">
        <v>82</v>
      </c>
      <c r="D792" s="172" t="s">
        <v>99</v>
      </c>
      <c r="E792" s="172" t="s">
        <v>54</v>
      </c>
      <c r="F792" s="172" t="s">
        <v>121</v>
      </c>
      <c r="G792" s="172" t="s">
        <v>85</v>
      </c>
      <c r="H792" s="177">
        <v>1</v>
      </c>
      <c r="I792" s="178">
        <v>0</v>
      </c>
      <c r="J792" s="176">
        <v>46031</v>
      </c>
      <c r="K792" s="172" t="s">
        <v>94</v>
      </c>
      <c r="L792" s="172" t="s">
        <v>95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313</v>
      </c>
      <c r="B793" s="176">
        <v>46047</v>
      </c>
      <c r="C793" s="172" t="s">
        <v>93</v>
      </c>
      <c r="D793" s="172" t="s">
        <v>24</v>
      </c>
      <c r="E793" s="172" t="s">
        <v>43</v>
      </c>
      <c r="F793" s="172" t="s">
        <v>90</v>
      </c>
      <c r="G793" s="172" t="s">
        <v>85</v>
      </c>
      <c r="H793" s="177">
        <v>1</v>
      </c>
      <c r="I793" s="178">
        <v>1750</v>
      </c>
      <c r="J793" s="176">
        <v>46041</v>
      </c>
      <c r="K793" s="172" t="s">
        <v>94</v>
      </c>
      <c r="L793" s="172" t="s">
        <v>95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313</v>
      </c>
      <c r="B794" s="176">
        <v>46047</v>
      </c>
      <c r="C794" s="172" t="s">
        <v>101</v>
      </c>
      <c r="D794" s="172" t="s">
        <v>102</v>
      </c>
      <c r="E794" s="172" t="s">
        <v>43</v>
      </c>
      <c r="F794" s="172" t="s">
        <v>90</v>
      </c>
      <c r="G794" s="172" t="s">
        <v>85</v>
      </c>
      <c r="H794" s="177">
        <v>1</v>
      </c>
      <c r="I794" s="178">
        <v>1750</v>
      </c>
      <c r="J794" s="176">
        <v>46041</v>
      </c>
      <c r="K794" s="172" t="s">
        <v>94</v>
      </c>
      <c r="L794" s="172" t="s">
        <v>95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313</v>
      </c>
      <c r="B795" s="176">
        <v>46047</v>
      </c>
      <c r="C795" s="172" t="s">
        <v>101</v>
      </c>
      <c r="D795" s="172" t="s">
        <v>103</v>
      </c>
      <c r="E795" s="172" t="s">
        <v>43</v>
      </c>
      <c r="F795" s="172" t="s">
        <v>90</v>
      </c>
      <c r="G795" s="172" t="s">
        <v>85</v>
      </c>
      <c r="H795" s="177">
        <v>1</v>
      </c>
      <c r="I795" s="178">
        <v>1750</v>
      </c>
      <c r="J795" s="176">
        <v>46041</v>
      </c>
      <c r="K795" s="172" t="s">
        <v>94</v>
      </c>
      <c r="L795" s="172" t="s">
        <v>95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313</v>
      </c>
      <c r="B796" s="176">
        <v>46047</v>
      </c>
      <c r="C796" s="172" t="s">
        <v>101</v>
      </c>
      <c r="D796" s="172" t="s">
        <v>104</v>
      </c>
      <c r="E796" s="172" t="s">
        <v>43</v>
      </c>
      <c r="F796" s="172" t="s">
        <v>90</v>
      </c>
      <c r="G796" s="172" t="s">
        <v>85</v>
      </c>
      <c r="H796" s="177">
        <v>1</v>
      </c>
      <c r="I796" s="178">
        <v>1750</v>
      </c>
      <c r="J796" s="176">
        <v>46041</v>
      </c>
      <c r="K796" s="172" t="s">
        <v>94</v>
      </c>
      <c r="L796" s="172" t="s">
        <v>95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313</v>
      </c>
      <c r="B797" s="176">
        <v>46047</v>
      </c>
      <c r="C797" s="172" t="s">
        <v>105</v>
      </c>
      <c r="D797" s="172" t="s">
        <v>106</v>
      </c>
      <c r="E797" s="172" t="s">
        <v>43</v>
      </c>
      <c r="F797" s="172" t="s">
        <v>90</v>
      </c>
      <c r="G797" s="172" t="s">
        <v>85</v>
      </c>
      <c r="H797" s="177">
        <v>1</v>
      </c>
      <c r="I797" s="178">
        <v>1750</v>
      </c>
      <c r="J797" s="176">
        <v>46041</v>
      </c>
      <c r="K797" s="172" t="s">
        <v>94</v>
      </c>
      <c r="L797" s="172" t="s">
        <v>95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313</v>
      </c>
      <c r="B798" s="176">
        <v>46047</v>
      </c>
      <c r="C798" s="172" t="s">
        <v>82</v>
      </c>
      <c r="D798" s="172" t="s">
        <v>96</v>
      </c>
      <c r="E798" s="172" t="s">
        <v>43</v>
      </c>
      <c r="F798" s="172" t="s">
        <v>90</v>
      </c>
      <c r="G798" s="172" t="s">
        <v>85</v>
      </c>
      <c r="H798" s="177">
        <v>1</v>
      </c>
      <c r="I798" s="178">
        <v>1750</v>
      </c>
      <c r="J798" s="176">
        <v>46041</v>
      </c>
      <c r="K798" s="172" t="s">
        <v>94</v>
      </c>
      <c r="L798" s="172" t="s">
        <v>95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310</v>
      </c>
      <c r="B799" s="176">
        <v>46047</v>
      </c>
      <c r="C799" s="172" t="s">
        <v>82</v>
      </c>
      <c r="D799" s="172" t="s">
        <v>83</v>
      </c>
      <c r="E799" s="172" t="s">
        <v>44</v>
      </c>
      <c r="F799" s="172" t="s">
        <v>126</v>
      </c>
      <c r="G799" s="172" t="s">
        <v>85</v>
      </c>
      <c r="H799" s="177">
        <v>1</v>
      </c>
      <c r="I799" s="178">
        <v>0</v>
      </c>
      <c r="J799" s="176">
        <v>46042</v>
      </c>
      <c r="K799" s="172" t="s">
        <v>86</v>
      </c>
      <c r="L799" s="172" t="s">
        <v>86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312</v>
      </c>
      <c r="B800" s="176">
        <v>46047</v>
      </c>
      <c r="C800" s="172" t="s">
        <v>82</v>
      </c>
      <c r="D800" s="172" t="s">
        <v>83</v>
      </c>
      <c r="E800" s="172" t="s">
        <v>41</v>
      </c>
      <c r="F800" s="172" t="s">
        <v>198</v>
      </c>
      <c r="G800" s="172" t="s">
        <v>85</v>
      </c>
      <c r="H800" s="177">
        <v>1</v>
      </c>
      <c r="I800" s="178">
        <v>0</v>
      </c>
      <c r="J800" s="176">
        <v>46040</v>
      </c>
      <c r="K800" s="172" t="s">
        <v>86</v>
      </c>
      <c r="L800" s="172" t="s">
        <v>86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314</v>
      </c>
      <c r="B801" s="176">
        <v>46047</v>
      </c>
      <c r="C801" s="172" t="s">
        <v>93</v>
      </c>
      <c r="D801" s="172" t="s">
        <v>24</v>
      </c>
      <c r="E801" s="172" t="s">
        <v>40</v>
      </c>
      <c r="F801" s="172" t="s">
        <v>118</v>
      </c>
      <c r="G801" s="172" t="s">
        <v>85</v>
      </c>
      <c r="H801" s="177">
        <v>1</v>
      </c>
      <c r="I801" s="178">
        <v>1750</v>
      </c>
      <c r="J801" s="176">
        <v>46044</v>
      </c>
      <c r="K801" s="172" t="s">
        <v>94</v>
      </c>
      <c r="L801" s="172" t="s">
        <v>95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314</v>
      </c>
      <c r="B802" s="176">
        <v>46047</v>
      </c>
      <c r="C802" s="172" t="s">
        <v>101</v>
      </c>
      <c r="D802" s="172" t="s">
        <v>102</v>
      </c>
      <c r="E802" s="172" t="s">
        <v>40</v>
      </c>
      <c r="F802" s="172" t="s">
        <v>118</v>
      </c>
      <c r="G802" s="172" t="s">
        <v>85</v>
      </c>
      <c r="H802" s="177">
        <v>1</v>
      </c>
      <c r="I802" s="178">
        <v>1750</v>
      </c>
      <c r="J802" s="176">
        <v>46044</v>
      </c>
      <c r="K802" s="172" t="s">
        <v>94</v>
      </c>
      <c r="L802" s="172" t="s">
        <v>95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314</v>
      </c>
      <c r="B803" s="176">
        <v>46047</v>
      </c>
      <c r="C803" s="172" t="s">
        <v>101</v>
      </c>
      <c r="D803" s="172" t="s">
        <v>103</v>
      </c>
      <c r="E803" s="172" t="s">
        <v>40</v>
      </c>
      <c r="F803" s="172" t="s">
        <v>118</v>
      </c>
      <c r="G803" s="172" t="s">
        <v>85</v>
      </c>
      <c r="H803" s="177">
        <v>1</v>
      </c>
      <c r="I803" s="178">
        <v>1750</v>
      </c>
      <c r="J803" s="176">
        <v>46044</v>
      </c>
      <c r="K803" s="172" t="s">
        <v>94</v>
      </c>
      <c r="L803" s="172" t="s">
        <v>95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314</v>
      </c>
      <c r="B804" s="176">
        <v>46047</v>
      </c>
      <c r="C804" s="172" t="s">
        <v>101</v>
      </c>
      <c r="D804" s="172" t="s">
        <v>104</v>
      </c>
      <c r="E804" s="172" t="s">
        <v>40</v>
      </c>
      <c r="F804" s="172" t="s">
        <v>118</v>
      </c>
      <c r="G804" s="172" t="s">
        <v>85</v>
      </c>
      <c r="H804" s="177">
        <v>1</v>
      </c>
      <c r="I804" s="178">
        <v>1750</v>
      </c>
      <c r="J804" s="176">
        <v>46044</v>
      </c>
      <c r="K804" s="172" t="s">
        <v>94</v>
      </c>
      <c r="L804" s="172" t="s">
        <v>95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314</v>
      </c>
      <c r="B805" s="176">
        <v>46047</v>
      </c>
      <c r="C805" s="172" t="s">
        <v>105</v>
      </c>
      <c r="D805" s="172" t="s">
        <v>106</v>
      </c>
      <c r="E805" s="172" t="s">
        <v>40</v>
      </c>
      <c r="F805" s="172" t="s">
        <v>118</v>
      </c>
      <c r="G805" s="172" t="s">
        <v>85</v>
      </c>
      <c r="H805" s="177">
        <v>1</v>
      </c>
      <c r="I805" s="178">
        <v>1750</v>
      </c>
      <c r="J805" s="176">
        <v>46044</v>
      </c>
      <c r="K805" s="172" t="s">
        <v>94</v>
      </c>
      <c r="L805" s="172" t="s">
        <v>95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314</v>
      </c>
      <c r="B806" s="176">
        <v>46047</v>
      </c>
      <c r="C806" s="172" t="s">
        <v>82</v>
      </c>
      <c r="D806" s="172" t="s">
        <v>96</v>
      </c>
      <c r="E806" s="172" t="s">
        <v>40</v>
      </c>
      <c r="F806" s="172" t="s">
        <v>118</v>
      </c>
      <c r="G806" s="172" t="s">
        <v>85</v>
      </c>
      <c r="H806" s="177">
        <v>1</v>
      </c>
      <c r="I806" s="178">
        <v>1750</v>
      </c>
      <c r="J806" s="176">
        <v>46044</v>
      </c>
      <c r="K806" s="172" t="s">
        <v>94</v>
      </c>
      <c r="L806" s="172" t="s">
        <v>95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315</v>
      </c>
      <c r="B807" s="176">
        <v>46047</v>
      </c>
      <c r="C807" s="172" t="s">
        <v>93</v>
      </c>
      <c r="D807" s="172" t="s">
        <v>24</v>
      </c>
      <c r="E807" s="172" t="s">
        <v>54</v>
      </c>
      <c r="F807" s="172" t="s">
        <v>121</v>
      </c>
      <c r="G807" s="172" t="s">
        <v>85</v>
      </c>
      <c r="H807" s="177">
        <v>1</v>
      </c>
      <c r="I807" s="178">
        <v>1845</v>
      </c>
      <c r="J807" s="176">
        <v>46044</v>
      </c>
      <c r="K807" s="172" t="s">
        <v>94</v>
      </c>
      <c r="L807" s="172" t="s">
        <v>95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315</v>
      </c>
      <c r="B808" s="176">
        <v>46047</v>
      </c>
      <c r="C808" s="172" t="s">
        <v>101</v>
      </c>
      <c r="D808" s="172" t="s">
        <v>102</v>
      </c>
      <c r="E808" s="172" t="s">
        <v>54</v>
      </c>
      <c r="F808" s="172" t="s">
        <v>121</v>
      </c>
      <c r="G808" s="172" t="s">
        <v>85</v>
      </c>
      <c r="H808" s="177">
        <v>1</v>
      </c>
      <c r="I808" s="178">
        <v>1845</v>
      </c>
      <c r="J808" s="176">
        <v>46044</v>
      </c>
      <c r="K808" s="172" t="s">
        <v>94</v>
      </c>
      <c r="L808" s="172" t="s">
        <v>95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315</v>
      </c>
      <c r="B809" s="176">
        <v>46047</v>
      </c>
      <c r="C809" s="172" t="s">
        <v>101</v>
      </c>
      <c r="D809" s="172" t="s">
        <v>103</v>
      </c>
      <c r="E809" s="172" t="s">
        <v>54</v>
      </c>
      <c r="F809" s="172" t="s">
        <v>121</v>
      </c>
      <c r="G809" s="172" t="s">
        <v>85</v>
      </c>
      <c r="H809" s="177">
        <v>1</v>
      </c>
      <c r="I809" s="178">
        <v>1845</v>
      </c>
      <c r="J809" s="176">
        <v>46044</v>
      </c>
      <c r="K809" s="172" t="s">
        <v>94</v>
      </c>
      <c r="L809" s="172" t="s">
        <v>95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315</v>
      </c>
      <c r="B810" s="176">
        <v>46047</v>
      </c>
      <c r="C810" s="172" t="s">
        <v>101</v>
      </c>
      <c r="D810" s="172" t="s">
        <v>104</v>
      </c>
      <c r="E810" s="172" t="s">
        <v>54</v>
      </c>
      <c r="F810" s="172" t="s">
        <v>121</v>
      </c>
      <c r="G810" s="172" t="s">
        <v>85</v>
      </c>
      <c r="H810" s="177">
        <v>1</v>
      </c>
      <c r="I810" s="178">
        <v>1845</v>
      </c>
      <c r="J810" s="176">
        <v>46044</v>
      </c>
      <c r="K810" s="172" t="s">
        <v>94</v>
      </c>
      <c r="L810" s="172" t="s">
        <v>95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315</v>
      </c>
      <c r="B811" s="176">
        <v>46047</v>
      </c>
      <c r="C811" s="172" t="s">
        <v>105</v>
      </c>
      <c r="D811" s="172" t="s">
        <v>106</v>
      </c>
      <c r="E811" s="172" t="s">
        <v>54</v>
      </c>
      <c r="F811" s="172" t="s">
        <v>121</v>
      </c>
      <c r="G811" s="172" t="s">
        <v>85</v>
      </c>
      <c r="H811" s="177">
        <v>1</v>
      </c>
      <c r="I811" s="178">
        <v>1845</v>
      </c>
      <c r="J811" s="176">
        <v>46044</v>
      </c>
      <c r="K811" s="172" t="s">
        <v>94</v>
      </c>
      <c r="L811" s="172" t="s">
        <v>95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315</v>
      </c>
      <c r="B812" s="176">
        <v>46047</v>
      </c>
      <c r="C812" s="172" t="s">
        <v>82</v>
      </c>
      <c r="D812" s="172" t="s">
        <v>96</v>
      </c>
      <c r="E812" s="172" t="s">
        <v>54</v>
      </c>
      <c r="F812" s="172" t="s">
        <v>121</v>
      </c>
      <c r="G812" s="172" t="s">
        <v>85</v>
      </c>
      <c r="H812" s="177">
        <v>1</v>
      </c>
      <c r="I812" s="178">
        <v>1845</v>
      </c>
      <c r="J812" s="176">
        <v>46044</v>
      </c>
      <c r="K812" s="172" t="s">
        <v>94</v>
      </c>
      <c r="L812" s="172" t="s">
        <v>95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316</v>
      </c>
      <c r="B813" s="176">
        <v>46047</v>
      </c>
      <c r="C813" s="172" t="s">
        <v>93</v>
      </c>
      <c r="D813" s="172" t="s">
        <v>24</v>
      </c>
      <c r="E813" s="172" t="s">
        <v>53</v>
      </c>
      <c r="F813" s="172" t="s">
        <v>91</v>
      </c>
      <c r="G813" s="172" t="s">
        <v>85</v>
      </c>
      <c r="H813" s="177">
        <v>1</v>
      </c>
      <c r="I813" s="178">
        <v>1885</v>
      </c>
      <c r="J813" s="176">
        <v>46044</v>
      </c>
      <c r="K813" s="172" t="s">
        <v>94</v>
      </c>
      <c r="L813" s="172" t="s">
        <v>95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316</v>
      </c>
      <c r="B814" s="176">
        <v>46047</v>
      </c>
      <c r="C814" s="172" t="s">
        <v>101</v>
      </c>
      <c r="D814" s="172" t="s">
        <v>102</v>
      </c>
      <c r="E814" s="172" t="s">
        <v>53</v>
      </c>
      <c r="F814" s="172" t="s">
        <v>91</v>
      </c>
      <c r="G814" s="172" t="s">
        <v>85</v>
      </c>
      <c r="H814" s="177">
        <v>1</v>
      </c>
      <c r="I814" s="178">
        <v>1885</v>
      </c>
      <c r="J814" s="176">
        <v>46044</v>
      </c>
      <c r="K814" s="172" t="s">
        <v>94</v>
      </c>
      <c r="L814" s="172" t="s">
        <v>95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316</v>
      </c>
      <c r="B815" s="176">
        <v>46047</v>
      </c>
      <c r="C815" s="172" t="s">
        <v>101</v>
      </c>
      <c r="D815" s="172" t="s">
        <v>103</v>
      </c>
      <c r="E815" s="172" t="s">
        <v>53</v>
      </c>
      <c r="F815" s="172" t="s">
        <v>91</v>
      </c>
      <c r="G815" s="172" t="s">
        <v>85</v>
      </c>
      <c r="H815" s="177">
        <v>1</v>
      </c>
      <c r="I815" s="178">
        <v>1885</v>
      </c>
      <c r="J815" s="176">
        <v>46044</v>
      </c>
      <c r="K815" s="172" t="s">
        <v>94</v>
      </c>
      <c r="L815" s="172" t="s">
        <v>95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316</v>
      </c>
      <c r="B816" s="176">
        <v>46047</v>
      </c>
      <c r="C816" s="172" t="s">
        <v>101</v>
      </c>
      <c r="D816" s="172" t="s">
        <v>104</v>
      </c>
      <c r="E816" s="172" t="s">
        <v>53</v>
      </c>
      <c r="F816" s="172" t="s">
        <v>91</v>
      </c>
      <c r="G816" s="172" t="s">
        <v>85</v>
      </c>
      <c r="H816" s="177">
        <v>1</v>
      </c>
      <c r="I816" s="178">
        <v>1885</v>
      </c>
      <c r="J816" s="176">
        <v>46044</v>
      </c>
      <c r="K816" s="172" t="s">
        <v>94</v>
      </c>
      <c r="L816" s="172" t="s">
        <v>95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316</v>
      </c>
      <c r="B817" s="176">
        <v>46047</v>
      </c>
      <c r="C817" s="172" t="s">
        <v>105</v>
      </c>
      <c r="D817" s="172" t="s">
        <v>106</v>
      </c>
      <c r="E817" s="172" t="s">
        <v>53</v>
      </c>
      <c r="F817" s="172" t="s">
        <v>91</v>
      </c>
      <c r="G817" s="172" t="s">
        <v>85</v>
      </c>
      <c r="H817" s="177">
        <v>1</v>
      </c>
      <c r="I817" s="178">
        <v>1885</v>
      </c>
      <c r="J817" s="176">
        <v>46044</v>
      </c>
      <c r="K817" s="172" t="s">
        <v>94</v>
      </c>
      <c r="L817" s="172" t="s">
        <v>95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316</v>
      </c>
      <c r="B818" s="176">
        <v>46047</v>
      </c>
      <c r="C818" s="172" t="s">
        <v>82</v>
      </c>
      <c r="D818" s="172" t="s">
        <v>96</v>
      </c>
      <c r="E818" s="172" t="s">
        <v>53</v>
      </c>
      <c r="F818" s="172" t="s">
        <v>91</v>
      </c>
      <c r="G818" s="172" t="s">
        <v>85</v>
      </c>
      <c r="H818" s="177">
        <v>1</v>
      </c>
      <c r="I818" s="178">
        <v>1885</v>
      </c>
      <c r="J818" s="176">
        <v>46044</v>
      </c>
      <c r="K818" s="172" t="s">
        <v>94</v>
      </c>
      <c r="L818" s="172" t="s">
        <v>95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314</v>
      </c>
      <c r="B819" s="176">
        <v>46047</v>
      </c>
      <c r="C819" s="172" t="s">
        <v>82</v>
      </c>
      <c r="D819" s="172" t="s">
        <v>83</v>
      </c>
      <c r="E819" s="172" t="s">
        <v>40</v>
      </c>
      <c r="F819" s="172" t="s">
        <v>118</v>
      </c>
      <c r="G819" s="172" t="s">
        <v>85</v>
      </c>
      <c r="H819" s="177">
        <v>1</v>
      </c>
      <c r="I819" s="178">
        <v>0</v>
      </c>
      <c r="J819" s="176">
        <v>46044</v>
      </c>
      <c r="K819" s="172" t="s">
        <v>86</v>
      </c>
      <c r="L819" s="172" t="s">
        <v>86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316</v>
      </c>
      <c r="B820" s="176">
        <v>46047</v>
      </c>
      <c r="C820" s="172" t="s">
        <v>82</v>
      </c>
      <c r="D820" s="172" t="s">
        <v>83</v>
      </c>
      <c r="E820" s="172" t="s">
        <v>53</v>
      </c>
      <c r="F820" s="172" t="s">
        <v>91</v>
      </c>
      <c r="G820" s="172" t="s">
        <v>85</v>
      </c>
      <c r="H820" s="177">
        <v>1</v>
      </c>
      <c r="I820" s="178">
        <v>0</v>
      </c>
      <c r="J820" s="176">
        <v>46044</v>
      </c>
      <c r="K820" s="172" t="s">
        <v>86</v>
      </c>
      <c r="L820" s="172" t="s">
        <v>86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317</v>
      </c>
      <c r="B821" s="176">
        <v>46047</v>
      </c>
      <c r="C821" s="172" t="s">
        <v>93</v>
      </c>
      <c r="D821" s="172" t="s">
        <v>24</v>
      </c>
      <c r="E821" s="172" t="s">
        <v>43</v>
      </c>
      <c r="F821" s="172" t="s">
        <v>90</v>
      </c>
      <c r="G821" s="172" t="s">
        <v>85</v>
      </c>
      <c r="H821" s="177">
        <v>1</v>
      </c>
      <c r="I821" s="178">
        <v>1750</v>
      </c>
      <c r="J821" s="176">
        <v>46046</v>
      </c>
      <c r="K821" s="172" t="s">
        <v>94</v>
      </c>
      <c r="L821" s="172" t="s">
        <v>95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317</v>
      </c>
      <c r="B822" s="176">
        <v>46047</v>
      </c>
      <c r="C822" s="172" t="s">
        <v>101</v>
      </c>
      <c r="D822" s="172" t="s">
        <v>102</v>
      </c>
      <c r="E822" s="172" t="s">
        <v>43</v>
      </c>
      <c r="F822" s="172" t="s">
        <v>90</v>
      </c>
      <c r="G822" s="172" t="s">
        <v>85</v>
      </c>
      <c r="H822" s="177">
        <v>1</v>
      </c>
      <c r="I822" s="178">
        <v>1750</v>
      </c>
      <c r="J822" s="176">
        <v>46046</v>
      </c>
      <c r="K822" s="172" t="s">
        <v>94</v>
      </c>
      <c r="L822" s="172" t="s">
        <v>95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317</v>
      </c>
      <c r="B823" s="176">
        <v>46047</v>
      </c>
      <c r="C823" s="172" t="s">
        <v>101</v>
      </c>
      <c r="D823" s="172" t="s">
        <v>103</v>
      </c>
      <c r="E823" s="172" t="s">
        <v>43</v>
      </c>
      <c r="F823" s="172" t="s">
        <v>90</v>
      </c>
      <c r="G823" s="172" t="s">
        <v>85</v>
      </c>
      <c r="H823" s="177">
        <v>1</v>
      </c>
      <c r="I823" s="178">
        <v>1750</v>
      </c>
      <c r="J823" s="176">
        <v>46046</v>
      </c>
      <c r="K823" s="172" t="s">
        <v>94</v>
      </c>
      <c r="L823" s="172" t="s">
        <v>95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317</v>
      </c>
      <c r="B824" s="176">
        <v>46047</v>
      </c>
      <c r="C824" s="172" t="s">
        <v>101</v>
      </c>
      <c r="D824" s="172" t="s">
        <v>104</v>
      </c>
      <c r="E824" s="172" t="s">
        <v>43</v>
      </c>
      <c r="F824" s="172" t="s">
        <v>90</v>
      </c>
      <c r="G824" s="172" t="s">
        <v>85</v>
      </c>
      <c r="H824" s="177">
        <v>1</v>
      </c>
      <c r="I824" s="178">
        <v>1750</v>
      </c>
      <c r="J824" s="176">
        <v>46046</v>
      </c>
      <c r="K824" s="172" t="s">
        <v>94</v>
      </c>
      <c r="L824" s="172" t="s">
        <v>95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317</v>
      </c>
      <c r="B825" s="176">
        <v>46047</v>
      </c>
      <c r="C825" s="172" t="s">
        <v>105</v>
      </c>
      <c r="D825" s="172" t="s">
        <v>106</v>
      </c>
      <c r="E825" s="172" t="s">
        <v>43</v>
      </c>
      <c r="F825" s="172" t="s">
        <v>90</v>
      </c>
      <c r="G825" s="172" t="s">
        <v>85</v>
      </c>
      <c r="H825" s="177">
        <v>1</v>
      </c>
      <c r="I825" s="178">
        <v>1750</v>
      </c>
      <c r="J825" s="176">
        <v>46046</v>
      </c>
      <c r="K825" s="172" t="s">
        <v>94</v>
      </c>
      <c r="L825" s="172" t="s">
        <v>95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317</v>
      </c>
      <c r="B826" s="176">
        <v>46047</v>
      </c>
      <c r="C826" s="172" t="s">
        <v>82</v>
      </c>
      <c r="D826" s="172" t="s">
        <v>96</v>
      </c>
      <c r="E826" s="172" t="s">
        <v>43</v>
      </c>
      <c r="F826" s="172" t="s">
        <v>90</v>
      </c>
      <c r="G826" s="172" t="s">
        <v>85</v>
      </c>
      <c r="H826" s="177">
        <v>1</v>
      </c>
      <c r="I826" s="178">
        <v>1750</v>
      </c>
      <c r="J826" s="176">
        <v>46046</v>
      </c>
      <c r="K826" s="172" t="s">
        <v>94</v>
      </c>
      <c r="L826" s="172" t="s">
        <v>95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317</v>
      </c>
      <c r="B827" s="176">
        <v>46047</v>
      </c>
      <c r="C827" s="172" t="s">
        <v>82</v>
      </c>
      <c r="D827" s="172" t="s">
        <v>83</v>
      </c>
      <c r="E827" s="172" t="s">
        <v>43</v>
      </c>
      <c r="F827" s="172" t="s">
        <v>90</v>
      </c>
      <c r="G827" s="172" t="s">
        <v>85</v>
      </c>
      <c r="H827" s="177">
        <v>1</v>
      </c>
      <c r="I827" s="178">
        <v>0</v>
      </c>
      <c r="J827" s="176">
        <v>46046</v>
      </c>
      <c r="K827" s="172" t="s">
        <v>86</v>
      </c>
      <c r="L827" s="172" t="s">
        <v>86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318</v>
      </c>
      <c r="B828" s="176">
        <v>46047</v>
      </c>
      <c r="C828" s="172" t="s">
        <v>93</v>
      </c>
      <c r="D828" s="172" t="s">
        <v>24</v>
      </c>
      <c r="E828" s="172" t="s">
        <v>54</v>
      </c>
      <c r="F828" s="172" t="s">
        <v>121</v>
      </c>
      <c r="G828" s="172" t="s">
        <v>85</v>
      </c>
      <c r="H828" s="177">
        <v>1</v>
      </c>
      <c r="I828" s="178">
        <v>1812</v>
      </c>
      <c r="J828" s="176">
        <v>46045</v>
      </c>
      <c r="K828" s="172" t="s">
        <v>94</v>
      </c>
      <c r="L828" s="172" t="s">
        <v>95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318</v>
      </c>
      <c r="B829" s="176">
        <v>46047</v>
      </c>
      <c r="C829" s="172" t="s">
        <v>101</v>
      </c>
      <c r="D829" s="172" t="s">
        <v>102</v>
      </c>
      <c r="E829" s="172" t="s">
        <v>54</v>
      </c>
      <c r="F829" s="172" t="s">
        <v>121</v>
      </c>
      <c r="G829" s="172" t="s">
        <v>85</v>
      </c>
      <c r="H829" s="177">
        <v>1</v>
      </c>
      <c r="I829" s="178">
        <v>1812</v>
      </c>
      <c r="J829" s="176">
        <v>46045</v>
      </c>
      <c r="K829" s="172" t="s">
        <v>94</v>
      </c>
      <c r="L829" s="172" t="s">
        <v>95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318</v>
      </c>
      <c r="B830" s="176">
        <v>46047</v>
      </c>
      <c r="C830" s="172" t="s">
        <v>101</v>
      </c>
      <c r="D830" s="172" t="s">
        <v>103</v>
      </c>
      <c r="E830" s="172" t="s">
        <v>54</v>
      </c>
      <c r="F830" s="172" t="s">
        <v>121</v>
      </c>
      <c r="G830" s="172" t="s">
        <v>85</v>
      </c>
      <c r="H830" s="177">
        <v>1</v>
      </c>
      <c r="I830" s="178">
        <v>1812</v>
      </c>
      <c r="J830" s="176">
        <v>46045</v>
      </c>
      <c r="K830" s="172" t="s">
        <v>94</v>
      </c>
      <c r="L830" s="172" t="s">
        <v>95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318</v>
      </c>
      <c r="B831" s="176">
        <v>46047</v>
      </c>
      <c r="C831" s="172" t="s">
        <v>101</v>
      </c>
      <c r="D831" s="172" t="s">
        <v>104</v>
      </c>
      <c r="E831" s="172" t="s">
        <v>54</v>
      </c>
      <c r="F831" s="172" t="s">
        <v>121</v>
      </c>
      <c r="G831" s="172" t="s">
        <v>85</v>
      </c>
      <c r="H831" s="177">
        <v>1</v>
      </c>
      <c r="I831" s="178">
        <v>1812</v>
      </c>
      <c r="J831" s="176">
        <v>46045</v>
      </c>
      <c r="K831" s="172" t="s">
        <v>94</v>
      </c>
      <c r="L831" s="172" t="s">
        <v>95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318</v>
      </c>
      <c r="B832" s="176">
        <v>46047</v>
      </c>
      <c r="C832" s="172" t="s">
        <v>105</v>
      </c>
      <c r="D832" s="172" t="s">
        <v>106</v>
      </c>
      <c r="E832" s="172" t="s">
        <v>54</v>
      </c>
      <c r="F832" s="172" t="s">
        <v>121</v>
      </c>
      <c r="G832" s="172" t="s">
        <v>85</v>
      </c>
      <c r="H832" s="177">
        <v>1</v>
      </c>
      <c r="I832" s="178">
        <v>1812</v>
      </c>
      <c r="J832" s="176">
        <v>46045</v>
      </c>
      <c r="K832" s="172" t="s">
        <v>94</v>
      </c>
      <c r="L832" s="172" t="s">
        <v>95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318</v>
      </c>
      <c r="B833" s="176">
        <v>46047</v>
      </c>
      <c r="C833" s="172" t="s">
        <v>82</v>
      </c>
      <c r="D833" s="172" t="s">
        <v>96</v>
      </c>
      <c r="E833" s="172" t="s">
        <v>54</v>
      </c>
      <c r="F833" s="172" t="s">
        <v>121</v>
      </c>
      <c r="G833" s="172" t="s">
        <v>85</v>
      </c>
      <c r="H833" s="177">
        <v>1</v>
      </c>
      <c r="I833" s="178">
        <v>1812</v>
      </c>
      <c r="J833" s="176">
        <v>46045</v>
      </c>
      <c r="K833" s="172" t="s">
        <v>94</v>
      </c>
      <c r="L833" s="172" t="s">
        <v>95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319</v>
      </c>
      <c r="B834" s="176">
        <v>46047</v>
      </c>
      <c r="C834" s="172" t="s">
        <v>82</v>
      </c>
      <c r="D834" s="172" t="s">
        <v>83</v>
      </c>
      <c r="E834" s="172" t="s">
        <v>40</v>
      </c>
      <c r="F834" s="172" t="s">
        <v>118</v>
      </c>
      <c r="G834" s="172" t="s">
        <v>85</v>
      </c>
      <c r="H834" s="177">
        <v>1</v>
      </c>
      <c r="I834" s="178">
        <v>0</v>
      </c>
      <c r="J834" s="176">
        <v>46047</v>
      </c>
      <c r="K834" s="172" t="s">
        <v>86</v>
      </c>
      <c r="L834" s="172" t="s">
        <v>86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320</v>
      </c>
      <c r="B835" s="176">
        <v>46047</v>
      </c>
      <c r="C835" s="172" t="s">
        <v>93</v>
      </c>
      <c r="D835" s="172" t="s">
        <v>24</v>
      </c>
      <c r="E835" s="172" t="s">
        <v>54</v>
      </c>
      <c r="F835" s="172" t="s">
        <v>121</v>
      </c>
      <c r="G835" s="172" t="s">
        <v>85</v>
      </c>
      <c r="H835" s="177">
        <v>1</v>
      </c>
      <c r="I835" s="178">
        <v>1812</v>
      </c>
      <c r="J835" s="176">
        <v>46045</v>
      </c>
      <c r="K835" s="172" t="s">
        <v>94</v>
      </c>
      <c r="L835" s="172" t="s">
        <v>95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320</v>
      </c>
      <c r="B836" s="176">
        <v>46047</v>
      </c>
      <c r="C836" s="172" t="s">
        <v>101</v>
      </c>
      <c r="D836" s="172" t="s">
        <v>102</v>
      </c>
      <c r="E836" s="172" t="s">
        <v>54</v>
      </c>
      <c r="F836" s="172" t="s">
        <v>121</v>
      </c>
      <c r="G836" s="172" t="s">
        <v>85</v>
      </c>
      <c r="H836" s="177">
        <v>1</v>
      </c>
      <c r="I836" s="178">
        <v>1812</v>
      </c>
      <c r="J836" s="176">
        <v>46045</v>
      </c>
      <c r="K836" s="172" t="s">
        <v>94</v>
      </c>
      <c r="L836" s="172" t="s">
        <v>95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320</v>
      </c>
      <c r="B837" s="176">
        <v>46047</v>
      </c>
      <c r="C837" s="172" t="s">
        <v>101</v>
      </c>
      <c r="D837" s="172" t="s">
        <v>103</v>
      </c>
      <c r="E837" s="172" t="s">
        <v>54</v>
      </c>
      <c r="F837" s="172" t="s">
        <v>121</v>
      </c>
      <c r="G837" s="172" t="s">
        <v>85</v>
      </c>
      <c r="H837" s="177">
        <v>1</v>
      </c>
      <c r="I837" s="178">
        <v>1812</v>
      </c>
      <c r="J837" s="176">
        <v>46045</v>
      </c>
      <c r="K837" s="172" t="s">
        <v>94</v>
      </c>
      <c r="L837" s="172" t="s">
        <v>95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320</v>
      </c>
      <c r="B838" s="176">
        <v>46047</v>
      </c>
      <c r="C838" s="172" t="s">
        <v>101</v>
      </c>
      <c r="D838" s="172" t="s">
        <v>104</v>
      </c>
      <c r="E838" s="172" t="s">
        <v>54</v>
      </c>
      <c r="F838" s="172" t="s">
        <v>121</v>
      </c>
      <c r="G838" s="172" t="s">
        <v>85</v>
      </c>
      <c r="H838" s="177">
        <v>1</v>
      </c>
      <c r="I838" s="178">
        <v>1812</v>
      </c>
      <c r="J838" s="176">
        <v>46045</v>
      </c>
      <c r="K838" s="172" t="s">
        <v>94</v>
      </c>
      <c r="L838" s="172" t="s">
        <v>95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320</v>
      </c>
      <c r="B839" s="176">
        <v>46047</v>
      </c>
      <c r="C839" s="172" t="s">
        <v>105</v>
      </c>
      <c r="D839" s="172" t="s">
        <v>106</v>
      </c>
      <c r="E839" s="172" t="s">
        <v>54</v>
      </c>
      <c r="F839" s="172" t="s">
        <v>121</v>
      </c>
      <c r="G839" s="172" t="s">
        <v>85</v>
      </c>
      <c r="H839" s="177">
        <v>1</v>
      </c>
      <c r="I839" s="178">
        <v>1812</v>
      </c>
      <c r="J839" s="176">
        <v>46045</v>
      </c>
      <c r="K839" s="172" t="s">
        <v>94</v>
      </c>
      <c r="L839" s="172" t="s">
        <v>95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320</v>
      </c>
      <c r="B840" s="176">
        <v>46047</v>
      </c>
      <c r="C840" s="172" t="s">
        <v>82</v>
      </c>
      <c r="D840" s="172" t="s">
        <v>96</v>
      </c>
      <c r="E840" s="172" t="s">
        <v>54</v>
      </c>
      <c r="F840" s="172" t="s">
        <v>121</v>
      </c>
      <c r="G840" s="172" t="s">
        <v>85</v>
      </c>
      <c r="H840" s="177">
        <v>1</v>
      </c>
      <c r="I840" s="178">
        <v>1812</v>
      </c>
      <c r="J840" s="176">
        <v>46045</v>
      </c>
      <c r="K840" s="172" t="s">
        <v>94</v>
      </c>
      <c r="L840" s="172" t="s">
        <v>95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318</v>
      </c>
      <c r="B841" s="176">
        <v>46047</v>
      </c>
      <c r="C841" s="172" t="s">
        <v>82</v>
      </c>
      <c r="D841" s="172" t="s">
        <v>83</v>
      </c>
      <c r="E841" s="172" t="s">
        <v>54</v>
      </c>
      <c r="F841" s="172" t="s">
        <v>121</v>
      </c>
      <c r="G841" s="172" t="s">
        <v>85</v>
      </c>
      <c r="H841" s="177">
        <v>1</v>
      </c>
      <c r="I841" s="178">
        <v>0</v>
      </c>
      <c r="J841" s="176">
        <v>46045</v>
      </c>
      <c r="K841" s="172" t="s">
        <v>86</v>
      </c>
      <c r="L841" s="172" t="s">
        <v>86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320</v>
      </c>
      <c r="B842" s="176">
        <v>46047</v>
      </c>
      <c r="C842" s="172" t="s">
        <v>82</v>
      </c>
      <c r="D842" s="172" t="s">
        <v>83</v>
      </c>
      <c r="E842" s="172" t="s">
        <v>54</v>
      </c>
      <c r="F842" s="172" t="s">
        <v>121</v>
      </c>
      <c r="G842" s="172" t="s">
        <v>85</v>
      </c>
      <c r="H842" s="177">
        <v>1</v>
      </c>
      <c r="I842" s="178">
        <v>0</v>
      </c>
      <c r="J842" s="176">
        <v>46045</v>
      </c>
      <c r="K842" s="172" t="s">
        <v>86</v>
      </c>
      <c r="L842" s="172" t="s">
        <v>86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321</v>
      </c>
      <c r="B843" s="176">
        <v>46047</v>
      </c>
      <c r="C843" s="172" t="s">
        <v>82</v>
      </c>
      <c r="D843" s="172" t="s">
        <v>83</v>
      </c>
      <c r="E843" s="172" t="s">
        <v>44</v>
      </c>
      <c r="F843" s="172" t="s">
        <v>126</v>
      </c>
      <c r="G843" s="172" t="s">
        <v>85</v>
      </c>
      <c r="H843" s="177">
        <v>1</v>
      </c>
      <c r="I843" s="178">
        <v>0</v>
      </c>
      <c r="J843" s="176">
        <v>46047</v>
      </c>
      <c r="K843" s="172" t="s">
        <v>86</v>
      </c>
      <c r="L843" s="172" t="s">
        <v>86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322</v>
      </c>
      <c r="B844" s="176">
        <v>46047</v>
      </c>
      <c r="C844" s="172" t="s">
        <v>93</v>
      </c>
      <c r="D844" s="172" t="s">
        <v>24</v>
      </c>
      <c r="E844" s="172" t="s">
        <v>44</v>
      </c>
      <c r="F844" s="172" t="s">
        <v>126</v>
      </c>
      <c r="G844" s="172" t="s">
        <v>85</v>
      </c>
      <c r="H844" s="177">
        <v>1</v>
      </c>
      <c r="I844" s="178">
        <v>1750</v>
      </c>
      <c r="J844" s="176">
        <v>46045</v>
      </c>
      <c r="K844" s="172" t="s">
        <v>94</v>
      </c>
      <c r="L844" s="172" t="s">
        <v>95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322</v>
      </c>
      <c r="B845" s="176">
        <v>46047</v>
      </c>
      <c r="C845" s="172" t="s">
        <v>101</v>
      </c>
      <c r="D845" s="172" t="s">
        <v>102</v>
      </c>
      <c r="E845" s="172" t="s">
        <v>44</v>
      </c>
      <c r="F845" s="172" t="s">
        <v>126</v>
      </c>
      <c r="G845" s="172" t="s">
        <v>85</v>
      </c>
      <c r="H845" s="177">
        <v>1</v>
      </c>
      <c r="I845" s="178">
        <v>1750</v>
      </c>
      <c r="J845" s="176">
        <v>46045</v>
      </c>
      <c r="K845" s="172" t="s">
        <v>94</v>
      </c>
      <c r="L845" s="172" t="s">
        <v>95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322</v>
      </c>
      <c r="B846" s="176">
        <v>46047</v>
      </c>
      <c r="C846" s="172" t="s">
        <v>101</v>
      </c>
      <c r="D846" s="172" t="s">
        <v>103</v>
      </c>
      <c r="E846" s="172" t="s">
        <v>44</v>
      </c>
      <c r="F846" s="172" t="s">
        <v>126</v>
      </c>
      <c r="G846" s="172" t="s">
        <v>85</v>
      </c>
      <c r="H846" s="177">
        <v>1</v>
      </c>
      <c r="I846" s="178">
        <v>1750</v>
      </c>
      <c r="J846" s="176">
        <v>46045</v>
      </c>
      <c r="K846" s="172" t="s">
        <v>94</v>
      </c>
      <c r="L846" s="172" t="s">
        <v>95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322</v>
      </c>
      <c r="B847" s="176">
        <v>46047</v>
      </c>
      <c r="C847" s="172" t="s">
        <v>101</v>
      </c>
      <c r="D847" s="172" t="s">
        <v>104</v>
      </c>
      <c r="E847" s="172" t="s">
        <v>44</v>
      </c>
      <c r="F847" s="172" t="s">
        <v>126</v>
      </c>
      <c r="G847" s="172" t="s">
        <v>85</v>
      </c>
      <c r="H847" s="177">
        <v>1</v>
      </c>
      <c r="I847" s="178">
        <v>1750</v>
      </c>
      <c r="J847" s="176">
        <v>46045</v>
      </c>
      <c r="K847" s="172" t="s">
        <v>94</v>
      </c>
      <c r="L847" s="172" t="s">
        <v>95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322</v>
      </c>
      <c r="B848" s="176">
        <v>46047</v>
      </c>
      <c r="C848" s="172" t="s">
        <v>105</v>
      </c>
      <c r="D848" s="172" t="s">
        <v>106</v>
      </c>
      <c r="E848" s="172" t="s">
        <v>44</v>
      </c>
      <c r="F848" s="172" t="s">
        <v>126</v>
      </c>
      <c r="G848" s="172" t="s">
        <v>85</v>
      </c>
      <c r="H848" s="177">
        <v>1</v>
      </c>
      <c r="I848" s="178">
        <v>1750</v>
      </c>
      <c r="J848" s="176">
        <v>46045</v>
      </c>
      <c r="K848" s="172" t="s">
        <v>94</v>
      </c>
      <c r="L848" s="172" t="s">
        <v>95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322</v>
      </c>
      <c r="B849" s="176">
        <v>46047</v>
      </c>
      <c r="C849" s="172" t="s">
        <v>82</v>
      </c>
      <c r="D849" s="172" t="s">
        <v>96</v>
      </c>
      <c r="E849" s="172" t="s">
        <v>44</v>
      </c>
      <c r="F849" s="172" t="s">
        <v>126</v>
      </c>
      <c r="G849" s="172" t="s">
        <v>85</v>
      </c>
      <c r="H849" s="177">
        <v>1</v>
      </c>
      <c r="I849" s="178">
        <v>1750</v>
      </c>
      <c r="J849" s="176">
        <v>46045</v>
      </c>
      <c r="K849" s="172" t="s">
        <v>94</v>
      </c>
      <c r="L849" s="172" t="s">
        <v>95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323</v>
      </c>
      <c r="B850" s="176">
        <v>46047</v>
      </c>
      <c r="C850" s="172" t="s">
        <v>93</v>
      </c>
      <c r="D850" s="172" t="s">
        <v>24</v>
      </c>
      <c r="E850" s="172" t="s">
        <v>53</v>
      </c>
      <c r="F850" s="172" t="s">
        <v>91</v>
      </c>
      <c r="G850" s="172" t="s">
        <v>85</v>
      </c>
      <c r="H850" s="177">
        <v>1</v>
      </c>
      <c r="I850" s="178">
        <v>1621</v>
      </c>
      <c r="J850" s="176">
        <v>46034</v>
      </c>
      <c r="K850" s="172" t="s">
        <v>94</v>
      </c>
      <c r="L850" s="172" t="s">
        <v>95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323</v>
      </c>
      <c r="B851" s="176">
        <v>46047</v>
      </c>
      <c r="C851" s="172" t="s">
        <v>101</v>
      </c>
      <c r="D851" s="172" t="s">
        <v>102</v>
      </c>
      <c r="E851" s="172" t="s">
        <v>53</v>
      </c>
      <c r="F851" s="172" t="s">
        <v>91</v>
      </c>
      <c r="G851" s="172" t="s">
        <v>85</v>
      </c>
      <c r="H851" s="177">
        <v>1</v>
      </c>
      <c r="I851" s="178">
        <v>1621</v>
      </c>
      <c r="J851" s="176">
        <v>46034</v>
      </c>
      <c r="K851" s="172" t="s">
        <v>94</v>
      </c>
      <c r="L851" s="172" t="s">
        <v>95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323</v>
      </c>
      <c r="B852" s="176">
        <v>46047</v>
      </c>
      <c r="C852" s="172" t="s">
        <v>101</v>
      </c>
      <c r="D852" s="172" t="s">
        <v>103</v>
      </c>
      <c r="E852" s="172" t="s">
        <v>53</v>
      </c>
      <c r="F852" s="172" t="s">
        <v>91</v>
      </c>
      <c r="G852" s="172" t="s">
        <v>85</v>
      </c>
      <c r="H852" s="177">
        <v>1</v>
      </c>
      <c r="I852" s="178">
        <v>1621</v>
      </c>
      <c r="J852" s="176">
        <v>46034</v>
      </c>
      <c r="K852" s="172" t="s">
        <v>94</v>
      </c>
      <c r="L852" s="172" t="s">
        <v>95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323</v>
      </c>
      <c r="B853" s="176">
        <v>46047</v>
      </c>
      <c r="C853" s="172" t="s">
        <v>101</v>
      </c>
      <c r="D853" s="172" t="s">
        <v>104</v>
      </c>
      <c r="E853" s="172" t="s">
        <v>53</v>
      </c>
      <c r="F853" s="172" t="s">
        <v>91</v>
      </c>
      <c r="G853" s="172" t="s">
        <v>85</v>
      </c>
      <c r="H853" s="177">
        <v>1</v>
      </c>
      <c r="I853" s="178">
        <v>1621</v>
      </c>
      <c r="J853" s="176">
        <v>46034</v>
      </c>
      <c r="K853" s="172" t="s">
        <v>94</v>
      </c>
      <c r="L853" s="172" t="s">
        <v>95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323</v>
      </c>
      <c r="B854" s="176">
        <v>46047</v>
      </c>
      <c r="C854" s="172" t="s">
        <v>105</v>
      </c>
      <c r="D854" s="172" t="s">
        <v>106</v>
      </c>
      <c r="E854" s="172" t="s">
        <v>53</v>
      </c>
      <c r="F854" s="172" t="s">
        <v>91</v>
      </c>
      <c r="G854" s="172" t="s">
        <v>85</v>
      </c>
      <c r="H854" s="177">
        <v>1</v>
      </c>
      <c r="I854" s="178">
        <v>1621</v>
      </c>
      <c r="J854" s="176">
        <v>46034</v>
      </c>
      <c r="K854" s="172" t="s">
        <v>94</v>
      </c>
      <c r="L854" s="172" t="s">
        <v>95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323</v>
      </c>
      <c r="B855" s="176">
        <v>46047</v>
      </c>
      <c r="C855" s="172" t="s">
        <v>82</v>
      </c>
      <c r="D855" s="172" t="s">
        <v>96</v>
      </c>
      <c r="E855" s="172" t="s">
        <v>53</v>
      </c>
      <c r="F855" s="172" t="s">
        <v>91</v>
      </c>
      <c r="G855" s="172" t="s">
        <v>85</v>
      </c>
      <c r="H855" s="177">
        <v>1</v>
      </c>
      <c r="I855" s="178">
        <v>1621</v>
      </c>
      <c r="J855" s="176">
        <v>46034</v>
      </c>
      <c r="K855" s="172" t="s">
        <v>94</v>
      </c>
      <c r="L855" s="172" t="s">
        <v>95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324</v>
      </c>
      <c r="B856" s="176">
        <v>46047</v>
      </c>
      <c r="C856" s="172" t="s">
        <v>82</v>
      </c>
      <c r="D856" s="172" t="s">
        <v>83</v>
      </c>
      <c r="E856" s="172" t="s">
        <v>44</v>
      </c>
      <c r="F856" s="172" t="s">
        <v>126</v>
      </c>
      <c r="G856" s="172" t="s">
        <v>85</v>
      </c>
      <c r="H856" s="177">
        <v>1</v>
      </c>
      <c r="I856" s="178">
        <v>0</v>
      </c>
      <c r="J856" s="176">
        <v>46047</v>
      </c>
      <c r="K856" s="172" t="s">
        <v>86</v>
      </c>
      <c r="L856" s="172" t="s">
        <v>86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325</v>
      </c>
      <c r="B857" s="176">
        <v>46047</v>
      </c>
      <c r="C857" s="172" t="s">
        <v>82</v>
      </c>
      <c r="D857" s="172" t="s">
        <v>83</v>
      </c>
      <c r="E857" s="172" t="s">
        <v>44</v>
      </c>
      <c r="F857" s="172" t="s">
        <v>126</v>
      </c>
      <c r="G857" s="172" t="s">
        <v>85</v>
      </c>
      <c r="H857" s="177">
        <v>1</v>
      </c>
      <c r="I857" s="178">
        <v>0</v>
      </c>
      <c r="J857" s="176">
        <v>46047</v>
      </c>
      <c r="K857" s="172" t="s">
        <v>86</v>
      </c>
      <c r="L857" s="172" t="s">
        <v>86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326</v>
      </c>
      <c r="B858" s="176">
        <v>46047</v>
      </c>
      <c r="C858" s="172" t="s">
        <v>82</v>
      </c>
      <c r="D858" s="172" t="s">
        <v>83</v>
      </c>
      <c r="E858" s="172" t="s">
        <v>40</v>
      </c>
      <c r="F858" s="172" t="s">
        <v>118</v>
      </c>
      <c r="G858" s="172" t="s">
        <v>85</v>
      </c>
      <c r="H858" s="177">
        <v>1</v>
      </c>
      <c r="I858" s="178">
        <v>0</v>
      </c>
      <c r="J858" s="176">
        <v>46047</v>
      </c>
      <c r="K858" s="172" t="s">
        <v>86</v>
      </c>
      <c r="L858" s="172" t="s">
        <v>86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327</v>
      </c>
      <c r="B859" s="176">
        <v>46047</v>
      </c>
      <c r="C859" s="172" t="s">
        <v>93</v>
      </c>
      <c r="D859" s="172" t="s">
        <v>24</v>
      </c>
      <c r="E859" s="172" t="s">
        <v>54</v>
      </c>
      <c r="F859" s="172" t="s">
        <v>121</v>
      </c>
      <c r="G859" s="172" t="s">
        <v>85</v>
      </c>
      <c r="H859" s="177">
        <v>1</v>
      </c>
      <c r="I859" s="178">
        <v>0</v>
      </c>
      <c r="J859" s="176">
        <v>46039</v>
      </c>
      <c r="K859" s="172" t="s">
        <v>94</v>
      </c>
      <c r="L859" s="172" t="s">
        <v>95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328</v>
      </c>
      <c r="B860" s="176">
        <v>46047</v>
      </c>
      <c r="C860" s="172" t="s">
        <v>82</v>
      </c>
      <c r="D860" s="172" t="s">
        <v>83</v>
      </c>
      <c r="E860" s="172" t="s">
        <v>53</v>
      </c>
      <c r="F860" s="172" t="s">
        <v>91</v>
      </c>
      <c r="G860" s="172" t="s">
        <v>85</v>
      </c>
      <c r="H860" s="177">
        <v>1</v>
      </c>
      <c r="I860" s="178">
        <v>0</v>
      </c>
      <c r="J860" s="176">
        <v>46047</v>
      </c>
      <c r="K860" s="172" t="s">
        <v>86</v>
      </c>
      <c r="L860" s="172" t="s">
        <v>86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329</v>
      </c>
      <c r="B861" s="176">
        <v>46047</v>
      </c>
      <c r="C861" s="172" t="s">
        <v>82</v>
      </c>
      <c r="D861" s="172" t="s">
        <v>83</v>
      </c>
      <c r="E861" s="172" t="s">
        <v>42</v>
      </c>
      <c r="F861" s="172" t="s">
        <v>84</v>
      </c>
      <c r="G861" s="172" t="s">
        <v>85</v>
      </c>
      <c r="H861" s="177">
        <v>1</v>
      </c>
      <c r="I861" s="178">
        <v>0</v>
      </c>
      <c r="J861" s="176">
        <v>46047</v>
      </c>
      <c r="K861" s="172" t="s">
        <v>86</v>
      </c>
      <c r="L861" s="172" t="s">
        <v>86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330</v>
      </c>
      <c r="B862" s="176">
        <v>46047</v>
      </c>
      <c r="C862" s="172" t="s">
        <v>82</v>
      </c>
      <c r="D862" s="172" t="s">
        <v>83</v>
      </c>
      <c r="E862" s="172" t="s">
        <v>53</v>
      </c>
      <c r="F862" s="172" t="s">
        <v>91</v>
      </c>
      <c r="G862" s="172" t="s">
        <v>85</v>
      </c>
      <c r="H862" s="177">
        <v>1</v>
      </c>
      <c r="I862" s="178">
        <v>0</v>
      </c>
      <c r="J862" s="176">
        <v>46047</v>
      </c>
      <c r="K862" s="172" t="s">
        <v>86</v>
      </c>
      <c r="L862" s="172" t="s">
        <v>86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331</v>
      </c>
      <c r="B863" s="176">
        <v>46047</v>
      </c>
      <c r="C863" s="172" t="s">
        <v>93</v>
      </c>
      <c r="D863" s="172" t="s">
        <v>24</v>
      </c>
      <c r="E863" s="172" t="s">
        <v>54</v>
      </c>
      <c r="F863" s="172" t="s">
        <v>121</v>
      </c>
      <c r="G863" s="172" t="s">
        <v>85</v>
      </c>
      <c r="H863" s="177">
        <v>1</v>
      </c>
      <c r="I863" s="178">
        <v>0</v>
      </c>
      <c r="J863" s="176">
        <v>46043</v>
      </c>
      <c r="K863" s="172" t="s">
        <v>94</v>
      </c>
      <c r="L863" s="172" t="s">
        <v>95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331</v>
      </c>
      <c r="B864" s="176">
        <v>46047</v>
      </c>
      <c r="C864" s="172" t="s">
        <v>82</v>
      </c>
      <c r="D864" s="172" t="s">
        <v>96</v>
      </c>
      <c r="E864" s="172" t="s">
        <v>54</v>
      </c>
      <c r="F864" s="172" t="s">
        <v>121</v>
      </c>
      <c r="G864" s="172" t="s">
        <v>85</v>
      </c>
      <c r="H864" s="177">
        <v>1</v>
      </c>
      <c r="I864" s="178">
        <v>0</v>
      </c>
      <c r="J864" s="176">
        <v>46043</v>
      </c>
      <c r="K864" s="172" t="s">
        <v>94</v>
      </c>
      <c r="L864" s="172" t="s">
        <v>95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331</v>
      </c>
      <c r="B865" s="176">
        <v>46047</v>
      </c>
      <c r="C865" s="172" t="s">
        <v>93</v>
      </c>
      <c r="D865" s="172" t="s">
        <v>97</v>
      </c>
      <c r="E865" s="172" t="s">
        <v>54</v>
      </c>
      <c r="F865" s="172" t="s">
        <v>121</v>
      </c>
      <c r="G865" s="172" t="s">
        <v>85</v>
      </c>
      <c r="H865" s="177">
        <v>1</v>
      </c>
      <c r="I865" s="178">
        <v>0</v>
      </c>
      <c r="J865" s="176">
        <v>46043</v>
      </c>
      <c r="K865" s="172" t="s">
        <v>94</v>
      </c>
      <c r="L865" s="172" t="s">
        <v>95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331</v>
      </c>
      <c r="B866" s="176">
        <v>46047</v>
      </c>
      <c r="C866" s="172" t="s">
        <v>93</v>
      </c>
      <c r="D866" s="172" t="s">
        <v>98</v>
      </c>
      <c r="E866" s="172" t="s">
        <v>54</v>
      </c>
      <c r="F866" s="172" t="s">
        <v>121</v>
      </c>
      <c r="G866" s="172" t="s">
        <v>85</v>
      </c>
      <c r="H866" s="177">
        <v>1</v>
      </c>
      <c r="I866" s="178">
        <v>0</v>
      </c>
      <c r="J866" s="176">
        <v>46043</v>
      </c>
      <c r="K866" s="172" t="s">
        <v>94</v>
      </c>
      <c r="L866" s="172" t="s">
        <v>95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331</v>
      </c>
      <c r="B867" s="176">
        <v>46047</v>
      </c>
      <c r="C867" s="172" t="s">
        <v>82</v>
      </c>
      <c r="D867" s="172" t="s">
        <v>99</v>
      </c>
      <c r="E867" s="172" t="s">
        <v>54</v>
      </c>
      <c r="F867" s="172" t="s">
        <v>121</v>
      </c>
      <c r="G867" s="172" t="s">
        <v>85</v>
      </c>
      <c r="H867" s="177">
        <v>1</v>
      </c>
      <c r="I867" s="178">
        <v>0</v>
      </c>
      <c r="J867" s="176">
        <v>46043</v>
      </c>
      <c r="K867" s="172" t="s">
        <v>94</v>
      </c>
      <c r="L867" s="172" t="s">
        <v>95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332</v>
      </c>
      <c r="B868" s="176">
        <v>46047</v>
      </c>
      <c r="C868" s="172" t="s">
        <v>93</v>
      </c>
      <c r="D868" s="172" t="s">
        <v>24</v>
      </c>
      <c r="E868" s="172" t="s">
        <v>42</v>
      </c>
      <c r="F868" s="172" t="s">
        <v>84</v>
      </c>
      <c r="G868" s="172" t="s">
        <v>85</v>
      </c>
      <c r="H868" s="177">
        <v>1</v>
      </c>
      <c r="I868" s="178">
        <v>1750</v>
      </c>
      <c r="J868" s="176">
        <v>46044</v>
      </c>
      <c r="K868" s="172" t="s">
        <v>94</v>
      </c>
      <c r="L868" s="172" t="s">
        <v>95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332</v>
      </c>
      <c r="B869" s="176">
        <v>46047</v>
      </c>
      <c r="C869" s="172" t="s">
        <v>101</v>
      </c>
      <c r="D869" s="172" t="s">
        <v>102</v>
      </c>
      <c r="E869" s="172" t="s">
        <v>42</v>
      </c>
      <c r="F869" s="172" t="s">
        <v>84</v>
      </c>
      <c r="G869" s="172" t="s">
        <v>85</v>
      </c>
      <c r="H869" s="177">
        <v>1</v>
      </c>
      <c r="I869" s="178">
        <v>1750</v>
      </c>
      <c r="J869" s="176">
        <v>46044</v>
      </c>
      <c r="K869" s="172" t="s">
        <v>94</v>
      </c>
      <c r="L869" s="172" t="s">
        <v>95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332</v>
      </c>
      <c r="B870" s="176">
        <v>46047</v>
      </c>
      <c r="C870" s="172" t="s">
        <v>101</v>
      </c>
      <c r="D870" s="172" t="s">
        <v>103</v>
      </c>
      <c r="E870" s="172" t="s">
        <v>42</v>
      </c>
      <c r="F870" s="172" t="s">
        <v>84</v>
      </c>
      <c r="G870" s="172" t="s">
        <v>85</v>
      </c>
      <c r="H870" s="177">
        <v>1</v>
      </c>
      <c r="I870" s="178">
        <v>1750</v>
      </c>
      <c r="J870" s="176">
        <v>46044</v>
      </c>
      <c r="K870" s="172" t="s">
        <v>94</v>
      </c>
      <c r="L870" s="172" t="s">
        <v>95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332</v>
      </c>
      <c r="B871" s="176">
        <v>46047</v>
      </c>
      <c r="C871" s="172" t="s">
        <v>101</v>
      </c>
      <c r="D871" s="172" t="s">
        <v>104</v>
      </c>
      <c r="E871" s="172" t="s">
        <v>42</v>
      </c>
      <c r="F871" s="172" t="s">
        <v>84</v>
      </c>
      <c r="G871" s="172" t="s">
        <v>85</v>
      </c>
      <c r="H871" s="177">
        <v>1</v>
      </c>
      <c r="I871" s="178">
        <v>1750</v>
      </c>
      <c r="J871" s="176">
        <v>46044</v>
      </c>
      <c r="K871" s="172" t="s">
        <v>94</v>
      </c>
      <c r="L871" s="172" t="s">
        <v>95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332</v>
      </c>
      <c r="B872" s="176">
        <v>46047</v>
      </c>
      <c r="C872" s="172" t="s">
        <v>105</v>
      </c>
      <c r="D872" s="172" t="s">
        <v>106</v>
      </c>
      <c r="E872" s="172" t="s">
        <v>42</v>
      </c>
      <c r="F872" s="172" t="s">
        <v>84</v>
      </c>
      <c r="G872" s="172" t="s">
        <v>85</v>
      </c>
      <c r="H872" s="177">
        <v>1</v>
      </c>
      <c r="I872" s="178">
        <v>1750</v>
      </c>
      <c r="J872" s="176">
        <v>46044</v>
      </c>
      <c r="K872" s="172" t="s">
        <v>94</v>
      </c>
      <c r="L872" s="172" t="s">
        <v>95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332</v>
      </c>
      <c r="B873" s="176">
        <v>46047</v>
      </c>
      <c r="C873" s="172" t="s">
        <v>82</v>
      </c>
      <c r="D873" s="172" t="s">
        <v>96</v>
      </c>
      <c r="E873" s="172" t="s">
        <v>42</v>
      </c>
      <c r="F873" s="172" t="s">
        <v>84</v>
      </c>
      <c r="G873" s="172" t="s">
        <v>85</v>
      </c>
      <c r="H873" s="177">
        <v>1</v>
      </c>
      <c r="I873" s="178">
        <v>1750</v>
      </c>
      <c r="J873" s="176">
        <v>46044</v>
      </c>
      <c r="K873" s="172" t="s">
        <v>94</v>
      </c>
      <c r="L873" s="172" t="s">
        <v>95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333</v>
      </c>
      <c r="B874" s="176">
        <v>46047</v>
      </c>
      <c r="C874" s="172" t="s">
        <v>82</v>
      </c>
      <c r="D874" s="172" t="s">
        <v>83</v>
      </c>
      <c r="E874" s="172" t="s">
        <v>53</v>
      </c>
      <c r="F874" s="172" t="s">
        <v>91</v>
      </c>
      <c r="G874" s="172" t="s">
        <v>85</v>
      </c>
      <c r="H874" s="177">
        <v>1</v>
      </c>
      <c r="I874" s="178">
        <v>0</v>
      </c>
      <c r="J874" s="176">
        <v>46047</v>
      </c>
      <c r="K874" s="172" t="s">
        <v>86</v>
      </c>
      <c r="L874" s="172" t="s">
        <v>86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334</v>
      </c>
      <c r="B875" s="176">
        <v>46047</v>
      </c>
      <c r="C875" s="172" t="s">
        <v>93</v>
      </c>
      <c r="D875" s="172" t="s">
        <v>24</v>
      </c>
      <c r="E875" s="172" t="s">
        <v>43</v>
      </c>
      <c r="F875" s="172" t="s">
        <v>90</v>
      </c>
      <c r="G875" s="172" t="s">
        <v>85</v>
      </c>
      <c r="H875" s="177">
        <v>1</v>
      </c>
      <c r="I875" s="178">
        <v>1750</v>
      </c>
      <c r="J875" s="176">
        <v>46043</v>
      </c>
      <c r="K875" s="172" t="s">
        <v>94</v>
      </c>
      <c r="L875" s="172" t="s">
        <v>95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334</v>
      </c>
      <c r="B876" s="176">
        <v>46047</v>
      </c>
      <c r="C876" s="172" t="s">
        <v>101</v>
      </c>
      <c r="D876" s="172" t="s">
        <v>102</v>
      </c>
      <c r="E876" s="172" t="s">
        <v>43</v>
      </c>
      <c r="F876" s="172" t="s">
        <v>90</v>
      </c>
      <c r="G876" s="172" t="s">
        <v>85</v>
      </c>
      <c r="H876" s="177">
        <v>1</v>
      </c>
      <c r="I876" s="178">
        <v>1750</v>
      </c>
      <c r="J876" s="176">
        <v>46043</v>
      </c>
      <c r="K876" s="172" t="s">
        <v>94</v>
      </c>
      <c r="L876" s="172" t="s">
        <v>95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334</v>
      </c>
      <c r="B877" s="176">
        <v>46047</v>
      </c>
      <c r="C877" s="172" t="s">
        <v>101</v>
      </c>
      <c r="D877" s="172" t="s">
        <v>103</v>
      </c>
      <c r="E877" s="172" t="s">
        <v>43</v>
      </c>
      <c r="F877" s="172" t="s">
        <v>90</v>
      </c>
      <c r="G877" s="172" t="s">
        <v>85</v>
      </c>
      <c r="H877" s="177">
        <v>1</v>
      </c>
      <c r="I877" s="178">
        <v>1750</v>
      </c>
      <c r="J877" s="176">
        <v>46043</v>
      </c>
      <c r="K877" s="172" t="s">
        <v>94</v>
      </c>
      <c r="L877" s="172" t="s">
        <v>95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334</v>
      </c>
      <c r="B878" s="176">
        <v>46047</v>
      </c>
      <c r="C878" s="172" t="s">
        <v>101</v>
      </c>
      <c r="D878" s="172" t="s">
        <v>104</v>
      </c>
      <c r="E878" s="172" t="s">
        <v>43</v>
      </c>
      <c r="F878" s="172" t="s">
        <v>90</v>
      </c>
      <c r="G878" s="172" t="s">
        <v>85</v>
      </c>
      <c r="H878" s="177">
        <v>1</v>
      </c>
      <c r="I878" s="178">
        <v>1750</v>
      </c>
      <c r="J878" s="176">
        <v>46043</v>
      </c>
      <c r="K878" s="172" t="s">
        <v>94</v>
      </c>
      <c r="L878" s="172" t="s">
        <v>95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334</v>
      </c>
      <c r="B879" s="176">
        <v>46047</v>
      </c>
      <c r="C879" s="172" t="s">
        <v>105</v>
      </c>
      <c r="D879" s="172" t="s">
        <v>106</v>
      </c>
      <c r="E879" s="172" t="s">
        <v>43</v>
      </c>
      <c r="F879" s="172" t="s">
        <v>90</v>
      </c>
      <c r="G879" s="172" t="s">
        <v>85</v>
      </c>
      <c r="H879" s="177">
        <v>1</v>
      </c>
      <c r="I879" s="178">
        <v>1750</v>
      </c>
      <c r="J879" s="176">
        <v>46043</v>
      </c>
      <c r="K879" s="172" t="s">
        <v>94</v>
      </c>
      <c r="L879" s="172" t="s">
        <v>95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334</v>
      </c>
      <c r="B880" s="176">
        <v>46047</v>
      </c>
      <c r="C880" s="172" t="s">
        <v>82</v>
      </c>
      <c r="D880" s="172" t="s">
        <v>96</v>
      </c>
      <c r="E880" s="172" t="s">
        <v>43</v>
      </c>
      <c r="F880" s="172" t="s">
        <v>90</v>
      </c>
      <c r="G880" s="172" t="s">
        <v>85</v>
      </c>
      <c r="H880" s="177">
        <v>1</v>
      </c>
      <c r="I880" s="178">
        <v>1750</v>
      </c>
      <c r="J880" s="176">
        <v>46043</v>
      </c>
      <c r="K880" s="172" t="s">
        <v>94</v>
      </c>
      <c r="L880" s="172" t="s">
        <v>95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334</v>
      </c>
      <c r="B881" s="176">
        <v>46047</v>
      </c>
      <c r="C881" s="172" t="s">
        <v>82</v>
      </c>
      <c r="D881" s="172" t="s">
        <v>83</v>
      </c>
      <c r="E881" s="172" t="s">
        <v>43</v>
      </c>
      <c r="F881" s="172" t="s">
        <v>90</v>
      </c>
      <c r="G881" s="172" t="s">
        <v>85</v>
      </c>
      <c r="H881" s="177">
        <v>1</v>
      </c>
      <c r="I881" s="178">
        <v>0</v>
      </c>
      <c r="J881" s="176">
        <v>46043</v>
      </c>
      <c r="K881" s="172" t="s">
        <v>86</v>
      </c>
      <c r="L881" s="172" t="s">
        <v>86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335</v>
      </c>
      <c r="B882" s="176">
        <v>46047</v>
      </c>
      <c r="C882" s="172" t="s">
        <v>93</v>
      </c>
      <c r="D882" s="172" t="s">
        <v>24</v>
      </c>
      <c r="E882" s="172" t="s">
        <v>54</v>
      </c>
      <c r="F882" s="172" t="s">
        <v>121</v>
      </c>
      <c r="G882" s="172" t="s">
        <v>85</v>
      </c>
      <c r="H882" s="177">
        <v>1</v>
      </c>
      <c r="I882" s="178">
        <v>1812</v>
      </c>
      <c r="J882" s="176">
        <v>46046</v>
      </c>
      <c r="K882" s="172" t="s">
        <v>94</v>
      </c>
      <c r="L882" s="172" t="s">
        <v>95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335</v>
      </c>
      <c r="B883" s="176">
        <v>46047</v>
      </c>
      <c r="C883" s="172" t="s">
        <v>101</v>
      </c>
      <c r="D883" s="172" t="s">
        <v>102</v>
      </c>
      <c r="E883" s="172" t="s">
        <v>54</v>
      </c>
      <c r="F883" s="172" t="s">
        <v>121</v>
      </c>
      <c r="G883" s="172" t="s">
        <v>85</v>
      </c>
      <c r="H883" s="177">
        <v>1</v>
      </c>
      <c r="I883" s="178">
        <v>1812</v>
      </c>
      <c r="J883" s="176">
        <v>46046</v>
      </c>
      <c r="K883" s="172" t="s">
        <v>94</v>
      </c>
      <c r="L883" s="172" t="s">
        <v>95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335</v>
      </c>
      <c r="B884" s="176">
        <v>46047</v>
      </c>
      <c r="C884" s="172" t="s">
        <v>101</v>
      </c>
      <c r="D884" s="172" t="s">
        <v>103</v>
      </c>
      <c r="E884" s="172" t="s">
        <v>54</v>
      </c>
      <c r="F884" s="172" t="s">
        <v>121</v>
      </c>
      <c r="G884" s="172" t="s">
        <v>85</v>
      </c>
      <c r="H884" s="177">
        <v>1</v>
      </c>
      <c r="I884" s="178">
        <v>1812</v>
      </c>
      <c r="J884" s="176">
        <v>46046</v>
      </c>
      <c r="K884" s="172" t="s">
        <v>94</v>
      </c>
      <c r="L884" s="172" t="s">
        <v>95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335</v>
      </c>
      <c r="B885" s="176">
        <v>46047</v>
      </c>
      <c r="C885" s="172" t="s">
        <v>101</v>
      </c>
      <c r="D885" s="172" t="s">
        <v>104</v>
      </c>
      <c r="E885" s="172" t="s">
        <v>54</v>
      </c>
      <c r="F885" s="172" t="s">
        <v>121</v>
      </c>
      <c r="G885" s="172" t="s">
        <v>85</v>
      </c>
      <c r="H885" s="177">
        <v>1</v>
      </c>
      <c r="I885" s="178">
        <v>1812</v>
      </c>
      <c r="J885" s="176">
        <v>46046</v>
      </c>
      <c r="K885" s="172" t="s">
        <v>94</v>
      </c>
      <c r="L885" s="172" t="s">
        <v>95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335</v>
      </c>
      <c r="B886" s="176">
        <v>46047</v>
      </c>
      <c r="C886" s="172" t="s">
        <v>105</v>
      </c>
      <c r="D886" s="172" t="s">
        <v>106</v>
      </c>
      <c r="E886" s="172" t="s">
        <v>54</v>
      </c>
      <c r="F886" s="172" t="s">
        <v>121</v>
      </c>
      <c r="G886" s="172" t="s">
        <v>85</v>
      </c>
      <c r="H886" s="177">
        <v>1</v>
      </c>
      <c r="I886" s="178">
        <v>1812</v>
      </c>
      <c r="J886" s="176">
        <v>46046</v>
      </c>
      <c r="K886" s="172" t="s">
        <v>94</v>
      </c>
      <c r="L886" s="172" t="s">
        <v>95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335</v>
      </c>
      <c r="B887" s="176">
        <v>46047</v>
      </c>
      <c r="C887" s="172" t="s">
        <v>82</v>
      </c>
      <c r="D887" s="172" t="s">
        <v>96</v>
      </c>
      <c r="E887" s="172" t="s">
        <v>54</v>
      </c>
      <c r="F887" s="172" t="s">
        <v>121</v>
      </c>
      <c r="G887" s="172" t="s">
        <v>85</v>
      </c>
      <c r="H887" s="177">
        <v>1</v>
      </c>
      <c r="I887" s="178">
        <v>1812</v>
      </c>
      <c r="J887" s="176">
        <v>46046</v>
      </c>
      <c r="K887" s="172" t="s">
        <v>94</v>
      </c>
      <c r="L887" s="172" t="s">
        <v>95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336</v>
      </c>
      <c r="B888" s="176">
        <v>46047</v>
      </c>
      <c r="C888" s="172" t="s">
        <v>93</v>
      </c>
      <c r="D888" s="172" t="s">
        <v>24</v>
      </c>
      <c r="E888" s="172" t="s">
        <v>43</v>
      </c>
      <c r="F888" s="172" t="s">
        <v>90</v>
      </c>
      <c r="G888" s="172" t="s">
        <v>85</v>
      </c>
      <c r="H888" s="177">
        <v>1</v>
      </c>
      <c r="I888" s="178">
        <v>1750</v>
      </c>
      <c r="J888" s="176">
        <v>46043</v>
      </c>
      <c r="K888" s="172" t="s">
        <v>94</v>
      </c>
      <c r="L888" s="172" t="s">
        <v>95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336</v>
      </c>
      <c r="B889" s="176">
        <v>46047</v>
      </c>
      <c r="C889" s="172" t="s">
        <v>101</v>
      </c>
      <c r="D889" s="172" t="s">
        <v>102</v>
      </c>
      <c r="E889" s="172" t="s">
        <v>43</v>
      </c>
      <c r="F889" s="172" t="s">
        <v>90</v>
      </c>
      <c r="G889" s="172" t="s">
        <v>85</v>
      </c>
      <c r="H889" s="177">
        <v>1</v>
      </c>
      <c r="I889" s="178">
        <v>1750</v>
      </c>
      <c r="J889" s="176">
        <v>46043</v>
      </c>
      <c r="K889" s="172" t="s">
        <v>94</v>
      </c>
      <c r="L889" s="172" t="s">
        <v>95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336</v>
      </c>
      <c r="B890" s="176">
        <v>46047</v>
      </c>
      <c r="C890" s="172" t="s">
        <v>101</v>
      </c>
      <c r="D890" s="172" t="s">
        <v>103</v>
      </c>
      <c r="E890" s="172" t="s">
        <v>43</v>
      </c>
      <c r="F890" s="172" t="s">
        <v>90</v>
      </c>
      <c r="G890" s="172" t="s">
        <v>85</v>
      </c>
      <c r="H890" s="177">
        <v>1</v>
      </c>
      <c r="I890" s="178">
        <v>1750</v>
      </c>
      <c r="J890" s="176">
        <v>46043</v>
      </c>
      <c r="K890" s="172" t="s">
        <v>94</v>
      </c>
      <c r="L890" s="172" t="s">
        <v>95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336</v>
      </c>
      <c r="B891" s="176">
        <v>46047</v>
      </c>
      <c r="C891" s="172" t="s">
        <v>101</v>
      </c>
      <c r="D891" s="172" t="s">
        <v>104</v>
      </c>
      <c r="E891" s="172" t="s">
        <v>43</v>
      </c>
      <c r="F891" s="172" t="s">
        <v>90</v>
      </c>
      <c r="G891" s="172" t="s">
        <v>85</v>
      </c>
      <c r="H891" s="177">
        <v>1</v>
      </c>
      <c r="I891" s="178">
        <v>1750</v>
      </c>
      <c r="J891" s="176">
        <v>46043</v>
      </c>
      <c r="K891" s="172" t="s">
        <v>94</v>
      </c>
      <c r="L891" s="172" t="s">
        <v>95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336</v>
      </c>
      <c r="B892" s="176">
        <v>46047</v>
      </c>
      <c r="C892" s="172" t="s">
        <v>105</v>
      </c>
      <c r="D892" s="172" t="s">
        <v>106</v>
      </c>
      <c r="E892" s="172" t="s">
        <v>43</v>
      </c>
      <c r="F892" s="172" t="s">
        <v>90</v>
      </c>
      <c r="G892" s="172" t="s">
        <v>85</v>
      </c>
      <c r="H892" s="177">
        <v>1</v>
      </c>
      <c r="I892" s="178">
        <v>1750</v>
      </c>
      <c r="J892" s="176">
        <v>46043</v>
      </c>
      <c r="K892" s="172" t="s">
        <v>94</v>
      </c>
      <c r="L892" s="172" t="s">
        <v>95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336</v>
      </c>
      <c r="B893" s="176">
        <v>46047</v>
      </c>
      <c r="C893" s="172" t="s">
        <v>82</v>
      </c>
      <c r="D893" s="172" t="s">
        <v>96</v>
      </c>
      <c r="E893" s="172" t="s">
        <v>43</v>
      </c>
      <c r="F893" s="172" t="s">
        <v>90</v>
      </c>
      <c r="G893" s="172" t="s">
        <v>85</v>
      </c>
      <c r="H893" s="177">
        <v>1</v>
      </c>
      <c r="I893" s="178">
        <v>1750</v>
      </c>
      <c r="J893" s="176">
        <v>46043</v>
      </c>
      <c r="K893" s="172" t="s">
        <v>94</v>
      </c>
      <c r="L893" s="172" t="s">
        <v>95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337</v>
      </c>
      <c r="B894" s="176">
        <v>46047</v>
      </c>
      <c r="C894" s="172" t="s">
        <v>82</v>
      </c>
      <c r="D894" s="172" t="s">
        <v>83</v>
      </c>
      <c r="E894" s="172" t="s">
        <v>53</v>
      </c>
      <c r="F894" s="172" t="s">
        <v>91</v>
      </c>
      <c r="G894" s="172" t="s">
        <v>85</v>
      </c>
      <c r="H894" s="177">
        <v>1</v>
      </c>
      <c r="I894" s="178">
        <v>0</v>
      </c>
      <c r="J894" s="176">
        <v>46047</v>
      </c>
      <c r="K894" s="172" t="s">
        <v>86</v>
      </c>
      <c r="L894" s="172" t="s">
        <v>86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142</v>
      </c>
      <c r="B895" s="176">
        <v>46047</v>
      </c>
      <c r="C895" s="172" t="s">
        <v>110</v>
      </c>
      <c r="D895" s="172" t="s">
        <v>140</v>
      </c>
      <c r="E895" s="172" t="s">
        <v>86</v>
      </c>
      <c r="F895" s="172" t="s">
        <v>86</v>
      </c>
      <c r="G895" s="172" t="s">
        <v>86</v>
      </c>
      <c r="H895" s="177">
        <v>0</v>
      </c>
      <c r="I895" s="178">
        <v>0</v>
      </c>
      <c r="J895" s="176">
        <v>46047</v>
      </c>
      <c r="K895" s="172" t="s">
        <v>86</v>
      </c>
      <c r="L895" s="172" t="s">
        <v>86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146</v>
      </c>
      <c r="B896" s="176">
        <v>46047</v>
      </c>
      <c r="C896" s="172" t="s">
        <v>110</v>
      </c>
      <c r="D896" s="172" t="s">
        <v>140</v>
      </c>
      <c r="E896" s="172" t="s">
        <v>86</v>
      </c>
      <c r="F896" s="172" t="s">
        <v>86</v>
      </c>
      <c r="G896" s="172" t="s">
        <v>86</v>
      </c>
      <c r="H896" s="177">
        <v>0</v>
      </c>
      <c r="I896" s="178">
        <v>0</v>
      </c>
      <c r="J896" s="176">
        <v>46047</v>
      </c>
      <c r="K896" s="172" t="s">
        <v>86</v>
      </c>
      <c r="L896" s="172" t="s">
        <v>86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139</v>
      </c>
      <c r="B897" s="176">
        <v>46047</v>
      </c>
      <c r="C897" s="172" t="s">
        <v>110</v>
      </c>
      <c r="D897" s="172" t="s">
        <v>140</v>
      </c>
      <c r="E897" s="172" t="s">
        <v>86</v>
      </c>
      <c r="F897" s="172" t="s">
        <v>86</v>
      </c>
      <c r="G897" s="172" t="s">
        <v>86</v>
      </c>
      <c r="H897" s="177">
        <v>0</v>
      </c>
      <c r="I897" s="178">
        <v>0</v>
      </c>
      <c r="J897" s="176">
        <v>46047</v>
      </c>
      <c r="K897" s="172" t="s">
        <v>86</v>
      </c>
      <c r="L897" s="172" t="s">
        <v>86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145</v>
      </c>
      <c r="B898" s="176">
        <v>46047</v>
      </c>
      <c r="C898" s="172" t="s">
        <v>110</v>
      </c>
      <c r="D898" s="172" t="s">
        <v>140</v>
      </c>
      <c r="E898" s="172" t="s">
        <v>86</v>
      </c>
      <c r="F898" s="172" t="s">
        <v>86</v>
      </c>
      <c r="G898" s="172" t="s">
        <v>86</v>
      </c>
      <c r="H898" s="177">
        <v>0</v>
      </c>
      <c r="I898" s="178">
        <v>0</v>
      </c>
      <c r="J898" s="176">
        <v>46047</v>
      </c>
      <c r="K898" s="172" t="s">
        <v>86</v>
      </c>
      <c r="L898" s="172" t="s">
        <v>86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143</v>
      </c>
      <c r="B899" s="176">
        <v>46047</v>
      </c>
      <c r="C899" s="172" t="s">
        <v>110</v>
      </c>
      <c r="D899" s="172" t="s">
        <v>144</v>
      </c>
      <c r="E899" s="172" t="s">
        <v>86</v>
      </c>
      <c r="F899" s="172" t="s">
        <v>86</v>
      </c>
      <c r="G899" s="172" t="s">
        <v>86</v>
      </c>
      <c r="H899" s="177">
        <v>0</v>
      </c>
      <c r="I899" s="178">
        <v>0</v>
      </c>
      <c r="J899" s="176">
        <v>46047</v>
      </c>
      <c r="K899" s="172" t="s">
        <v>86</v>
      </c>
      <c r="L899" s="172" t="s">
        <v>86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374</v>
      </c>
    </row>
    <row r="2" spans="1:16" ht="78.75" customHeight="1">
      <c r="A2" s="174" t="s">
        <v>65</v>
      </c>
      <c r="B2" s="174" t="s">
        <v>66</v>
      </c>
      <c r="C2" s="174" t="s">
        <v>67</v>
      </c>
      <c r="D2" s="174" t="s">
        <v>68</v>
      </c>
      <c r="E2" s="174" t="s">
        <v>69</v>
      </c>
      <c r="F2" s="174" t="s">
        <v>70</v>
      </c>
      <c r="G2" s="174" t="s">
        <v>71</v>
      </c>
      <c r="H2" s="174" t="s">
        <v>72</v>
      </c>
      <c r="I2" s="174" t="s">
        <v>73</v>
      </c>
      <c r="J2" s="174" t="s">
        <v>74</v>
      </c>
      <c r="K2" s="174" t="s">
        <v>75</v>
      </c>
      <c r="L2" s="174" t="s">
        <v>76</v>
      </c>
      <c r="M2" s="174" t="s">
        <v>77</v>
      </c>
      <c r="N2" s="174" t="s">
        <v>78</v>
      </c>
      <c r="O2" s="174" t="s">
        <v>79</v>
      </c>
      <c r="P2" s="175" t="s">
        <v>80</v>
      </c>
    </row>
    <row r="3" spans="1:16" ht="19.5" customHeight="1">
      <c r="A3" s="172" t="s">
        <v>375</v>
      </c>
      <c r="B3" s="176">
        <v>46034</v>
      </c>
      <c r="C3" s="172" t="s">
        <v>93</v>
      </c>
      <c r="D3" s="172" t="s">
        <v>24</v>
      </c>
      <c r="E3" s="172" t="s">
        <v>42</v>
      </c>
      <c r="F3" s="172" t="s">
        <v>84</v>
      </c>
      <c r="G3" s="172" t="s">
        <v>85</v>
      </c>
      <c r="H3" s="177">
        <v>1</v>
      </c>
      <c r="I3" s="178">
        <v>0</v>
      </c>
      <c r="J3" s="176">
        <v>46027</v>
      </c>
      <c r="K3" s="172" t="s">
        <v>94</v>
      </c>
      <c r="L3" s="172" t="s">
        <v>95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375</v>
      </c>
      <c r="B4" s="176">
        <v>46034</v>
      </c>
      <c r="C4" s="172" t="s">
        <v>82</v>
      </c>
      <c r="D4" s="172" t="s">
        <v>96</v>
      </c>
      <c r="E4" s="172" t="s">
        <v>42</v>
      </c>
      <c r="F4" s="172" t="s">
        <v>84</v>
      </c>
      <c r="G4" s="172" t="s">
        <v>85</v>
      </c>
      <c r="H4" s="177">
        <v>1</v>
      </c>
      <c r="I4" s="178">
        <v>0</v>
      </c>
      <c r="J4" s="176">
        <v>46027</v>
      </c>
      <c r="K4" s="172" t="s">
        <v>94</v>
      </c>
      <c r="L4" s="172" t="s">
        <v>95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375</v>
      </c>
      <c r="B5" s="176">
        <v>46034</v>
      </c>
      <c r="C5" s="172" t="s">
        <v>93</v>
      </c>
      <c r="D5" s="172" t="s">
        <v>97</v>
      </c>
      <c r="E5" s="172" t="s">
        <v>42</v>
      </c>
      <c r="F5" s="172" t="s">
        <v>84</v>
      </c>
      <c r="G5" s="172" t="s">
        <v>85</v>
      </c>
      <c r="H5" s="177">
        <v>1</v>
      </c>
      <c r="I5" s="178">
        <v>0</v>
      </c>
      <c r="J5" s="176">
        <v>46027</v>
      </c>
      <c r="K5" s="172" t="s">
        <v>94</v>
      </c>
      <c r="L5" s="172" t="s">
        <v>95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375</v>
      </c>
      <c r="B6" s="176">
        <v>46034</v>
      </c>
      <c r="C6" s="172" t="s">
        <v>93</v>
      </c>
      <c r="D6" s="172" t="s">
        <v>98</v>
      </c>
      <c r="E6" s="172" t="s">
        <v>42</v>
      </c>
      <c r="F6" s="172" t="s">
        <v>84</v>
      </c>
      <c r="G6" s="172" t="s">
        <v>85</v>
      </c>
      <c r="H6" s="177">
        <v>1</v>
      </c>
      <c r="I6" s="178">
        <v>0</v>
      </c>
      <c r="J6" s="176">
        <v>46027</v>
      </c>
      <c r="K6" s="172" t="s">
        <v>94</v>
      </c>
      <c r="L6" s="172" t="s">
        <v>95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375</v>
      </c>
      <c r="B7" s="176">
        <v>46034</v>
      </c>
      <c r="C7" s="172" t="s">
        <v>82</v>
      </c>
      <c r="D7" s="172" t="s">
        <v>99</v>
      </c>
      <c r="E7" s="172" t="s">
        <v>42</v>
      </c>
      <c r="F7" s="172" t="s">
        <v>84</v>
      </c>
      <c r="G7" s="172" t="s">
        <v>85</v>
      </c>
      <c r="H7" s="177">
        <v>1</v>
      </c>
      <c r="I7" s="178">
        <v>0</v>
      </c>
      <c r="J7" s="176">
        <v>46027</v>
      </c>
      <c r="K7" s="172" t="s">
        <v>94</v>
      </c>
      <c r="L7" s="172" t="s">
        <v>95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376</v>
      </c>
      <c r="B8" s="176">
        <v>46034</v>
      </c>
      <c r="C8" s="172" t="s">
        <v>93</v>
      </c>
      <c r="D8" s="172" t="s">
        <v>24</v>
      </c>
      <c r="E8" s="172" t="s">
        <v>44</v>
      </c>
      <c r="F8" s="172" t="s">
        <v>126</v>
      </c>
      <c r="G8" s="172" t="s">
        <v>85</v>
      </c>
      <c r="H8" s="177">
        <v>1</v>
      </c>
      <c r="I8" s="178">
        <v>0</v>
      </c>
      <c r="J8" s="176">
        <v>46023</v>
      </c>
      <c r="K8" s="172" t="s">
        <v>94</v>
      </c>
      <c r="L8" s="172" t="s">
        <v>95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376</v>
      </c>
      <c r="B9" s="176">
        <v>46034</v>
      </c>
      <c r="C9" s="172" t="s">
        <v>82</v>
      </c>
      <c r="D9" s="172" t="s">
        <v>96</v>
      </c>
      <c r="E9" s="172" t="s">
        <v>44</v>
      </c>
      <c r="F9" s="172" t="s">
        <v>126</v>
      </c>
      <c r="G9" s="172" t="s">
        <v>85</v>
      </c>
      <c r="H9" s="177">
        <v>1</v>
      </c>
      <c r="I9" s="178">
        <v>0</v>
      </c>
      <c r="J9" s="176">
        <v>46023</v>
      </c>
      <c r="K9" s="172" t="s">
        <v>94</v>
      </c>
      <c r="L9" s="172" t="s">
        <v>95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377</v>
      </c>
      <c r="B10" s="176">
        <v>46034</v>
      </c>
      <c r="C10" s="172" t="s">
        <v>93</v>
      </c>
      <c r="D10" s="172" t="s">
        <v>24</v>
      </c>
      <c r="E10" s="172" t="s">
        <v>54</v>
      </c>
      <c r="F10" s="172" t="s">
        <v>121</v>
      </c>
      <c r="G10" s="172" t="s">
        <v>85</v>
      </c>
      <c r="H10" s="177">
        <v>1</v>
      </c>
      <c r="I10" s="178">
        <v>0</v>
      </c>
      <c r="J10" s="176">
        <v>46028</v>
      </c>
      <c r="K10" s="172" t="s">
        <v>94</v>
      </c>
      <c r="L10" s="172" t="s">
        <v>95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377</v>
      </c>
      <c r="B11" s="176">
        <v>46034</v>
      </c>
      <c r="C11" s="172" t="s">
        <v>82</v>
      </c>
      <c r="D11" s="172" t="s">
        <v>96</v>
      </c>
      <c r="E11" s="172" t="s">
        <v>54</v>
      </c>
      <c r="F11" s="172" t="s">
        <v>121</v>
      </c>
      <c r="G11" s="172" t="s">
        <v>85</v>
      </c>
      <c r="H11" s="177">
        <v>1</v>
      </c>
      <c r="I11" s="178">
        <v>0</v>
      </c>
      <c r="J11" s="176">
        <v>46028</v>
      </c>
      <c r="K11" s="172" t="s">
        <v>94</v>
      </c>
      <c r="L11" s="172" t="s">
        <v>95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376</v>
      </c>
      <c r="B12" s="176">
        <v>46034</v>
      </c>
      <c r="C12" s="172" t="s">
        <v>93</v>
      </c>
      <c r="D12" s="172" t="s">
        <v>97</v>
      </c>
      <c r="E12" s="172" t="s">
        <v>44</v>
      </c>
      <c r="F12" s="172" t="s">
        <v>126</v>
      </c>
      <c r="G12" s="172" t="s">
        <v>85</v>
      </c>
      <c r="H12" s="177">
        <v>1</v>
      </c>
      <c r="I12" s="178">
        <v>0</v>
      </c>
      <c r="J12" s="176">
        <v>46023</v>
      </c>
      <c r="K12" s="172" t="s">
        <v>94</v>
      </c>
      <c r="L12" s="172" t="s">
        <v>95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376</v>
      </c>
      <c r="B13" s="176">
        <v>46034</v>
      </c>
      <c r="C13" s="172" t="s">
        <v>93</v>
      </c>
      <c r="D13" s="172" t="s">
        <v>98</v>
      </c>
      <c r="E13" s="172" t="s">
        <v>44</v>
      </c>
      <c r="F13" s="172" t="s">
        <v>126</v>
      </c>
      <c r="G13" s="172" t="s">
        <v>85</v>
      </c>
      <c r="H13" s="177">
        <v>1</v>
      </c>
      <c r="I13" s="178">
        <v>0</v>
      </c>
      <c r="J13" s="176">
        <v>46023</v>
      </c>
      <c r="K13" s="172" t="s">
        <v>94</v>
      </c>
      <c r="L13" s="172" t="s">
        <v>95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376</v>
      </c>
      <c r="B14" s="176">
        <v>46034</v>
      </c>
      <c r="C14" s="172" t="s">
        <v>82</v>
      </c>
      <c r="D14" s="172" t="s">
        <v>99</v>
      </c>
      <c r="E14" s="172" t="s">
        <v>44</v>
      </c>
      <c r="F14" s="172" t="s">
        <v>126</v>
      </c>
      <c r="G14" s="172" t="s">
        <v>85</v>
      </c>
      <c r="H14" s="177">
        <v>1</v>
      </c>
      <c r="I14" s="178">
        <v>0</v>
      </c>
      <c r="J14" s="176">
        <v>46023</v>
      </c>
      <c r="K14" s="172" t="s">
        <v>94</v>
      </c>
      <c r="L14" s="172" t="s">
        <v>95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377</v>
      </c>
      <c r="B15" s="176">
        <v>46034</v>
      </c>
      <c r="C15" s="172" t="s">
        <v>93</v>
      </c>
      <c r="D15" s="172" t="s">
        <v>97</v>
      </c>
      <c r="E15" s="172" t="s">
        <v>54</v>
      </c>
      <c r="F15" s="172" t="s">
        <v>121</v>
      </c>
      <c r="G15" s="172" t="s">
        <v>85</v>
      </c>
      <c r="H15" s="177">
        <v>1</v>
      </c>
      <c r="I15" s="178">
        <v>0</v>
      </c>
      <c r="J15" s="176">
        <v>46028</v>
      </c>
      <c r="K15" s="172" t="s">
        <v>94</v>
      </c>
      <c r="L15" s="172" t="s">
        <v>95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377</v>
      </c>
      <c r="B16" s="176">
        <v>46034</v>
      </c>
      <c r="C16" s="172" t="s">
        <v>93</v>
      </c>
      <c r="D16" s="172" t="s">
        <v>98</v>
      </c>
      <c r="E16" s="172" t="s">
        <v>54</v>
      </c>
      <c r="F16" s="172" t="s">
        <v>121</v>
      </c>
      <c r="G16" s="172" t="s">
        <v>85</v>
      </c>
      <c r="H16" s="177">
        <v>1</v>
      </c>
      <c r="I16" s="178">
        <v>0</v>
      </c>
      <c r="J16" s="176">
        <v>46028</v>
      </c>
      <c r="K16" s="172" t="s">
        <v>94</v>
      </c>
      <c r="L16" s="172" t="s">
        <v>95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377</v>
      </c>
      <c r="B17" s="176">
        <v>46034</v>
      </c>
      <c r="C17" s="172" t="s">
        <v>82</v>
      </c>
      <c r="D17" s="172" t="s">
        <v>99</v>
      </c>
      <c r="E17" s="172" t="s">
        <v>54</v>
      </c>
      <c r="F17" s="172" t="s">
        <v>121</v>
      </c>
      <c r="G17" s="172" t="s">
        <v>85</v>
      </c>
      <c r="H17" s="177">
        <v>1</v>
      </c>
      <c r="I17" s="178">
        <v>0</v>
      </c>
      <c r="J17" s="176">
        <v>46028</v>
      </c>
      <c r="K17" s="172" t="s">
        <v>94</v>
      </c>
      <c r="L17" s="172" t="s">
        <v>95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378</v>
      </c>
      <c r="B18" s="176">
        <v>46034</v>
      </c>
      <c r="C18" s="172" t="s">
        <v>82</v>
      </c>
      <c r="D18" s="172" t="s">
        <v>83</v>
      </c>
      <c r="E18" s="172" t="s">
        <v>43</v>
      </c>
      <c r="F18" s="172" t="s">
        <v>90</v>
      </c>
      <c r="G18" s="172" t="s">
        <v>85</v>
      </c>
      <c r="H18" s="177">
        <v>1</v>
      </c>
      <c r="I18" s="178">
        <v>0</v>
      </c>
      <c r="J18" s="176">
        <v>46034</v>
      </c>
      <c r="K18" s="172" t="s">
        <v>86</v>
      </c>
      <c r="L18" s="172" t="s">
        <v>86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378</v>
      </c>
      <c r="B19" s="176">
        <v>46034</v>
      </c>
      <c r="C19" s="172" t="s">
        <v>82</v>
      </c>
      <c r="D19" s="172" t="s">
        <v>83</v>
      </c>
      <c r="E19" s="172" t="s">
        <v>43</v>
      </c>
      <c r="F19" s="172" t="s">
        <v>90</v>
      </c>
      <c r="G19" s="172" t="s">
        <v>85</v>
      </c>
      <c r="H19" s="177">
        <v>1</v>
      </c>
      <c r="I19" s="178">
        <v>0</v>
      </c>
      <c r="J19" s="176">
        <v>46034</v>
      </c>
      <c r="K19" s="172" t="s">
        <v>86</v>
      </c>
      <c r="L19" s="172" t="s">
        <v>86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379</v>
      </c>
      <c r="B20" s="176">
        <v>46034</v>
      </c>
      <c r="C20" s="172" t="s">
        <v>93</v>
      </c>
      <c r="D20" s="172" t="s">
        <v>24</v>
      </c>
      <c r="E20" s="172" t="s">
        <v>54</v>
      </c>
      <c r="F20" s="172" t="s">
        <v>121</v>
      </c>
      <c r="G20" s="172" t="s">
        <v>85</v>
      </c>
      <c r="H20" s="177">
        <v>1</v>
      </c>
      <c r="I20" s="178">
        <v>0</v>
      </c>
      <c r="J20" s="176">
        <v>46025</v>
      </c>
      <c r="K20" s="172" t="s">
        <v>94</v>
      </c>
      <c r="L20" s="172" t="s">
        <v>95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379</v>
      </c>
      <c r="B21" s="176">
        <v>46034</v>
      </c>
      <c r="C21" s="172" t="s">
        <v>82</v>
      </c>
      <c r="D21" s="172" t="s">
        <v>96</v>
      </c>
      <c r="E21" s="172" t="s">
        <v>54</v>
      </c>
      <c r="F21" s="172" t="s">
        <v>121</v>
      </c>
      <c r="G21" s="172" t="s">
        <v>85</v>
      </c>
      <c r="H21" s="177">
        <v>1</v>
      </c>
      <c r="I21" s="178">
        <v>0</v>
      </c>
      <c r="J21" s="176">
        <v>46025</v>
      </c>
      <c r="K21" s="172" t="s">
        <v>94</v>
      </c>
      <c r="L21" s="172" t="s">
        <v>95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379</v>
      </c>
      <c r="B22" s="176">
        <v>46034</v>
      </c>
      <c r="C22" s="172" t="s">
        <v>93</v>
      </c>
      <c r="D22" s="172" t="s">
        <v>97</v>
      </c>
      <c r="E22" s="172" t="s">
        <v>54</v>
      </c>
      <c r="F22" s="172" t="s">
        <v>121</v>
      </c>
      <c r="G22" s="172" t="s">
        <v>85</v>
      </c>
      <c r="H22" s="177">
        <v>1</v>
      </c>
      <c r="I22" s="178">
        <v>0</v>
      </c>
      <c r="J22" s="176">
        <v>46025</v>
      </c>
      <c r="K22" s="172" t="s">
        <v>94</v>
      </c>
      <c r="L22" s="172" t="s">
        <v>95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379</v>
      </c>
      <c r="B23" s="176">
        <v>46034</v>
      </c>
      <c r="C23" s="172" t="s">
        <v>93</v>
      </c>
      <c r="D23" s="172" t="s">
        <v>98</v>
      </c>
      <c r="E23" s="172" t="s">
        <v>54</v>
      </c>
      <c r="F23" s="172" t="s">
        <v>121</v>
      </c>
      <c r="G23" s="172" t="s">
        <v>85</v>
      </c>
      <c r="H23" s="177">
        <v>1</v>
      </c>
      <c r="I23" s="178">
        <v>0</v>
      </c>
      <c r="J23" s="176">
        <v>46025</v>
      </c>
      <c r="K23" s="172" t="s">
        <v>94</v>
      </c>
      <c r="L23" s="172" t="s">
        <v>95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379</v>
      </c>
      <c r="B24" s="176">
        <v>46034</v>
      </c>
      <c r="C24" s="172" t="s">
        <v>82</v>
      </c>
      <c r="D24" s="172" t="s">
        <v>99</v>
      </c>
      <c r="E24" s="172" t="s">
        <v>54</v>
      </c>
      <c r="F24" s="172" t="s">
        <v>121</v>
      </c>
      <c r="G24" s="172" t="s">
        <v>85</v>
      </c>
      <c r="H24" s="177">
        <v>1</v>
      </c>
      <c r="I24" s="178">
        <v>0</v>
      </c>
      <c r="J24" s="176">
        <v>46025</v>
      </c>
      <c r="K24" s="172" t="s">
        <v>94</v>
      </c>
      <c r="L24" s="172" t="s">
        <v>95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380</v>
      </c>
      <c r="B25" s="176">
        <v>46034</v>
      </c>
      <c r="C25" s="172" t="s">
        <v>93</v>
      </c>
      <c r="D25" s="172" t="s">
        <v>97</v>
      </c>
      <c r="E25" s="172" t="s">
        <v>54</v>
      </c>
      <c r="F25" s="172" t="s">
        <v>121</v>
      </c>
      <c r="G25" s="172" t="s">
        <v>85</v>
      </c>
      <c r="H25" s="177">
        <v>1</v>
      </c>
      <c r="I25" s="178">
        <v>0</v>
      </c>
      <c r="J25" s="176">
        <v>46024</v>
      </c>
      <c r="K25" s="172" t="s">
        <v>94</v>
      </c>
      <c r="L25" s="172" t="s">
        <v>95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380</v>
      </c>
      <c r="B26" s="176">
        <v>46034</v>
      </c>
      <c r="C26" s="172" t="s">
        <v>93</v>
      </c>
      <c r="D26" s="172" t="s">
        <v>98</v>
      </c>
      <c r="E26" s="172" t="s">
        <v>54</v>
      </c>
      <c r="F26" s="172" t="s">
        <v>121</v>
      </c>
      <c r="G26" s="172" t="s">
        <v>85</v>
      </c>
      <c r="H26" s="177">
        <v>1</v>
      </c>
      <c r="I26" s="178">
        <v>0</v>
      </c>
      <c r="J26" s="176">
        <v>46024</v>
      </c>
      <c r="K26" s="172" t="s">
        <v>94</v>
      </c>
      <c r="L26" s="172" t="s">
        <v>95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380</v>
      </c>
      <c r="B27" s="176">
        <v>46034</v>
      </c>
      <c r="C27" s="172" t="s">
        <v>82</v>
      </c>
      <c r="D27" s="172" t="s">
        <v>99</v>
      </c>
      <c r="E27" s="172" t="s">
        <v>54</v>
      </c>
      <c r="F27" s="172" t="s">
        <v>121</v>
      </c>
      <c r="G27" s="172" t="s">
        <v>85</v>
      </c>
      <c r="H27" s="177">
        <v>1</v>
      </c>
      <c r="I27" s="178">
        <v>0</v>
      </c>
      <c r="J27" s="176">
        <v>46024</v>
      </c>
      <c r="K27" s="172" t="s">
        <v>94</v>
      </c>
      <c r="L27" s="172" t="s">
        <v>95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380</v>
      </c>
      <c r="B28" s="176">
        <v>46034</v>
      </c>
      <c r="C28" s="172" t="s">
        <v>93</v>
      </c>
      <c r="D28" s="172" t="s">
        <v>24</v>
      </c>
      <c r="E28" s="172" t="s">
        <v>54</v>
      </c>
      <c r="F28" s="172" t="s">
        <v>121</v>
      </c>
      <c r="G28" s="172" t="s">
        <v>85</v>
      </c>
      <c r="H28" s="177">
        <v>1</v>
      </c>
      <c r="I28" s="178">
        <v>0</v>
      </c>
      <c r="J28" s="176">
        <v>46024</v>
      </c>
      <c r="K28" s="172" t="s">
        <v>94</v>
      </c>
      <c r="L28" s="172" t="s">
        <v>95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380</v>
      </c>
      <c r="B29" s="176">
        <v>46034</v>
      </c>
      <c r="C29" s="172" t="s">
        <v>82</v>
      </c>
      <c r="D29" s="172" t="s">
        <v>96</v>
      </c>
      <c r="E29" s="172" t="s">
        <v>54</v>
      </c>
      <c r="F29" s="172" t="s">
        <v>121</v>
      </c>
      <c r="G29" s="172" t="s">
        <v>85</v>
      </c>
      <c r="H29" s="177">
        <v>1</v>
      </c>
      <c r="I29" s="178">
        <v>0</v>
      </c>
      <c r="J29" s="176">
        <v>46024</v>
      </c>
      <c r="K29" s="172" t="s">
        <v>94</v>
      </c>
      <c r="L29" s="172" t="s">
        <v>95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381</v>
      </c>
      <c r="B30" s="176">
        <v>46034</v>
      </c>
      <c r="C30" s="172" t="s">
        <v>93</v>
      </c>
      <c r="D30" s="172" t="s">
        <v>24</v>
      </c>
      <c r="E30" s="172" t="s">
        <v>42</v>
      </c>
      <c r="F30" s="172" t="s">
        <v>84</v>
      </c>
      <c r="G30" s="172" t="s">
        <v>85</v>
      </c>
      <c r="H30" s="177">
        <v>1</v>
      </c>
      <c r="I30" s="178">
        <v>1600</v>
      </c>
      <c r="J30" s="176">
        <v>46026</v>
      </c>
      <c r="K30" s="172" t="s">
        <v>94</v>
      </c>
      <c r="L30" s="172" t="s">
        <v>95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381</v>
      </c>
      <c r="B31" s="176">
        <v>46034</v>
      </c>
      <c r="C31" s="172" t="s">
        <v>101</v>
      </c>
      <c r="D31" s="172" t="s">
        <v>102</v>
      </c>
      <c r="E31" s="172" t="s">
        <v>42</v>
      </c>
      <c r="F31" s="172" t="s">
        <v>84</v>
      </c>
      <c r="G31" s="172" t="s">
        <v>85</v>
      </c>
      <c r="H31" s="177">
        <v>1</v>
      </c>
      <c r="I31" s="178">
        <v>1600</v>
      </c>
      <c r="J31" s="176">
        <v>46026</v>
      </c>
      <c r="K31" s="172" t="s">
        <v>94</v>
      </c>
      <c r="L31" s="172" t="s">
        <v>95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381</v>
      </c>
      <c r="B32" s="176">
        <v>46034</v>
      </c>
      <c r="C32" s="172" t="s">
        <v>101</v>
      </c>
      <c r="D32" s="172" t="s">
        <v>103</v>
      </c>
      <c r="E32" s="172" t="s">
        <v>42</v>
      </c>
      <c r="F32" s="172" t="s">
        <v>84</v>
      </c>
      <c r="G32" s="172" t="s">
        <v>85</v>
      </c>
      <c r="H32" s="177">
        <v>1</v>
      </c>
      <c r="I32" s="178">
        <v>1600</v>
      </c>
      <c r="J32" s="176">
        <v>46026</v>
      </c>
      <c r="K32" s="172" t="s">
        <v>94</v>
      </c>
      <c r="L32" s="172" t="s">
        <v>95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381</v>
      </c>
      <c r="B33" s="176">
        <v>46034</v>
      </c>
      <c r="C33" s="172" t="s">
        <v>101</v>
      </c>
      <c r="D33" s="172" t="s">
        <v>104</v>
      </c>
      <c r="E33" s="172" t="s">
        <v>42</v>
      </c>
      <c r="F33" s="172" t="s">
        <v>84</v>
      </c>
      <c r="G33" s="172" t="s">
        <v>85</v>
      </c>
      <c r="H33" s="177">
        <v>1</v>
      </c>
      <c r="I33" s="178">
        <v>1600</v>
      </c>
      <c r="J33" s="176">
        <v>46026</v>
      </c>
      <c r="K33" s="172" t="s">
        <v>94</v>
      </c>
      <c r="L33" s="172" t="s">
        <v>95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381</v>
      </c>
      <c r="B34" s="176">
        <v>46034</v>
      </c>
      <c r="C34" s="172" t="s">
        <v>105</v>
      </c>
      <c r="D34" s="172" t="s">
        <v>106</v>
      </c>
      <c r="E34" s="172" t="s">
        <v>42</v>
      </c>
      <c r="F34" s="172" t="s">
        <v>84</v>
      </c>
      <c r="G34" s="172" t="s">
        <v>85</v>
      </c>
      <c r="H34" s="177">
        <v>1</v>
      </c>
      <c r="I34" s="178">
        <v>1600</v>
      </c>
      <c r="J34" s="176">
        <v>46026</v>
      </c>
      <c r="K34" s="172" t="s">
        <v>94</v>
      </c>
      <c r="L34" s="172" t="s">
        <v>95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382</v>
      </c>
      <c r="B35" s="176">
        <v>46034</v>
      </c>
      <c r="C35" s="172" t="s">
        <v>93</v>
      </c>
      <c r="D35" s="172" t="s">
        <v>24</v>
      </c>
      <c r="E35" s="172" t="s">
        <v>43</v>
      </c>
      <c r="F35" s="172" t="s">
        <v>90</v>
      </c>
      <c r="G35" s="172" t="s">
        <v>85</v>
      </c>
      <c r="H35" s="177">
        <v>1</v>
      </c>
      <c r="I35" s="178">
        <v>0</v>
      </c>
      <c r="J35" s="176">
        <v>46015</v>
      </c>
      <c r="K35" s="172" t="s">
        <v>94</v>
      </c>
      <c r="L35" s="172" t="s">
        <v>95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382</v>
      </c>
      <c r="B36" s="176">
        <v>46034</v>
      </c>
      <c r="C36" s="172" t="s">
        <v>82</v>
      </c>
      <c r="D36" s="172" t="s">
        <v>96</v>
      </c>
      <c r="E36" s="172" t="s">
        <v>43</v>
      </c>
      <c r="F36" s="172" t="s">
        <v>90</v>
      </c>
      <c r="G36" s="172" t="s">
        <v>85</v>
      </c>
      <c r="H36" s="177">
        <v>1</v>
      </c>
      <c r="I36" s="178">
        <v>0</v>
      </c>
      <c r="J36" s="176">
        <v>46015</v>
      </c>
      <c r="K36" s="172" t="s">
        <v>94</v>
      </c>
      <c r="L36" s="172" t="s">
        <v>95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382</v>
      </c>
      <c r="B37" s="176">
        <v>46034</v>
      </c>
      <c r="C37" s="172" t="s">
        <v>93</v>
      </c>
      <c r="D37" s="172" t="s">
        <v>97</v>
      </c>
      <c r="E37" s="172" t="s">
        <v>43</v>
      </c>
      <c r="F37" s="172" t="s">
        <v>90</v>
      </c>
      <c r="G37" s="172" t="s">
        <v>85</v>
      </c>
      <c r="H37" s="177">
        <v>1</v>
      </c>
      <c r="I37" s="178">
        <v>0</v>
      </c>
      <c r="J37" s="176">
        <v>46015</v>
      </c>
      <c r="K37" s="172" t="s">
        <v>94</v>
      </c>
      <c r="L37" s="172" t="s">
        <v>95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382</v>
      </c>
      <c r="B38" s="176">
        <v>46034</v>
      </c>
      <c r="C38" s="172" t="s">
        <v>93</v>
      </c>
      <c r="D38" s="172" t="s">
        <v>98</v>
      </c>
      <c r="E38" s="172" t="s">
        <v>43</v>
      </c>
      <c r="F38" s="172" t="s">
        <v>90</v>
      </c>
      <c r="G38" s="172" t="s">
        <v>85</v>
      </c>
      <c r="H38" s="177">
        <v>1</v>
      </c>
      <c r="I38" s="178">
        <v>0</v>
      </c>
      <c r="J38" s="176">
        <v>46015</v>
      </c>
      <c r="K38" s="172" t="s">
        <v>94</v>
      </c>
      <c r="L38" s="172" t="s">
        <v>95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383</v>
      </c>
      <c r="B39" s="176">
        <v>46034</v>
      </c>
      <c r="C39" s="172" t="s">
        <v>82</v>
      </c>
      <c r="D39" s="172" t="s">
        <v>83</v>
      </c>
      <c r="E39" s="172" t="s">
        <v>54</v>
      </c>
      <c r="F39" s="172" t="s">
        <v>121</v>
      </c>
      <c r="G39" s="172" t="s">
        <v>85</v>
      </c>
      <c r="H39" s="177">
        <v>1</v>
      </c>
      <c r="I39" s="178">
        <v>0</v>
      </c>
      <c r="J39" s="176">
        <v>46034</v>
      </c>
      <c r="K39" s="172" t="s">
        <v>86</v>
      </c>
      <c r="L39" s="172" t="s">
        <v>86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86</v>
      </c>
      <c r="B40" s="176">
        <v>46034</v>
      </c>
      <c r="C40" s="172" t="s">
        <v>110</v>
      </c>
      <c r="D40" s="172" t="s">
        <v>111</v>
      </c>
      <c r="E40" s="172" t="s">
        <v>86</v>
      </c>
      <c r="F40" s="172" t="s">
        <v>86</v>
      </c>
      <c r="G40" s="172" t="s">
        <v>384</v>
      </c>
      <c r="H40" s="177">
        <v>0</v>
      </c>
      <c r="I40" s="178">
        <v>0</v>
      </c>
      <c r="J40" s="176">
        <v>46034</v>
      </c>
      <c r="K40" s="172" t="s">
        <v>86</v>
      </c>
      <c r="L40" s="172" t="s">
        <v>86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385</v>
      </c>
      <c r="B41" s="176">
        <v>46034</v>
      </c>
      <c r="C41" s="172" t="s">
        <v>82</v>
      </c>
      <c r="D41" s="172" t="s">
        <v>83</v>
      </c>
      <c r="E41" s="172" t="s">
        <v>54</v>
      </c>
      <c r="F41" s="172" t="s">
        <v>121</v>
      </c>
      <c r="G41" s="172" t="s">
        <v>85</v>
      </c>
      <c r="H41" s="177">
        <v>1</v>
      </c>
      <c r="I41" s="178">
        <v>0</v>
      </c>
      <c r="J41" s="176">
        <v>46034</v>
      </c>
      <c r="K41" s="172" t="s">
        <v>86</v>
      </c>
      <c r="L41" s="172" t="s">
        <v>86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386</v>
      </c>
      <c r="B42" s="176">
        <v>46034</v>
      </c>
      <c r="C42" s="172" t="s">
        <v>93</v>
      </c>
      <c r="D42" s="172" t="s">
        <v>24</v>
      </c>
      <c r="E42" s="172" t="s">
        <v>43</v>
      </c>
      <c r="F42" s="172" t="s">
        <v>90</v>
      </c>
      <c r="G42" s="172" t="s">
        <v>85</v>
      </c>
      <c r="H42" s="177">
        <v>1</v>
      </c>
      <c r="I42" s="178">
        <v>1600</v>
      </c>
      <c r="J42" s="176">
        <v>46031</v>
      </c>
      <c r="K42" s="172" t="s">
        <v>94</v>
      </c>
      <c r="L42" s="172" t="s">
        <v>95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386</v>
      </c>
      <c r="B43" s="176">
        <v>46034</v>
      </c>
      <c r="C43" s="172" t="s">
        <v>101</v>
      </c>
      <c r="D43" s="172" t="s">
        <v>102</v>
      </c>
      <c r="E43" s="172" t="s">
        <v>43</v>
      </c>
      <c r="F43" s="172" t="s">
        <v>90</v>
      </c>
      <c r="G43" s="172" t="s">
        <v>85</v>
      </c>
      <c r="H43" s="177">
        <v>1</v>
      </c>
      <c r="I43" s="178">
        <v>1600</v>
      </c>
      <c r="J43" s="176">
        <v>46031</v>
      </c>
      <c r="K43" s="172" t="s">
        <v>94</v>
      </c>
      <c r="L43" s="172" t="s">
        <v>95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386</v>
      </c>
      <c r="B44" s="176">
        <v>46034</v>
      </c>
      <c r="C44" s="172" t="s">
        <v>101</v>
      </c>
      <c r="D44" s="172" t="s">
        <v>103</v>
      </c>
      <c r="E44" s="172" t="s">
        <v>43</v>
      </c>
      <c r="F44" s="172" t="s">
        <v>90</v>
      </c>
      <c r="G44" s="172" t="s">
        <v>85</v>
      </c>
      <c r="H44" s="177">
        <v>1</v>
      </c>
      <c r="I44" s="178">
        <v>1600</v>
      </c>
      <c r="J44" s="176">
        <v>46031</v>
      </c>
      <c r="K44" s="172" t="s">
        <v>94</v>
      </c>
      <c r="L44" s="172" t="s">
        <v>95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386</v>
      </c>
      <c r="B45" s="176">
        <v>46034</v>
      </c>
      <c r="C45" s="172" t="s">
        <v>101</v>
      </c>
      <c r="D45" s="172" t="s">
        <v>104</v>
      </c>
      <c r="E45" s="172" t="s">
        <v>43</v>
      </c>
      <c r="F45" s="172" t="s">
        <v>90</v>
      </c>
      <c r="G45" s="172" t="s">
        <v>85</v>
      </c>
      <c r="H45" s="177">
        <v>1</v>
      </c>
      <c r="I45" s="178">
        <v>1600</v>
      </c>
      <c r="J45" s="176">
        <v>46031</v>
      </c>
      <c r="K45" s="172" t="s">
        <v>94</v>
      </c>
      <c r="L45" s="172" t="s">
        <v>95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386</v>
      </c>
      <c r="B46" s="176">
        <v>46034</v>
      </c>
      <c r="C46" s="172" t="s">
        <v>105</v>
      </c>
      <c r="D46" s="172" t="s">
        <v>106</v>
      </c>
      <c r="E46" s="172" t="s">
        <v>43</v>
      </c>
      <c r="F46" s="172" t="s">
        <v>90</v>
      </c>
      <c r="G46" s="172" t="s">
        <v>85</v>
      </c>
      <c r="H46" s="177">
        <v>1</v>
      </c>
      <c r="I46" s="178">
        <v>1600</v>
      </c>
      <c r="J46" s="176">
        <v>46031</v>
      </c>
      <c r="K46" s="172" t="s">
        <v>94</v>
      </c>
      <c r="L46" s="172" t="s">
        <v>95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386</v>
      </c>
      <c r="B47" s="176">
        <v>46034</v>
      </c>
      <c r="C47" s="172" t="s">
        <v>82</v>
      </c>
      <c r="D47" s="172" t="s">
        <v>96</v>
      </c>
      <c r="E47" s="172" t="s">
        <v>43</v>
      </c>
      <c r="F47" s="172" t="s">
        <v>90</v>
      </c>
      <c r="G47" s="172" t="s">
        <v>85</v>
      </c>
      <c r="H47" s="177">
        <v>1</v>
      </c>
      <c r="I47" s="178">
        <v>1600</v>
      </c>
      <c r="J47" s="176">
        <v>46031</v>
      </c>
      <c r="K47" s="172" t="s">
        <v>94</v>
      </c>
      <c r="L47" s="172" t="s">
        <v>95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387</v>
      </c>
      <c r="B48" s="176">
        <v>46034</v>
      </c>
      <c r="C48" s="172" t="s">
        <v>82</v>
      </c>
      <c r="D48" s="172" t="s">
        <v>83</v>
      </c>
      <c r="E48" s="172" t="s">
        <v>53</v>
      </c>
      <c r="F48" s="172" t="s">
        <v>91</v>
      </c>
      <c r="G48" s="172" t="s">
        <v>85</v>
      </c>
      <c r="H48" s="177">
        <v>1</v>
      </c>
      <c r="I48" s="178">
        <v>0</v>
      </c>
      <c r="J48" s="176">
        <v>46034</v>
      </c>
      <c r="K48" s="172" t="s">
        <v>86</v>
      </c>
      <c r="L48" s="172" t="s">
        <v>86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388</v>
      </c>
      <c r="B49" s="176">
        <v>46034</v>
      </c>
      <c r="C49" s="172" t="s">
        <v>82</v>
      </c>
      <c r="D49" s="172" t="s">
        <v>83</v>
      </c>
      <c r="E49" s="172" t="s">
        <v>42</v>
      </c>
      <c r="F49" s="172" t="s">
        <v>84</v>
      </c>
      <c r="G49" s="172" t="s">
        <v>85</v>
      </c>
      <c r="H49" s="177">
        <v>1</v>
      </c>
      <c r="I49" s="178">
        <v>0</v>
      </c>
      <c r="J49" s="176">
        <v>46034</v>
      </c>
      <c r="K49" s="172" t="s">
        <v>86</v>
      </c>
      <c r="L49" s="172" t="s">
        <v>86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389</v>
      </c>
      <c r="B50" s="176">
        <v>46034</v>
      </c>
      <c r="C50" s="172" t="s">
        <v>93</v>
      </c>
      <c r="D50" s="172" t="s">
        <v>24</v>
      </c>
      <c r="E50" s="172" t="s">
        <v>53</v>
      </c>
      <c r="F50" s="172" t="s">
        <v>91</v>
      </c>
      <c r="G50" s="172" t="s">
        <v>85</v>
      </c>
      <c r="H50" s="177">
        <v>1</v>
      </c>
      <c r="I50" s="178">
        <v>1621</v>
      </c>
      <c r="J50" s="176">
        <v>46031</v>
      </c>
      <c r="K50" s="172" t="s">
        <v>94</v>
      </c>
      <c r="L50" s="172" t="s">
        <v>95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389</v>
      </c>
      <c r="B51" s="176">
        <v>46034</v>
      </c>
      <c r="C51" s="172" t="s">
        <v>101</v>
      </c>
      <c r="D51" s="172" t="s">
        <v>102</v>
      </c>
      <c r="E51" s="172" t="s">
        <v>53</v>
      </c>
      <c r="F51" s="172" t="s">
        <v>91</v>
      </c>
      <c r="G51" s="172" t="s">
        <v>85</v>
      </c>
      <c r="H51" s="177">
        <v>1</v>
      </c>
      <c r="I51" s="178">
        <v>1621</v>
      </c>
      <c r="J51" s="176">
        <v>46031</v>
      </c>
      <c r="K51" s="172" t="s">
        <v>94</v>
      </c>
      <c r="L51" s="172" t="s">
        <v>95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389</v>
      </c>
      <c r="B52" s="176">
        <v>46034</v>
      </c>
      <c r="C52" s="172" t="s">
        <v>101</v>
      </c>
      <c r="D52" s="172" t="s">
        <v>103</v>
      </c>
      <c r="E52" s="172" t="s">
        <v>53</v>
      </c>
      <c r="F52" s="172" t="s">
        <v>91</v>
      </c>
      <c r="G52" s="172" t="s">
        <v>85</v>
      </c>
      <c r="H52" s="177">
        <v>1</v>
      </c>
      <c r="I52" s="178">
        <v>1621</v>
      </c>
      <c r="J52" s="176">
        <v>46031</v>
      </c>
      <c r="K52" s="172" t="s">
        <v>94</v>
      </c>
      <c r="L52" s="172" t="s">
        <v>95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389</v>
      </c>
      <c r="B53" s="176">
        <v>46034</v>
      </c>
      <c r="C53" s="172" t="s">
        <v>101</v>
      </c>
      <c r="D53" s="172" t="s">
        <v>104</v>
      </c>
      <c r="E53" s="172" t="s">
        <v>53</v>
      </c>
      <c r="F53" s="172" t="s">
        <v>91</v>
      </c>
      <c r="G53" s="172" t="s">
        <v>85</v>
      </c>
      <c r="H53" s="177">
        <v>1</v>
      </c>
      <c r="I53" s="178">
        <v>1621</v>
      </c>
      <c r="J53" s="176">
        <v>46031</v>
      </c>
      <c r="K53" s="172" t="s">
        <v>94</v>
      </c>
      <c r="L53" s="172" t="s">
        <v>95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389</v>
      </c>
      <c r="B54" s="176">
        <v>46034</v>
      </c>
      <c r="C54" s="172" t="s">
        <v>105</v>
      </c>
      <c r="D54" s="172" t="s">
        <v>106</v>
      </c>
      <c r="E54" s="172" t="s">
        <v>53</v>
      </c>
      <c r="F54" s="172" t="s">
        <v>91</v>
      </c>
      <c r="G54" s="172" t="s">
        <v>85</v>
      </c>
      <c r="H54" s="177">
        <v>1</v>
      </c>
      <c r="I54" s="178">
        <v>1621</v>
      </c>
      <c r="J54" s="176">
        <v>46031</v>
      </c>
      <c r="K54" s="172" t="s">
        <v>94</v>
      </c>
      <c r="L54" s="172" t="s">
        <v>95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389</v>
      </c>
      <c r="B55" s="176">
        <v>46034</v>
      </c>
      <c r="C55" s="172" t="s">
        <v>82</v>
      </c>
      <c r="D55" s="172" t="s">
        <v>96</v>
      </c>
      <c r="E55" s="172" t="s">
        <v>53</v>
      </c>
      <c r="F55" s="172" t="s">
        <v>91</v>
      </c>
      <c r="G55" s="172" t="s">
        <v>85</v>
      </c>
      <c r="H55" s="177">
        <v>1</v>
      </c>
      <c r="I55" s="178">
        <v>1621</v>
      </c>
      <c r="J55" s="176">
        <v>46031</v>
      </c>
      <c r="K55" s="172" t="s">
        <v>94</v>
      </c>
      <c r="L55" s="172" t="s">
        <v>95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390</v>
      </c>
      <c r="B56" s="176">
        <v>46034</v>
      </c>
      <c r="C56" s="172" t="s">
        <v>82</v>
      </c>
      <c r="D56" s="172" t="s">
        <v>83</v>
      </c>
      <c r="E56" s="172" t="s">
        <v>53</v>
      </c>
      <c r="F56" s="172" t="s">
        <v>91</v>
      </c>
      <c r="G56" s="172" t="s">
        <v>85</v>
      </c>
      <c r="H56" s="177">
        <v>1</v>
      </c>
      <c r="I56" s="178">
        <v>0</v>
      </c>
      <c r="J56" s="176">
        <v>46034</v>
      </c>
      <c r="K56" s="172" t="s">
        <v>86</v>
      </c>
      <c r="L56" s="172" t="s">
        <v>86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391</v>
      </c>
      <c r="B57" s="176">
        <v>46034</v>
      </c>
      <c r="C57" s="172" t="s">
        <v>93</v>
      </c>
      <c r="D57" s="172" t="s">
        <v>24</v>
      </c>
      <c r="E57" s="172" t="s">
        <v>40</v>
      </c>
      <c r="F57" s="172" t="s">
        <v>118</v>
      </c>
      <c r="G57" s="172" t="s">
        <v>85</v>
      </c>
      <c r="H57" s="177">
        <v>1</v>
      </c>
      <c r="I57" s="178">
        <v>1650</v>
      </c>
      <c r="J57" s="176">
        <v>46024</v>
      </c>
      <c r="K57" s="172" t="s">
        <v>94</v>
      </c>
      <c r="L57" s="172" t="s">
        <v>95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391</v>
      </c>
      <c r="B58" s="176">
        <v>46034</v>
      </c>
      <c r="C58" s="172" t="s">
        <v>101</v>
      </c>
      <c r="D58" s="172" t="s">
        <v>102</v>
      </c>
      <c r="E58" s="172" t="s">
        <v>40</v>
      </c>
      <c r="F58" s="172" t="s">
        <v>118</v>
      </c>
      <c r="G58" s="172" t="s">
        <v>85</v>
      </c>
      <c r="H58" s="177">
        <v>1</v>
      </c>
      <c r="I58" s="178">
        <v>1650</v>
      </c>
      <c r="J58" s="176">
        <v>46024</v>
      </c>
      <c r="K58" s="172" t="s">
        <v>94</v>
      </c>
      <c r="L58" s="172" t="s">
        <v>95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391</v>
      </c>
      <c r="B59" s="176">
        <v>46034</v>
      </c>
      <c r="C59" s="172" t="s">
        <v>101</v>
      </c>
      <c r="D59" s="172" t="s">
        <v>103</v>
      </c>
      <c r="E59" s="172" t="s">
        <v>40</v>
      </c>
      <c r="F59" s="172" t="s">
        <v>118</v>
      </c>
      <c r="G59" s="172" t="s">
        <v>85</v>
      </c>
      <c r="H59" s="177">
        <v>1</v>
      </c>
      <c r="I59" s="178">
        <v>1650</v>
      </c>
      <c r="J59" s="176">
        <v>46024</v>
      </c>
      <c r="K59" s="172" t="s">
        <v>94</v>
      </c>
      <c r="L59" s="172" t="s">
        <v>95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391</v>
      </c>
      <c r="B60" s="176">
        <v>46034</v>
      </c>
      <c r="C60" s="172" t="s">
        <v>101</v>
      </c>
      <c r="D60" s="172" t="s">
        <v>104</v>
      </c>
      <c r="E60" s="172" t="s">
        <v>40</v>
      </c>
      <c r="F60" s="172" t="s">
        <v>118</v>
      </c>
      <c r="G60" s="172" t="s">
        <v>85</v>
      </c>
      <c r="H60" s="177">
        <v>1</v>
      </c>
      <c r="I60" s="178">
        <v>1650</v>
      </c>
      <c r="J60" s="176">
        <v>46024</v>
      </c>
      <c r="K60" s="172" t="s">
        <v>94</v>
      </c>
      <c r="L60" s="172" t="s">
        <v>95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391</v>
      </c>
      <c r="B61" s="176">
        <v>46034</v>
      </c>
      <c r="C61" s="172" t="s">
        <v>105</v>
      </c>
      <c r="D61" s="172" t="s">
        <v>106</v>
      </c>
      <c r="E61" s="172" t="s">
        <v>40</v>
      </c>
      <c r="F61" s="172" t="s">
        <v>118</v>
      </c>
      <c r="G61" s="172" t="s">
        <v>85</v>
      </c>
      <c r="H61" s="177">
        <v>1</v>
      </c>
      <c r="I61" s="178">
        <v>1650</v>
      </c>
      <c r="J61" s="176">
        <v>46024</v>
      </c>
      <c r="K61" s="172" t="s">
        <v>94</v>
      </c>
      <c r="L61" s="172" t="s">
        <v>95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391</v>
      </c>
      <c r="B62" s="176">
        <v>46034</v>
      </c>
      <c r="C62" s="172" t="s">
        <v>82</v>
      </c>
      <c r="D62" s="172" t="s">
        <v>96</v>
      </c>
      <c r="E62" s="172" t="s">
        <v>40</v>
      </c>
      <c r="F62" s="172" t="s">
        <v>118</v>
      </c>
      <c r="G62" s="172" t="s">
        <v>85</v>
      </c>
      <c r="H62" s="177">
        <v>1</v>
      </c>
      <c r="I62" s="178">
        <v>1650</v>
      </c>
      <c r="J62" s="176">
        <v>46024</v>
      </c>
      <c r="K62" s="172" t="s">
        <v>94</v>
      </c>
      <c r="L62" s="172" t="s">
        <v>95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392</v>
      </c>
      <c r="B63" s="176">
        <v>46034</v>
      </c>
      <c r="C63" s="172" t="s">
        <v>82</v>
      </c>
      <c r="D63" s="172" t="s">
        <v>83</v>
      </c>
      <c r="E63" s="172" t="s">
        <v>53</v>
      </c>
      <c r="F63" s="172" t="s">
        <v>91</v>
      </c>
      <c r="G63" s="172" t="s">
        <v>85</v>
      </c>
      <c r="H63" s="177">
        <v>1</v>
      </c>
      <c r="I63" s="178">
        <v>0</v>
      </c>
      <c r="J63" s="176">
        <v>46034</v>
      </c>
      <c r="K63" s="172" t="s">
        <v>86</v>
      </c>
      <c r="L63" s="172" t="s">
        <v>86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391</v>
      </c>
      <c r="B64" s="176">
        <v>46034</v>
      </c>
      <c r="C64" s="172" t="s">
        <v>82</v>
      </c>
      <c r="D64" s="172" t="s">
        <v>83</v>
      </c>
      <c r="E64" s="172" t="s">
        <v>40</v>
      </c>
      <c r="F64" s="172" t="s">
        <v>118</v>
      </c>
      <c r="G64" s="172" t="s">
        <v>85</v>
      </c>
      <c r="H64" s="177">
        <v>1</v>
      </c>
      <c r="I64" s="178">
        <v>0</v>
      </c>
      <c r="J64" s="176">
        <v>46024</v>
      </c>
      <c r="K64" s="172" t="s">
        <v>86</v>
      </c>
      <c r="L64" s="172" t="s">
        <v>86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393</v>
      </c>
      <c r="B65" s="176">
        <v>46034</v>
      </c>
      <c r="C65" s="172" t="s">
        <v>93</v>
      </c>
      <c r="D65" s="172" t="s">
        <v>24</v>
      </c>
      <c r="E65" s="172" t="s">
        <v>53</v>
      </c>
      <c r="F65" s="172" t="s">
        <v>91</v>
      </c>
      <c r="G65" s="172" t="s">
        <v>85</v>
      </c>
      <c r="H65" s="177">
        <v>1</v>
      </c>
      <c r="I65" s="178">
        <v>0</v>
      </c>
      <c r="J65" s="176">
        <v>46031</v>
      </c>
      <c r="K65" s="172" t="s">
        <v>94</v>
      </c>
      <c r="L65" s="172" t="s">
        <v>95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394</v>
      </c>
      <c r="B66" s="176">
        <v>46034</v>
      </c>
      <c r="C66" s="172" t="s">
        <v>93</v>
      </c>
      <c r="D66" s="172" t="s">
        <v>24</v>
      </c>
      <c r="E66" s="172" t="s">
        <v>54</v>
      </c>
      <c r="F66" s="172" t="s">
        <v>121</v>
      </c>
      <c r="G66" s="172" t="s">
        <v>85</v>
      </c>
      <c r="H66" s="177">
        <v>1</v>
      </c>
      <c r="I66" s="178">
        <v>0</v>
      </c>
      <c r="J66" s="176">
        <v>46019</v>
      </c>
      <c r="K66" s="172" t="s">
        <v>94</v>
      </c>
      <c r="L66" s="172" t="s">
        <v>95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394</v>
      </c>
      <c r="B67" s="176">
        <v>46034</v>
      </c>
      <c r="C67" s="172" t="s">
        <v>82</v>
      </c>
      <c r="D67" s="172" t="s">
        <v>96</v>
      </c>
      <c r="E67" s="172" t="s">
        <v>54</v>
      </c>
      <c r="F67" s="172" t="s">
        <v>121</v>
      </c>
      <c r="G67" s="172" t="s">
        <v>85</v>
      </c>
      <c r="H67" s="177">
        <v>1</v>
      </c>
      <c r="I67" s="178">
        <v>0</v>
      </c>
      <c r="J67" s="176">
        <v>46019</v>
      </c>
      <c r="K67" s="172" t="s">
        <v>94</v>
      </c>
      <c r="L67" s="172" t="s">
        <v>95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394</v>
      </c>
      <c r="B68" s="176">
        <v>46034</v>
      </c>
      <c r="C68" s="172" t="s">
        <v>93</v>
      </c>
      <c r="D68" s="172" t="s">
        <v>97</v>
      </c>
      <c r="E68" s="172" t="s">
        <v>54</v>
      </c>
      <c r="F68" s="172" t="s">
        <v>121</v>
      </c>
      <c r="G68" s="172" t="s">
        <v>85</v>
      </c>
      <c r="H68" s="177">
        <v>1</v>
      </c>
      <c r="I68" s="178">
        <v>0</v>
      </c>
      <c r="J68" s="176">
        <v>46019</v>
      </c>
      <c r="K68" s="172" t="s">
        <v>94</v>
      </c>
      <c r="L68" s="172" t="s">
        <v>95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394</v>
      </c>
      <c r="B69" s="176">
        <v>46034</v>
      </c>
      <c r="C69" s="172" t="s">
        <v>93</v>
      </c>
      <c r="D69" s="172" t="s">
        <v>98</v>
      </c>
      <c r="E69" s="172" t="s">
        <v>54</v>
      </c>
      <c r="F69" s="172" t="s">
        <v>121</v>
      </c>
      <c r="G69" s="172" t="s">
        <v>85</v>
      </c>
      <c r="H69" s="177">
        <v>1</v>
      </c>
      <c r="I69" s="178">
        <v>0</v>
      </c>
      <c r="J69" s="176">
        <v>46019</v>
      </c>
      <c r="K69" s="172" t="s">
        <v>94</v>
      </c>
      <c r="L69" s="172" t="s">
        <v>95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394</v>
      </c>
      <c r="B70" s="176">
        <v>46034</v>
      </c>
      <c r="C70" s="172" t="s">
        <v>82</v>
      </c>
      <c r="D70" s="172" t="s">
        <v>99</v>
      </c>
      <c r="E70" s="172" t="s">
        <v>54</v>
      </c>
      <c r="F70" s="172" t="s">
        <v>121</v>
      </c>
      <c r="G70" s="172" t="s">
        <v>85</v>
      </c>
      <c r="H70" s="177">
        <v>1</v>
      </c>
      <c r="I70" s="178">
        <v>0</v>
      </c>
      <c r="J70" s="176">
        <v>46019</v>
      </c>
      <c r="K70" s="172" t="s">
        <v>94</v>
      </c>
      <c r="L70" s="172" t="s">
        <v>95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395</v>
      </c>
      <c r="B71" s="176">
        <v>46034</v>
      </c>
      <c r="C71" s="172" t="s">
        <v>93</v>
      </c>
      <c r="D71" s="172" t="s">
        <v>24</v>
      </c>
      <c r="E71" s="172" t="s">
        <v>42</v>
      </c>
      <c r="F71" s="172" t="s">
        <v>84</v>
      </c>
      <c r="G71" s="172" t="s">
        <v>85</v>
      </c>
      <c r="H71" s="177">
        <v>1</v>
      </c>
      <c r="I71" s="178">
        <v>1600</v>
      </c>
      <c r="J71" s="176">
        <v>46030</v>
      </c>
      <c r="K71" s="172" t="s">
        <v>94</v>
      </c>
      <c r="L71" s="172" t="s">
        <v>95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395</v>
      </c>
      <c r="B72" s="176">
        <v>46034</v>
      </c>
      <c r="C72" s="172" t="s">
        <v>101</v>
      </c>
      <c r="D72" s="172" t="s">
        <v>102</v>
      </c>
      <c r="E72" s="172" t="s">
        <v>42</v>
      </c>
      <c r="F72" s="172" t="s">
        <v>84</v>
      </c>
      <c r="G72" s="172" t="s">
        <v>85</v>
      </c>
      <c r="H72" s="177">
        <v>1</v>
      </c>
      <c r="I72" s="178">
        <v>1600</v>
      </c>
      <c r="J72" s="176">
        <v>46030</v>
      </c>
      <c r="K72" s="172" t="s">
        <v>94</v>
      </c>
      <c r="L72" s="172" t="s">
        <v>95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395</v>
      </c>
      <c r="B73" s="176">
        <v>46034</v>
      </c>
      <c r="C73" s="172" t="s">
        <v>101</v>
      </c>
      <c r="D73" s="172" t="s">
        <v>103</v>
      </c>
      <c r="E73" s="172" t="s">
        <v>42</v>
      </c>
      <c r="F73" s="172" t="s">
        <v>84</v>
      </c>
      <c r="G73" s="172" t="s">
        <v>85</v>
      </c>
      <c r="H73" s="177">
        <v>1</v>
      </c>
      <c r="I73" s="178">
        <v>1600</v>
      </c>
      <c r="J73" s="176">
        <v>46030</v>
      </c>
      <c r="K73" s="172" t="s">
        <v>94</v>
      </c>
      <c r="L73" s="172" t="s">
        <v>95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395</v>
      </c>
      <c r="B74" s="176">
        <v>46034</v>
      </c>
      <c r="C74" s="172" t="s">
        <v>101</v>
      </c>
      <c r="D74" s="172" t="s">
        <v>104</v>
      </c>
      <c r="E74" s="172" t="s">
        <v>42</v>
      </c>
      <c r="F74" s="172" t="s">
        <v>84</v>
      </c>
      <c r="G74" s="172" t="s">
        <v>85</v>
      </c>
      <c r="H74" s="177">
        <v>1</v>
      </c>
      <c r="I74" s="178">
        <v>1600</v>
      </c>
      <c r="J74" s="176">
        <v>46030</v>
      </c>
      <c r="K74" s="172" t="s">
        <v>94</v>
      </c>
      <c r="L74" s="172" t="s">
        <v>95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395</v>
      </c>
      <c r="B75" s="176">
        <v>46034</v>
      </c>
      <c r="C75" s="172" t="s">
        <v>105</v>
      </c>
      <c r="D75" s="172" t="s">
        <v>106</v>
      </c>
      <c r="E75" s="172" t="s">
        <v>42</v>
      </c>
      <c r="F75" s="172" t="s">
        <v>84</v>
      </c>
      <c r="G75" s="172" t="s">
        <v>85</v>
      </c>
      <c r="H75" s="177">
        <v>1</v>
      </c>
      <c r="I75" s="178">
        <v>1600</v>
      </c>
      <c r="J75" s="176">
        <v>46030</v>
      </c>
      <c r="K75" s="172" t="s">
        <v>94</v>
      </c>
      <c r="L75" s="172" t="s">
        <v>95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395</v>
      </c>
      <c r="B76" s="176">
        <v>46034</v>
      </c>
      <c r="C76" s="172" t="s">
        <v>82</v>
      </c>
      <c r="D76" s="172" t="s">
        <v>96</v>
      </c>
      <c r="E76" s="172" t="s">
        <v>42</v>
      </c>
      <c r="F76" s="172" t="s">
        <v>84</v>
      </c>
      <c r="G76" s="172" t="s">
        <v>85</v>
      </c>
      <c r="H76" s="177">
        <v>1</v>
      </c>
      <c r="I76" s="178">
        <v>1600</v>
      </c>
      <c r="J76" s="176">
        <v>46030</v>
      </c>
      <c r="K76" s="172" t="s">
        <v>94</v>
      </c>
      <c r="L76" s="172" t="s">
        <v>95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396</v>
      </c>
      <c r="B77" s="176">
        <v>46034</v>
      </c>
      <c r="C77" s="172" t="s">
        <v>93</v>
      </c>
      <c r="D77" s="172" t="s">
        <v>24</v>
      </c>
      <c r="E77" s="172" t="s">
        <v>42</v>
      </c>
      <c r="F77" s="172" t="s">
        <v>84</v>
      </c>
      <c r="G77" s="172" t="s">
        <v>85</v>
      </c>
      <c r="H77" s="177">
        <v>1</v>
      </c>
      <c r="I77" s="178">
        <v>1600</v>
      </c>
      <c r="J77" s="176">
        <v>46027</v>
      </c>
      <c r="K77" s="172" t="s">
        <v>94</v>
      </c>
      <c r="L77" s="172" t="s">
        <v>95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396</v>
      </c>
      <c r="B78" s="176">
        <v>46034</v>
      </c>
      <c r="C78" s="172" t="s">
        <v>101</v>
      </c>
      <c r="D78" s="172" t="s">
        <v>102</v>
      </c>
      <c r="E78" s="172" t="s">
        <v>42</v>
      </c>
      <c r="F78" s="172" t="s">
        <v>84</v>
      </c>
      <c r="G78" s="172" t="s">
        <v>85</v>
      </c>
      <c r="H78" s="177">
        <v>1</v>
      </c>
      <c r="I78" s="178">
        <v>1600</v>
      </c>
      <c r="J78" s="176">
        <v>46027</v>
      </c>
      <c r="K78" s="172" t="s">
        <v>94</v>
      </c>
      <c r="L78" s="172" t="s">
        <v>95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396</v>
      </c>
      <c r="B79" s="176">
        <v>46034</v>
      </c>
      <c r="C79" s="172" t="s">
        <v>101</v>
      </c>
      <c r="D79" s="172" t="s">
        <v>103</v>
      </c>
      <c r="E79" s="172" t="s">
        <v>42</v>
      </c>
      <c r="F79" s="172" t="s">
        <v>84</v>
      </c>
      <c r="G79" s="172" t="s">
        <v>85</v>
      </c>
      <c r="H79" s="177">
        <v>1</v>
      </c>
      <c r="I79" s="178">
        <v>1600</v>
      </c>
      <c r="J79" s="176">
        <v>46027</v>
      </c>
      <c r="K79" s="172" t="s">
        <v>94</v>
      </c>
      <c r="L79" s="172" t="s">
        <v>95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396</v>
      </c>
      <c r="B80" s="176">
        <v>46034</v>
      </c>
      <c r="C80" s="172" t="s">
        <v>101</v>
      </c>
      <c r="D80" s="172" t="s">
        <v>104</v>
      </c>
      <c r="E80" s="172" t="s">
        <v>42</v>
      </c>
      <c r="F80" s="172" t="s">
        <v>84</v>
      </c>
      <c r="G80" s="172" t="s">
        <v>85</v>
      </c>
      <c r="H80" s="177">
        <v>1</v>
      </c>
      <c r="I80" s="178">
        <v>1600</v>
      </c>
      <c r="J80" s="176">
        <v>46027</v>
      </c>
      <c r="K80" s="172" t="s">
        <v>94</v>
      </c>
      <c r="L80" s="172" t="s">
        <v>95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396</v>
      </c>
      <c r="B81" s="176">
        <v>46034</v>
      </c>
      <c r="C81" s="172" t="s">
        <v>105</v>
      </c>
      <c r="D81" s="172" t="s">
        <v>106</v>
      </c>
      <c r="E81" s="172" t="s">
        <v>42</v>
      </c>
      <c r="F81" s="172" t="s">
        <v>84</v>
      </c>
      <c r="G81" s="172" t="s">
        <v>85</v>
      </c>
      <c r="H81" s="177">
        <v>1</v>
      </c>
      <c r="I81" s="178">
        <v>1600</v>
      </c>
      <c r="J81" s="176">
        <v>46027</v>
      </c>
      <c r="K81" s="172" t="s">
        <v>94</v>
      </c>
      <c r="L81" s="172" t="s">
        <v>95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396</v>
      </c>
      <c r="B82" s="176">
        <v>46034</v>
      </c>
      <c r="C82" s="172" t="s">
        <v>82</v>
      </c>
      <c r="D82" s="172" t="s">
        <v>96</v>
      </c>
      <c r="E82" s="172" t="s">
        <v>42</v>
      </c>
      <c r="F82" s="172" t="s">
        <v>84</v>
      </c>
      <c r="G82" s="172" t="s">
        <v>85</v>
      </c>
      <c r="H82" s="177">
        <v>1</v>
      </c>
      <c r="I82" s="178">
        <v>1600</v>
      </c>
      <c r="J82" s="176">
        <v>46027</v>
      </c>
      <c r="K82" s="172" t="s">
        <v>94</v>
      </c>
      <c r="L82" s="172" t="s">
        <v>95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397</v>
      </c>
      <c r="B83" s="176">
        <v>46034</v>
      </c>
      <c r="C83" s="172" t="s">
        <v>93</v>
      </c>
      <c r="D83" s="172" t="s">
        <v>24</v>
      </c>
      <c r="E83" s="172" t="s">
        <v>53</v>
      </c>
      <c r="F83" s="172" t="s">
        <v>91</v>
      </c>
      <c r="G83" s="172" t="s">
        <v>85</v>
      </c>
      <c r="H83" s="177">
        <v>1</v>
      </c>
      <c r="I83" s="178">
        <v>1621</v>
      </c>
      <c r="J83" s="176">
        <v>46027</v>
      </c>
      <c r="K83" s="172" t="s">
        <v>94</v>
      </c>
      <c r="L83" s="172" t="s">
        <v>95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397</v>
      </c>
      <c r="B84" s="176">
        <v>46034</v>
      </c>
      <c r="C84" s="172" t="s">
        <v>101</v>
      </c>
      <c r="D84" s="172" t="s">
        <v>102</v>
      </c>
      <c r="E84" s="172" t="s">
        <v>53</v>
      </c>
      <c r="F84" s="172" t="s">
        <v>91</v>
      </c>
      <c r="G84" s="172" t="s">
        <v>85</v>
      </c>
      <c r="H84" s="177">
        <v>1</v>
      </c>
      <c r="I84" s="178">
        <v>1621</v>
      </c>
      <c r="J84" s="176">
        <v>46027</v>
      </c>
      <c r="K84" s="172" t="s">
        <v>94</v>
      </c>
      <c r="L84" s="172" t="s">
        <v>95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397</v>
      </c>
      <c r="B85" s="176">
        <v>46034</v>
      </c>
      <c r="C85" s="172" t="s">
        <v>101</v>
      </c>
      <c r="D85" s="172" t="s">
        <v>103</v>
      </c>
      <c r="E85" s="172" t="s">
        <v>53</v>
      </c>
      <c r="F85" s="172" t="s">
        <v>91</v>
      </c>
      <c r="G85" s="172" t="s">
        <v>85</v>
      </c>
      <c r="H85" s="177">
        <v>1</v>
      </c>
      <c r="I85" s="178">
        <v>1621</v>
      </c>
      <c r="J85" s="176">
        <v>46027</v>
      </c>
      <c r="K85" s="172" t="s">
        <v>94</v>
      </c>
      <c r="L85" s="172" t="s">
        <v>95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397</v>
      </c>
      <c r="B86" s="176">
        <v>46034</v>
      </c>
      <c r="C86" s="172" t="s">
        <v>101</v>
      </c>
      <c r="D86" s="172" t="s">
        <v>104</v>
      </c>
      <c r="E86" s="172" t="s">
        <v>53</v>
      </c>
      <c r="F86" s="172" t="s">
        <v>91</v>
      </c>
      <c r="G86" s="172" t="s">
        <v>85</v>
      </c>
      <c r="H86" s="177">
        <v>1</v>
      </c>
      <c r="I86" s="178">
        <v>1621</v>
      </c>
      <c r="J86" s="176">
        <v>46027</v>
      </c>
      <c r="K86" s="172" t="s">
        <v>94</v>
      </c>
      <c r="L86" s="172" t="s">
        <v>95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397</v>
      </c>
      <c r="B87" s="176">
        <v>46034</v>
      </c>
      <c r="C87" s="172" t="s">
        <v>105</v>
      </c>
      <c r="D87" s="172" t="s">
        <v>106</v>
      </c>
      <c r="E87" s="172" t="s">
        <v>53</v>
      </c>
      <c r="F87" s="172" t="s">
        <v>91</v>
      </c>
      <c r="G87" s="172" t="s">
        <v>85</v>
      </c>
      <c r="H87" s="177">
        <v>1</v>
      </c>
      <c r="I87" s="178">
        <v>1621</v>
      </c>
      <c r="J87" s="176">
        <v>46027</v>
      </c>
      <c r="K87" s="172" t="s">
        <v>94</v>
      </c>
      <c r="L87" s="172" t="s">
        <v>95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397</v>
      </c>
      <c r="B88" s="176">
        <v>46034</v>
      </c>
      <c r="C88" s="172" t="s">
        <v>82</v>
      </c>
      <c r="D88" s="172" t="s">
        <v>96</v>
      </c>
      <c r="E88" s="172" t="s">
        <v>53</v>
      </c>
      <c r="F88" s="172" t="s">
        <v>91</v>
      </c>
      <c r="G88" s="172" t="s">
        <v>85</v>
      </c>
      <c r="H88" s="177">
        <v>1</v>
      </c>
      <c r="I88" s="178">
        <v>1621</v>
      </c>
      <c r="J88" s="176">
        <v>46027</v>
      </c>
      <c r="K88" s="172" t="s">
        <v>94</v>
      </c>
      <c r="L88" s="172" t="s">
        <v>95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398</v>
      </c>
      <c r="B89" s="176">
        <v>46034</v>
      </c>
      <c r="C89" s="172" t="s">
        <v>93</v>
      </c>
      <c r="D89" s="172" t="s">
        <v>24</v>
      </c>
      <c r="E89" s="172" t="s">
        <v>53</v>
      </c>
      <c r="F89" s="172" t="s">
        <v>91</v>
      </c>
      <c r="G89" s="172" t="s">
        <v>85</v>
      </c>
      <c r="H89" s="177">
        <v>1</v>
      </c>
      <c r="I89" s="178">
        <v>0</v>
      </c>
      <c r="J89" s="176">
        <v>46020</v>
      </c>
      <c r="K89" s="172" t="s">
        <v>94</v>
      </c>
      <c r="L89" s="172" t="s">
        <v>95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398</v>
      </c>
      <c r="B90" s="176">
        <v>46034</v>
      </c>
      <c r="C90" s="172" t="s">
        <v>82</v>
      </c>
      <c r="D90" s="172" t="s">
        <v>96</v>
      </c>
      <c r="E90" s="172" t="s">
        <v>53</v>
      </c>
      <c r="F90" s="172" t="s">
        <v>91</v>
      </c>
      <c r="G90" s="172" t="s">
        <v>85</v>
      </c>
      <c r="H90" s="177">
        <v>1</v>
      </c>
      <c r="I90" s="178">
        <v>0</v>
      </c>
      <c r="J90" s="176">
        <v>46020</v>
      </c>
      <c r="K90" s="172" t="s">
        <v>94</v>
      </c>
      <c r="L90" s="172" t="s">
        <v>95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398</v>
      </c>
      <c r="B91" s="176">
        <v>46034</v>
      </c>
      <c r="C91" s="172" t="s">
        <v>93</v>
      </c>
      <c r="D91" s="172" t="s">
        <v>97</v>
      </c>
      <c r="E91" s="172" t="s">
        <v>53</v>
      </c>
      <c r="F91" s="172" t="s">
        <v>91</v>
      </c>
      <c r="G91" s="172" t="s">
        <v>85</v>
      </c>
      <c r="H91" s="177">
        <v>1</v>
      </c>
      <c r="I91" s="178">
        <v>0</v>
      </c>
      <c r="J91" s="176">
        <v>46020</v>
      </c>
      <c r="K91" s="172" t="s">
        <v>94</v>
      </c>
      <c r="L91" s="172" t="s">
        <v>95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398</v>
      </c>
      <c r="B92" s="176">
        <v>46034</v>
      </c>
      <c r="C92" s="172" t="s">
        <v>93</v>
      </c>
      <c r="D92" s="172" t="s">
        <v>98</v>
      </c>
      <c r="E92" s="172" t="s">
        <v>53</v>
      </c>
      <c r="F92" s="172" t="s">
        <v>91</v>
      </c>
      <c r="G92" s="172" t="s">
        <v>85</v>
      </c>
      <c r="H92" s="177">
        <v>1</v>
      </c>
      <c r="I92" s="178">
        <v>0</v>
      </c>
      <c r="J92" s="176">
        <v>46020</v>
      </c>
      <c r="K92" s="172" t="s">
        <v>94</v>
      </c>
      <c r="L92" s="172" t="s">
        <v>95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398</v>
      </c>
      <c r="B93" s="176">
        <v>46034</v>
      </c>
      <c r="C93" s="172" t="s">
        <v>82</v>
      </c>
      <c r="D93" s="172" t="s">
        <v>99</v>
      </c>
      <c r="E93" s="172" t="s">
        <v>53</v>
      </c>
      <c r="F93" s="172" t="s">
        <v>91</v>
      </c>
      <c r="G93" s="172" t="s">
        <v>85</v>
      </c>
      <c r="H93" s="177">
        <v>1</v>
      </c>
      <c r="I93" s="178">
        <v>0</v>
      </c>
      <c r="J93" s="176">
        <v>46020</v>
      </c>
      <c r="K93" s="172" t="s">
        <v>94</v>
      </c>
      <c r="L93" s="172" t="s">
        <v>95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397</v>
      </c>
      <c r="B94" s="176">
        <v>46034</v>
      </c>
      <c r="C94" s="172" t="s">
        <v>82</v>
      </c>
      <c r="D94" s="172" t="s">
        <v>83</v>
      </c>
      <c r="E94" s="172" t="s">
        <v>53</v>
      </c>
      <c r="F94" s="172" t="s">
        <v>91</v>
      </c>
      <c r="G94" s="172" t="s">
        <v>85</v>
      </c>
      <c r="H94" s="177">
        <v>1</v>
      </c>
      <c r="I94" s="178">
        <v>0</v>
      </c>
      <c r="J94" s="176">
        <v>46027</v>
      </c>
      <c r="K94" s="172" t="s">
        <v>86</v>
      </c>
      <c r="L94" s="172" t="s">
        <v>86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399</v>
      </c>
      <c r="B95" s="176">
        <v>46034</v>
      </c>
      <c r="C95" s="172" t="s">
        <v>93</v>
      </c>
      <c r="D95" s="172" t="s">
        <v>24</v>
      </c>
      <c r="E95" s="172" t="s">
        <v>54</v>
      </c>
      <c r="F95" s="172" t="s">
        <v>121</v>
      </c>
      <c r="G95" s="172" t="s">
        <v>85</v>
      </c>
      <c r="H95" s="177">
        <v>1</v>
      </c>
      <c r="I95" s="178">
        <v>0</v>
      </c>
      <c r="J95" s="176">
        <v>46027</v>
      </c>
      <c r="K95" s="172" t="s">
        <v>94</v>
      </c>
      <c r="L95" s="172" t="s">
        <v>95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399</v>
      </c>
      <c r="B96" s="176">
        <v>46034</v>
      </c>
      <c r="C96" s="172" t="s">
        <v>82</v>
      </c>
      <c r="D96" s="172" t="s">
        <v>96</v>
      </c>
      <c r="E96" s="172" t="s">
        <v>54</v>
      </c>
      <c r="F96" s="172" t="s">
        <v>121</v>
      </c>
      <c r="G96" s="172" t="s">
        <v>85</v>
      </c>
      <c r="H96" s="177">
        <v>1</v>
      </c>
      <c r="I96" s="178">
        <v>0</v>
      </c>
      <c r="J96" s="176">
        <v>46027</v>
      </c>
      <c r="K96" s="172" t="s">
        <v>94</v>
      </c>
      <c r="L96" s="172" t="s">
        <v>95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399</v>
      </c>
      <c r="B97" s="176">
        <v>46034</v>
      </c>
      <c r="C97" s="172" t="s">
        <v>93</v>
      </c>
      <c r="D97" s="172" t="s">
        <v>97</v>
      </c>
      <c r="E97" s="172" t="s">
        <v>54</v>
      </c>
      <c r="F97" s="172" t="s">
        <v>121</v>
      </c>
      <c r="G97" s="172" t="s">
        <v>85</v>
      </c>
      <c r="H97" s="177">
        <v>1</v>
      </c>
      <c r="I97" s="178">
        <v>0</v>
      </c>
      <c r="J97" s="176">
        <v>46027</v>
      </c>
      <c r="K97" s="172" t="s">
        <v>94</v>
      </c>
      <c r="L97" s="172" t="s">
        <v>95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399</v>
      </c>
      <c r="B98" s="176">
        <v>46034</v>
      </c>
      <c r="C98" s="172" t="s">
        <v>93</v>
      </c>
      <c r="D98" s="172" t="s">
        <v>98</v>
      </c>
      <c r="E98" s="172" t="s">
        <v>54</v>
      </c>
      <c r="F98" s="172" t="s">
        <v>121</v>
      </c>
      <c r="G98" s="172" t="s">
        <v>85</v>
      </c>
      <c r="H98" s="177">
        <v>1</v>
      </c>
      <c r="I98" s="178">
        <v>0</v>
      </c>
      <c r="J98" s="176">
        <v>46027</v>
      </c>
      <c r="K98" s="172" t="s">
        <v>94</v>
      </c>
      <c r="L98" s="172" t="s">
        <v>95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399</v>
      </c>
      <c r="B99" s="176">
        <v>46034</v>
      </c>
      <c r="C99" s="172" t="s">
        <v>82</v>
      </c>
      <c r="D99" s="172" t="s">
        <v>99</v>
      </c>
      <c r="E99" s="172" t="s">
        <v>54</v>
      </c>
      <c r="F99" s="172" t="s">
        <v>121</v>
      </c>
      <c r="G99" s="172" t="s">
        <v>85</v>
      </c>
      <c r="H99" s="177">
        <v>1</v>
      </c>
      <c r="I99" s="178">
        <v>0</v>
      </c>
      <c r="J99" s="176">
        <v>46027</v>
      </c>
      <c r="K99" s="172" t="s">
        <v>94</v>
      </c>
      <c r="L99" s="172" t="s">
        <v>95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400</v>
      </c>
      <c r="B100" s="176">
        <v>46034</v>
      </c>
      <c r="C100" s="172" t="s">
        <v>93</v>
      </c>
      <c r="D100" s="172" t="s">
        <v>24</v>
      </c>
      <c r="E100" s="172" t="s">
        <v>53</v>
      </c>
      <c r="F100" s="172" t="s">
        <v>91</v>
      </c>
      <c r="G100" s="172" t="s">
        <v>85</v>
      </c>
      <c r="H100" s="177">
        <v>1</v>
      </c>
      <c r="I100" s="178">
        <v>1621</v>
      </c>
      <c r="J100" s="176">
        <v>46033</v>
      </c>
      <c r="K100" s="172" t="s">
        <v>94</v>
      </c>
      <c r="L100" s="172" t="s">
        <v>95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400</v>
      </c>
      <c r="B101" s="176">
        <v>46034</v>
      </c>
      <c r="C101" s="172" t="s">
        <v>101</v>
      </c>
      <c r="D101" s="172" t="s">
        <v>102</v>
      </c>
      <c r="E101" s="172" t="s">
        <v>53</v>
      </c>
      <c r="F101" s="172" t="s">
        <v>91</v>
      </c>
      <c r="G101" s="172" t="s">
        <v>85</v>
      </c>
      <c r="H101" s="177">
        <v>1</v>
      </c>
      <c r="I101" s="178">
        <v>1621</v>
      </c>
      <c r="J101" s="176">
        <v>46033</v>
      </c>
      <c r="K101" s="172" t="s">
        <v>94</v>
      </c>
      <c r="L101" s="172" t="s">
        <v>95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400</v>
      </c>
      <c r="B102" s="176">
        <v>46034</v>
      </c>
      <c r="C102" s="172" t="s">
        <v>101</v>
      </c>
      <c r="D102" s="172" t="s">
        <v>103</v>
      </c>
      <c r="E102" s="172" t="s">
        <v>53</v>
      </c>
      <c r="F102" s="172" t="s">
        <v>91</v>
      </c>
      <c r="G102" s="172" t="s">
        <v>85</v>
      </c>
      <c r="H102" s="177">
        <v>1</v>
      </c>
      <c r="I102" s="178">
        <v>1621</v>
      </c>
      <c r="J102" s="176">
        <v>46033</v>
      </c>
      <c r="K102" s="172" t="s">
        <v>94</v>
      </c>
      <c r="L102" s="172" t="s">
        <v>95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400</v>
      </c>
      <c r="B103" s="176">
        <v>46034</v>
      </c>
      <c r="C103" s="172" t="s">
        <v>101</v>
      </c>
      <c r="D103" s="172" t="s">
        <v>104</v>
      </c>
      <c r="E103" s="172" t="s">
        <v>53</v>
      </c>
      <c r="F103" s="172" t="s">
        <v>91</v>
      </c>
      <c r="G103" s="172" t="s">
        <v>85</v>
      </c>
      <c r="H103" s="177">
        <v>1</v>
      </c>
      <c r="I103" s="178">
        <v>1621</v>
      </c>
      <c r="J103" s="176">
        <v>46033</v>
      </c>
      <c r="K103" s="172" t="s">
        <v>94</v>
      </c>
      <c r="L103" s="172" t="s">
        <v>95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400</v>
      </c>
      <c r="B104" s="176">
        <v>46034</v>
      </c>
      <c r="C104" s="172" t="s">
        <v>105</v>
      </c>
      <c r="D104" s="172" t="s">
        <v>106</v>
      </c>
      <c r="E104" s="172" t="s">
        <v>53</v>
      </c>
      <c r="F104" s="172" t="s">
        <v>91</v>
      </c>
      <c r="G104" s="172" t="s">
        <v>85</v>
      </c>
      <c r="H104" s="177">
        <v>1</v>
      </c>
      <c r="I104" s="178">
        <v>1621</v>
      </c>
      <c r="J104" s="176">
        <v>46033</v>
      </c>
      <c r="K104" s="172" t="s">
        <v>94</v>
      </c>
      <c r="L104" s="172" t="s">
        <v>95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400</v>
      </c>
      <c r="B105" s="176">
        <v>46034</v>
      </c>
      <c r="C105" s="172" t="s">
        <v>82</v>
      </c>
      <c r="D105" s="172" t="s">
        <v>96</v>
      </c>
      <c r="E105" s="172" t="s">
        <v>53</v>
      </c>
      <c r="F105" s="172" t="s">
        <v>91</v>
      </c>
      <c r="G105" s="172" t="s">
        <v>85</v>
      </c>
      <c r="H105" s="177">
        <v>1</v>
      </c>
      <c r="I105" s="178">
        <v>1621</v>
      </c>
      <c r="J105" s="176">
        <v>46033</v>
      </c>
      <c r="K105" s="172" t="s">
        <v>94</v>
      </c>
      <c r="L105" s="172" t="s">
        <v>95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401</v>
      </c>
      <c r="B106" s="176">
        <v>46034</v>
      </c>
      <c r="C106" s="172" t="s">
        <v>93</v>
      </c>
      <c r="D106" s="172" t="s">
        <v>24</v>
      </c>
      <c r="E106" s="172" t="s">
        <v>42</v>
      </c>
      <c r="F106" s="172" t="s">
        <v>84</v>
      </c>
      <c r="G106" s="172" t="s">
        <v>85</v>
      </c>
      <c r="H106" s="177">
        <v>1</v>
      </c>
      <c r="I106" s="178">
        <v>1600</v>
      </c>
      <c r="J106" s="176">
        <v>46029</v>
      </c>
      <c r="K106" s="172" t="s">
        <v>94</v>
      </c>
      <c r="L106" s="172" t="s">
        <v>95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401</v>
      </c>
      <c r="B107" s="176">
        <v>46034</v>
      </c>
      <c r="C107" s="172" t="s">
        <v>101</v>
      </c>
      <c r="D107" s="172" t="s">
        <v>102</v>
      </c>
      <c r="E107" s="172" t="s">
        <v>42</v>
      </c>
      <c r="F107" s="172" t="s">
        <v>84</v>
      </c>
      <c r="G107" s="172" t="s">
        <v>85</v>
      </c>
      <c r="H107" s="177">
        <v>1</v>
      </c>
      <c r="I107" s="178">
        <v>1600</v>
      </c>
      <c r="J107" s="176">
        <v>46029</v>
      </c>
      <c r="K107" s="172" t="s">
        <v>94</v>
      </c>
      <c r="L107" s="172" t="s">
        <v>95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401</v>
      </c>
      <c r="B108" s="176">
        <v>46034</v>
      </c>
      <c r="C108" s="172" t="s">
        <v>101</v>
      </c>
      <c r="D108" s="172" t="s">
        <v>103</v>
      </c>
      <c r="E108" s="172" t="s">
        <v>42</v>
      </c>
      <c r="F108" s="172" t="s">
        <v>84</v>
      </c>
      <c r="G108" s="172" t="s">
        <v>85</v>
      </c>
      <c r="H108" s="177">
        <v>1</v>
      </c>
      <c r="I108" s="178">
        <v>1600</v>
      </c>
      <c r="J108" s="176">
        <v>46029</v>
      </c>
      <c r="K108" s="172" t="s">
        <v>94</v>
      </c>
      <c r="L108" s="172" t="s">
        <v>95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401</v>
      </c>
      <c r="B109" s="176">
        <v>46034</v>
      </c>
      <c r="C109" s="172" t="s">
        <v>101</v>
      </c>
      <c r="D109" s="172" t="s">
        <v>104</v>
      </c>
      <c r="E109" s="172" t="s">
        <v>42</v>
      </c>
      <c r="F109" s="172" t="s">
        <v>84</v>
      </c>
      <c r="G109" s="172" t="s">
        <v>85</v>
      </c>
      <c r="H109" s="177">
        <v>1</v>
      </c>
      <c r="I109" s="178">
        <v>1600</v>
      </c>
      <c r="J109" s="176">
        <v>46029</v>
      </c>
      <c r="K109" s="172" t="s">
        <v>94</v>
      </c>
      <c r="L109" s="172" t="s">
        <v>95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401</v>
      </c>
      <c r="B110" s="176">
        <v>46034</v>
      </c>
      <c r="C110" s="172" t="s">
        <v>105</v>
      </c>
      <c r="D110" s="172" t="s">
        <v>106</v>
      </c>
      <c r="E110" s="172" t="s">
        <v>42</v>
      </c>
      <c r="F110" s="172" t="s">
        <v>84</v>
      </c>
      <c r="G110" s="172" t="s">
        <v>85</v>
      </c>
      <c r="H110" s="177">
        <v>1</v>
      </c>
      <c r="I110" s="178">
        <v>1600</v>
      </c>
      <c r="J110" s="176">
        <v>46029</v>
      </c>
      <c r="K110" s="172" t="s">
        <v>94</v>
      </c>
      <c r="L110" s="172" t="s">
        <v>95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401</v>
      </c>
      <c r="B111" s="176">
        <v>46034</v>
      </c>
      <c r="C111" s="172" t="s">
        <v>82</v>
      </c>
      <c r="D111" s="172" t="s">
        <v>96</v>
      </c>
      <c r="E111" s="172" t="s">
        <v>42</v>
      </c>
      <c r="F111" s="172" t="s">
        <v>84</v>
      </c>
      <c r="G111" s="172" t="s">
        <v>85</v>
      </c>
      <c r="H111" s="177">
        <v>1</v>
      </c>
      <c r="I111" s="178">
        <v>1600</v>
      </c>
      <c r="J111" s="176">
        <v>46029</v>
      </c>
      <c r="K111" s="172" t="s">
        <v>94</v>
      </c>
      <c r="L111" s="172" t="s">
        <v>95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400</v>
      </c>
      <c r="B112" s="176">
        <v>46034</v>
      </c>
      <c r="C112" s="172" t="s">
        <v>82</v>
      </c>
      <c r="D112" s="172" t="s">
        <v>83</v>
      </c>
      <c r="E112" s="172" t="s">
        <v>53</v>
      </c>
      <c r="F112" s="172" t="s">
        <v>91</v>
      </c>
      <c r="G112" s="172" t="s">
        <v>85</v>
      </c>
      <c r="H112" s="177">
        <v>1</v>
      </c>
      <c r="I112" s="178">
        <v>0</v>
      </c>
      <c r="J112" s="176">
        <v>46033</v>
      </c>
      <c r="K112" s="172" t="s">
        <v>86</v>
      </c>
      <c r="L112" s="172" t="s">
        <v>86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402</v>
      </c>
      <c r="B113" s="176">
        <v>46034</v>
      </c>
      <c r="C113" s="172" t="s">
        <v>82</v>
      </c>
      <c r="D113" s="172" t="s">
        <v>83</v>
      </c>
      <c r="E113" s="172" t="s">
        <v>53</v>
      </c>
      <c r="F113" s="172" t="s">
        <v>91</v>
      </c>
      <c r="G113" s="172" t="s">
        <v>85</v>
      </c>
      <c r="H113" s="177">
        <v>1</v>
      </c>
      <c r="I113" s="178">
        <v>0</v>
      </c>
      <c r="J113" s="176">
        <v>46034</v>
      </c>
      <c r="K113" s="172" t="s">
        <v>86</v>
      </c>
      <c r="L113" s="172" t="s">
        <v>86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403</v>
      </c>
      <c r="B114" s="176">
        <v>46034</v>
      </c>
      <c r="C114" s="172" t="s">
        <v>93</v>
      </c>
      <c r="D114" s="172" t="s">
        <v>24</v>
      </c>
      <c r="E114" s="172" t="s">
        <v>53</v>
      </c>
      <c r="F114" s="172" t="s">
        <v>91</v>
      </c>
      <c r="G114" s="172" t="s">
        <v>85</v>
      </c>
      <c r="H114" s="177">
        <v>1</v>
      </c>
      <c r="I114" s="178">
        <v>1621</v>
      </c>
      <c r="J114" s="176">
        <v>46031</v>
      </c>
      <c r="K114" s="172" t="s">
        <v>94</v>
      </c>
      <c r="L114" s="172" t="s">
        <v>95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403</v>
      </c>
      <c r="B115" s="176">
        <v>46034</v>
      </c>
      <c r="C115" s="172" t="s">
        <v>101</v>
      </c>
      <c r="D115" s="172" t="s">
        <v>102</v>
      </c>
      <c r="E115" s="172" t="s">
        <v>53</v>
      </c>
      <c r="F115" s="172" t="s">
        <v>91</v>
      </c>
      <c r="G115" s="172" t="s">
        <v>85</v>
      </c>
      <c r="H115" s="177">
        <v>1</v>
      </c>
      <c r="I115" s="178">
        <v>1621</v>
      </c>
      <c r="J115" s="176">
        <v>46031</v>
      </c>
      <c r="K115" s="172" t="s">
        <v>94</v>
      </c>
      <c r="L115" s="172" t="s">
        <v>95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403</v>
      </c>
      <c r="B116" s="176">
        <v>46034</v>
      </c>
      <c r="C116" s="172" t="s">
        <v>101</v>
      </c>
      <c r="D116" s="172" t="s">
        <v>103</v>
      </c>
      <c r="E116" s="172" t="s">
        <v>53</v>
      </c>
      <c r="F116" s="172" t="s">
        <v>91</v>
      </c>
      <c r="G116" s="172" t="s">
        <v>85</v>
      </c>
      <c r="H116" s="177">
        <v>1</v>
      </c>
      <c r="I116" s="178">
        <v>1621</v>
      </c>
      <c r="J116" s="176">
        <v>46031</v>
      </c>
      <c r="K116" s="172" t="s">
        <v>94</v>
      </c>
      <c r="L116" s="172" t="s">
        <v>95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403</v>
      </c>
      <c r="B117" s="176">
        <v>46034</v>
      </c>
      <c r="C117" s="172" t="s">
        <v>101</v>
      </c>
      <c r="D117" s="172" t="s">
        <v>104</v>
      </c>
      <c r="E117" s="172" t="s">
        <v>53</v>
      </c>
      <c r="F117" s="172" t="s">
        <v>91</v>
      </c>
      <c r="G117" s="172" t="s">
        <v>85</v>
      </c>
      <c r="H117" s="177">
        <v>1</v>
      </c>
      <c r="I117" s="178">
        <v>1621</v>
      </c>
      <c r="J117" s="176">
        <v>46031</v>
      </c>
      <c r="K117" s="172" t="s">
        <v>94</v>
      </c>
      <c r="L117" s="172" t="s">
        <v>95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403</v>
      </c>
      <c r="B118" s="176">
        <v>46034</v>
      </c>
      <c r="C118" s="172" t="s">
        <v>105</v>
      </c>
      <c r="D118" s="172" t="s">
        <v>106</v>
      </c>
      <c r="E118" s="172" t="s">
        <v>53</v>
      </c>
      <c r="F118" s="172" t="s">
        <v>91</v>
      </c>
      <c r="G118" s="172" t="s">
        <v>85</v>
      </c>
      <c r="H118" s="177">
        <v>1</v>
      </c>
      <c r="I118" s="178">
        <v>1621</v>
      </c>
      <c r="J118" s="176">
        <v>46031</v>
      </c>
      <c r="K118" s="172" t="s">
        <v>94</v>
      </c>
      <c r="L118" s="172" t="s">
        <v>95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403</v>
      </c>
      <c r="B119" s="176">
        <v>46034</v>
      </c>
      <c r="C119" s="172" t="s">
        <v>82</v>
      </c>
      <c r="D119" s="172" t="s">
        <v>96</v>
      </c>
      <c r="E119" s="172" t="s">
        <v>53</v>
      </c>
      <c r="F119" s="172" t="s">
        <v>91</v>
      </c>
      <c r="G119" s="172" t="s">
        <v>85</v>
      </c>
      <c r="H119" s="177">
        <v>1</v>
      </c>
      <c r="I119" s="178">
        <v>1621</v>
      </c>
      <c r="J119" s="176">
        <v>46031</v>
      </c>
      <c r="K119" s="172" t="s">
        <v>94</v>
      </c>
      <c r="L119" s="172" t="s">
        <v>95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404</v>
      </c>
      <c r="B120" s="176">
        <v>46034</v>
      </c>
      <c r="C120" s="172" t="s">
        <v>82</v>
      </c>
      <c r="D120" s="172" t="s">
        <v>83</v>
      </c>
      <c r="E120" s="172" t="s">
        <v>40</v>
      </c>
      <c r="F120" s="172" t="s">
        <v>118</v>
      </c>
      <c r="G120" s="172" t="s">
        <v>85</v>
      </c>
      <c r="H120" s="177">
        <v>1</v>
      </c>
      <c r="I120" s="178">
        <v>0</v>
      </c>
      <c r="J120" s="176">
        <v>46034</v>
      </c>
      <c r="K120" s="172" t="s">
        <v>86</v>
      </c>
      <c r="L120" s="172" t="s">
        <v>86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403</v>
      </c>
      <c r="B121" s="176">
        <v>46034</v>
      </c>
      <c r="C121" s="172" t="s">
        <v>82</v>
      </c>
      <c r="D121" s="172" t="s">
        <v>83</v>
      </c>
      <c r="E121" s="172" t="s">
        <v>53</v>
      </c>
      <c r="F121" s="172" t="s">
        <v>91</v>
      </c>
      <c r="G121" s="172" t="s">
        <v>85</v>
      </c>
      <c r="H121" s="177">
        <v>1</v>
      </c>
      <c r="I121" s="178">
        <v>0</v>
      </c>
      <c r="J121" s="176">
        <v>46031</v>
      </c>
      <c r="K121" s="172" t="s">
        <v>86</v>
      </c>
      <c r="L121" s="172" t="s">
        <v>86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405</v>
      </c>
      <c r="B122" s="176">
        <v>46034</v>
      </c>
      <c r="C122" s="172" t="s">
        <v>93</v>
      </c>
      <c r="D122" s="172" t="s">
        <v>24</v>
      </c>
      <c r="E122" s="172" t="s">
        <v>53</v>
      </c>
      <c r="F122" s="172" t="s">
        <v>91</v>
      </c>
      <c r="G122" s="172" t="s">
        <v>85</v>
      </c>
      <c r="H122" s="177">
        <v>1</v>
      </c>
      <c r="I122" s="178">
        <v>1621</v>
      </c>
      <c r="J122" s="176">
        <v>46032</v>
      </c>
      <c r="K122" s="172" t="s">
        <v>94</v>
      </c>
      <c r="L122" s="172" t="s">
        <v>95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405</v>
      </c>
      <c r="B123" s="176">
        <v>46034</v>
      </c>
      <c r="C123" s="172" t="s">
        <v>101</v>
      </c>
      <c r="D123" s="172" t="s">
        <v>102</v>
      </c>
      <c r="E123" s="172" t="s">
        <v>53</v>
      </c>
      <c r="F123" s="172" t="s">
        <v>91</v>
      </c>
      <c r="G123" s="172" t="s">
        <v>85</v>
      </c>
      <c r="H123" s="177">
        <v>1</v>
      </c>
      <c r="I123" s="178">
        <v>1621</v>
      </c>
      <c r="J123" s="176">
        <v>46032</v>
      </c>
      <c r="K123" s="172" t="s">
        <v>94</v>
      </c>
      <c r="L123" s="172" t="s">
        <v>95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405</v>
      </c>
      <c r="B124" s="176">
        <v>46034</v>
      </c>
      <c r="C124" s="172" t="s">
        <v>101</v>
      </c>
      <c r="D124" s="172" t="s">
        <v>103</v>
      </c>
      <c r="E124" s="172" t="s">
        <v>53</v>
      </c>
      <c r="F124" s="172" t="s">
        <v>91</v>
      </c>
      <c r="G124" s="172" t="s">
        <v>85</v>
      </c>
      <c r="H124" s="177">
        <v>1</v>
      </c>
      <c r="I124" s="178">
        <v>1621</v>
      </c>
      <c r="J124" s="176">
        <v>46032</v>
      </c>
      <c r="K124" s="172" t="s">
        <v>94</v>
      </c>
      <c r="L124" s="172" t="s">
        <v>95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405</v>
      </c>
      <c r="B125" s="176">
        <v>46034</v>
      </c>
      <c r="C125" s="172" t="s">
        <v>101</v>
      </c>
      <c r="D125" s="172" t="s">
        <v>104</v>
      </c>
      <c r="E125" s="172" t="s">
        <v>53</v>
      </c>
      <c r="F125" s="172" t="s">
        <v>91</v>
      </c>
      <c r="G125" s="172" t="s">
        <v>85</v>
      </c>
      <c r="H125" s="177">
        <v>1</v>
      </c>
      <c r="I125" s="178">
        <v>1621</v>
      </c>
      <c r="J125" s="176">
        <v>46032</v>
      </c>
      <c r="K125" s="172" t="s">
        <v>94</v>
      </c>
      <c r="L125" s="172" t="s">
        <v>95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405</v>
      </c>
      <c r="B126" s="176">
        <v>46034</v>
      </c>
      <c r="C126" s="172" t="s">
        <v>105</v>
      </c>
      <c r="D126" s="172" t="s">
        <v>106</v>
      </c>
      <c r="E126" s="172" t="s">
        <v>53</v>
      </c>
      <c r="F126" s="172" t="s">
        <v>91</v>
      </c>
      <c r="G126" s="172" t="s">
        <v>85</v>
      </c>
      <c r="H126" s="177">
        <v>1</v>
      </c>
      <c r="I126" s="178">
        <v>1621</v>
      </c>
      <c r="J126" s="176">
        <v>46032</v>
      </c>
      <c r="K126" s="172" t="s">
        <v>94</v>
      </c>
      <c r="L126" s="172" t="s">
        <v>95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405</v>
      </c>
      <c r="B127" s="176">
        <v>46034</v>
      </c>
      <c r="C127" s="172" t="s">
        <v>82</v>
      </c>
      <c r="D127" s="172" t="s">
        <v>96</v>
      </c>
      <c r="E127" s="172" t="s">
        <v>53</v>
      </c>
      <c r="F127" s="172" t="s">
        <v>91</v>
      </c>
      <c r="G127" s="172" t="s">
        <v>85</v>
      </c>
      <c r="H127" s="177">
        <v>1</v>
      </c>
      <c r="I127" s="178">
        <v>1621</v>
      </c>
      <c r="J127" s="176">
        <v>46032</v>
      </c>
      <c r="K127" s="172" t="s">
        <v>94</v>
      </c>
      <c r="L127" s="172" t="s">
        <v>95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405</v>
      </c>
      <c r="B128" s="176">
        <v>46034</v>
      </c>
      <c r="C128" s="172" t="s">
        <v>167</v>
      </c>
      <c r="D128" s="172" t="s">
        <v>168</v>
      </c>
      <c r="E128" s="172" t="s">
        <v>53</v>
      </c>
      <c r="F128" s="172" t="s">
        <v>91</v>
      </c>
      <c r="G128" s="172" t="s">
        <v>85</v>
      </c>
      <c r="H128" s="177">
        <v>1</v>
      </c>
      <c r="I128" s="178">
        <v>-1621</v>
      </c>
      <c r="J128" s="176">
        <v>46032</v>
      </c>
      <c r="K128" s="172" t="s">
        <v>94</v>
      </c>
      <c r="L128" s="172" t="s">
        <v>95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405</v>
      </c>
      <c r="B129" s="176">
        <v>46034</v>
      </c>
      <c r="C129" s="172" t="s">
        <v>167</v>
      </c>
      <c r="D129" s="172" t="s">
        <v>103</v>
      </c>
      <c r="E129" s="172" t="s">
        <v>53</v>
      </c>
      <c r="F129" s="172" t="s">
        <v>91</v>
      </c>
      <c r="G129" s="172" t="s">
        <v>85</v>
      </c>
      <c r="H129" s="177">
        <v>1</v>
      </c>
      <c r="I129" s="178">
        <v>-1621</v>
      </c>
      <c r="J129" s="176">
        <v>46032</v>
      </c>
      <c r="K129" s="172" t="s">
        <v>94</v>
      </c>
      <c r="L129" s="172" t="s">
        <v>95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405</v>
      </c>
      <c r="B130" s="176">
        <v>46034</v>
      </c>
      <c r="C130" s="172" t="s">
        <v>167</v>
      </c>
      <c r="D130" s="172" t="s">
        <v>104</v>
      </c>
      <c r="E130" s="172" t="s">
        <v>53</v>
      </c>
      <c r="F130" s="172" t="s">
        <v>91</v>
      </c>
      <c r="G130" s="172" t="s">
        <v>85</v>
      </c>
      <c r="H130" s="177">
        <v>1</v>
      </c>
      <c r="I130" s="178">
        <v>-1621</v>
      </c>
      <c r="J130" s="176">
        <v>46032</v>
      </c>
      <c r="K130" s="172" t="s">
        <v>94</v>
      </c>
      <c r="L130" s="172" t="s">
        <v>95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405</v>
      </c>
      <c r="B131" s="176">
        <v>46034</v>
      </c>
      <c r="C131" s="172" t="s">
        <v>105</v>
      </c>
      <c r="D131" s="172" t="s">
        <v>169</v>
      </c>
      <c r="E131" s="172" t="s">
        <v>53</v>
      </c>
      <c r="F131" s="172" t="s">
        <v>91</v>
      </c>
      <c r="G131" s="172" t="s">
        <v>85</v>
      </c>
      <c r="H131" s="177">
        <v>1</v>
      </c>
      <c r="I131" s="178">
        <v>-1621</v>
      </c>
      <c r="J131" s="176">
        <v>46032</v>
      </c>
      <c r="K131" s="172" t="s">
        <v>94</v>
      </c>
      <c r="L131" s="172" t="s">
        <v>95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406</v>
      </c>
      <c r="B132" s="176">
        <v>46034</v>
      </c>
      <c r="C132" s="172" t="s">
        <v>82</v>
      </c>
      <c r="D132" s="172" t="s">
        <v>83</v>
      </c>
      <c r="E132" s="172" t="s">
        <v>53</v>
      </c>
      <c r="F132" s="172" t="s">
        <v>91</v>
      </c>
      <c r="G132" s="172" t="s">
        <v>85</v>
      </c>
      <c r="H132" s="177">
        <v>1</v>
      </c>
      <c r="I132" s="178">
        <v>0</v>
      </c>
      <c r="J132" s="176">
        <v>46032</v>
      </c>
      <c r="K132" s="172" t="s">
        <v>86</v>
      </c>
      <c r="L132" s="172" t="s">
        <v>86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407</v>
      </c>
      <c r="B133" s="176">
        <v>46034</v>
      </c>
      <c r="C133" s="172" t="s">
        <v>93</v>
      </c>
      <c r="D133" s="172" t="s">
        <v>97</v>
      </c>
      <c r="E133" s="172" t="s">
        <v>54</v>
      </c>
      <c r="F133" s="172" t="s">
        <v>121</v>
      </c>
      <c r="G133" s="172" t="s">
        <v>85</v>
      </c>
      <c r="H133" s="177">
        <v>1</v>
      </c>
      <c r="I133" s="178">
        <v>0</v>
      </c>
      <c r="J133" s="176">
        <v>46012</v>
      </c>
      <c r="K133" s="172" t="s">
        <v>94</v>
      </c>
      <c r="L133" s="172" t="s">
        <v>95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407</v>
      </c>
      <c r="B134" s="176">
        <v>46034</v>
      </c>
      <c r="C134" s="172" t="s">
        <v>93</v>
      </c>
      <c r="D134" s="172" t="s">
        <v>98</v>
      </c>
      <c r="E134" s="172" t="s">
        <v>54</v>
      </c>
      <c r="F134" s="172" t="s">
        <v>121</v>
      </c>
      <c r="G134" s="172" t="s">
        <v>85</v>
      </c>
      <c r="H134" s="177">
        <v>1</v>
      </c>
      <c r="I134" s="178">
        <v>0</v>
      </c>
      <c r="J134" s="176">
        <v>46012</v>
      </c>
      <c r="K134" s="172" t="s">
        <v>94</v>
      </c>
      <c r="L134" s="172" t="s">
        <v>95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407</v>
      </c>
      <c r="B135" s="176">
        <v>46034</v>
      </c>
      <c r="C135" s="172" t="s">
        <v>82</v>
      </c>
      <c r="D135" s="172" t="s">
        <v>99</v>
      </c>
      <c r="E135" s="172" t="s">
        <v>54</v>
      </c>
      <c r="F135" s="172" t="s">
        <v>121</v>
      </c>
      <c r="G135" s="172" t="s">
        <v>85</v>
      </c>
      <c r="H135" s="177">
        <v>1</v>
      </c>
      <c r="I135" s="178">
        <v>0</v>
      </c>
      <c r="J135" s="176">
        <v>46012</v>
      </c>
      <c r="K135" s="172" t="s">
        <v>94</v>
      </c>
      <c r="L135" s="172" t="s">
        <v>95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407</v>
      </c>
      <c r="B136" s="176">
        <v>46034</v>
      </c>
      <c r="C136" s="172" t="s">
        <v>93</v>
      </c>
      <c r="D136" s="172" t="s">
        <v>24</v>
      </c>
      <c r="E136" s="172" t="s">
        <v>54</v>
      </c>
      <c r="F136" s="172" t="s">
        <v>121</v>
      </c>
      <c r="G136" s="172" t="s">
        <v>85</v>
      </c>
      <c r="H136" s="177">
        <v>1</v>
      </c>
      <c r="I136" s="178">
        <v>0</v>
      </c>
      <c r="J136" s="176">
        <v>46012</v>
      </c>
      <c r="K136" s="172" t="s">
        <v>94</v>
      </c>
      <c r="L136" s="172" t="s">
        <v>95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407</v>
      </c>
      <c r="B137" s="176">
        <v>46034</v>
      </c>
      <c r="C137" s="172" t="s">
        <v>82</v>
      </c>
      <c r="D137" s="172" t="s">
        <v>96</v>
      </c>
      <c r="E137" s="172" t="s">
        <v>54</v>
      </c>
      <c r="F137" s="172" t="s">
        <v>121</v>
      </c>
      <c r="G137" s="172" t="s">
        <v>85</v>
      </c>
      <c r="H137" s="177">
        <v>1</v>
      </c>
      <c r="I137" s="178">
        <v>0</v>
      </c>
      <c r="J137" s="176">
        <v>46012</v>
      </c>
      <c r="K137" s="172" t="s">
        <v>94</v>
      </c>
      <c r="L137" s="172" t="s">
        <v>95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408</v>
      </c>
      <c r="B138" s="176">
        <v>46034</v>
      </c>
      <c r="C138" s="172" t="s">
        <v>93</v>
      </c>
      <c r="D138" s="172" t="s">
        <v>24</v>
      </c>
      <c r="E138" s="172" t="s">
        <v>54</v>
      </c>
      <c r="F138" s="172" t="s">
        <v>121</v>
      </c>
      <c r="G138" s="172" t="s">
        <v>85</v>
      </c>
      <c r="H138" s="177">
        <v>1</v>
      </c>
      <c r="I138" s="178">
        <v>1845</v>
      </c>
      <c r="J138" s="176">
        <v>46032</v>
      </c>
      <c r="K138" s="172" t="s">
        <v>94</v>
      </c>
      <c r="L138" s="172" t="s">
        <v>95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408</v>
      </c>
      <c r="B139" s="176">
        <v>46034</v>
      </c>
      <c r="C139" s="172" t="s">
        <v>101</v>
      </c>
      <c r="D139" s="172" t="s">
        <v>102</v>
      </c>
      <c r="E139" s="172" t="s">
        <v>54</v>
      </c>
      <c r="F139" s="172" t="s">
        <v>121</v>
      </c>
      <c r="G139" s="172" t="s">
        <v>85</v>
      </c>
      <c r="H139" s="177">
        <v>1</v>
      </c>
      <c r="I139" s="178">
        <v>1845</v>
      </c>
      <c r="J139" s="176">
        <v>46032</v>
      </c>
      <c r="K139" s="172" t="s">
        <v>94</v>
      </c>
      <c r="L139" s="172" t="s">
        <v>95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408</v>
      </c>
      <c r="B140" s="176">
        <v>46034</v>
      </c>
      <c r="C140" s="172" t="s">
        <v>101</v>
      </c>
      <c r="D140" s="172" t="s">
        <v>103</v>
      </c>
      <c r="E140" s="172" t="s">
        <v>54</v>
      </c>
      <c r="F140" s="172" t="s">
        <v>121</v>
      </c>
      <c r="G140" s="172" t="s">
        <v>85</v>
      </c>
      <c r="H140" s="177">
        <v>1</v>
      </c>
      <c r="I140" s="178">
        <v>1845</v>
      </c>
      <c r="J140" s="176">
        <v>46032</v>
      </c>
      <c r="K140" s="172" t="s">
        <v>94</v>
      </c>
      <c r="L140" s="172" t="s">
        <v>95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408</v>
      </c>
      <c r="B141" s="176">
        <v>46034</v>
      </c>
      <c r="C141" s="172" t="s">
        <v>101</v>
      </c>
      <c r="D141" s="172" t="s">
        <v>104</v>
      </c>
      <c r="E141" s="172" t="s">
        <v>54</v>
      </c>
      <c r="F141" s="172" t="s">
        <v>121</v>
      </c>
      <c r="G141" s="172" t="s">
        <v>85</v>
      </c>
      <c r="H141" s="177">
        <v>1</v>
      </c>
      <c r="I141" s="178">
        <v>1845</v>
      </c>
      <c r="J141" s="176">
        <v>46032</v>
      </c>
      <c r="K141" s="172" t="s">
        <v>94</v>
      </c>
      <c r="L141" s="172" t="s">
        <v>95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408</v>
      </c>
      <c r="B142" s="176">
        <v>46034</v>
      </c>
      <c r="C142" s="172" t="s">
        <v>105</v>
      </c>
      <c r="D142" s="172" t="s">
        <v>106</v>
      </c>
      <c r="E142" s="172" t="s">
        <v>54</v>
      </c>
      <c r="F142" s="172" t="s">
        <v>121</v>
      </c>
      <c r="G142" s="172" t="s">
        <v>85</v>
      </c>
      <c r="H142" s="177">
        <v>1</v>
      </c>
      <c r="I142" s="178">
        <v>1845</v>
      </c>
      <c r="J142" s="176">
        <v>46032</v>
      </c>
      <c r="K142" s="172" t="s">
        <v>94</v>
      </c>
      <c r="L142" s="172" t="s">
        <v>95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408</v>
      </c>
      <c r="B143" s="176">
        <v>46034</v>
      </c>
      <c r="C143" s="172" t="s">
        <v>82</v>
      </c>
      <c r="D143" s="172" t="s">
        <v>96</v>
      </c>
      <c r="E143" s="172" t="s">
        <v>54</v>
      </c>
      <c r="F143" s="172" t="s">
        <v>121</v>
      </c>
      <c r="G143" s="172" t="s">
        <v>85</v>
      </c>
      <c r="H143" s="177">
        <v>1</v>
      </c>
      <c r="I143" s="178">
        <v>1845</v>
      </c>
      <c r="J143" s="176">
        <v>46032</v>
      </c>
      <c r="K143" s="172" t="s">
        <v>94</v>
      </c>
      <c r="L143" s="172" t="s">
        <v>95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409</v>
      </c>
      <c r="B144" s="176">
        <v>46034</v>
      </c>
      <c r="C144" s="172" t="s">
        <v>82</v>
      </c>
      <c r="D144" s="172" t="s">
        <v>83</v>
      </c>
      <c r="E144" s="172" t="s">
        <v>54</v>
      </c>
      <c r="F144" s="172" t="s">
        <v>121</v>
      </c>
      <c r="G144" s="172" t="s">
        <v>85</v>
      </c>
      <c r="H144" s="177">
        <v>1</v>
      </c>
      <c r="I144" s="178">
        <v>0</v>
      </c>
      <c r="J144" s="176">
        <v>46034</v>
      </c>
      <c r="K144" s="172" t="s">
        <v>86</v>
      </c>
      <c r="L144" s="172" t="s">
        <v>86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410</v>
      </c>
      <c r="B145" s="176">
        <v>46034</v>
      </c>
      <c r="C145" s="172" t="s">
        <v>93</v>
      </c>
      <c r="D145" s="172" t="s">
        <v>24</v>
      </c>
      <c r="E145" s="172" t="s">
        <v>44</v>
      </c>
      <c r="F145" s="172" t="s">
        <v>126</v>
      </c>
      <c r="G145" s="172" t="s">
        <v>85</v>
      </c>
      <c r="H145" s="177">
        <v>1</v>
      </c>
      <c r="I145" s="178">
        <v>1750</v>
      </c>
      <c r="J145" s="176">
        <v>46033</v>
      </c>
      <c r="K145" s="172" t="s">
        <v>94</v>
      </c>
      <c r="L145" s="172" t="s">
        <v>95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410</v>
      </c>
      <c r="B146" s="176">
        <v>46034</v>
      </c>
      <c r="C146" s="172" t="s">
        <v>101</v>
      </c>
      <c r="D146" s="172" t="s">
        <v>102</v>
      </c>
      <c r="E146" s="172" t="s">
        <v>44</v>
      </c>
      <c r="F146" s="172" t="s">
        <v>126</v>
      </c>
      <c r="G146" s="172" t="s">
        <v>85</v>
      </c>
      <c r="H146" s="177">
        <v>1</v>
      </c>
      <c r="I146" s="178">
        <v>1750</v>
      </c>
      <c r="J146" s="176">
        <v>46033</v>
      </c>
      <c r="K146" s="172" t="s">
        <v>94</v>
      </c>
      <c r="L146" s="172" t="s">
        <v>95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410</v>
      </c>
      <c r="B147" s="176">
        <v>46034</v>
      </c>
      <c r="C147" s="172" t="s">
        <v>101</v>
      </c>
      <c r="D147" s="172" t="s">
        <v>103</v>
      </c>
      <c r="E147" s="172" t="s">
        <v>44</v>
      </c>
      <c r="F147" s="172" t="s">
        <v>126</v>
      </c>
      <c r="G147" s="172" t="s">
        <v>85</v>
      </c>
      <c r="H147" s="177">
        <v>1</v>
      </c>
      <c r="I147" s="178">
        <v>1750</v>
      </c>
      <c r="J147" s="176">
        <v>46033</v>
      </c>
      <c r="K147" s="172" t="s">
        <v>94</v>
      </c>
      <c r="L147" s="172" t="s">
        <v>95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410</v>
      </c>
      <c r="B148" s="176">
        <v>46034</v>
      </c>
      <c r="C148" s="172" t="s">
        <v>101</v>
      </c>
      <c r="D148" s="172" t="s">
        <v>104</v>
      </c>
      <c r="E148" s="172" t="s">
        <v>44</v>
      </c>
      <c r="F148" s="172" t="s">
        <v>126</v>
      </c>
      <c r="G148" s="172" t="s">
        <v>85</v>
      </c>
      <c r="H148" s="177">
        <v>1</v>
      </c>
      <c r="I148" s="178">
        <v>1750</v>
      </c>
      <c r="J148" s="176">
        <v>46033</v>
      </c>
      <c r="K148" s="172" t="s">
        <v>94</v>
      </c>
      <c r="L148" s="172" t="s">
        <v>95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410</v>
      </c>
      <c r="B149" s="176">
        <v>46034</v>
      </c>
      <c r="C149" s="172" t="s">
        <v>105</v>
      </c>
      <c r="D149" s="172" t="s">
        <v>106</v>
      </c>
      <c r="E149" s="172" t="s">
        <v>44</v>
      </c>
      <c r="F149" s="172" t="s">
        <v>126</v>
      </c>
      <c r="G149" s="172" t="s">
        <v>85</v>
      </c>
      <c r="H149" s="177">
        <v>1</v>
      </c>
      <c r="I149" s="178">
        <v>1750</v>
      </c>
      <c r="J149" s="176">
        <v>46033</v>
      </c>
      <c r="K149" s="172" t="s">
        <v>94</v>
      </c>
      <c r="L149" s="172" t="s">
        <v>95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410</v>
      </c>
      <c r="B150" s="176">
        <v>46034</v>
      </c>
      <c r="C150" s="172" t="s">
        <v>82</v>
      </c>
      <c r="D150" s="172" t="s">
        <v>96</v>
      </c>
      <c r="E150" s="172" t="s">
        <v>44</v>
      </c>
      <c r="F150" s="172" t="s">
        <v>126</v>
      </c>
      <c r="G150" s="172" t="s">
        <v>85</v>
      </c>
      <c r="H150" s="177">
        <v>1</v>
      </c>
      <c r="I150" s="178">
        <v>1750</v>
      </c>
      <c r="J150" s="176">
        <v>46033</v>
      </c>
      <c r="K150" s="172" t="s">
        <v>94</v>
      </c>
      <c r="L150" s="172" t="s">
        <v>95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411</v>
      </c>
      <c r="B151" s="176">
        <v>46034</v>
      </c>
      <c r="C151" s="172" t="s">
        <v>93</v>
      </c>
      <c r="D151" s="172" t="s">
        <v>24</v>
      </c>
      <c r="E151" s="172" t="s">
        <v>54</v>
      </c>
      <c r="F151" s="172" t="s">
        <v>121</v>
      </c>
      <c r="G151" s="172" t="s">
        <v>85</v>
      </c>
      <c r="H151" s="177">
        <v>1</v>
      </c>
      <c r="I151" s="178">
        <v>1845</v>
      </c>
      <c r="J151" s="176">
        <v>46031</v>
      </c>
      <c r="K151" s="172" t="s">
        <v>94</v>
      </c>
      <c r="L151" s="172" t="s">
        <v>95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411</v>
      </c>
      <c r="B152" s="176">
        <v>46034</v>
      </c>
      <c r="C152" s="172" t="s">
        <v>101</v>
      </c>
      <c r="D152" s="172" t="s">
        <v>102</v>
      </c>
      <c r="E152" s="172" t="s">
        <v>54</v>
      </c>
      <c r="F152" s="172" t="s">
        <v>121</v>
      </c>
      <c r="G152" s="172" t="s">
        <v>85</v>
      </c>
      <c r="H152" s="177">
        <v>1</v>
      </c>
      <c r="I152" s="178">
        <v>1845</v>
      </c>
      <c r="J152" s="176">
        <v>46031</v>
      </c>
      <c r="K152" s="172" t="s">
        <v>94</v>
      </c>
      <c r="L152" s="172" t="s">
        <v>95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411</v>
      </c>
      <c r="B153" s="176">
        <v>46034</v>
      </c>
      <c r="C153" s="172" t="s">
        <v>101</v>
      </c>
      <c r="D153" s="172" t="s">
        <v>103</v>
      </c>
      <c r="E153" s="172" t="s">
        <v>54</v>
      </c>
      <c r="F153" s="172" t="s">
        <v>121</v>
      </c>
      <c r="G153" s="172" t="s">
        <v>85</v>
      </c>
      <c r="H153" s="177">
        <v>1</v>
      </c>
      <c r="I153" s="178">
        <v>1845</v>
      </c>
      <c r="J153" s="176">
        <v>46031</v>
      </c>
      <c r="K153" s="172" t="s">
        <v>94</v>
      </c>
      <c r="L153" s="172" t="s">
        <v>95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411</v>
      </c>
      <c r="B154" s="176">
        <v>46034</v>
      </c>
      <c r="C154" s="172" t="s">
        <v>101</v>
      </c>
      <c r="D154" s="172" t="s">
        <v>104</v>
      </c>
      <c r="E154" s="172" t="s">
        <v>54</v>
      </c>
      <c r="F154" s="172" t="s">
        <v>121</v>
      </c>
      <c r="G154" s="172" t="s">
        <v>85</v>
      </c>
      <c r="H154" s="177">
        <v>1</v>
      </c>
      <c r="I154" s="178">
        <v>1845</v>
      </c>
      <c r="J154" s="176">
        <v>46031</v>
      </c>
      <c r="K154" s="172" t="s">
        <v>94</v>
      </c>
      <c r="L154" s="172" t="s">
        <v>95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411</v>
      </c>
      <c r="B155" s="176">
        <v>46034</v>
      </c>
      <c r="C155" s="172" t="s">
        <v>105</v>
      </c>
      <c r="D155" s="172" t="s">
        <v>106</v>
      </c>
      <c r="E155" s="172" t="s">
        <v>54</v>
      </c>
      <c r="F155" s="172" t="s">
        <v>121</v>
      </c>
      <c r="G155" s="172" t="s">
        <v>85</v>
      </c>
      <c r="H155" s="177">
        <v>1</v>
      </c>
      <c r="I155" s="178">
        <v>1845</v>
      </c>
      <c r="J155" s="176">
        <v>46031</v>
      </c>
      <c r="K155" s="172" t="s">
        <v>94</v>
      </c>
      <c r="L155" s="172" t="s">
        <v>95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411</v>
      </c>
      <c r="B156" s="176">
        <v>46034</v>
      </c>
      <c r="C156" s="172" t="s">
        <v>82</v>
      </c>
      <c r="D156" s="172" t="s">
        <v>96</v>
      </c>
      <c r="E156" s="172" t="s">
        <v>54</v>
      </c>
      <c r="F156" s="172" t="s">
        <v>121</v>
      </c>
      <c r="G156" s="172" t="s">
        <v>85</v>
      </c>
      <c r="H156" s="177">
        <v>1</v>
      </c>
      <c r="I156" s="178">
        <v>1845</v>
      </c>
      <c r="J156" s="176">
        <v>46031</v>
      </c>
      <c r="K156" s="172" t="s">
        <v>94</v>
      </c>
      <c r="L156" s="172" t="s">
        <v>95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410</v>
      </c>
      <c r="B157" s="176">
        <v>46034</v>
      </c>
      <c r="C157" s="172" t="s">
        <v>82</v>
      </c>
      <c r="D157" s="172" t="s">
        <v>83</v>
      </c>
      <c r="E157" s="172" t="s">
        <v>44</v>
      </c>
      <c r="F157" s="172" t="s">
        <v>126</v>
      </c>
      <c r="G157" s="172" t="s">
        <v>85</v>
      </c>
      <c r="H157" s="177">
        <v>1</v>
      </c>
      <c r="I157" s="178">
        <v>0</v>
      </c>
      <c r="J157" s="176">
        <v>46033</v>
      </c>
      <c r="K157" s="172" t="s">
        <v>86</v>
      </c>
      <c r="L157" s="172" t="s">
        <v>86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411</v>
      </c>
      <c r="B158" s="176">
        <v>46034</v>
      </c>
      <c r="C158" s="172" t="s">
        <v>82</v>
      </c>
      <c r="D158" s="172" t="s">
        <v>83</v>
      </c>
      <c r="E158" s="172" t="s">
        <v>54</v>
      </c>
      <c r="F158" s="172" t="s">
        <v>121</v>
      </c>
      <c r="G158" s="172" t="s">
        <v>85</v>
      </c>
      <c r="H158" s="177">
        <v>1</v>
      </c>
      <c r="I158" s="178">
        <v>0</v>
      </c>
      <c r="J158" s="176">
        <v>46031</v>
      </c>
      <c r="K158" s="172" t="s">
        <v>86</v>
      </c>
      <c r="L158" s="172" t="s">
        <v>86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412</v>
      </c>
      <c r="B159" s="176">
        <v>46034</v>
      </c>
      <c r="C159" s="172" t="s">
        <v>93</v>
      </c>
      <c r="D159" s="172" t="s">
        <v>24</v>
      </c>
      <c r="E159" s="172" t="s">
        <v>42</v>
      </c>
      <c r="F159" s="172" t="s">
        <v>84</v>
      </c>
      <c r="G159" s="172" t="s">
        <v>85</v>
      </c>
      <c r="H159" s="177">
        <v>1</v>
      </c>
      <c r="I159" s="178">
        <v>0</v>
      </c>
      <c r="J159" s="176">
        <v>46023</v>
      </c>
      <c r="K159" s="172" t="s">
        <v>94</v>
      </c>
      <c r="L159" s="172" t="s">
        <v>95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412</v>
      </c>
      <c r="B160" s="176">
        <v>46034</v>
      </c>
      <c r="C160" s="172" t="s">
        <v>82</v>
      </c>
      <c r="D160" s="172" t="s">
        <v>96</v>
      </c>
      <c r="E160" s="172" t="s">
        <v>42</v>
      </c>
      <c r="F160" s="172" t="s">
        <v>84</v>
      </c>
      <c r="G160" s="172" t="s">
        <v>85</v>
      </c>
      <c r="H160" s="177">
        <v>1</v>
      </c>
      <c r="I160" s="178">
        <v>0</v>
      </c>
      <c r="J160" s="176">
        <v>46023</v>
      </c>
      <c r="K160" s="172" t="s">
        <v>94</v>
      </c>
      <c r="L160" s="172" t="s">
        <v>95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412</v>
      </c>
      <c r="B161" s="176">
        <v>46034</v>
      </c>
      <c r="C161" s="172" t="s">
        <v>93</v>
      </c>
      <c r="D161" s="172" t="s">
        <v>97</v>
      </c>
      <c r="E161" s="172" t="s">
        <v>42</v>
      </c>
      <c r="F161" s="172" t="s">
        <v>84</v>
      </c>
      <c r="G161" s="172" t="s">
        <v>85</v>
      </c>
      <c r="H161" s="177">
        <v>1</v>
      </c>
      <c r="I161" s="178">
        <v>0</v>
      </c>
      <c r="J161" s="176">
        <v>46023</v>
      </c>
      <c r="K161" s="172" t="s">
        <v>94</v>
      </c>
      <c r="L161" s="172" t="s">
        <v>95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412</v>
      </c>
      <c r="B162" s="176">
        <v>46034</v>
      </c>
      <c r="C162" s="172" t="s">
        <v>93</v>
      </c>
      <c r="D162" s="172" t="s">
        <v>98</v>
      </c>
      <c r="E162" s="172" t="s">
        <v>42</v>
      </c>
      <c r="F162" s="172" t="s">
        <v>84</v>
      </c>
      <c r="G162" s="172" t="s">
        <v>85</v>
      </c>
      <c r="H162" s="177">
        <v>1</v>
      </c>
      <c r="I162" s="178">
        <v>0</v>
      </c>
      <c r="J162" s="176">
        <v>46023</v>
      </c>
      <c r="K162" s="172" t="s">
        <v>94</v>
      </c>
      <c r="L162" s="172" t="s">
        <v>95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412</v>
      </c>
      <c r="B163" s="176">
        <v>46034</v>
      </c>
      <c r="C163" s="172" t="s">
        <v>82</v>
      </c>
      <c r="D163" s="172" t="s">
        <v>99</v>
      </c>
      <c r="E163" s="172" t="s">
        <v>42</v>
      </c>
      <c r="F163" s="172" t="s">
        <v>84</v>
      </c>
      <c r="G163" s="172" t="s">
        <v>85</v>
      </c>
      <c r="H163" s="177">
        <v>1</v>
      </c>
      <c r="I163" s="178">
        <v>0</v>
      </c>
      <c r="J163" s="176">
        <v>46023</v>
      </c>
      <c r="K163" s="172" t="s">
        <v>94</v>
      </c>
      <c r="L163" s="172" t="s">
        <v>95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413</v>
      </c>
      <c r="B164" s="176">
        <v>46034</v>
      </c>
      <c r="C164" s="172" t="s">
        <v>82</v>
      </c>
      <c r="D164" s="172" t="s">
        <v>83</v>
      </c>
      <c r="E164" s="172" t="s">
        <v>42</v>
      </c>
      <c r="F164" s="172" t="s">
        <v>84</v>
      </c>
      <c r="G164" s="172" t="s">
        <v>85</v>
      </c>
      <c r="H164" s="177">
        <v>1</v>
      </c>
      <c r="I164" s="178">
        <v>0</v>
      </c>
      <c r="J164" s="176">
        <v>46034</v>
      </c>
      <c r="K164" s="172" t="s">
        <v>86</v>
      </c>
      <c r="L164" s="172" t="s">
        <v>86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139</v>
      </c>
      <c r="B165" s="176">
        <v>46034</v>
      </c>
      <c r="C165" s="172" t="s">
        <v>110</v>
      </c>
      <c r="D165" s="172" t="s">
        <v>140</v>
      </c>
      <c r="E165" s="172" t="s">
        <v>86</v>
      </c>
      <c r="F165" s="172" t="s">
        <v>86</v>
      </c>
      <c r="G165" s="172" t="s">
        <v>86</v>
      </c>
      <c r="H165" s="177">
        <v>0</v>
      </c>
      <c r="I165" s="178">
        <v>0</v>
      </c>
      <c r="J165" s="176">
        <v>46034</v>
      </c>
      <c r="K165" s="172" t="s">
        <v>86</v>
      </c>
      <c r="L165" s="172" t="s">
        <v>86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414</v>
      </c>
      <c r="B166" s="176">
        <v>46034</v>
      </c>
      <c r="C166" s="172" t="s">
        <v>110</v>
      </c>
      <c r="D166" s="172" t="s">
        <v>140</v>
      </c>
      <c r="E166" s="172" t="s">
        <v>86</v>
      </c>
      <c r="F166" s="172" t="s">
        <v>86</v>
      </c>
      <c r="G166" s="172" t="s">
        <v>86</v>
      </c>
      <c r="H166" s="177">
        <v>0</v>
      </c>
      <c r="I166" s="178">
        <v>0</v>
      </c>
      <c r="J166" s="176">
        <v>46034</v>
      </c>
      <c r="K166" s="172" t="s">
        <v>86</v>
      </c>
      <c r="L166" s="172" t="s">
        <v>86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143</v>
      </c>
      <c r="B167" s="176">
        <v>46034</v>
      </c>
      <c r="C167" s="172" t="s">
        <v>110</v>
      </c>
      <c r="D167" s="172" t="s">
        <v>144</v>
      </c>
      <c r="E167" s="172" t="s">
        <v>86</v>
      </c>
      <c r="F167" s="172" t="s">
        <v>86</v>
      </c>
      <c r="G167" s="172" t="s">
        <v>86</v>
      </c>
      <c r="H167" s="177">
        <v>0</v>
      </c>
      <c r="I167" s="178">
        <v>0</v>
      </c>
      <c r="J167" s="176">
        <v>46034</v>
      </c>
      <c r="K167" s="172" t="s">
        <v>86</v>
      </c>
      <c r="L167" s="172" t="s">
        <v>86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145</v>
      </c>
      <c r="B168" s="176">
        <v>46034</v>
      </c>
      <c r="C168" s="172" t="s">
        <v>110</v>
      </c>
      <c r="D168" s="172" t="s">
        <v>140</v>
      </c>
      <c r="E168" s="172" t="s">
        <v>86</v>
      </c>
      <c r="F168" s="172" t="s">
        <v>86</v>
      </c>
      <c r="G168" s="172" t="s">
        <v>86</v>
      </c>
      <c r="H168" s="177">
        <v>0</v>
      </c>
      <c r="I168" s="178">
        <v>0</v>
      </c>
      <c r="J168" s="176">
        <v>46034</v>
      </c>
      <c r="K168" s="172" t="s">
        <v>86</v>
      </c>
      <c r="L168" s="172" t="s">
        <v>86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146</v>
      </c>
      <c r="B169" s="176">
        <v>46034</v>
      </c>
      <c r="C169" s="172" t="s">
        <v>110</v>
      </c>
      <c r="D169" s="172" t="s">
        <v>140</v>
      </c>
      <c r="E169" s="172" t="s">
        <v>86</v>
      </c>
      <c r="F169" s="172" t="s">
        <v>86</v>
      </c>
      <c r="G169" s="172" t="s">
        <v>86</v>
      </c>
      <c r="H169" s="177">
        <v>0</v>
      </c>
      <c r="I169" s="178">
        <v>0</v>
      </c>
      <c r="J169" s="176">
        <v>46034</v>
      </c>
      <c r="K169" s="172" t="s">
        <v>86</v>
      </c>
      <c r="L169" s="172" t="s">
        <v>86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141</v>
      </c>
      <c r="B170" s="176">
        <v>46034</v>
      </c>
      <c r="C170" s="172" t="s">
        <v>110</v>
      </c>
      <c r="D170" s="172" t="s">
        <v>140</v>
      </c>
      <c r="E170" s="172" t="s">
        <v>86</v>
      </c>
      <c r="F170" s="172" t="s">
        <v>86</v>
      </c>
      <c r="G170" s="172" t="s">
        <v>86</v>
      </c>
      <c r="H170" s="177">
        <v>0</v>
      </c>
      <c r="I170" s="178">
        <v>0</v>
      </c>
      <c r="J170" s="176">
        <v>46034</v>
      </c>
      <c r="K170" s="172" t="s">
        <v>86</v>
      </c>
      <c r="L170" s="172" t="s">
        <v>86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147</v>
      </c>
      <c r="B171" s="176">
        <v>46034</v>
      </c>
      <c r="C171" s="172" t="s">
        <v>110</v>
      </c>
      <c r="D171" s="172" t="s">
        <v>140</v>
      </c>
      <c r="E171" s="172" t="s">
        <v>86</v>
      </c>
      <c r="F171" s="172" t="s">
        <v>86</v>
      </c>
      <c r="G171" s="172" t="s">
        <v>86</v>
      </c>
      <c r="H171" s="177">
        <v>0</v>
      </c>
      <c r="I171" s="178">
        <v>0</v>
      </c>
      <c r="J171" s="176">
        <v>46034</v>
      </c>
      <c r="K171" s="172" t="s">
        <v>86</v>
      </c>
      <c r="L171" s="172" t="s">
        <v>86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415</v>
      </c>
      <c r="B172" s="176">
        <v>46034</v>
      </c>
      <c r="C172" s="172" t="s">
        <v>110</v>
      </c>
      <c r="D172" s="172" t="s">
        <v>140</v>
      </c>
      <c r="E172" s="172" t="s">
        <v>86</v>
      </c>
      <c r="F172" s="172" t="s">
        <v>86</v>
      </c>
      <c r="G172" s="172" t="s">
        <v>86</v>
      </c>
      <c r="H172" s="177">
        <v>0</v>
      </c>
      <c r="I172" s="178">
        <v>0</v>
      </c>
      <c r="J172" s="176">
        <v>46034</v>
      </c>
      <c r="K172" s="172" t="s">
        <v>86</v>
      </c>
      <c r="L172" s="172" t="s">
        <v>86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416</v>
      </c>
      <c r="B173" s="176">
        <v>46034</v>
      </c>
      <c r="C173" s="172" t="s">
        <v>110</v>
      </c>
      <c r="D173" s="172" t="s">
        <v>140</v>
      </c>
      <c r="E173" s="172" t="s">
        <v>86</v>
      </c>
      <c r="F173" s="172" t="s">
        <v>86</v>
      </c>
      <c r="G173" s="172" t="s">
        <v>86</v>
      </c>
      <c r="H173" s="177">
        <v>0</v>
      </c>
      <c r="I173" s="178">
        <v>0</v>
      </c>
      <c r="J173" s="176">
        <v>46034</v>
      </c>
      <c r="K173" s="172" t="s">
        <v>86</v>
      </c>
      <c r="L173" s="172" t="s">
        <v>86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417</v>
      </c>
      <c r="B174" s="176">
        <v>46035</v>
      </c>
      <c r="C174" s="172" t="s">
        <v>93</v>
      </c>
      <c r="D174" s="172" t="s">
        <v>97</v>
      </c>
      <c r="E174" s="172" t="s">
        <v>53</v>
      </c>
      <c r="F174" s="172" t="s">
        <v>91</v>
      </c>
      <c r="G174" s="172" t="s">
        <v>85</v>
      </c>
      <c r="H174" s="177">
        <v>1</v>
      </c>
      <c r="I174" s="178">
        <v>0</v>
      </c>
      <c r="J174" s="176">
        <v>46025</v>
      </c>
      <c r="K174" s="172" t="s">
        <v>94</v>
      </c>
      <c r="L174" s="172" t="s">
        <v>95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417</v>
      </c>
      <c r="B175" s="176">
        <v>46035</v>
      </c>
      <c r="C175" s="172" t="s">
        <v>93</v>
      </c>
      <c r="D175" s="172" t="s">
        <v>98</v>
      </c>
      <c r="E175" s="172" t="s">
        <v>53</v>
      </c>
      <c r="F175" s="172" t="s">
        <v>91</v>
      </c>
      <c r="G175" s="172" t="s">
        <v>85</v>
      </c>
      <c r="H175" s="177">
        <v>1</v>
      </c>
      <c r="I175" s="178">
        <v>0</v>
      </c>
      <c r="J175" s="176">
        <v>46025</v>
      </c>
      <c r="K175" s="172" t="s">
        <v>94</v>
      </c>
      <c r="L175" s="172" t="s">
        <v>95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417</v>
      </c>
      <c r="B176" s="176">
        <v>46035</v>
      </c>
      <c r="C176" s="172" t="s">
        <v>82</v>
      </c>
      <c r="D176" s="172" t="s">
        <v>99</v>
      </c>
      <c r="E176" s="172" t="s">
        <v>53</v>
      </c>
      <c r="F176" s="172" t="s">
        <v>91</v>
      </c>
      <c r="G176" s="172" t="s">
        <v>85</v>
      </c>
      <c r="H176" s="177">
        <v>1</v>
      </c>
      <c r="I176" s="178">
        <v>0</v>
      </c>
      <c r="J176" s="176">
        <v>46025</v>
      </c>
      <c r="K176" s="172" t="s">
        <v>94</v>
      </c>
      <c r="L176" s="172" t="s">
        <v>95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417</v>
      </c>
      <c r="B177" s="176">
        <v>46035</v>
      </c>
      <c r="C177" s="172" t="s">
        <v>93</v>
      </c>
      <c r="D177" s="172" t="s">
        <v>24</v>
      </c>
      <c r="E177" s="172" t="s">
        <v>53</v>
      </c>
      <c r="F177" s="172" t="s">
        <v>91</v>
      </c>
      <c r="G177" s="172" t="s">
        <v>85</v>
      </c>
      <c r="H177" s="177">
        <v>1</v>
      </c>
      <c r="I177" s="178">
        <v>0</v>
      </c>
      <c r="J177" s="176">
        <v>46025</v>
      </c>
      <c r="K177" s="172" t="s">
        <v>94</v>
      </c>
      <c r="L177" s="172" t="s">
        <v>95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417</v>
      </c>
      <c r="B178" s="176">
        <v>46035</v>
      </c>
      <c r="C178" s="172" t="s">
        <v>82</v>
      </c>
      <c r="D178" s="172" t="s">
        <v>96</v>
      </c>
      <c r="E178" s="172" t="s">
        <v>53</v>
      </c>
      <c r="F178" s="172" t="s">
        <v>91</v>
      </c>
      <c r="G178" s="172" t="s">
        <v>85</v>
      </c>
      <c r="H178" s="177">
        <v>1</v>
      </c>
      <c r="I178" s="178">
        <v>0</v>
      </c>
      <c r="J178" s="176">
        <v>46025</v>
      </c>
      <c r="K178" s="172" t="s">
        <v>94</v>
      </c>
      <c r="L178" s="172" t="s">
        <v>95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418</v>
      </c>
      <c r="B179" s="176">
        <v>46035</v>
      </c>
      <c r="C179" s="172" t="s">
        <v>82</v>
      </c>
      <c r="D179" s="172" t="s">
        <v>83</v>
      </c>
      <c r="E179" s="172" t="s">
        <v>39</v>
      </c>
      <c r="F179" s="172" t="s">
        <v>88</v>
      </c>
      <c r="G179" s="172" t="s">
        <v>85</v>
      </c>
      <c r="H179" s="177">
        <v>1</v>
      </c>
      <c r="I179" s="178">
        <v>0</v>
      </c>
      <c r="J179" s="176">
        <v>46035</v>
      </c>
      <c r="K179" s="172" t="s">
        <v>86</v>
      </c>
      <c r="L179" s="172" t="s">
        <v>86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419</v>
      </c>
      <c r="B180" s="176">
        <v>46035</v>
      </c>
      <c r="C180" s="172" t="s">
        <v>93</v>
      </c>
      <c r="D180" s="172" t="s">
        <v>24</v>
      </c>
      <c r="E180" s="172" t="s">
        <v>44</v>
      </c>
      <c r="F180" s="172" t="s">
        <v>126</v>
      </c>
      <c r="G180" s="172" t="s">
        <v>85</v>
      </c>
      <c r="H180" s="177">
        <v>1</v>
      </c>
      <c r="I180" s="178">
        <v>0</v>
      </c>
      <c r="J180" s="176">
        <v>46032</v>
      </c>
      <c r="K180" s="172" t="s">
        <v>94</v>
      </c>
      <c r="L180" s="172" t="s">
        <v>95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419</v>
      </c>
      <c r="B181" s="176">
        <v>46035</v>
      </c>
      <c r="C181" s="172" t="s">
        <v>93</v>
      </c>
      <c r="D181" s="172" t="s">
        <v>97</v>
      </c>
      <c r="E181" s="172" t="s">
        <v>44</v>
      </c>
      <c r="F181" s="172" t="s">
        <v>126</v>
      </c>
      <c r="G181" s="172" t="s">
        <v>85</v>
      </c>
      <c r="H181" s="177">
        <v>1</v>
      </c>
      <c r="I181" s="178">
        <v>0</v>
      </c>
      <c r="J181" s="176">
        <v>46032</v>
      </c>
      <c r="K181" s="172" t="s">
        <v>94</v>
      </c>
      <c r="L181" s="172" t="s">
        <v>95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419</v>
      </c>
      <c r="B182" s="176">
        <v>46035</v>
      </c>
      <c r="C182" s="172" t="s">
        <v>93</v>
      </c>
      <c r="D182" s="172" t="s">
        <v>98</v>
      </c>
      <c r="E182" s="172" t="s">
        <v>44</v>
      </c>
      <c r="F182" s="172" t="s">
        <v>126</v>
      </c>
      <c r="G182" s="172" t="s">
        <v>85</v>
      </c>
      <c r="H182" s="177">
        <v>1</v>
      </c>
      <c r="I182" s="178">
        <v>0</v>
      </c>
      <c r="J182" s="176">
        <v>46032</v>
      </c>
      <c r="K182" s="172" t="s">
        <v>94</v>
      </c>
      <c r="L182" s="172" t="s">
        <v>95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420</v>
      </c>
      <c r="B183" s="176">
        <v>46035</v>
      </c>
      <c r="C183" s="172" t="s">
        <v>82</v>
      </c>
      <c r="D183" s="172" t="s">
        <v>83</v>
      </c>
      <c r="E183" s="172" t="s">
        <v>54</v>
      </c>
      <c r="F183" s="172" t="s">
        <v>121</v>
      </c>
      <c r="G183" s="172" t="s">
        <v>85</v>
      </c>
      <c r="H183" s="177">
        <v>1</v>
      </c>
      <c r="I183" s="178">
        <v>0</v>
      </c>
      <c r="J183" s="176">
        <v>46035</v>
      </c>
      <c r="K183" s="172" t="s">
        <v>86</v>
      </c>
      <c r="L183" s="172" t="s">
        <v>86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86</v>
      </c>
      <c r="B184" s="176">
        <v>46035</v>
      </c>
      <c r="C184" s="172" t="s">
        <v>110</v>
      </c>
      <c r="D184" s="172" t="s">
        <v>111</v>
      </c>
      <c r="E184" s="172" t="s">
        <v>86</v>
      </c>
      <c r="F184" s="172" t="s">
        <v>86</v>
      </c>
      <c r="G184" s="172" t="s">
        <v>421</v>
      </c>
      <c r="H184" s="177">
        <v>0</v>
      </c>
      <c r="I184" s="178">
        <v>0</v>
      </c>
      <c r="J184" s="176">
        <v>46035</v>
      </c>
      <c r="K184" s="172" t="s">
        <v>86</v>
      </c>
      <c r="L184" s="172" t="s">
        <v>86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422</v>
      </c>
      <c r="B185" s="176">
        <v>46035</v>
      </c>
      <c r="C185" s="172" t="s">
        <v>82</v>
      </c>
      <c r="D185" s="172" t="s">
        <v>83</v>
      </c>
      <c r="E185" s="172" t="s">
        <v>42</v>
      </c>
      <c r="F185" s="172" t="s">
        <v>84</v>
      </c>
      <c r="G185" s="172" t="s">
        <v>85</v>
      </c>
      <c r="H185" s="177">
        <v>1</v>
      </c>
      <c r="I185" s="178">
        <v>0</v>
      </c>
      <c r="J185" s="176">
        <v>46035</v>
      </c>
      <c r="K185" s="172" t="s">
        <v>86</v>
      </c>
      <c r="L185" s="172" t="s">
        <v>86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423</v>
      </c>
      <c r="B186" s="176">
        <v>46035</v>
      </c>
      <c r="C186" s="172" t="s">
        <v>93</v>
      </c>
      <c r="D186" s="172" t="s">
        <v>24</v>
      </c>
      <c r="E186" s="172" t="s">
        <v>44</v>
      </c>
      <c r="F186" s="172" t="s">
        <v>126</v>
      </c>
      <c r="G186" s="172" t="s">
        <v>85</v>
      </c>
      <c r="H186" s="177">
        <v>1</v>
      </c>
      <c r="I186" s="178">
        <v>1202</v>
      </c>
      <c r="J186" s="176">
        <v>46031</v>
      </c>
      <c r="K186" s="172" t="s">
        <v>94</v>
      </c>
      <c r="L186" s="172" t="s">
        <v>95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423</v>
      </c>
      <c r="B187" s="176">
        <v>46035</v>
      </c>
      <c r="C187" s="172" t="s">
        <v>101</v>
      </c>
      <c r="D187" s="172" t="s">
        <v>102</v>
      </c>
      <c r="E187" s="172" t="s">
        <v>44</v>
      </c>
      <c r="F187" s="172" t="s">
        <v>126</v>
      </c>
      <c r="G187" s="172" t="s">
        <v>85</v>
      </c>
      <c r="H187" s="177">
        <v>1</v>
      </c>
      <c r="I187" s="178">
        <v>1202</v>
      </c>
      <c r="J187" s="176">
        <v>46031</v>
      </c>
      <c r="K187" s="172" t="s">
        <v>94</v>
      </c>
      <c r="L187" s="172" t="s">
        <v>95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423</v>
      </c>
      <c r="B188" s="176">
        <v>46035</v>
      </c>
      <c r="C188" s="172" t="s">
        <v>101</v>
      </c>
      <c r="D188" s="172" t="s">
        <v>103</v>
      </c>
      <c r="E188" s="172" t="s">
        <v>44</v>
      </c>
      <c r="F188" s="172" t="s">
        <v>126</v>
      </c>
      <c r="G188" s="172" t="s">
        <v>85</v>
      </c>
      <c r="H188" s="177">
        <v>1</v>
      </c>
      <c r="I188" s="178">
        <v>1202</v>
      </c>
      <c r="J188" s="176">
        <v>46031</v>
      </c>
      <c r="K188" s="172" t="s">
        <v>94</v>
      </c>
      <c r="L188" s="172" t="s">
        <v>95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423</v>
      </c>
      <c r="B189" s="176">
        <v>46035</v>
      </c>
      <c r="C189" s="172" t="s">
        <v>101</v>
      </c>
      <c r="D189" s="172" t="s">
        <v>104</v>
      </c>
      <c r="E189" s="172" t="s">
        <v>44</v>
      </c>
      <c r="F189" s="172" t="s">
        <v>126</v>
      </c>
      <c r="G189" s="172" t="s">
        <v>85</v>
      </c>
      <c r="H189" s="177">
        <v>1</v>
      </c>
      <c r="I189" s="178">
        <v>1202</v>
      </c>
      <c r="J189" s="176">
        <v>46031</v>
      </c>
      <c r="K189" s="172" t="s">
        <v>94</v>
      </c>
      <c r="L189" s="172" t="s">
        <v>95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423</v>
      </c>
      <c r="B190" s="176">
        <v>46035</v>
      </c>
      <c r="C190" s="172" t="s">
        <v>105</v>
      </c>
      <c r="D190" s="172" t="s">
        <v>106</v>
      </c>
      <c r="E190" s="172" t="s">
        <v>44</v>
      </c>
      <c r="F190" s="172" t="s">
        <v>126</v>
      </c>
      <c r="G190" s="172" t="s">
        <v>85</v>
      </c>
      <c r="H190" s="177">
        <v>1</v>
      </c>
      <c r="I190" s="178">
        <v>1202</v>
      </c>
      <c r="J190" s="176">
        <v>46031</v>
      </c>
      <c r="K190" s="172" t="s">
        <v>94</v>
      </c>
      <c r="L190" s="172" t="s">
        <v>95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423</v>
      </c>
      <c r="B191" s="176">
        <v>46035</v>
      </c>
      <c r="C191" s="172" t="s">
        <v>82</v>
      </c>
      <c r="D191" s="172" t="s">
        <v>96</v>
      </c>
      <c r="E191" s="172" t="s">
        <v>44</v>
      </c>
      <c r="F191" s="172" t="s">
        <v>126</v>
      </c>
      <c r="G191" s="172" t="s">
        <v>85</v>
      </c>
      <c r="H191" s="177">
        <v>1</v>
      </c>
      <c r="I191" s="178">
        <v>1202</v>
      </c>
      <c r="J191" s="176">
        <v>46031</v>
      </c>
      <c r="K191" s="172" t="s">
        <v>94</v>
      </c>
      <c r="L191" s="172" t="s">
        <v>95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423</v>
      </c>
      <c r="B192" s="176">
        <v>46035</v>
      </c>
      <c r="C192" s="172" t="s">
        <v>82</v>
      </c>
      <c r="D192" s="172" t="s">
        <v>83</v>
      </c>
      <c r="E192" s="172" t="s">
        <v>44</v>
      </c>
      <c r="F192" s="172" t="s">
        <v>126</v>
      </c>
      <c r="G192" s="172" t="s">
        <v>85</v>
      </c>
      <c r="H192" s="177">
        <v>1</v>
      </c>
      <c r="I192" s="178">
        <v>0</v>
      </c>
      <c r="J192" s="176">
        <v>46031</v>
      </c>
      <c r="K192" s="172" t="s">
        <v>86</v>
      </c>
      <c r="L192" s="172" t="s">
        <v>86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424</v>
      </c>
      <c r="B193" s="176">
        <v>46035</v>
      </c>
      <c r="C193" s="172" t="s">
        <v>93</v>
      </c>
      <c r="D193" s="172" t="s">
        <v>24</v>
      </c>
      <c r="E193" s="172" t="s">
        <v>42</v>
      </c>
      <c r="F193" s="172" t="s">
        <v>84</v>
      </c>
      <c r="G193" s="172" t="s">
        <v>85</v>
      </c>
      <c r="H193" s="177">
        <v>1</v>
      </c>
      <c r="I193" s="178">
        <v>0</v>
      </c>
      <c r="J193" s="176">
        <v>46027</v>
      </c>
      <c r="K193" s="172" t="s">
        <v>94</v>
      </c>
      <c r="L193" s="172" t="s">
        <v>95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424</v>
      </c>
      <c r="B194" s="176">
        <v>46035</v>
      </c>
      <c r="C194" s="172" t="s">
        <v>82</v>
      </c>
      <c r="D194" s="172" t="s">
        <v>96</v>
      </c>
      <c r="E194" s="172" t="s">
        <v>42</v>
      </c>
      <c r="F194" s="172" t="s">
        <v>84</v>
      </c>
      <c r="G194" s="172" t="s">
        <v>85</v>
      </c>
      <c r="H194" s="177">
        <v>1</v>
      </c>
      <c r="I194" s="178">
        <v>0</v>
      </c>
      <c r="J194" s="176">
        <v>46027</v>
      </c>
      <c r="K194" s="172" t="s">
        <v>94</v>
      </c>
      <c r="L194" s="172" t="s">
        <v>95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425</v>
      </c>
      <c r="B195" s="176">
        <v>46035</v>
      </c>
      <c r="C195" s="172" t="s">
        <v>93</v>
      </c>
      <c r="D195" s="172" t="s">
        <v>24</v>
      </c>
      <c r="E195" s="172" t="s">
        <v>42</v>
      </c>
      <c r="F195" s="172" t="s">
        <v>84</v>
      </c>
      <c r="G195" s="172" t="s">
        <v>85</v>
      </c>
      <c r="H195" s="177">
        <v>1</v>
      </c>
      <c r="I195" s="178">
        <v>0</v>
      </c>
      <c r="J195" s="176">
        <v>46027</v>
      </c>
      <c r="K195" s="172" t="s">
        <v>94</v>
      </c>
      <c r="L195" s="172" t="s">
        <v>95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425</v>
      </c>
      <c r="B196" s="176">
        <v>46035</v>
      </c>
      <c r="C196" s="172" t="s">
        <v>82</v>
      </c>
      <c r="D196" s="172" t="s">
        <v>96</v>
      </c>
      <c r="E196" s="172" t="s">
        <v>42</v>
      </c>
      <c r="F196" s="172" t="s">
        <v>84</v>
      </c>
      <c r="G196" s="172" t="s">
        <v>85</v>
      </c>
      <c r="H196" s="177">
        <v>1</v>
      </c>
      <c r="I196" s="178">
        <v>0</v>
      </c>
      <c r="J196" s="176">
        <v>46027</v>
      </c>
      <c r="K196" s="172" t="s">
        <v>94</v>
      </c>
      <c r="L196" s="172" t="s">
        <v>95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424</v>
      </c>
      <c r="B197" s="176">
        <v>46035</v>
      </c>
      <c r="C197" s="172" t="s">
        <v>93</v>
      </c>
      <c r="D197" s="172" t="s">
        <v>97</v>
      </c>
      <c r="E197" s="172" t="s">
        <v>42</v>
      </c>
      <c r="F197" s="172" t="s">
        <v>84</v>
      </c>
      <c r="G197" s="172" t="s">
        <v>85</v>
      </c>
      <c r="H197" s="177">
        <v>1</v>
      </c>
      <c r="I197" s="178">
        <v>0</v>
      </c>
      <c r="J197" s="176">
        <v>46027</v>
      </c>
      <c r="K197" s="172" t="s">
        <v>94</v>
      </c>
      <c r="L197" s="172" t="s">
        <v>95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424</v>
      </c>
      <c r="B198" s="176">
        <v>46035</v>
      </c>
      <c r="C198" s="172" t="s">
        <v>93</v>
      </c>
      <c r="D198" s="172" t="s">
        <v>98</v>
      </c>
      <c r="E198" s="172" t="s">
        <v>42</v>
      </c>
      <c r="F198" s="172" t="s">
        <v>84</v>
      </c>
      <c r="G198" s="172" t="s">
        <v>85</v>
      </c>
      <c r="H198" s="177">
        <v>1</v>
      </c>
      <c r="I198" s="178">
        <v>0</v>
      </c>
      <c r="J198" s="176">
        <v>46027</v>
      </c>
      <c r="K198" s="172" t="s">
        <v>94</v>
      </c>
      <c r="L198" s="172" t="s">
        <v>95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424</v>
      </c>
      <c r="B199" s="176">
        <v>46035</v>
      </c>
      <c r="C199" s="172" t="s">
        <v>82</v>
      </c>
      <c r="D199" s="172" t="s">
        <v>99</v>
      </c>
      <c r="E199" s="172" t="s">
        <v>42</v>
      </c>
      <c r="F199" s="172" t="s">
        <v>84</v>
      </c>
      <c r="G199" s="172" t="s">
        <v>85</v>
      </c>
      <c r="H199" s="177">
        <v>1</v>
      </c>
      <c r="I199" s="178">
        <v>0</v>
      </c>
      <c r="J199" s="176">
        <v>46027</v>
      </c>
      <c r="K199" s="172" t="s">
        <v>94</v>
      </c>
      <c r="L199" s="172" t="s">
        <v>95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425</v>
      </c>
      <c r="B200" s="176">
        <v>46035</v>
      </c>
      <c r="C200" s="172" t="s">
        <v>93</v>
      </c>
      <c r="D200" s="172" t="s">
        <v>97</v>
      </c>
      <c r="E200" s="172" t="s">
        <v>42</v>
      </c>
      <c r="F200" s="172" t="s">
        <v>84</v>
      </c>
      <c r="G200" s="172" t="s">
        <v>85</v>
      </c>
      <c r="H200" s="177">
        <v>1</v>
      </c>
      <c r="I200" s="178">
        <v>0</v>
      </c>
      <c r="J200" s="176">
        <v>46027</v>
      </c>
      <c r="K200" s="172" t="s">
        <v>94</v>
      </c>
      <c r="L200" s="172" t="s">
        <v>95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425</v>
      </c>
      <c r="B201" s="176">
        <v>46035</v>
      </c>
      <c r="C201" s="172" t="s">
        <v>93</v>
      </c>
      <c r="D201" s="172" t="s">
        <v>98</v>
      </c>
      <c r="E201" s="172" t="s">
        <v>42</v>
      </c>
      <c r="F201" s="172" t="s">
        <v>84</v>
      </c>
      <c r="G201" s="172" t="s">
        <v>85</v>
      </c>
      <c r="H201" s="177">
        <v>1</v>
      </c>
      <c r="I201" s="178">
        <v>0</v>
      </c>
      <c r="J201" s="176">
        <v>46027</v>
      </c>
      <c r="K201" s="172" t="s">
        <v>94</v>
      </c>
      <c r="L201" s="172" t="s">
        <v>95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425</v>
      </c>
      <c r="B202" s="176">
        <v>46035</v>
      </c>
      <c r="C202" s="172" t="s">
        <v>82</v>
      </c>
      <c r="D202" s="172" t="s">
        <v>99</v>
      </c>
      <c r="E202" s="172" t="s">
        <v>42</v>
      </c>
      <c r="F202" s="172" t="s">
        <v>84</v>
      </c>
      <c r="G202" s="172" t="s">
        <v>85</v>
      </c>
      <c r="H202" s="177">
        <v>1</v>
      </c>
      <c r="I202" s="178">
        <v>0</v>
      </c>
      <c r="J202" s="176">
        <v>46027</v>
      </c>
      <c r="K202" s="172" t="s">
        <v>94</v>
      </c>
      <c r="L202" s="172" t="s">
        <v>95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426</v>
      </c>
      <c r="B203" s="176">
        <v>46035</v>
      </c>
      <c r="C203" s="172" t="s">
        <v>93</v>
      </c>
      <c r="D203" s="172" t="s">
        <v>24</v>
      </c>
      <c r="E203" s="172" t="s">
        <v>54</v>
      </c>
      <c r="F203" s="172" t="s">
        <v>121</v>
      </c>
      <c r="G203" s="172" t="s">
        <v>85</v>
      </c>
      <c r="H203" s="177">
        <v>1</v>
      </c>
      <c r="I203" s="178">
        <v>1845</v>
      </c>
      <c r="J203" s="176">
        <v>46033</v>
      </c>
      <c r="K203" s="172" t="s">
        <v>94</v>
      </c>
      <c r="L203" s="172" t="s">
        <v>95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426</v>
      </c>
      <c r="B204" s="176">
        <v>46035</v>
      </c>
      <c r="C204" s="172" t="s">
        <v>101</v>
      </c>
      <c r="D204" s="172" t="s">
        <v>102</v>
      </c>
      <c r="E204" s="172" t="s">
        <v>54</v>
      </c>
      <c r="F204" s="172" t="s">
        <v>121</v>
      </c>
      <c r="G204" s="172" t="s">
        <v>85</v>
      </c>
      <c r="H204" s="177">
        <v>1</v>
      </c>
      <c r="I204" s="178">
        <v>1845</v>
      </c>
      <c r="J204" s="176">
        <v>46033</v>
      </c>
      <c r="K204" s="172" t="s">
        <v>94</v>
      </c>
      <c r="L204" s="172" t="s">
        <v>95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426</v>
      </c>
      <c r="B205" s="176">
        <v>46035</v>
      </c>
      <c r="C205" s="172" t="s">
        <v>101</v>
      </c>
      <c r="D205" s="172" t="s">
        <v>103</v>
      </c>
      <c r="E205" s="172" t="s">
        <v>54</v>
      </c>
      <c r="F205" s="172" t="s">
        <v>121</v>
      </c>
      <c r="G205" s="172" t="s">
        <v>85</v>
      </c>
      <c r="H205" s="177">
        <v>1</v>
      </c>
      <c r="I205" s="178">
        <v>1845</v>
      </c>
      <c r="J205" s="176">
        <v>46033</v>
      </c>
      <c r="K205" s="172" t="s">
        <v>94</v>
      </c>
      <c r="L205" s="172" t="s">
        <v>95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426</v>
      </c>
      <c r="B206" s="176">
        <v>46035</v>
      </c>
      <c r="C206" s="172" t="s">
        <v>101</v>
      </c>
      <c r="D206" s="172" t="s">
        <v>104</v>
      </c>
      <c r="E206" s="172" t="s">
        <v>54</v>
      </c>
      <c r="F206" s="172" t="s">
        <v>121</v>
      </c>
      <c r="G206" s="172" t="s">
        <v>85</v>
      </c>
      <c r="H206" s="177">
        <v>1</v>
      </c>
      <c r="I206" s="178">
        <v>1845</v>
      </c>
      <c r="J206" s="176">
        <v>46033</v>
      </c>
      <c r="K206" s="172" t="s">
        <v>94</v>
      </c>
      <c r="L206" s="172" t="s">
        <v>95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426</v>
      </c>
      <c r="B207" s="176">
        <v>46035</v>
      </c>
      <c r="C207" s="172" t="s">
        <v>105</v>
      </c>
      <c r="D207" s="172" t="s">
        <v>106</v>
      </c>
      <c r="E207" s="172" t="s">
        <v>54</v>
      </c>
      <c r="F207" s="172" t="s">
        <v>121</v>
      </c>
      <c r="G207" s="172" t="s">
        <v>85</v>
      </c>
      <c r="H207" s="177">
        <v>1</v>
      </c>
      <c r="I207" s="178">
        <v>1845</v>
      </c>
      <c r="J207" s="176">
        <v>46033</v>
      </c>
      <c r="K207" s="172" t="s">
        <v>94</v>
      </c>
      <c r="L207" s="172" t="s">
        <v>95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426</v>
      </c>
      <c r="B208" s="176">
        <v>46035</v>
      </c>
      <c r="C208" s="172" t="s">
        <v>82</v>
      </c>
      <c r="D208" s="172" t="s">
        <v>96</v>
      </c>
      <c r="E208" s="172" t="s">
        <v>54</v>
      </c>
      <c r="F208" s="172" t="s">
        <v>121</v>
      </c>
      <c r="G208" s="172" t="s">
        <v>85</v>
      </c>
      <c r="H208" s="177">
        <v>1</v>
      </c>
      <c r="I208" s="178">
        <v>1845</v>
      </c>
      <c r="J208" s="176">
        <v>46033</v>
      </c>
      <c r="K208" s="172" t="s">
        <v>94</v>
      </c>
      <c r="L208" s="172" t="s">
        <v>95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427</v>
      </c>
      <c r="B209" s="176">
        <v>46035</v>
      </c>
      <c r="C209" s="172" t="s">
        <v>82</v>
      </c>
      <c r="D209" s="172" t="s">
        <v>83</v>
      </c>
      <c r="E209" s="172" t="s">
        <v>53</v>
      </c>
      <c r="F209" s="172" t="s">
        <v>91</v>
      </c>
      <c r="G209" s="172" t="s">
        <v>85</v>
      </c>
      <c r="H209" s="177">
        <v>1</v>
      </c>
      <c r="I209" s="178">
        <v>0</v>
      </c>
      <c r="J209" s="176">
        <v>46035</v>
      </c>
      <c r="K209" s="172" t="s">
        <v>86</v>
      </c>
      <c r="L209" s="172" t="s">
        <v>86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428</v>
      </c>
      <c r="B210" s="176">
        <v>46035</v>
      </c>
      <c r="C210" s="172" t="s">
        <v>93</v>
      </c>
      <c r="D210" s="172" t="s">
        <v>24</v>
      </c>
      <c r="E210" s="172" t="s">
        <v>54</v>
      </c>
      <c r="F210" s="172" t="s">
        <v>121</v>
      </c>
      <c r="G210" s="172" t="s">
        <v>85</v>
      </c>
      <c r="H210" s="177">
        <v>1</v>
      </c>
      <c r="I210" s="178">
        <v>0</v>
      </c>
      <c r="J210" s="176">
        <v>46026</v>
      </c>
      <c r="K210" s="172" t="s">
        <v>94</v>
      </c>
      <c r="L210" s="172" t="s">
        <v>95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428</v>
      </c>
      <c r="B211" s="176">
        <v>46035</v>
      </c>
      <c r="C211" s="172" t="s">
        <v>82</v>
      </c>
      <c r="D211" s="172" t="s">
        <v>96</v>
      </c>
      <c r="E211" s="172" t="s">
        <v>54</v>
      </c>
      <c r="F211" s="172" t="s">
        <v>121</v>
      </c>
      <c r="G211" s="172" t="s">
        <v>85</v>
      </c>
      <c r="H211" s="177">
        <v>1</v>
      </c>
      <c r="I211" s="178">
        <v>0</v>
      </c>
      <c r="J211" s="176">
        <v>46026</v>
      </c>
      <c r="K211" s="172" t="s">
        <v>94</v>
      </c>
      <c r="L211" s="172" t="s">
        <v>95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429</v>
      </c>
      <c r="B212" s="176">
        <v>46035</v>
      </c>
      <c r="C212" s="172" t="s">
        <v>93</v>
      </c>
      <c r="D212" s="172" t="s">
        <v>24</v>
      </c>
      <c r="E212" s="172" t="s">
        <v>44</v>
      </c>
      <c r="F212" s="172" t="s">
        <v>126</v>
      </c>
      <c r="G212" s="172" t="s">
        <v>85</v>
      </c>
      <c r="H212" s="177">
        <v>1</v>
      </c>
      <c r="I212" s="178">
        <v>1202</v>
      </c>
      <c r="J212" s="176">
        <v>46031</v>
      </c>
      <c r="K212" s="172" t="s">
        <v>94</v>
      </c>
      <c r="L212" s="172" t="s">
        <v>95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429</v>
      </c>
      <c r="B213" s="176">
        <v>46035</v>
      </c>
      <c r="C213" s="172" t="s">
        <v>101</v>
      </c>
      <c r="D213" s="172" t="s">
        <v>102</v>
      </c>
      <c r="E213" s="172" t="s">
        <v>44</v>
      </c>
      <c r="F213" s="172" t="s">
        <v>126</v>
      </c>
      <c r="G213" s="172" t="s">
        <v>85</v>
      </c>
      <c r="H213" s="177">
        <v>1</v>
      </c>
      <c r="I213" s="178">
        <v>1202</v>
      </c>
      <c r="J213" s="176">
        <v>46031</v>
      </c>
      <c r="K213" s="172" t="s">
        <v>94</v>
      </c>
      <c r="L213" s="172" t="s">
        <v>95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429</v>
      </c>
      <c r="B214" s="176">
        <v>46035</v>
      </c>
      <c r="C214" s="172" t="s">
        <v>101</v>
      </c>
      <c r="D214" s="172" t="s">
        <v>103</v>
      </c>
      <c r="E214" s="172" t="s">
        <v>44</v>
      </c>
      <c r="F214" s="172" t="s">
        <v>126</v>
      </c>
      <c r="G214" s="172" t="s">
        <v>85</v>
      </c>
      <c r="H214" s="177">
        <v>1</v>
      </c>
      <c r="I214" s="178">
        <v>1202</v>
      </c>
      <c r="J214" s="176">
        <v>46031</v>
      </c>
      <c r="K214" s="172" t="s">
        <v>94</v>
      </c>
      <c r="L214" s="172" t="s">
        <v>95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429</v>
      </c>
      <c r="B215" s="176">
        <v>46035</v>
      </c>
      <c r="C215" s="172" t="s">
        <v>101</v>
      </c>
      <c r="D215" s="172" t="s">
        <v>104</v>
      </c>
      <c r="E215" s="172" t="s">
        <v>44</v>
      </c>
      <c r="F215" s="172" t="s">
        <v>126</v>
      </c>
      <c r="G215" s="172" t="s">
        <v>85</v>
      </c>
      <c r="H215" s="177">
        <v>1</v>
      </c>
      <c r="I215" s="178">
        <v>1202</v>
      </c>
      <c r="J215" s="176">
        <v>46031</v>
      </c>
      <c r="K215" s="172" t="s">
        <v>94</v>
      </c>
      <c r="L215" s="172" t="s">
        <v>95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429</v>
      </c>
      <c r="B216" s="176">
        <v>46035</v>
      </c>
      <c r="C216" s="172" t="s">
        <v>105</v>
      </c>
      <c r="D216" s="172" t="s">
        <v>106</v>
      </c>
      <c r="E216" s="172" t="s">
        <v>44</v>
      </c>
      <c r="F216" s="172" t="s">
        <v>126</v>
      </c>
      <c r="G216" s="172" t="s">
        <v>85</v>
      </c>
      <c r="H216" s="177">
        <v>1</v>
      </c>
      <c r="I216" s="178">
        <v>1202</v>
      </c>
      <c r="J216" s="176">
        <v>46031</v>
      </c>
      <c r="K216" s="172" t="s">
        <v>94</v>
      </c>
      <c r="L216" s="172" t="s">
        <v>95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429</v>
      </c>
      <c r="B217" s="176">
        <v>46035</v>
      </c>
      <c r="C217" s="172" t="s">
        <v>82</v>
      </c>
      <c r="D217" s="172" t="s">
        <v>96</v>
      </c>
      <c r="E217" s="172" t="s">
        <v>44</v>
      </c>
      <c r="F217" s="172" t="s">
        <v>126</v>
      </c>
      <c r="G217" s="172" t="s">
        <v>85</v>
      </c>
      <c r="H217" s="177">
        <v>1</v>
      </c>
      <c r="I217" s="178">
        <v>1202</v>
      </c>
      <c r="J217" s="176">
        <v>46031</v>
      </c>
      <c r="K217" s="172" t="s">
        <v>94</v>
      </c>
      <c r="L217" s="172" t="s">
        <v>95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430</v>
      </c>
      <c r="B218" s="176">
        <v>46035</v>
      </c>
      <c r="C218" s="172" t="s">
        <v>93</v>
      </c>
      <c r="D218" s="172" t="s">
        <v>24</v>
      </c>
      <c r="E218" s="172" t="s">
        <v>39</v>
      </c>
      <c r="F218" s="172" t="s">
        <v>88</v>
      </c>
      <c r="G218" s="172" t="s">
        <v>85</v>
      </c>
      <c r="H218" s="177">
        <v>1</v>
      </c>
      <c r="I218" s="178">
        <v>1650</v>
      </c>
      <c r="J218" s="176">
        <v>46031</v>
      </c>
      <c r="K218" s="172" t="s">
        <v>94</v>
      </c>
      <c r="L218" s="172" t="s">
        <v>95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430</v>
      </c>
      <c r="B219" s="176">
        <v>46035</v>
      </c>
      <c r="C219" s="172" t="s">
        <v>101</v>
      </c>
      <c r="D219" s="172" t="s">
        <v>102</v>
      </c>
      <c r="E219" s="172" t="s">
        <v>39</v>
      </c>
      <c r="F219" s="172" t="s">
        <v>88</v>
      </c>
      <c r="G219" s="172" t="s">
        <v>85</v>
      </c>
      <c r="H219" s="177">
        <v>1</v>
      </c>
      <c r="I219" s="178">
        <v>1650</v>
      </c>
      <c r="J219" s="176">
        <v>46031</v>
      </c>
      <c r="K219" s="172" t="s">
        <v>94</v>
      </c>
      <c r="L219" s="172" t="s">
        <v>95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430</v>
      </c>
      <c r="B220" s="176">
        <v>46035</v>
      </c>
      <c r="C220" s="172" t="s">
        <v>101</v>
      </c>
      <c r="D220" s="172" t="s">
        <v>103</v>
      </c>
      <c r="E220" s="172" t="s">
        <v>39</v>
      </c>
      <c r="F220" s="172" t="s">
        <v>88</v>
      </c>
      <c r="G220" s="172" t="s">
        <v>85</v>
      </c>
      <c r="H220" s="177">
        <v>1</v>
      </c>
      <c r="I220" s="178">
        <v>1650</v>
      </c>
      <c r="J220" s="176">
        <v>46031</v>
      </c>
      <c r="K220" s="172" t="s">
        <v>94</v>
      </c>
      <c r="L220" s="172" t="s">
        <v>95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430</v>
      </c>
      <c r="B221" s="176">
        <v>46035</v>
      </c>
      <c r="C221" s="172" t="s">
        <v>101</v>
      </c>
      <c r="D221" s="172" t="s">
        <v>104</v>
      </c>
      <c r="E221" s="172" t="s">
        <v>39</v>
      </c>
      <c r="F221" s="172" t="s">
        <v>88</v>
      </c>
      <c r="G221" s="172" t="s">
        <v>85</v>
      </c>
      <c r="H221" s="177">
        <v>1</v>
      </c>
      <c r="I221" s="178">
        <v>1650</v>
      </c>
      <c r="J221" s="176">
        <v>46031</v>
      </c>
      <c r="K221" s="172" t="s">
        <v>94</v>
      </c>
      <c r="L221" s="172" t="s">
        <v>95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430</v>
      </c>
      <c r="B222" s="176">
        <v>46035</v>
      </c>
      <c r="C222" s="172" t="s">
        <v>105</v>
      </c>
      <c r="D222" s="172" t="s">
        <v>106</v>
      </c>
      <c r="E222" s="172" t="s">
        <v>39</v>
      </c>
      <c r="F222" s="172" t="s">
        <v>88</v>
      </c>
      <c r="G222" s="172" t="s">
        <v>85</v>
      </c>
      <c r="H222" s="177">
        <v>1</v>
      </c>
      <c r="I222" s="178">
        <v>1650</v>
      </c>
      <c r="J222" s="176">
        <v>46031</v>
      </c>
      <c r="K222" s="172" t="s">
        <v>94</v>
      </c>
      <c r="L222" s="172" t="s">
        <v>95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430</v>
      </c>
      <c r="B223" s="176">
        <v>46035</v>
      </c>
      <c r="C223" s="172" t="s">
        <v>82</v>
      </c>
      <c r="D223" s="172" t="s">
        <v>96</v>
      </c>
      <c r="E223" s="172" t="s">
        <v>39</v>
      </c>
      <c r="F223" s="172" t="s">
        <v>88</v>
      </c>
      <c r="G223" s="172" t="s">
        <v>85</v>
      </c>
      <c r="H223" s="177">
        <v>1</v>
      </c>
      <c r="I223" s="178">
        <v>1650</v>
      </c>
      <c r="J223" s="176">
        <v>46031</v>
      </c>
      <c r="K223" s="172" t="s">
        <v>94</v>
      </c>
      <c r="L223" s="172" t="s">
        <v>95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428</v>
      </c>
      <c r="B224" s="176">
        <v>46035</v>
      </c>
      <c r="C224" s="172" t="s">
        <v>93</v>
      </c>
      <c r="D224" s="172" t="s">
        <v>97</v>
      </c>
      <c r="E224" s="172" t="s">
        <v>54</v>
      </c>
      <c r="F224" s="172" t="s">
        <v>121</v>
      </c>
      <c r="G224" s="172" t="s">
        <v>85</v>
      </c>
      <c r="H224" s="177">
        <v>1</v>
      </c>
      <c r="I224" s="178">
        <v>0</v>
      </c>
      <c r="J224" s="176">
        <v>46026</v>
      </c>
      <c r="K224" s="172" t="s">
        <v>94</v>
      </c>
      <c r="L224" s="172" t="s">
        <v>95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428</v>
      </c>
      <c r="B225" s="176">
        <v>46035</v>
      </c>
      <c r="C225" s="172" t="s">
        <v>93</v>
      </c>
      <c r="D225" s="172" t="s">
        <v>98</v>
      </c>
      <c r="E225" s="172" t="s">
        <v>54</v>
      </c>
      <c r="F225" s="172" t="s">
        <v>121</v>
      </c>
      <c r="G225" s="172" t="s">
        <v>85</v>
      </c>
      <c r="H225" s="177">
        <v>1</v>
      </c>
      <c r="I225" s="178">
        <v>0</v>
      </c>
      <c r="J225" s="176">
        <v>46026</v>
      </c>
      <c r="K225" s="172" t="s">
        <v>94</v>
      </c>
      <c r="L225" s="172" t="s">
        <v>95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428</v>
      </c>
      <c r="B226" s="176">
        <v>46035</v>
      </c>
      <c r="C226" s="172" t="s">
        <v>82</v>
      </c>
      <c r="D226" s="172" t="s">
        <v>99</v>
      </c>
      <c r="E226" s="172" t="s">
        <v>54</v>
      </c>
      <c r="F226" s="172" t="s">
        <v>121</v>
      </c>
      <c r="G226" s="172" t="s">
        <v>85</v>
      </c>
      <c r="H226" s="177">
        <v>1</v>
      </c>
      <c r="I226" s="178">
        <v>0</v>
      </c>
      <c r="J226" s="176">
        <v>46026</v>
      </c>
      <c r="K226" s="172" t="s">
        <v>94</v>
      </c>
      <c r="L226" s="172" t="s">
        <v>95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431</v>
      </c>
      <c r="B227" s="176">
        <v>46035</v>
      </c>
      <c r="C227" s="172" t="s">
        <v>93</v>
      </c>
      <c r="D227" s="172" t="s">
        <v>24</v>
      </c>
      <c r="E227" s="172" t="s">
        <v>53</v>
      </c>
      <c r="F227" s="172" t="s">
        <v>91</v>
      </c>
      <c r="G227" s="172" t="s">
        <v>85</v>
      </c>
      <c r="H227" s="177">
        <v>1</v>
      </c>
      <c r="I227" s="178">
        <v>1621</v>
      </c>
      <c r="J227" s="176">
        <v>46033</v>
      </c>
      <c r="K227" s="172" t="s">
        <v>94</v>
      </c>
      <c r="L227" s="172" t="s">
        <v>95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431</v>
      </c>
      <c r="B228" s="176">
        <v>46035</v>
      </c>
      <c r="C228" s="172" t="s">
        <v>101</v>
      </c>
      <c r="D228" s="172" t="s">
        <v>102</v>
      </c>
      <c r="E228" s="172" t="s">
        <v>53</v>
      </c>
      <c r="F228" s="172" t="s">
        <v>91</v>
      </c>
      <c r="G228" s="172" t="s">
        <v>85</v>
      </c>
      <c r="H228" s="177">
        <v>1</v>
      </c>
      <c r="I228" s="178">
        <v>1621</v>
      </c>
      <c r="J228" s="176">
        <v>46033</v>
      </c>
      <c r="K228" s="172" t="s">
        <v>94</v>
      </c>
      <c r="L228" s="172" t="s">
        <v>95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431</v>
      </c>
      <c r="B229" s="176">
        <v>46035</v>
      </c>
      <c r="C229" s="172" t="s">
        <v>101</v>
      </c>
      <c r="D229" s="172" t="s">
        <v>103</v>
      </c>
      <c r="E229" s="172" t="s">
        <v>53</v>
      </c>
      <c r="F229" s="172" t="s">
        <v>91</v>
      </c>
      <c r="G229" s="172" t="s">
        <v>85</v>
      </c>
      <c r="H229" s="177">
        <v>1</v>
      </c>
      <c r="I229" s="178">
        <v>1621</v>
      </c>
      <c r="J229" s="176">
        <v>46033</v>
      </c>
      <c r="K229" s="172" t="s">
        <v>94</v>
      </c>
      <c r="L229" s="172" t="s">
        <v>95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431</v>
      </c>
      <c r="B230" s="176">
        <v>46035</v>
      </c>
      <c r="C230" s="172" t="s">
        <v>101</v>
      </c>
      <c r="D230" s="172" t="s">
        <v>104</v>
      </c>
      <c r="E230" s="172" t="s">
        <v>53</v>
      </c>
      <c r="F230" s="172" t="s">
        <v>91</v>
      </c>
      <c r="G230" s="172" t="s">
        <v>85</v>
      </c>
      <c r="H230" s="177">
        <v>1</v>
      </c>
      <c r="I230" s="178">
        <v>1621</v>
      </c>
      <c r="J230" s="176">
        <v>46033</v>
      </c>
      <c r="K230" s="172" t="s">
        <v>94</v>
      </c>
      <c r="L230" s="172" t="s">
        <v>95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431</v>
      </c>
      <c r="B231" s="176">
        <v>46035</v>
      </c>
      <c r="C231" s="172" t="s">
        <v>105</v>
      </c>
      <c r="D231" s="172" t="s">
        <v>106</v>
      </c>
      <c r="E231" s="172" t="s">
        <v>53</v>
      </c>
      <c r="F231" s="172" t="s">
        <v>91</v>
      </c>
      <c r="G231" s="172" t="s">
        <v>85</v>
      </c>
      <c r="H231" s="177">
        <v>1</v>
      </c>
      <c r="I231" s="178">
        <v>1621</v>
      </c>
      <c r="J231" s="176">
        <v>46033</v>
      </c>
      <c r="K231" s="172" t="s">
        <v>94</v>
      </c>
      <c r="L231" s="172" t="s">
        <v>95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431</v>
      </c>
      <c r="B232" s="176">
        <v>46035</v>
      </c>
      <c r="C232" s="172" t="s">
        <v>82</v>
      </c>
      <c r="D232" s="172" t="s">
        <v>96</v>
      </c>
      <c r="E232" s="172" t="s">
        <v>53</v>
      </c>
      <c r="F232" s="172" t="s">
        <v>91</v>
      </c>
      <c r="G232" s="172" t="s">
        <v>85</v>
      </c>
      <c r="H232" s="177">
        <v>1</v>
      </c>
      <c r="I232" s="178">
        <v>1621</v>
      </c>
      <c r="J232" s="176">
        <v>46033</v>
      </c>
      <c r="K232" s="172" t="s">
        <v>94</v>
      </c>
      <c r="L232" s="172" t="s">
        <v>95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430</v>
      </c>
      <c r="B233" s="176">
        <v>46035</v>
      </c>
      <c r="C233" s="172" t="s">
        <v>82</v>
      </c>
      <c r="D233" s="172" t="s">
        <v>83</v>
      </c>
      <c r="E233" s="172" t="s">
        <v>39</v>
      </c>
      <c r="F233" s="172" t="s">
        <v>88</v>
      </c>
      <c r="G233" s="172" t="s">
        <v>85</v>
      </c>
      <c r="H233" s="177">
        <v>1</v>
      </c>
      <c r="I233" s="178">
        <v>0</v>
      </c>
      <c r="J233" s="176">
        <v>46031</v>
      </c>
      <c r="K233" s="172" t="s">
        <v>86</v>
      </c>
      <c r="L233" s="172" t="s">
        <v>86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429</v>
      </c>
      <c r="B234" s="176">
        <v>46035</v>
      </c>
      <c r="C234" s="172" t="s">
        <v>82</v>
      </c>
      <c r="D234" s="172" t="s">
        <v>83</v>
      </c>
      <c r="E234" s="172" t="s">
        <v>44</v>
      </c>
      <c r="F234" s="172" t="s">
        <v>126</v>
      </c>
      <c r="G234" s="172" t="s">
        <v>85</v>
      </c>
      <c r="H234" s="177">
        <v>1</v>
      </c>
      <c r="I234" s="178">
        <v>0</v>
      </c>
      <c r="J234" s="176">
        <v>46031</v>
      </c>
      <c r="K234" s="172" t="s">
        <v>86</v>
      </c>
      <c r="L234" s="172" t="s">
        <v>86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432</v>
      </c>
      <c r="B235" s="176">
        <v>46035</v>
      </c>
      <c r="C235" s="172" t="s">
        <v>93</v>
      </c>
      <c r="D235" s="172" t="s">
        <v>24</v>
      </c>
      <c r="E235" s="172" t="s">
        <v>43</v>
      </c>
      <c r="F235" s="172" t="s">
        <v>90</v>
      </c>
      <c r="G235" s="172" t="s">
        <v>85</v>
      </c>
      <c r="H235" s="177">
        <v>1</v>
      </c>
      <c r="I235" s="178">
        <v>1600</v>
      </c>
      <c r="J235" s="176">
        <v>46030</v>
      </c>
      <c r="K235" s="172" t="s">
        <v>94</v>
      </c>
      <c r="L235" s="172" t="s">
        <v>95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432</v>
      </c>
      <c r="B236" s="176">
        <v>46035</v>
      </c>
      <c r="C236" s="172" t="s">
        <v>101</v>
      </c>
      <c r="D236" s="172" t="s">
        <v>102</v>
      </c>
      <c r="E236" s="172" t="s">
        <v>43</v>
      </c>
      <c r="F236" s="172" t="s">
        <v>90</v>
      </c>
      <c r="G236" s="172" t="s">
        <v>85</v>
      </c>
      <c r="H236" s="177">
        <v>1</v>
      </c>
      <c r="I236" s="178">
        <v>1600</v>
      </c>
      <c r="J236" s="176">
        <v>46030</v>
      </c>
      <c r="K236" s="172" t="s">
        <v>94</v>
      </c>
      <c r="L236" s="172" t="s">
        <v>95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432</v>
      </c>
      <c r="B237" s="176">
        <v>46035</v>
      </c>
      <c r="C237" s="172" t="s">
        <v>101</v>
      </c>
      <c r="D237" s="172" t="s">
        <v>103</v>
      </c>
      <c r="E237" s="172" t="s">
        <v>43</v>
      </c>
      <c r="F237" s="172" t="s">
        <v>90</v>
      </c>
      <c r="G237" s="172" t="s">
        <v>85</v>
      </c>
      <c r="H237" s="177">
        <v>1</v>
      </c>
      <c r="I237" s="178">
        <v>1600</v>
      </c>
      <c r="J237" s="176">
        <v>46030</v>
      </c>
      <c r="K237" s="172" t="s">
        <v>94</v>
      </c>
      <c r="L237" s="172" t="s">
        <v>95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432</v>
      </c>
      <c r="B238" s="176">
        <v>46035</v>
      </c>
      <c r="C238" s="172" t="s">
        <v>101</v>
      </c>
      <c r="D238" s="172" t="s">
        <v>104</v>
      </c>
      <c r="E238" s="172" t="s">
        <v>43</v>
      </c>
      <c r="F238" s="172" t="s">
        <v>90</v>
      </c>
      <c r="G238" s="172" t="s">
        <v>85</v>
      </c>
      <c r="H238" s="177">
        <v>1</v>
      </c>
      <c r="I238" s="178">
        <v>1600</v>
      </c>
      <c r="J238" s="176">
        <v>46030</v>
      </c>
      <c r="K238" s="172" t="s">
        <v>94</v>
      </c>
      <c r="L238" s="172" t="s">
        <v>95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432</v>
      </c>
      <c r="B239" s="176">
        <v>46035</v>
      </c>
      <c r="C239" s="172" t="s">
        <v>105</v>
      </c>
      <c r="D239" s="172" t="s">
        <v>106</v>
      </c>
      <c r="E239" s="172" t="s">
        <v>43</v>
      </c>
      <c r="F239" s="172" t="s">
        <v>90</v>
      </c>
      <c r="G239" s="172" t="s">
        <v>85</v>
      </c>
      <c r="H239" s="177">
        <v>1</v>
      </c>
      <c r="I239" s="178">
        <v>1600</v>
      </c>
      <c r="J239" s="176">
        <v>46030</v>
      </c>
      <c r="K239" s="172" t="s">
        <v>94</v>
      </c>
      <c r="L239" s="172" t="s">
        <v>95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432</v>
      </c>
      <c r="B240" s="176">
        <v>46035</v>
      </c>
      <c r="C240" s="172" t="s">
        <v>82</v>
      </c>
      <c r="D240" s="172" t="s">
        <v>96</v>
      </c>
      <c r="E240" s="172" t="s">
        <v>43</v>
      </c>
      <c r="F240" s="172" t="s">
        <v>90</v>
      </c>
      <c r="G240" s="172" t="s">
        <v>85</v>
      </c>
      <c r="H240" s="177">
        <v>1</v>
      </c>
      <c r="I240" s="178">
        <v>1600</v>
      </c>
      <c r="J240" s="176">
        <v>46030</v>
      </c>
      <c r="K240" s="172" t="s">
        <v>94</v>
      </c>
      <c r="L240" s="172" t="s">
        <v>95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433</v>
      </c>
      <c r="B241" s="176">
        <v>46035</v>
      </c>
      <c r="C241" s="172" t="s">
        <v>93</v>
      </c>
      <c r="D241" s="172" t="s">
        <v>24</v>
      </c>
      <c r="E241" s="172" t="s">
        <v>42</v>
      </c>
      <c r="F241" s="172" t="s">
        <v>84</v>
      </c>
      <c r="G241" s="172" t="s">
        <v>85</v>
      </c>
      <c r="H241" s="177">
        <v>1</v>
      </c>
      <c r="I241" s="178">
        <v>1750</v>
      </c>
      <c r="J241" s="176">
        <v>46033</v>
      </c>
      <c r="K241" s="172" t="s">
        <v>94</v>
      </c>
      <c r="L241" s="172" t="s">
        <v>95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433</v>
      </c>
      <c r="B242" s="176">
        <v>46035</v>
      </c>
      <c r="C242" s="172" t="s">
        <v>101</v>
      </c>
      <c r="D242" s="172" t="s">
        <v>102</v>
      </c>
      <c r="E242" s="172" t="s">
        <v>42</v>
      </c>
      <c r="F242" s="172" t="s">
        <v>84</v>
      </c>
      <c r="G242" s="172" t="s">
        <v>85</v>
      </c>
      <c r="H242" s="177">
        <v>1</v>
      </c>
      <c r="I242" s="178">
        <v>1750</v>
      </c>
      <c r="J242" s="176">
        <v>46033</v>
      </c>
      <c r="K242" s="172" t="s">
        <v>94</v>
      </c>
      <c r="L242" s="172" t="s">
        <v>95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433</v>
      </c>
      <c r="B243" s="176">
        <v>46035</v>
      </c>
      <c r="C243" s="172" t="s">
        <v>101</v>
      </c>
      <c r="D243" s="172" t="s">
        <v>103</v>
      </c>
      <c r="E243" s="172" t="s">
        <v>42</v>
      </c>
      <c r="F243" s="172" t="s">
        <v>84</v>
      </c>
      <c r="G243" s="172" t="s">
        <v>85</v>
      </c>
      <c r="H243" s="177">
        <v>1</v>
      </c>
      <c r="I243" s="178">
        <v>1750</v>
      </c>
      <c r="J243" s="176">
        <v>46033</v>
      </c>
      <c r="K243" s="172" t="s">
        <v>94</v>
      </c>
      <c r="L243" s="172" t="s">
        <v>95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433</v>
      </c>
      <c r="B244" s="176">
        <v>46035</v>
      </c>
      <c r="C244" s="172" t="s">
        <v>101</v>
      </c>
      <c r="D244" s="172" t="s">
        <v>104</v>
      </c>
      <c r="E244" s="172" t="s">
        <v>42</v>
      </c>
      <c r="F244" s="172" t="s">
        <v>84</v>
      </c>
      <c r="G244" s="172" t="s">
        <v>85</v>
      </c>
      <c r="H244" s="177">
        <v>1</v>
      </c>
      <c r="I244" s="178">
        <v>1750</v>
      </c>
      <c r="J244" s="176">
        <v>46033</v>
      </c>
      <c r="K244" s="172" t="s">
        <v>94</v>
      </c>
      <c r="L244" s="172" t="s">
        <v>95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433</v>
      </c>
      <c r="B245" s="176">
        <v>46035</v>
      </c>
      <c r="C245" s="172" t="s">
        <v>105</v>
      </c>
      <c r="D245" s="172" t="s">
        <v>106</v>
      </c>
      <c r="E245" s="172" t="s">
        <v>42</v>
      </c>
      <c r="F245" s="172" t="s">
        <v>84</v>
      </c>
      <c r="G245" s="172" t="s">
        <v>85</v>
      </c>
      <c r="H245" s="177">
        <v>1</v>
      </c>
      <c r="I245" s="178">
        <v>1750</v>
      </c>
      <c r="J245" s="176">
        <v>46033</v>
      </c>
      <c r="K245" s="172" t="s">
        <v>94</v>
      </c>
      <c r="L245" s="172" t="s">
        <v>95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433</v>
      </c>
      <c r="B246" s="176">
        <v>46035</v>
      </c>
      <c r="C246" s="172" t="s">
        <v>82</v>
      </c>
      <c r="D246" s="172" t="s">
        <v>96</v>
      </c>
      <c r="E246" s="172" t="s">
        <v>42</v>
      </c>
      <c r="F246" s="172" t="s">
        <v>84</v>
      </c>
      <c r="G246" s="172" t="s">
        <v>85</v>
      </c>
      <c r="H246" s="177">
        <v>1</v>
      </c>
      <c r="I246" s="178">
        <v>1750</v>
      </c>
      <c r="J246" s="176">
        <v>46033</v>
      </c>
      <c r="K246" s="172" t="s">
        <v>94</v>
      </c>
      <c r="L246" s="172" t="s">
        <v>95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434</v>
      </c>
      <c r="B247" s="176">
        <v>46035</v>
      </c>
      <c r="C247" s="172" t="s">
        <v>93</v>
      </c>
      <c r="D247" s="172" t="s">
        <v>24</v>
      </c>
      <c r="E247" s="172" t="s">
        <v>54</v>
      </c>
      <c r="F247" s="172" t="s">
        <v>121</v>
      </c>
      <c r="G247" s="172" t="s">
        <v>85</v>
      </c>
      <c r="H247" s="177">
        <v>1</v>
      </c>
      <c r="I247" s="178">
        <v>1845</v>
      </c>
      <c r="J247" s="176">
        <v>46034</v>
      </c>
      <c r="K247" s="172" t="s">
        <v>94</v>
      </c>
      <c r="L247" s="172" t="s">
        <v>95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434</v>
      </c>
      <c r="B248" s="176">
        <v>46035</v>
      </c>
      <c r="C248" s="172" t="s">
        <v>101</v>
      </c>
      <c r="D248" s="172" t="s">
        <v>102</v>
      </c>
      <c r="E248" s="172" t="s">
        <v>54</v>
      </c>
      <c r="F248" s="172" t="s">
        <v>121</v>
      </c>
      <c r="G248" s="172" t="s">
        <v>85</v>
      </c>
      <c r="H248" s="177">
        <v>1</v>
      </c>
      <c r="I248" s="178">
        <v>1845</v>
      </c>
      <c r="J248" s="176">
        <v>46034</v>
      </c>
      <c r="K248" s="172" t="s">
        <v>94</v>
      </c>
      <c r="L248" s="172" t="s">
        <v>95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434</v>
      </c>
      <c r="B249" s="176">
        <v>46035</v>
      </c>
      <c r="C249" s="172" t="s">
        <v>101</v>
      </c>
      <c r="D249" s="172" t="s">
        <v>103</v>
      </c>
      <c r="E249" s="172" t="s">
        <v>54</v>
      </c>
      <c r="F249" s="172" t="s">
        <v>121</v>
      </c>
      <c r="G249" s="172" t="s">
        <v>85</v>
      </c>
      <c r="H249" s="177">
        <v>1</v>
      </c>
      <c r="I249" s="178">
        <v>1845</v>
      </c>
      <c r="J249" s="176">
        <v>46034</v>
      </c>
      <c r="K249" s="172" t="s">
        <v>94</v>
      </c>
      <c r="L249" s="172" t="s">
        <v>95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434</v>
      </c>
      <c r="B250" s="176">
        <v>46035</v>
      </c>
      <c r="C250" s="172" t="s">
        <v>101</v>
      </c>
      <c r="D250" s="172" t="s">
        <v>104</v>
      </c>
      <c r="E250" s="172" t="s">
        <v>54</v>
      </c>
      <c r="F250" s="172" t="s">
        <v>121</v>
      </c>
      <c r="G250" s="172" t="s">
        <v>85</v>
      </c>
      <c r="H250" s="177">
        <v>1</v>
      </c>
      <c r="I250" s="178">
        <v>1845</v>
      </c>
      <c r="J250" s="176">
        <v>46034</v>
      </c>
      <c r="K250" s="172" t="s">
        <v>94</v>
      </c>
      <c r="L250" s="172" t="s">
        <v>95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434</v>
      </c>
      <c r="B251" s="176">
        <v>46035</v>
      </c>
      <c r="C251" s="172" t="s">
        <v>105</v>
      </c>
      <c r="D251" s="172" t="s">
        <v>106</v>
      </c>
      <c r="E251" s="172" t="s">
        <v>54</v>
      </c>
      <c r="F251" s="172" t="s">
        <v>121</v>
      </c>
      <c r="G251" s="172" t="s">
        <v>85</v>
      </c>
      <c r="H251" s="177">
        <v>1</v>
      </c>
      <c r="I251" s="178">
        <v>1845</v>
      </c>
      <c r="J251" s="176">
        <v>46034</v>
      </c>
      <c r="K251" s="172" t="s">
        <v>94</v>
      </c>
      <c r="L251" s="172" t="s">
        <v>95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434</v>
      </c>
      <c r="B252" s="176">
        <v>46035</v>
      </c>
      <c r="C252" s="172" t="s">
        <v>82</v>
      </c>
      <c r="D252" s="172" t="s">
        <v>96</v>
      </c>
      <c r="E252" s="172" t="s">
        <v>54</v>
      </c>
      <c r="F252" s="172" t="s">
        <v>121</v>
      </c>
      <c r="G252" s="172" t="s">
        <v>85</v>
      </c>
      <c r="H252" s="177">
        <v>1</v>
      </c>
      <c r="I252" s="178">
        <v>1845</v>
      </c>
      <c r="J252" s="176">
        <v>46034</v>
      </c>
      <c r="K252" s="172" t="s">
        <v>94</v>
      </c>
      <c r="L252" s="172" t="s">
        <v>95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435</v>
      </c>
      <c r="B253" s="176">
        <v>46035</v>
      </c>
      <c r="C253" s="172" t="s">
        <v>93</v>
      </c>
      <c r="D253" s="172" t="s">
        <v>24</v>
      </c>
      <c r="E253" s="172" t="s">
        <v>53</v>
      </c>
      <c r="F253" s="172" t="s">
        <v>91</v>
      </c>
      <c r="G253" s="172" t="s">
        <v>85</v>
      </c>
      <c r="H253" s="177">
        <v>1</v>
      </c>
      <c r="I253" s="178">
        <v>0</v>
      </c>
      <c r="J253" s="176">
        <v>46033</v>
      </c>
      <c r="K253" s="172" t="s">
        <v>94</v>
      </c>
      <c r="L253" s="172" t="s">
        <v>95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436</v>
      </c>
      <c r="B254" s="176">
        <v>46035</v>
      </c>
      <c r="C254" s="172" t="s">
        <v>82</v>
      </c>
      <c r="D254" s="172" t="s">
        <v>83</v>
      </c>
      <c r="E254" s="172" t="s">
        <v>54</v>
      </c>
      <c r="F254" s="172" t="s">
        <v>121</v>
      </c>
      <c r="G254" s="172" t="s">
        <v>85</v>
      </c>
      <c r="H254" s="177">
        <v>1</v>
      </c>
      <c r="I254" s="178">
        <v>0</v>
      </c>
      <c r="J254" s="176">
        <v>46035</v>
      </c>
      <c r="K254" s="172" t="s">
        <v>86</v>
      </c>
      <c r="L254" s="172" t="s">
        <v>86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437</v>
      </c>
      <c r="B255" s="176">
        <v>46035</v>
      </c>
      <c r="C255" s="172" t="s">
        <v>93</v>
      </c>
      <c r="D255" s="172" t="s">
        <v>24</v>
      </c>
      <c r="E255" s="172" t="s">
        <v>53</v>
      </c>
      <c r="F255" s="172" t="s">
        <v>91</v>
      </c>
      <c r="G255" s="172" t="s">
        <v>85</v>
      </c>
      <c r="H255" s="177">
        <v>1</v>
      </c>
      <c r="I255" s="178">
        <v>1621</v>
      </c>
      <c r="J255" s="176">
        <v>46033</v>
      </c>
      <c r="K255" s="172" t="s">
        <v>94</v>
      </c>
      <c r="L255" s="172" t="s">
        <v>95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437</v>
      </c>
      <c r="B256" s="176">
        <v>46035</v>
      </c>
      <c r="C256" s="172" t="s">
        <v>101</v>
      </c>
      <c r="D256" s="172" t="s">
        <v>102</v>
      </c>
      <c r="E256" s="172" t="s">
        <v>53</v>
      </c>
      <c r="F256" s="172" t="s">
        <v>91</v>
      </c>
      <c r="G256" s="172" t="s">
        <v>85</v>
      </c>
      <c r="H256" s="177">
        <v>1</v>
      </c>
      <c r="I256" s="178">
        <v>1621</v>
      </c>
      <c r="J256" s="176">
        <v>46033</v>
      </c>
      <c r="K256" s="172" t="s">
        <v>94</v>
      </c>
      <c r="L256" s="172" t="s">
        <v>95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437</v>
      </c>
      <c r="B257" s="176">
        <v>46035</v>
      </c>
      <c r="C257" s="172" t="s">
        <v>101</v>
      </c>
      <c r="D257" s="172" t="s">
        <v>103</v>
      </c>
      <c r="E257" s="172" t="s">
        <v>53</v>
      </c>
      <c r="F257" s="172" t="s">
        <v>91</v>
      </c>
      <c r="G257" s="172" t="s">
        <v>85</v>
      </c>
      <c r="H257" s="177">
        <v>1</v>
      </c>
      <c r="I257" s="178">
        <v>1621</v>
      </c>
      <c r="J257" s="176">
        <v>46033</v>
      </c>
      <c r="K257" s="172" t="s">
        <v>94</v>
      </c>
      <c r="L257" s="172" t="s">
        <v>95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437</v>
      </c>
      <c r="B258" s="176">
        <v>46035</v>
      </c>
      <c r="C258" s="172" t="s">
        <v>101</v>
      </c>
      <c r="D258" s="172" t="s">
        <v>104</v>
      </c>
      <c r="E258" s="172" t="s">
        <v>53</v>
      </c>
      <c r="F258" s="172" t="s">
        <v>91</v>
      </c>
      <c r="G258" s="172" t="s">
        <v>85</v>
      </c>
      <c r="H258" s="177">
        <v>1</v>
      </c>
      <c r="I258" s="178">
        <v>1621</v>
      </c>
      <c r="J258" s="176">
        <v>46033</v>
      </c>
      <c r="K258" s="172" t="s">
        <v>94</v>
      </c>
      <c r="L258" s="172" t="s">
        <v>95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437</v>
      </c>
      <c r="B259" s="176">
        <v>46035</v>
      </c>
      <c r="C259" s="172" t="s">
        <v>105</v>
      </c>
      <c r="D259" s="172" t="s">
        <v>106</v>
      </c>
      <c r="E259" s="172" t="s">
        <v>53</v>
      </c>
      <c r="F259" s="172" t="s">
        <v>91</v>
      </c>
      <c r="G259" s="172" t="s">
        <v>85</v>
      </c>
      <c r="H259" s="177">
        <v>1</v>
      </c>
      <c r="I259" s="178">
        <v>1621</v>
      </c>
      <c r="J259" s="176">
        <v>46033</v>
      </c>
      <c r="K259" s="172" t="s">
        <v>94</v>
      </c>
      <c r="L259" s="172" t="s">
        <v>95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437</v>
      </c>
      <c r="B260" s="176">
        <v>46035</v>
      </c>
      <c r="C260" s="172" t="s">
        <v>82</v>
      </c>
      <c r="D260" s="172" t="s">
        <v>96</v>
      </c>
      <c r="E260" s="172" t="s">
        <v>53</v>
      </c>
      <c r="F260" s="172" t="s">
        <v>91</v>
      </c>
      <c r="G260" s="172" t="s">
        <v>85</v>
      </c>
      <c r="H260" s="177">
        <v>1</v>
      </c>
      <c r="I260" s="178">
        <v>1621</v>
      </c>
      <c r="J260" s="176">
        <v>46033</v>
      </c>
      <c r="K260" s="172" t="s">
        <v>94</v>
      </c>
      <c r="L260" s="172" t="s">
        <v>95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438</v>
      </c>
      <c r="B261" s="176">
        <v>46035</v>
      </c>
      <c r="C261" s="172" t="s">
        <v>93</v>
      </c>
      <c r="D261" s="172" t="s">
        <v>24</v>
      </c>
      <c r="E261" s="172" t="s">
        <v>42</v>
      </c>
      <c r="F261" s="172" t="s">
        <v>84</v>
      </c>
      <c r="G261" s="172" t="s">
        <v>85</v>
      </c>
      <c r="H261" s="177">
        <v>1</v>
      </c>
      <c r="I261" s="178">
        <v>0</v>
      </c>
      <c r="J261" s="176">
        <v>46026</v>
      </c>
      <c r="K261" s="172" t="s">
        <v>94</v>
      </c>
      <c r="L261" s="172" t="s">
        <v>95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438</v>
      </c>
      <c r="B262" s="176">
        <v>46035</v>
      </c>
      <c r="C262" s="172" t="s">
        <v>82</v>
      </c>
      <c r="D262" s="172" t="s">
        <v>96</v>
      </c>
      <c r="E262" s="172" t="s">
        <v>42</v>
      </c>
      <c r="F262" s="172" t="s">
        <v>84</v>
      </c>
      <c r="G262" s="172" t="s">
        <v>85</v>
      </c>
      <c r="H262" s="177">
        <v>1</v>
      </c>
      <c r="I262" s="178">
        <v>0</v>
      </c>
      <c r="J262" s="176">
        <v>46026</v>
      </c>
      <c r="K262" s="172" t="s">
        <v>94</v>
      </c>
      <c r="L262" s="172" t="s">
        <v>95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439</v>
      </c>
      <c r="B263" s="176">
        <v>46035</v>
      </c>
      <c r="C263" s="172" t="s">
        <v>93</v>
      </c>
      <c r="D263" s="172" t="s">
        <v>273</v>
      </c>
      <c r="E263" s="172" t="s">
        <v>53</v>
      </c>
      <c r="F263" s="172" t="s">
        <v>91</v>
      </c>
      <c r="G263" s="172" t="s">
        <v>85</v>
      </c>
      <c r="H263" s="177">
        <v>1</v>
      </c>
      <c r="I263" s="178">
        <v>0</v>
      </c>
      <c r="J263" s="176">
        <v>46027</v>
      </c>
      <c r="K263" s="172" t="s">
        <v>94</v>
      </c>
      <c r="L263" s="172" t="s">
        <v>95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439</v>
      </c>
      <c r="B264" s="176">
        <v>46035</v>
      </c>
      <c r="C264" s="172" t="s">
        <v>93</v>
      </c>
      <c r="D264" s="172" t="s">
        <v>98</v>
      </c>
      <c r="E264" s="172" t="s">
        <v>53</v>
      </c>
      <c r="F264" s="172" t="s">
        <v>91</v>
      </c>
      <c r="G264" s="172" t="s">
        <v>85</v>
      </c>
      <c r="H264" s="177">
        <v>1</v>
      </c>
      <c r="I264" s="178">
        <v>0</v>
      </c>
      <c r="J264" s="176">
        <v>46027</v>
      </c>
      <c r="K264" s="172" t="s">
        <v>94</v>
      </c>
      <c r="L264" s="172" t="s">
        <v>95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439</v>
      </c>
      <c r="B265" s="176">
        <v>46035</v>
      </c>
      <c r="C265" s="172" t="s">
        <v>82</v>
      </c>
      <c r="D265" s="172" t="s">
        <v>99</v>
      </c>
      <c r="E265" s="172" t="s">
        <v>53</v>
      </c>
      <c r="F265" s="172" t="s">
        <v>91</v>
      </c>
      <c r="G265" s="172" t="s">
        <v>85</v>
      </c>
      <c r="H265" s="177">
        <v>1</v>
      </c>
      <c r="I265" s="178">
        <v>0</v>
      </c>
      <c r="J265" s="176">
        <v>46027</v>
      </c>
      <c r="K265" s="172" t="s">
        <v>94</v>
      </c>
      <c r="L265" s="172" t="s">
        <v>95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437</v>
      </c>
      <c r="B266" s="176">
        <v>46035</v>
      </c>
      <c r="C266" s="172" t="s">
        <v>82</v>
      </c>
      <c r="D266" s="172" t="s">
        <v>83</v>
      </c>
      <c r="E266" s="172" t="s">
        <v>53</v>
      </c>
      <c r="F266" s="172" t="s">
        <v>91</v>
      </c>
      <c r="G266" s="172" t="s">
        <v>85</v>
      </c>
      <c r="H266" s="177">
        <v>1</v>
      </c>
      <c r="I266" s="178">
        <v>0</v>
      </c>
      <c r="J266" s="176">
        <v>46033</v>
      </c>
      <c r="K266" s="172" t="s">
        <v>86</v>
      </c>
      <c r="L266" s="172" t="s">
        <v>86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438</v>
      </c>
      <c r="B267" s="176">
        <v>46035</v>
      </c>
      <c r="C267" s="172" t="s">
        <v>93</v>
      </c>
      <c r="D267" s="172" t="s">
        <v>97</v>
      </c>
      <c r="E267" s="172" t="s">
        <v>42</v>
      </c>
      <c r="F267" s="172" t="s">
        <v>84</v>
      </c>
      <c r="G267" s="172" t="s">
        <v>85</v>
      </c>
      <c r="H267" s="177">
        <v>1</v>
      </c>
      <c r="I267" s="178">
        <v>0</v>
      </c>
      <c r="J267" s="176">
        <v>46026</v>
      </c>
      <c r="K267" s="172" t="s">
        <v>94</v>
      </c>
      <c r="L267" s="172" t="s">
        <v>95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438</v>
      </c>
      <c r="B268" s="176">
        <v>46035</v>
      </c>
      <c r="C268" s="172" t="s">
        <v>93</v>
      </c>
      <c r="D268" s="172" t="s">
        <v>98</v>
      </c>
      <c r="E268" s="172" t="s">
        <v>42</v>
      </c>
      <c r="F268" s="172" t="s">
        <v>84</v>
      </c>
      <c r="G268" s="172" t="s">
        <v>85</v>
      </c>
      <c r="H268" s="177">
        <v>1</v>
      </c>
      <c r="I268" s="178">
        <v>0</v>
      </c>
      <c r="J268" s="176">
        <v>46026</v>
      </c>
      <c r="K268" s="172" t="s">
        <v>94</v>
      </c>
      <c r="L268" s="172" t="s">
        <v>95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438</v>
      </c>
      <c r="B269" s="176">
        <v>46035</v>
      </c>
      <c r="C269" s="172" t="s">
        <v>82</v>
      </c>
      <c r="D269" s="172" t="s">
        <v>99</v>
      </c>
      <c r="E269" s="172" t="s">
        <v>42</v>
      </c>
      <c r="F269" s="172" t="s">
        <v>84</v>
      </c>
      <c r="G269" s="172" t="s">
        <v>85</v>
      </c>
      <c r="H269" s="177">
        <v>1</v>
      </c>
      <c r="I269" s="178">
        <v>0</v>
      </c>
      <c r="J269" s="176">
        <v>46026</v>
      </c>
      <c r="K269" s="172" t="s">
        <v>94</v>
      </c>
      <c r="L269" s="172" t="s">
        <v>95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440</v>
      </c>
      <c r="B270" s="176">
        <v>46035</v>
      </c>
      <c r="C270" s="172" t="s">
        <v>93</v>
      </c>
      <c r="D270" s="172" t="s">
        <v>24</v>
      </c>
      <c r="E270" s="172" t="s">
        <v>42</v>
      </c>
      <c r="F270" s="172" t="s">
        <v>84</v>
      </c>
      <c r="G270" s="172" t="s">
        <v>85</v>
      </c>
      <c r="H270" s="177">
        <v>1</v>
      </c>
      <c r="I270" s="178">
        <v>1750</v>
      </c>
      <c r="J270" s="176">
        <v>46033</v>
      </c>
      <c r="K270" s="172" t="s">
        <v>94</v>
      </c>
      <c r="L270" s="172" t="s">
        <v>95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440</v>
      </c>
      <c r="B271" s="176">
        <v>46035</v>
      </c>
      <c r="C271" s="172" t="s">
        <v>101</v>
      </c>
      <c r="D271" s="172" t="s">
        <v>102</v>
      </c>
      <c r="E271" s="172" t="s">
        <v>42</v>
      </c>
      <c r="F271" s="172" t="s">
        <v>84</v>
      </c>
      <c r="G271" s="172" t="s">
        <v>85</v>
      </c>
      <c r="H271" s="177">
        <v>1</v>
      </c>
      <c r="I271" s="178">
        <v>1750</v>
      </c>
      <c r="J271" s="176">
        <v>46033</v>
      </c>
      <c r="K271" s="172" t="s">
        <v>94</v>
      </c>
      <c r="L271" s="172" t="s">
        <v>95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440</v>
      </c>
      <c r="B272" s="176">
        <v>46035</v>
      </c>
      <c r="C272" s="172" t="s">
        <v>101</v>
      </c>
      <c r="D272" s="172" t="s">
        <v>103</v>
      </c>
      <c r="E272" s="172" t="s">
        <v>42</v>
      </c>
      <c r="F272" s="172" t="s">
        <v>84</v>
      </c>
      <c r="G272" s="172" t="s">
        <v>85</v>
      </c>
      <c r="H272" s="177">
        <v>1</v>
      </c>
      <c r="I272" s="178">
        <v>1750</v>
      </c>
      <c r="J272" s="176">
        <v>46033</v>
      </c>
      <c r="K272" s="172" t="s">
        <v>94</v>
      </c>
      <c r="L272" s="172" t="s">
        <v>95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440</v>
      </c>
      <c r="B273" s="176">
        <v>46035</v>
      </c>
      <c r="C273" s="172" t="s">
        <v>101</v>
      </c>
      <c r="D273" s="172" t="s">
        <v>104</v>
      </c>
      <c r="E273" s="172" t="s">
        <v>42</v>
      </c>
      <c r="F273" s="172" t="s">
        <v>84</v>
      </c>
      <c r="G273" s="172" t="s">
        <v>85</v>
      </c>
      <c r="H273" s="177">
        <v>1</v>
      </c>
      <c r="I273" s="178">
        <v>1750</v>
      </c>
      <c r="J273" s="176">
        <v>46033</v>
      </c>
      <c r="K273" s="172" t="s">
        <v>94</v>
      </c>
      <c r="L273" s="172" t="s">
        <v>95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440</v>
      </c>
      <c r="B274" s="176">
        <v>46035</v>
      </c>
      <c r="C274" s="172" t="s">
        <v>105</v>
      </c>
      <c r="D274" s="172" t="s">
        <v>106</v>
      </c>
      <c r="E274" s="172" t="s">
        <v>42</v>
      </c>
      <c r="F274" s="172" t="s">
        <v>84</v>
      </c>
      <c r="G274" s="172" t="s">
        <v>85</v>
      </c>
      <c r="H274" s="177">
        <v>1</v>
      </c>
      <c r="I274" s="178">
        <v>1750</v>
      </c>
      <c r="J274" s="176">
        <v>46033</v>
      </c>
      <c r="K274" s="172" t="s">
        <v>94</v>
      </c>
      <c r="L274" s="172" t="s">
        <v>95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440</v>
      </c>
      <c r="B275" s="176">
        <v>46035</v>
      </c>
      <c r="C275" s="172" t="s">
        <v>82</v>
      </c>
      <c r="D275" s="172" t="s">
        <v>96</v>
      </c>
      <c r="E275" s="172" t="s">
        <v>42</v>
      </c>
      <c r="F275" s="172" t="s">
        <v>84</v>
      </c>
      <c r="G275" s="172" t="s">
        <v>85</v>
      </c>
      <c r="H275" s="177">
        <v>1</v>
      </c>
      <c r="I275" s="178">
        <v>1750</v>
      </c>
      <c r="J275" s="176">
        <v>46033</v>
      </c>
      <c r="K275" s="172" t="s">
        <v>94</v>
      </c>
      <c r="L275" s="172" t="s">
        <v>95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441</v>
      </c>
      <c r="B276" s="176">
        <v>46035</v>
      </c>
      <c r="C276" s="172" t="s">
        <v>93</v>
      </c>
      <c r="D276" s="172" t="s">
        <v>24</v>
      </c>
      <c r="E276" s="172" t="s">
        <v>54</v>
      </c>
      <c r="F276" s="172" t="s">
        <v>121</v>
      </c>
      <c r="G276" s="172" t="s">
        <v>85</v>
      </c>
      <c r="H276" s="177">
        <v>1</v>
      </c>
      <c r="I276" s="178">
        <v>1845</v>
      </c>
      <c r="J276" s="176">
        <v>46033</v>
      </c>
      <c r="K276" s="172" t="s">
        <v>94</v>
      </c>
      <c r="L276" s="172" t="s">
        <v>95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441</v>
      </c>
      <c r="B277" s="176">
        <v>46035</v>
      </c>
      <c r="C277" s="172" t="s">
        <v>101</v>
      </c>
      <c r="D277" s="172" t="s">
        <v>102</v>
      </c>
      <c r="E277" s="172" t="s">
        <v>54</v>
      </c>
      <c r="F277" s="172" t="s">
        <v>121</v>
      </c>
      <c r="G277" s="172" t="s">
        <v>85</v>
      </c>
      <c r="H277" s="177">
        <v>1</v>
      </c>
      <c r="I277" s="178">
        <v>1845</v>
      </c>
      <c r="J277" s="176">
        <v>46033</v>
      </c>
      <c r="K277" s="172" t="s">
        <v>94</v>
      </c>
      <c r="L277" s="172" t="s">
        <v>95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441</v>
      </c>
      <c r="B278" s="176">
        <v>46035</v>
      </c>
      <c r="C278" s="172" t="s">
        <v>101</v>
      </c>
      <c r="D278" s="172" t="s">
        <v>103</v>
      </c>
      <c r="E278" s="172" t="s">
        <v>54</v>
      </c>
      <c r="F278" s="172" t="s">
        <v>121</v>
      </c>
      <c r="G278" s="172" t="s">
        <v>85</v>
      </c>
      <c r="H278" s="177">
        <v>1</v>
      </c>
      <c r="I278" s="178">
        <v>1845</v>
      </c>
      <c r="J278" s="176">
        <v>46033</v>
      </c>
      <c r="K278" s="172" t="s">
        <v>94</v>
      </c>
      <c r="L278" s="172" t="s">
        <v>95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441</v>
      </c>
      <c r="B279" s="176">
        <v>46035</v>
      </c>
      <c r="C279" s="172" t="s">
        <v>101</v>
      </c>
      <c r="D279" s="172" t="s">
        <v>104</v>
      </c>
      <c r="E279" s="172" t="s">
        <v>54</v>
      </c>
      <c r="F279" s="172" t="s">
        <v>121</v>
      </c>
      <c r="G279" s="172" t="s">
        <v>85</v>
      </c>
      <c r="H279" s="177">
        <v>1</v>
      </c>
      <c r="I279" s="178">
        <v>1845</v>
      </c>
      <c r="J279" s="176">
        <v>46033</v>
      </c>
      <c r="K279" s="172" t="s">
        <v>94</v>
      </c>
      <c r="L279" s="172" t="s">
        <v>95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441</v>
      </c>
      <c r="B280" s="176">
        <v>46035</v>
      </c>
      <c r="C280" s="172" t="s">
        <v>105</v>
      </c>
      <c r="D280" s="172" t="s">
        <v>106</v>
      </c>
      <c r="E280" s="172" t="s">
        <v>54</v>
      </c>
      <c r="F280" s="172" t="s">
        <v>121</v>
      </c>
      <c r="G280" s="172" t="s">
        <v>85</v>
      </c>
      <c r="H280" s="177">
        <v>1</v>
      </c>
      <c r="I280" s="178">
        <v>1845</v>
      </c>
      <c r="J280" s="176">
        <v>46033</v>
      </c>
      <c r="K280" s="172" t="s">
        <v>94</v>
      </c>
      <c r="L280" s="172" t="s">
        <v>95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441</v>
      </c>
      <c r="B281" s="176">
        <v>46035</v>
      </c>
      <c r="C281" s="172" t="s">
        <v>82</v>
      </c>
      <c r="D281" s="172" t="s">
        <v>96</v>
      </c>
      <c r="E281" s="172" t="s">
        <v>54</v>
      </c>
      <c r="F281" s="172" t="s">
        <v>121</v>
      </c>
      <c r="G281" s="172" t="s">
        <v>85</v>
      </c>
      <c r="H281" s="177">
        <v>1</v>
      </c>
      <c r="I281" s="178">
        <v>1845</v>
      </c>
      <c r="J281" s="176">
        <v>46033</v>
      </c>
      <c r="K281" s="172" t="s">
        <v>94</v>
      </c>
      <c r="L281" s="172" t="s">
        <v>95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442</v>
      </c>
      <c r="B282" s="176">
        <v>46035</v>
      </c>
      <c r="C282" s="172" t="s">
        <v>93</v>
      </c>
      <c r="D282" s="172" t="s">
        <v>24</v>
      </c>
      <c r="E282" s="172" t="s">
        <v>53</v>
      </c>
      <c r="F282" s="172" t="s">
        <v>91</v>
      </c>
      <c r="G282" s="172" t="s">
        <v>85</v>
      </c>
      <c r="H282" s="177">
        <v>1</v>
      </c>
      <c r="I282" s="178">
        <v>1621</v>
      </c>
      <c r="J282" s="176">
        <v>46034</v>
      </c>
      <c r="K282" s="172" t="s">
        <v>94</v>
      </c>
      <c r="L282" s="172" t="s">
        <v>95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442</v>
      </c>
      <c r="B283" s="176">
        <v>46035</v>
      </c>
      <c r="C283" s="172" t="s">
        <v>101</v>
      </c>
      <c r="D283" s="172" t="s">
        <v>102</v>
      </c>
      <c r="E283" s="172" t="s">
        <v>53</v>
      </c>
      <c r="F283" s="172" t="s">
        <v>91</v>
      </c>
      <c r="G283" s="172" t="s">
        <v>85</v>
      </c>
      <c r="H283" s="177">
        <v>1</v>
      </c>
      <c r="I283" s="178">
        <v>1621</v>
      </c>
      <c r="J283" s="176">
        <v>46034</v>
      </c>
      <c r="K283" s="172" t="s">
        <v>94</v>
      </c>
      <c r="L283" s="172" t="s">
        <v>95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442</v>
      </c>
      <c r="B284" s="176">
        <v>46035</v>
      </c>
      <c r="C284" s="172" t="s">
        <v>101</v>
      </c>
      <c r="D284" s="172" t="s">
        <v>103</v>
      </c>
      <c r="E284" s="172" t="s">
        <v>53</v>
      </c>
      <c r="F284" s="172" t="s">
        <v>91</v>
      </c>
      <c r="G284" s="172" t="s">
        <v>85</v>
      </c>
      <c r="H284" s="177">
        <v>1</v>
      </c>
      <c r="I284" s="178">
        <v>1621</v>
      </c>
      <c r="J284" s="176">
        <v>46034</v>
      </c>
      <c r="K284" s="172" t="s">
        <v>94</v>
      </c>
      <c r="L284" s="172" t="s">
        <v>95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442</v>
      </c>
      <c r="B285" s="176">
        <v>46035</v>
      </c>
      <c r="C285" s="172" t="s">
        <v>101</v>
      </c>
      <c r="D285" s="172" t="s">
        <v>104</v>
      </c>
      <c r="E285" s="172" t="s">
        <v>53</v>
      </c>
      <c r="F285" s="172" t="s">
        <v>91</v>
      </c>
      <c r="G285" s="172" t="s">
        <v>85</v>
      </c>
      <c r="H285" s="177">
        <v>1</v>
      </c>
      <c r="I285" s="178">
        <v>1621</v>
      </c>
      <c r="J285" s="176">
        <v>46034</v>
      </c>
      <c r="K285" s="172" t="s">
        <v>94</v>
      </c>
      <c r="L285" s="172" t="s">
        <v>95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442</v>
      </c>
      <c r="B286" s="176">
        <v>46035</v>
      </c>
      <c r="C286" s="172" t="s">
        <v>105</v>
      </c>
      <c r="D286" s="172" t="s">
        <v>106</v>
      </c>
      <c r="E286" s="172" t="s">
        <v>53</v>
      </c>
      <c r="F286" s="172" t="s">
        <v>91</v>
      </c>
      <c r="G286" s="172" t="s">
        <v>85</v>
      </c>
      <c r="H286" s="177">
        <v>1</v>
      </c>
      <c r="I286" s="178">
        <v>1621</v>
      </c>
      <c r="J286" s="176">
        <v>46034</v>
      </c>
      <c r="K286" s="172" t="s">
        <v>94</v>
      </c>
      <c r="L286" s="172" t="s">
        <v>95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442</v>
      </c>
      <c r="B287" s="176">
        <v>46035</v>
      </c>
      <c r="C287" s="172" t="s">
        <v>82</v>
      </c>
      <c r="D287" s="172" t="s">
        <v>96</v>
      </c>
      <c r="E287" s="172" t="s">
        <v>53</v>
      </c>
      <c r="F287" s="172" t="s">
        <v>91</v>
      </c>
      <c r="G287" s="172" t="s">
        <v>85</v>
      </c>
      <c r="H287" s="177">
        <v>1</v>
      </c>
      <c r="I287" s="178">
        <v>1621</v>
      </c>
      <c r="J287" s="176">
        <v>46034</v>
      </c>
      <c r="K287" s="172" t="s">
        <v>94</v>
      </c>
      <c r="L287" s="172" t="s">
        <v>95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443</v>
      </c>
      <c r="B288" s="176">
        <v>46035</v>
      </c>
      <c r="C288" s="172" t="s">
        <v>82</v>
      </c>
      <c r="D288" s="172" t="s">
        <v>83</v>
      </c>
      <c r="E288" s="172" t="s">
        <v>53</v>
      </c>
      <c r="F288" s="172" t="s">
        <v>91</v>
      </c>
      <c r="G288" s="172" t="s">
        <v>85</v>
      </c>
      <c r="H288" s="177">
        <v>1</v>
      </c>
      <c r="I288" s="178">
        <v>0</v>
      </c>
      <c r="J288" s="176">
        <v>46035</v>
      </c>
      <c r="K288" s="172" t="s">
        <v>86</v>
      </c>
      <c r="L288" s="172" t="s">
        <v>86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444</v>
      </c>
      <c r="B289" s="176">
        <v>46035</v>
      </c>
      <c r="C289" s="172" t="s">
        <v>93</v>
      </c>
      <c r="D289" s="172" t="s">
        <v>24</v>
      </c>
      <c r="E289" s="172" t="s">
        <v>54</v>
      </c>
      <c r="F289" s="172" t="s">
        <v>121</v>
      </c>
      <c r="G289" s="172" t="s">
        <v>85</v>
      </c>
      <c r="H289" s="177">
        <v>1</v>
      </c>
      <c r="I289" s="178">
        <v>1845</v>
      </c>
      <c r="J289" s="176">
        <v>46034</v>
      </c>
      <c r="K289" s="172" t="s">
        <v>94</v>
      </c>
      <c r="L289" s="172" t="s">
        <v>95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444</v>
      </c>
      <c r="B290" s="176">
        <v>46035</v>
      </c>
      <c r="C290" s="172" t="s">
        <v>101</v>
      </c>
      <c r="D290" s="172" t="s">
        <v>102</v>
      </c>
      <c r="E290" s="172" t="s">
        <v>54</v>
      </c>
      <c r="F290" s="172" t="s">
        <v>121</v>
      </c>
      <c r="G290" s="172" t="s">
        <v>85</v>
      </c>
      <c r="H290" s="177">
        <v>1</v>
      </c>
      <c r="I290" s="178">
        <v>1845</v>
      </c>
      <c r="J290" s="176">
        <v>46034</v>
      </c>
      <c r="K290" s="172" t="s">
        <v>94</v>
      </c>
      <c r="L290" s="172" t="s">
        <v>95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444</v>
      </c>
      <c r="B291" s="176">
        <v>46035</v>
      </c>
      <c r="C291" s="172" t="s">
        <v>101</v>
      </c>
      <c r="D291" s="172" t="s">
        <v>103</v>
      </c>
      <c r="E291" s="172" t="s">
        <v>54</v>
      </c>
      <c r="F291" s="172" t="s">
        <v>121</v>
      </c>
      <c r="G291" s="172" t="s">
        <v>85</v>
      </c>
      <c r="H291" s="177">
        <v>1</v>
      </c>
      <c r="I291" s="178">
        <v>1845</v>
      </c>
      <c r="J291" s="176">
        <v>46034</v>
      </c>
      <c r="K291" s="172" t="s">
        <v>94</v>
      </c>
      <c r="L291" s="172" t="s">
        <v>95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444</v>
      </c>
      <c r="B292" s="176">
        <v>46035</v>
      </c>
      <c r="C292" s="172" t="s">
        <v>101</v>
      </c>
      <c r="D292" s="172" t="s">
        <v>104</v>
      </c>
      <c r="E292" s="172" t="s">
        <v>54</v>
      </c>
      <c r="F292" s="172" t="s">
        <v>121</v>
      </c>
      <c r="G292" s="172" t="s">
        <v>85</v>
      </c>
      <c r="H292" s="177">
        <v>1</v>
      </c>
      <c r="I292" s="178">
        <v>1845</v>
      </c>
      <c r="J292" s="176">
        <v>46034</v>
      </c>
      <c r="K292" s="172" t="s">
        <v>94</v>
      </c>
      <c r="L292" s="172" t="s">
        <v>95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444</v>
      </c>
      <c r="B293" s="176">
        <v>46035</v>
      </c>
      <c r="C293" s="172" t="s">
        <v>105</v>
      </c>
      <c r="D293" s="172" t="s">
        <v>106</v>
      </c>
      <c r="E293" s="172" t="s">
        <v>54</v>
      </c>
      <c r="F293" s="172" t="s">
        <v>121</v>
      </c>
      <c r="G293" s="172" t="s">
        <v>85</v>
      </c>
      <c r="H293" s="177">
        <v>1</v>
      </c>
      <c r="I293" s="178">
        <v>1845</v>
      </c>
      <c r="J293" s="176">
        <v>46034</v>
      </c>
      <c r="K293" s="172" t="s">
        <v>94</v>
      </c>
      <c r="L293" s="172" t="s">
        <v>95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444</v>
      </c>
      <c r="B294" s="176">
        <v>46035</v>
      </c>
      <c r="C294" s="172" t="s">
        <v>82</v>
      </c>
      <c r="D294" s="172" t="s">
        <v>96</v>
      </c>
      <c r="E294" s="172" t="s">
        <v>54</v>
      </c>
      <c r="F294" s="172" t="s">
        <v>121</v>
      </c>
      <c r="G294" s="172" t="s">
        <v>85</v>
      </c>
      <c r="H294" s="177">
        <v>1</v>
      </c>
      <c r="I294" s="178">
        <v>1845</v>
      </c>
      <c r="J294" s="176">
        <v>46034</v>
      </c>
      <c r="K294" s="172" t="s">
        <v>94</v>
      </c>
      <c r="L294" s="172" t="s">
        <v>95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445</v>
      </c>
      <c r="B295" s="176">
        <v>46035</v>
      </c>
      <c r="C295" s="172" t="s">
        <v>93</v>
      </c>
      <c r="D295" s="172" t="s">
        <v>24</v>
      </c>
      <c r="E295" s="172" t="s">
        <v>42</v>
      </c>
      <c r="F295" s="172" t="s">
        <v>84</v>
      </c>
      <c r="G295" s="172" t="s">
        <v>85</v>
      </c>
      <c r="H295" s="177">
        <v>1</v>
      </c>
      <c r="I295" s="178">
        <v>0</v>
      </c>
      <c r="J295" s="176">
        <v>46031</v>
      </c>
      <c r="K295" s="172" t="s">
        <v>94</v>
      </c>
      <c r="L295" s="172" t="s">
        <v>95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444</v>
      </c>
      <c r="B296" s="176">
        <v>46035</v>
      </c>
      <c r="C296" s="172" t="s">
        <v>82</v>
      </c>
      <c r="D296" s="172" t="s">
        <v>83</v>
      </c>
      <c r="E296" s="172" t="s">
        <v>54</v>
      </c>
      <c r="F296" s="172" t="s">
        <v>121</v>
      </c>
      <c r="G296" s="172" t="s">
        <v>85</v>
      </c>
      <c r="H296" s="177">
        <v>1</v>
      </c>
      <c r="I296" s="178">
        <v>0</v>
      </c>
      <c r="J296" s="176">
        <v>46034</v>
      </c>
      <c r="K296" s="172" t="s">
        <v>86</v>
      </c>
      <c r="L296" s="172" t="s">
        <v>86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446</v>
      </c>
      <c r="B297" s="176">
        <v>46035</v>
      </c>
      <c r="C297" s="172" t="s">
        <v>82</v>
      </c>
      <c r="D297" s="172" t="s">
        <v>83</v>
      </c>
      <c r="E297" s="172" t="s">
        <v>53</v>
      </c>
      <c r="F297" s="172" t="s">
        <v>91</v>
      </c>
      <c r="G297" s="172" t="s">
        <v>85</v>
      </c>
      <c r="H297" s="177">
        <v>1</v>
      </c>
      <c r="I297" s="178">
        <v>0</v>
      </c>
      <c r="J297" s="176">
        <v>46035</v>
      </c>
      <c r="K297" s="172" t="s">
        <v>86</v>
      </c>
      <c r="L297" s="172" t="s">
        <v>86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447</v>
      </c>
      <c r="B298" s="176">
        <v>46035</v>
      </c>
      <c r="C298" s="172" t="s">
        <v>82</v>
      </c>
      <c r="D298" s="172" t="s">
        <v>83</v>
      </c>
      <c r="E298" s="172" t="s">
        <v>42</v>
      </c>
      <c r="F298" s="172" t="s">
        <v>84</v>
      </c>
      <c r="G298" s="172" t="s">
        <v>85</v>
      </c>
      <c r="H298" s="177">
        <v>1</v>
      </c>
      <c r="I298" s="178">
        <v>0</v>
      </c>
      <c r="J298" s="176">
        <v>46035</v>
      </c>
      <c r="K298" s="172" t="s">
        <v>86</v>
      </c>
      <c r="L298" s="172" t="s">
        <v>86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448</v>
      </c>
      <c r="B299" s="176">
        <v>46035</v>
      </c>
      <c r="C299" s="172" t="s">
        <v>82</v>
      </c>
      <c r="D299" s="172" t="s">
        <v>83</v>
      </c>
      <c r="E299" s="172" t="s">
        <v>44</v>
      </c>
      <c r="F299" s="172" t="s">
        <v>126</v>
      </c>
      <c r="G299" s="172" t="s">
        <v>85</v>
      </c>
      <c r="H299" s="177">
        <v>1</v>
      </c>
      <c r="I299" s="178">
        <v>0</v>
      </c>
      <c r="J299" s="176">
        <v>46035</v>
      </c>
      <c r="K299" s="172" t="s">
        <v>86</v>
      </c>
      <c r="L299" s="172" t="s">
        <v>86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139</v>
      </c>
      <c r="B300" s="176">
        <v>46035</v>
      </c>
      <c r="C300" s="172" t="s">
        <v>110</v>
      </c>
      <c r="D300" s="172" t="s">
        <v>140</v>
      </c>
      <c r="E300" s="172" t="s">
        <v>86</v>
      </c>
      <c r="F300" s="172" t="s">
        <v>86</v>
      </c>
      <c r="G300" s="172" t="s">
        <v>86</v>
      </c>
      <c r="H300" s="177">
        <v>0</v>
      </c>
      <c r="I300" s="178">
        <v>0</v>
      </c>
      <c r="J300" s="176">
        <v>46035</v>
      </c>
      <c r="K300" s="172" t="s">
        <v>86</v>
      </c>
      <c r="L300" s="172" t="s">
        <v>86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147</v>
      </c>
      <c r="B301" s="176">
        <v>46035</v>
      </c>
      <c r="C301" s="172" t="s">
        <v>110</v>
      </c>
      <c r="D301" s="172" t="s">
        <v>140</v>
      </c>
      <c r="E301" s="172" t="s">
        <v>86</v>
      </c>
      <c r="F301" s="172" t="s">
        <v>86</v>
      </c>
      <c r="G301" s="172" t="s">
        <v>86</v>
      </c>
      <c r="H301" s="177">
        <v>0</v>
      </c>
      <c r="I301" s="178">
        <v>0</v>
      </c>
      <c r="J301" s="176">
        <v>46035</v>
      </c>
      <c r="K301" s="172" t="s">
        <v>86</v>
      </c>
      <c r="L301" s="172" t="s">
        <v>86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415</v>
      </c>
      <c r="B302" s="176">
        <v>46035</v>
      </c>
      <c r="C302" s="172" t="s">
        <v>110</v>
      </c>
      <c r="D302" s="172" t="s">
        <v>140</v>
      </c>
      <c r="E302" s="172" t="s">
        <v>86</v>
      </c>
      <c r="F302" s="172" t="s">
        <v>86</v>
      </c>
      <c r="G302" s="172" t="s">
        <v>86</v>
      </c>
      <c r="H302" s="177">
        <v>0</v>
      </c>
      <c r="I302" s="178">
        <v>0</v>
      </c>
      <c r="J302" s="176">
        <v>46035</v>
      </c>
      <c r="K302" s="172" t="s">
        <v>86</v>
      </c>
      <c r="L302" s="172" t="s">
        <v>86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416</v>
      </c>
      <c r="B303" s="176">
        <v>46035</v>
      </c>
      <c r="C303" s="172" t="s">
        <v>110</v>
      </c>
      <c r="D303" s="172" t="s">
        <v>140</v>
      </c>
      <c r="E303" s="172" t="s">
        <v>86</v>
      </c>
      <c r="F303" s="172" t="s">
        <v>86</v>
      </c>
      <c r="G303" s="172" t="s">
        <v>86</v>
      </c>
      <c r="H303" s="177">
        <v>0</v>
      </c>
      <c r="I303" s="178">
        <v>0</v>
      </c>
      <c r="J303" s="176">
        <v>46035</v>
      </c>
      <c r="K303" s="172" t="s">
        <v>86</v>
      </c>
      <c r="L303" s="172" t="s">
        <v>86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143</v>
      </c>
      <c r="B304" s="176">
        <v>46035</v>
      </c>
      <c r="C304" s="172" t="s">
        <v>110</v>
      </c>
      <c r="D304" s="172" t="s">
        <v>144</v>
      </c>
      <c r="E304" s="172" t="s">
        <v>86</v>
      </c>
      <c r="F304" s="172" t="s">
        <v>86</v>
      </c>
      <c r="G304" s="172" t="s">
        <v>86</v>
      </c>
      <c r="H304" s="177">
        <v>0</v>
      </c>
      <c r="I304" s="178">
        <v>0</v>
      </c>
      <c r="J304" s="176">
        <v>46035</v>
      </c>
      <c r="K304" s="172" t="s">
        <v>86</v>
      </c>
      <c r="L304" s="172" t="s">
        <v>86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145</v>
      </c>
      <c r="B305" s="176">
        <v>46035</v>
      </c>
      <c r="C305" s="172" t="s">
        <v>110</v>
      </c>
      <c r="D305" s="172" t="s">
        <v>140</v>
      </c>
      <c r="E305" s="172" t="s">
        <v>86</v>
      </c>
      <c r="F305" s="172" t="s">
        <v>86</v>
      </c>
      <c r="G305" s="172" t="s">
        <v>86</v>
      </c>
      <c r="H305" s="177">
        <v>0</v>
      </c>
      <c r="I305" s="178">
        <v>0</v>
      </c>
      <c r="J305" s="176">
        <v>46035</v>
      </c>
      <c r="K305" s="172" t="s">
        <v>86</v>
      </c>
      <c r="L305" s="172" t="s">
        <v>86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414</v>
      </c>
      <c r="B306" s="176">
        <v>46035</v>
      </c>
      <c r="C306" s="172" t="s">
        <v>110</v>
      </c>
      <c r="D306" s="172" t="s">
        <v>140</v>
      </c>
      <c r="E306" s="172" t="s">
        <v>86</v>
      </c>
      <c r="F306" s="172" t="s">
        <v>86</v>
      </c>
      <c r="G306" s="172" t="s">
        <v>86</v>
      </c>
      <c r="H306" s="177">
        <v>0</v>
      </c>
      <c r="I306" s="178">
        <v>0</v>
      </c>
      <c r="J306" s="176">
        <v>46035</v>
      </c>
      <c r="K306" s="172" t="s">
        <v>86</v>
      </c>
      <c r="L306" s="172" t="s">
        <v>86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146</v>
      </c>
      <c r="B307" s="176">
        <v>46035</v>
      </c>
      <c r="C307" s="172" t="s">
        <v>110</v>
      </c>
      <c r="D307" s="172" t="s">
        <v>140</v>
      </c>
      <c r="E307" s="172" t="s">
        <v>86</v>
      </c>
      <c r="F307" s="172" t="s">
        <v>86</v>
      </c>
      <c r="G307" s="172" t="s">
        <v>86</v>
      </c>
      <c r="H307" s="177">
        <v>0</v>
      </c>
      <c r="I307" s="178">
        <v>0</v>
      </c>
      <c r="J307" s="176">
        <v>46035</v>
      </c>
      <c r="K307" s="172" t="s">
        <v>86</v>
      </c>
      <c r="L307" s="172" t="s">
        <v>86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141</v>
      </c>
      <c r="B308" s="176">
        <v>46035</v>
      </c>
      <c r="C308" s="172" t="s">
        <v>110</v>
      </c>
      <c r="D308" s="172" t="s">
        <v>140</v>
      </c>
      <c r="E308" s="172" t="s">
        <v>86</v>
      </c>
      <c r="F308" s="172" t="s">
        <v>86</v>
      </c>
      <c r="G308" s="172" t="s">
        <v>86</v>
      </c>
      <c r="H308" s="177">
        <v>0</v>
      </c>
      <c r="I308" s="178">
        <v>0</v>
      </c>
      <c r="J308" s="176">
        <v>46035</v>
      </c>
      <c r="K308" s="172" t="s">
        <v>86</v>
      </c>
      <c r="L308" s="172" t="s">
        <v>86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449</v>
      </c>
      <c r="B309" s="176">
        <v>46036</v>
      </c>
      <c r="C309" s="172" t="s">
        <v>82</v>
      </c>
      <c r="D309" s="172" t="s">
        <v>83</v>
      </c>
      <c r="E309" s="172" t="s">
        <v>53</v>
      </c>
      <c r="F309" s="172" t="s">
        <v>91</v>
      </c>
      <c r="G309" s="172" t="s">
        <v>85</v>
      </c>
      <c r="H309" s="177">
        <v>1</v>
      </c>
      <c r="I309" s="178">
        <v>0</v>
      </c>
      <c r="J309" s="176">
        <v>46036</v>
      </c>
      <c r="K309" s="172" t="s">
        <v>86</v>
      </c>
      <c r="L309" s="172" t="s">
        <v>86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450</v>
      </c>
      <c r="B310" s="176">
        <v>46036</v>
      </c>
      <c r="C310" s="172" t="s">
        <v>93</v>
      </c>
      <c r="D310" s="172" t="s">
        <v>24</v>
      </c>
      <c r="E310" s="172" t="s">
        <v>54</v>
      </c>
      <c r="F310" s="172" t="s">
        <v>121</v>
      </c>
      <c r="G310" s="172" t="s">
        <v>85</v>
      </c>
      <c r="H310" s="177">
        <v>1</v>
      </c>
      <c r="I310" s="178">
        <v>1845</v>
      </c>
      <c r="J310" s="176">
        <v>46028</v>
      </c>
      <c r="K310" s="172" t="s">
        <v>94</v>
      </c>
      <c r="L310" s="172" t="s">
        <v>95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450</v>
      </c>
      <c r="B311" s="176">
        <v>46036</v>
      </c>
      <c r="C311" s="172" t="s">
        <v>101</v>
      </c>
      <c r="D311" s="172" t="s">
        <v>102</v>
      </c>
      <c r="E311" s="172" t="s">
        <v>54</v>
      </c>
      <c r="F311" s="172" t="s">
        <v>121</v>
      </c>
      <c r="G311" s="172" t="s">
        <v>85</v>
      </c>
      <c r="H311" s="177">
        <v>1</v>
      </c>
      <c r="I311" s="178">
        <v>1845</v>
      </c>
      <c r="J311" s="176">
        <v>46028</v>
      </c>
      <c r="K311" s="172" t="s">
        <v>94</v>
      </c>
      <c r="L311" s="172" t="s">
        <v>95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450</v>
      </c>
      <c r="B312" s="176">
        <v>46036</v>
      </c>
      <c r="C312" s="172" t="s">
        <v>101</v>
      </c>
      <c r="D312" s="172" t="s">
        <v>103</v>
      </c>
      <c r="E312" s="172" t="s">
        <v>54</v>
      </c>
      <c r="F312" s="172" t="s">
        <v>121</v>
      </c>
      <c r="G312" s="172" t="s">
        <v>85</v>
      </c>
      <c r="H312" s="177">
        <v>1</v>
      </c>
      <c r="I312" s="178">
        <v>1845</v>
      </c>
      <c r="J312" s="176">
        <v>46028</v>
      </c>
      <c r="K312" s="172" t="s">
        <v>94</v>
      </c>
      <c r="L312" s="172" t="s">
        <v>95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450</v>
      </c>
      <c r="B313" s="176">
        <v>46036</v>
      </c>
      <c r="C313" s="172" t="s">
        <v>101</v>
      </c>
      <c r="D313" s="172" t="s">
        <v>104</v>
      </c>
      <c r="E313" s="172" t="s">
        <v>54</v>
      </c>
      <c r="F313" s="172" t="s">
        <v>121</v>
      </c>
      <c r="G313" s="172" t="s">
        <v>85</v>
      </c>
      <c r="H313" s="177">
        <v>1</v>
      </c>
      <c r="I313" s="178">
        <v>1845</v>
      </c>
      <c r="J313" s="176">
        <v>46028</v>
      </c>
      <c r="K313" s="172" t="s">
        <v>94</v>
      </c>
      <c r="L313" s="172" t="s">
        <v>95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450</v>
      </c>
      <c r="B314" s="176">
        <v>46036</v>
      </c>
      <c r="C314" s="172" t="s">
        <v>105</v>
      </c>
      <c r="D314" s="172" t="s">
        <v>106</v>
      </c>
      <c r="E314" s="172" t="s">
        <v>54</v>
      </c>
      <c r="F314" s="172" t="s">
        <v>121</v>
      </c>
      <c r="G314" s="172" t="s">
        <v>85</v>
      </c>
      <c r="H314" s="177">
        <v>1</v>
      </c>
      <c r="I314" s="178">
        <v>1845</v>
      </c>
      <c r="J314" s="176">
        <v>46028</v>
      </c>
      <c r="K314" s="172" t="s">
        <v>94</v>
      </c>
      <c r="L314" s="172" t="s">
        <v>95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450</v>
      </c>
      <c r="B315" s="176">
        <v>46036</v>
      </c>
      <c r="C315" s="172" t="s">
        <v>82</v>
      </c>
      <c r="D315" s="172" t="s">
        <v>96</v>
      </c>
      <c r="E315" s="172" t="s">
        <v>54</v>
      </c>
      <c r="F315" s="172" t="s">
        <v>121</v>
      </c>
      <c r="G315" s="172" t="s">
        <v>85</v>
      </c>
      <c r="H315" s="177">
        <v>1</v>
      </c>
      <c r="I315" s="178">
        <v>1845</v>
      </c>
      <c r="J315" s="176">
        <v>46028</v>
      </c>
      <c r="K315" s="172" t="s">
        <v>94</v>
      </c>
      <c r="L315" s="172" t="s">
        <v>95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451</v>
      </c>
      <c r="B316" s="176">
        <v>46036</v>
      </c>
      <c r="C316" s="172" t="s">
        <v>93</v>
      </c>
      <c r="D316" s="172" t="s">
        <v>24</v>
      </c>
      <c r="E316" s="172" t="s">
        <v>53</v>
      </c>
      <c r="F316" s="172" t="s">
        <v>91</v>
      </c>
      <c r="G316" s="172" t="s">
        <v>85</v>
      </c>
      <c r="H316" s="177">
        <v>1</v>
      </c>
      <c r="I316" s="178">
        <v>0</v>
      </c>
      <c r="J316" s="176">
        <v>46025</v>
      </c>
      <c r="K316" s="172" t="s">
        <v>94</v>
      </c>
      <c r="L316" s="172" t="s">
        <v>95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451</v>
      </c>
      <c r="B317" s="176">
        <v>46036</v>
      </c>
      <c r="C317" s="172" t="s">
        <v>82</v>
      </c>
      <c r="D317" s="172" t="s">
        <v>96</v>
      </c>
      <c r="E317" s="172" t="s">
        <v>53</v>
      </c>
      <c r="F317" s="172" t="s">
        <v>91</v>
      </c>
      <c r="G317" s="172" t="s">
        <v>85</v>
      </c>
      <c r="H317" s="177">
        <v>1</v>
      </c>
      <c r="I317" s="178">
        <v>0</v>
      </c>
      <c r="J317" s="176">
        <v>46025</v>
      </c>
      <c r="K317" s="172" t="s">
        <v>94</v>
      </c>
      <c r="L317" s="172" t="s">
        <v>95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451</v>
      </c>
      <c r="B318" s="176">
        <v>46036</v>
      </c>
      <c r="C318" s="172" t="s">
        <v>93</v>
      </c>
      <c r="D318" s="172" t="s">
        <v>97</v>
      </c>
      <c r="E318" s="172" t="s">
        <v>53</v>
      </c>
      <c r="F318" s="172" t="s">
        <v>91</v>
      </c>
      <c r="G318" s="172" t="s">
        <v>85</v>
      </c>
      <c r="H318" s="177">
        <v>1</v>
      </c>
      <c r="I318" s="178">
        <v>0</v>
      </c>
      <c r="J318" s="176">
        <v>46025</v>
      </c>
      <c r="K318" s="172" t="s">
        <v>94</v>
      </c>
      <c r="L318" s="172" t="s">
        <v>95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451</v>
      </c>
      <c r="B319" s="176">
        <v>46036</v>
      </c>
      <c r="C319" s="172" t="s">
        <v>93</v>
      </c>
      <c r="D319" s="172" t="s">
        <v>98</v>
      </c>
      <c r="E319" s="172" t="s">
        <v>53</v>
      </c>
      <c r="F319" s="172" t="s">
        <v>91</v>
      </c>
      <c r="G319" s="172" t="s">
        <v>85</v>
      </c>
      <c r="H319" s="177">
        <v>1</v>
      </c>
      <c r="I319" s="178">
        <v>0</v>
      </c>
      <c r="J319" s="176">
        <v>46025</v>
      </c>
      <c r="K319" s="172" t="s">
        <v>94</v>
      </c>
      <c r="L319" s="172" t="s">
        <v>95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451</v>
      </c>
      <c r="B320" s="176">
        <v>46036</v>
      </c>
      <c r="C320" s="172" t="s">
        <v>82</v>
      </c>
      <c r="D320" s="172" t="s">
        <v>99</v>
      </c>
      <c r="E320" s="172" t="s">
        <v>53</v>
      </c>
      <c r="F320" s="172" t="s">
        <v>91</v>
      </c>
      <c r="G320" s="172" t="s">
        <v>85</v>
      </c>
      <c r="H320" s="177">
        <v>1</v>
      </c>
      <c r="I320" s="178">
        <v>0</v>
      </c>
      <c r="J320" s="176">
        <v>46025</v>
      </c>
      <c r="K320" s="172" t="s">
        <v>94</v>
      </c>
      <c r="L320" s="172" t="s">
        <v>95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452</v>
      </c>
      <c r="B321" s="176">
        <v>46036</v>
      </c>
      <c r="C321" s="172" t="s">
        <v>82</v>
      </c>
      <c r="D321" s="172" t="s">
        <v>83</v>
      </c>
      <c r="E321" s="172" t="s">
        <v>53</v>
      </c>
      <c r="F321" s="172" t="s">
        <v>91</v>
      </c>
      <c r="G321" s="172" t="s">
        <v>85</v>
      </c>
      <c r="H321" s="177">
        <v>1</v>
      </c>
      <c r="I321" s="178">
        <v>0</v>
      </c>
      <c r="J321" s="176">
        <v>46036</v>
      </c>
      <c r="K321" s="172" t="s">
        <v>86</v>
      </c>
      <c r="L321" s="172" t="s">
        <v>86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453</v>
      </c>
      <c r="B322" s="176">
        <v>46036</v>
      </c>
      <c r="C322" s="172" t="s">
        <v>82</v>
      </c>
      <c r="D322" s="172" t="s">
        <v>83</v>
      </c>
      <c r="E322" s="172" t="s">
        <v>53</v>
      </c>
      <c r="F322" s="172" t="s">
        <v>91</v>
      </c>
      <c r="G322" s="172" t="s">
        <v>85</v>
      </c>
      <c r="H322" s="177">
        <v>1</v>
      </c>
      <c r="I322" s="178">
        <v>0</v>
      </c>
      <c r="J322" s="176">
        <v>46036</v>
      </c>
      <c r="K322" s="172" t="s">
        <v>86</v>
      </c>
      <c r="L322" s="172" t="s">
        <v>86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452</v>
      </c>
      <c r="B323" s="176">
        <v>46036</v>
      </c>
      <c r="C323" s="172" t="s">
        <v>82</v>
      </c>
      <c r="D323" s="172" t="s">
        <v>83</v>
      </c>
      <c r="E323" s="172" t="s">
        <v>53</v>
      </c>
      <c r="F323" s="172" t="s">
        <v>91</v>
      </c>
      <c r="G323" s="172" t="s">
        <v>85</v>
      </c>
      <c r="H323" s="177">
        <v>1</v>
      </c>
      <c r="I323" s="178">
        <v>0</v>
      </c>
      <c r="J323" s="176">
        <v>46036</v>
      </c>
      <c r="K323" s="172" t="s">
        <v>86</v>
      </c>
      <c r="L323" s="172" t="s">
        <v>86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454</v>
      </c>
      <c r="B324" s="176">
        <v>46036</v>
      </c>
      <c r="C324" s="172" t="s">
        <v>93</v>
      </c>
      <c r="D324" s="172" t="s">
        <v>24</v>
      </c>
      <c r="E324" s="172" t="s">
        <v>54</v>
      </c>
      <c r="F324" s="172" t="s">
        <v>121</v>
      </c>
      <c r="G324" s="172" t="s">
        <v>85</v>
      </c>
      <c r="H324" s="177">
        <v>1</v>
      </c>
      <c r="I324" s="178">
        <v>0</v>
      </c>
      <c r="J324" s="176">
        <v>46019</v>
      </c>
      <c r="K324" s="172" t="s">
        <v>94</v>
      </c>
      <c r="L324" s="172" t="s">
        <v>95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454</v>
      </c>
      <c r="B325" s="176">
        <v>46036</v>
      </c>
      <c r="C325" s="172" t="s">
        <v>93</v>
      </c>
      <c r="D325" s="172" t="s">
        <v>97</v>
      </c>
      <c r="E325" s="172" t="s">
        <v>54</v>
      </c>
      <c r="F325" s="172" t="s">
        <v>121</v>
      </c>
      <c r="G325" s="172" t="s">
        <v>85</v>
      </c>
      <c r="H325" s="177">
        <v>1</v>
      </c>
      <c r="I325" s="178">
        <v>0</v>
      </c>
      <c r="J325" s="176">
        <v>46019</v>
      </c>
      <c r="K325" s="172" t="s">
        <v>94</v>
      </c>
      <c r="L325" s="172" t="s">
        <v>95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454</v>
      </c>
      <c r="B326" s="176">
        <v>46036</v>
      </c>
      <c r="C326" s="172" t="s">
        <v>93</v>
      </c>
      <c r="D326" s="172" t="s">
        <v>98</v>
      </c>
      <c r="E326" s="172" t="s">
        <v>54</v>
      </c>
      <c r="F326" s="172" t="s">
        <v>121</v>
      </c>
      <c r="G326" s="172" t="s">
        <v>85</v>
      </c>
      <c r="H326" s="177">
        <v>1</v>
      </c>
      <c r="I326" s="178">
        <v>0</v>
      </c>
      <c r="J326" s="176">
        <v>46019</v>
      </c>
      <c r="K326" s="172" t="s">
        <v>94</v>
      </c>
      <c r="L326" s="172" t="s">
        <v>95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405</v>
      </c>
      <c r="B327" s="176">
        <v>46036</v>
      </c>
      <c r="C327" s="172" t="s">
        <v>93</v>
      </c>
      <c r="D327" s="172" t="s">
        <v>273</v>
      </c>
      <c r="E327" s="172" t="s">
        <v>53</v>
      </c>
      <c r="F327" s="172" t="s">
        <v>91</v>
      </c>
      <c r="G327" s="172" t="s">
        <v>85</v>
      </c>
      <c r="H327" s="177">
        <v>1</v>
      </c>
      <c r="I327" s="178">
        <v>0</v>
      </c>
      <c r="J327" s="176">
        <v>46032</v>
      </c>
      <c r="K327" s="172" t="s">
        <v>94</v>
      </c>
      <c r="L327" s="172" t="s">
        <v>95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405</v>
      </c>
      <c r="B328" s="176">
        <v>46036</v>
      </c>
      <c r="C328" s="172" t="s">
        <v>93</v>
      </c>
      <c r="D328" s="172" t="s">
        <v>98</v>
      </c>
      <c r="E328" s="172" t="s">
        <v>53</v>
      </c>
      <c r="F328" s="172" t="s">
        <v>91</v>
      </c>
      <c r="G328" s="172" t="s">
        <v>85</v>
      </c>
      <c r="H328" s="177">
        <v>1</v>
      </c>
      <c r="I328" s="178">
        <v>0</v>
      </c>
      <c r="J328" s="176">
        <v>46032</v>
      </c>
      <c r="K328" s="172" t="s">
        <v>94</v>
      </c>
      <c r="L328" s="172" t="s">
        <v>95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405</v>
      </c>
      <c r="B329" s="176">
        <v>46036</v>
      </c>
      <c r="C329" s="172" t="s">
        <v>82</v>
      </c>
      <c r="D329" s="172" t="s">
        <v>99</v>
      </c>
      <c r="E329" s="172" t="s">
        <v>53</v>
      </c>
      <c r="F329" s="172" t="s">
        <v>91</v>
      </c>
      <c r="G329" s="172" t="s">
        <v>85</v>
      </c>
      <c r="H329" s="177">
        <v>1</v>
      </c>
      <c r="I329" s="178">
        <v>0</v>
      </c>
      <c r="J329" s="176">
        <v>46032</v>
      </c>
      <c r="K329" s="172" t="s">
        <v>94</v>
      </c>
      <c r="L329" s="172" t="s">
        <v>95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86</v>
      </c>
      <c r="B330" s="176">
        <v>46036</v>
      </c>
      <c r="C330" s="172" t="s">
        <v>110</v>
      </c>
      <c r="D330" s="172" t="s">
        <v>111</v>
      </c>
      <c r="E330" s="172" t="s">
        <v>86</v>
      </c>
      <c r="F330" s="172" t="s">
        <v>86</v>
      </c>
      <c r="G330" s="172" t="s">
        <v>455</v>
      </c>
      <c r="H330" s="177">
        <v>0</v>
      </c>
      <c r="I330" s="178">
        <v>0</v>
      </c>
      <c r="J330" s="176">
        <v>46036</v>
      </c>
      <c r="K330" s="172" t="s">
        <v>86</v>
      </c>
      <c r="L330" s="172" t="s">
        <v>86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456</v>
      </c>
      <c r="B331" s="176">
        <v>46036</v>
      </c>
      <c r="C331" s="172" t="s">
        <v>82</v>
      </c>
      <c r="D331" s="172" t="s">
        <v>83</v>
      </c>
      <c r="E331" s="172" t="s">
        <v>53</v>
      </c>
      <c r="F331" s="172" t="s">
        <v>91</v>
      </c>
      <c r="G331" s="172" t="s">
        <v>85</v>
      </c>
      <c r="H331" s="177">
        <v>1</v>
      </c>
      <c r="I331" s="178">
        <v>0</v>
      </c>
      <c r="J331" s="176">
        <v>46036</v>
      </c>
      <c r="K331" s="172" t="s">
        <v>86</v>
      </c>
      <c r="L331" s="172" t="s">
        <v>86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457</v>
      </c>
      <c r="B332" s="176">
        <v>46036</v>
      </c>
      <c r="C332" s="172" t="s">
        <v>93</v>
      </c>
      <c r="D332" s="172" t="s">
        <v>24</v>
      </c>
      <c r="E332" s="172" t="s">
        <v>54</v>
      </c>
      <c r="F332" s="172" t="s">
        <v>121</v>
      </c>
      <c r="G332" s="172" t="s">
        <v>85</v>
      </c>
      <c r="H332" s="177">
        <v>1</v>
      </c>
      <c r="I332" s="178">
        <v>1845</v>
      </c>
      <c r="J332" s="176">
        <v>46031</v>
      </c>
      <c r="K332" s="172" t="s">
        <v>94</v>
      </c>
      <c r="L332" s="172" t="s">
        <v>95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457</v>
      </c>
      <c r="B333" s="176">
        <v>46036</v>
      </c>
      <c r="C333" s="172" t="s">
        <v>101</v>
      </c>
      <c r="D333" s="172" t="s">
        <v>102</v>
      </c>
      <c r="E333" s="172" t="s">
        <v>54</v>
      </c>
      <c r="F333" s="172" t="s">
        <v>121</v>
      </c>
      <c r="G333" s="172" t="s">
        <v>85</v>
      </c>
      <c r="H333" s="177">
        <v>1</v>
      </c>
      <c r="I333" s="178">
        <v>1845</v>
      </c>
      <c r="J333" s="176">
        <v>46031</v>
      </c>
      <c r="K333" s="172" t="s">
        <v>94</v>
      </c>
      <c r="L333" s="172" t="s">
        <v>95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457</v>
      </c>
      <c r="B334" s="176">
        <v>46036</v>
      </c>
      <c r="C334" s="172" t="s">
        <v>101</v>
      </c>
      <c r="D334" s="172" t="s">
        <v>103</v>
      </c>
      <c r="E334" s="172" t="s">
        <v>54</v>
      </c>
      <c r="F334" s="172" t="s">
        <v>121</v>
      </c>
      <c r="G334" s="172" t="s">
        <v>85</v>
      </c>
      <c r="H334" s="177">
        <v>1</v>
      </c>
      <c r="I334" s="178">
        <v>1845</v>
      </c>
      <c r="J334" s="176">
        <v>46031</v>
      </c>
      <c r="K334" s="172" t="s">
        <v>94</v>
      </c>
      <c r="L334" s="172" t="s">
        <v>95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457</v>
      </c>
      <c r="B335" s="176">
        <v>46036</v>
      </c>
      <c r="C335" s="172" t="s">
        <v>101</v>
      </c>
      <c r="D335" s="172" t="s">
        <v>104</v>
      </c>
      <c r="E335" s="172" t="s">
        <v>54</v>
      </c>
      <c r="F335" s="172" t="s">
        <v>121</v>
      </c>
      <c r="G335" s="172" t="s">
        <v>85</v>
      </c>
      <c r="H335" s="177">
        <v>1</v>
      </c>
      <c r="I335" s="178">
        <v>1845</v>
      </c>
      <c r="J335" s="176">
        <v>46031</v>
      </c>
      <c r="K335" s="172" t="s">
        <v>94</v>
      </c>
      <c r="L335" s="172" t="s">
        <v>95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457</v>
      </c>
      <c r="B336" s="176">
        <v>46036</v>
      </c>
      <c r="C336" s="172" t="s">
        <v>105</v>
      </c>
      <c r="D336" s="172" t="s">
        <v>106</v>
      </c>
      <c r="E336" s="172" t="s">
        <v>54</v>
      </c>
      <c r="F336" s="172" t="s">
        <v>121</v>
      </c>
      <c r="G336" s="172" t="s">
        <v>85</v>
      </c>
      <c r="H336" s="177">
        <v>1</v>
      </c>
      <c r="I336" s="178">
        <v>1845</v>
      </c>
      <c r="J336" s="176">
        <v>46031</v>
      </c>
      <c r="K336" s="172" t="s">
        <v>94</v>
      </c>
      <c r="L336" s="172" t="s">
        <v>95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457</v>
      </c>
      <c r="B337" s="176">
        <v>46036</v>
      </c>
      <c r="C337" s="172" t="s">
        <v>82</v>
      </c>
      <c r="D337" s="172" t="s">
        <v>83</v>
      </c>
      <c r="E337" s="172" t="s">
        <v>54</v>
      </c>
      <c r="F337" s="172" t="s">
        <v>121</v>
      </c>
      <c r="G337" s="172" t="s">
        <v>85</v>
      </c>
      <c r="H337" s="177">
        <v>1</v>
      </c>
      <c r="I337" s="178">
        <v>0</v>
      </c>
      <c r="J337" s="176">
        <v>46031</v>
      </c>
      <c r="K337" s="172" t="s">
        <v>86</v>
      </c>
      <c r="L337" s="172" t="s">
        <v>86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458</v>
      </c>
      <c r="B338" s="176">
        <v>46036</v>
      </c>
      <c r="C338" s="172" t="s">
        <v>93</v>
      </c>
      <c r="D338" s="172" t="s">
        <v>24</v>
      </c>
      <c r="E338" s="172" t="s">
        <v>54</v>
      </c>
      <c r="F338" s="172" t="s">
        <v>121</v>
      </c>
      <c r="G338" s="172" t="s">
        <v>85</v>
      </c>
      <c r="H338" s="177">
        <v>1</v>
      </c>
      <c r="I338" s="178">
        <v>1845</v>
      </c>
      <c r="J338" s="176">
        <v>46034</v>
      </c>
      <c r="K338" s="172" t="s">
        <v>94</v>
      </c>
      <c r="L338" s="172" t="s">
        <v>95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458</v>
      </c>
      <c r="B339" s="176">
        <v>46036</v>
      </c>
      <c r="C339" s="172" t="s">
        <v>101</v>
      </c>
      <c r="D339" s="172" t="s">
        <v>102</v>
      </c>
      <c r="E339" s="172" t="s">
        <v>54</v>
      </c>
      <c r="F339" s="172" t="s">
        <v>121</v>
      </c>
      <c r="G339" s="172" t="s">
        <v>85</v>
      </c>
      <c r="H339" s="177">
        <v>1</v>
      </c>
      <c r="I339" s="178">
        <v>1845</v>
      </c>
      <c r="J339" s="176">
        <v>46034</v>
      </c>
      <c r="K339" s="172" t="s">
        <v>94</v>
      </c>
      <c r="L339" s="172" t="s">
        <v>95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458</v>
      </c>
      <c r="B340" s="176">
        <v>46036</v>
      </c>
      <c r="C340" s="172" t="s">
        <v>101</v>
      </c>
      <c r="D340" s="172" t="s">
        <v>103</v>
      </c>
      <c r="E340" s="172" t="s">
        <v>54</v>
      </c>
      <c r="F340" s="172" t="s">
        <v>121</v>
      </c>
      <c r="G340" s="172" t="s">
        <v>85</v>
      </c>
      <c r="H340" s="177">
        <v>1</v>
      </c>
      <c r="I340" s="178">
        <v>1845</v>
      </c>
      <c r="J340" s="176">
        <v>46034</v>
      </c>
      <c r="K340" s="172" t="s">
        <v>94</v>
      </c>
      <c r="L340" s="172" t="s">
        <v>95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458</v>
      </c>
      <c r="B341" s="176">
        <v>46036</v>
      </c>
      <c r="C341" s="172" t="s">
        <v>101</v>
      </c>
      <c r="D341" s="172" t="s">
        <v>104</v>
      </c>
      <c r="E341" s="172" t="s">
        <v>54</v>
      </c>
      <c r="F341" s="172" t="s">
        <v>121</v>
      </c>
      <c r="G341" s="172" t="s">
        <v>85</v>
      </c>
      <c r="H341" s="177">
        <v>1</v>
      </c>
      <c r="I341" s="178">
        <v>1845</v>
      </c>
      <c r="J341" s="176">
        <v>46034</v>
      </c>
      <c r="K341" s="172" t="s">
        <v>94</v>
      </c>
      <c r="L341" s="172" t="s">
        <v>95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458</v>
      </c>
      <c r="B342" s="176">
        <v>46036</v>
      </c>
      <c r="C342" s="172" t="s">
        <v>105</v>
      </c>
      <c r="D342" s="172" t="s">
        <v>106</v>
      </c>
      <c r="E342" s="172" t="s">
        <v>54</v>
      </c>
      <c r="F342" s="172" t="s">
        <v>121</v>
      </c>
      <c r="G342" s="172" t="s">
        <v>85</v>
      </c>
      <c r="H342" s="177">
        <v>1</v>
      </c>
      <c r="I342" s="178">
        <v>1845</v>
      </c>
      <c r="J342" s="176">
        <v>46034</v>
      </c>
      <c r="K342" s="172" t="s">
        <v>94</v>
      </c>
      <c r="L342" s="172" t="s">
        <v>95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458</v>
      </c>
      <c r="B343" s="176">
        <v>46036</v>
      </c>
      <c r="C343" s="172" t="s">
        <v>82</v>
      </c>
      <c r="D343" s="172" t="s">
        <v>96</v>
      </c>
      <c r="E343" s="172" t="s">
        <v>54</v>
      </c>
      <c r="F343" s="172" t="s">
        <v>121</v>
      </c>
      <c r="G343" s="172" t="s">
        <v>85</v>
      </c>
      <c r="H343" s="177">
        <v>1</v>
      </c>
      <c r="I343" s="178">
        <v>1845</v>
      </c>
      <c r="J343" s="176">
        <v>46034</v>
      </c>
      <c r="K343" s="172" t="s">
        <v>94</v>
      </c>
      <c r="L343" s="172" t="s">
        <v>95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459</v>
      </c>
      <c r="B344" s="176">
        <v>46036</v>
      </c>
      <c r="C344" s="172" t="s">
        <v>93</v>
      </c>
      <c r="D344" s="172" t="s">
        <v>24</v>
      </c>
      <c r="E344" s="172" t="s">
        <v>42</v>
      </c>
      <c r="F344" s="172" t="s">
        <v>84</v>
      </c>
      <c r="G344" s="172" t="s">
        <v>85</v>
      </c>
      <c r="H344" s="177">
        <v>1</v>
      </c>
      <c r="I344" s="178">
        <v>1750</v>
      </c>
      <c r="J344" s="176">
        <v>46032</v>
      </c>
      <c r="K344" s="172" t="s">
        <v>94</v>
      </c>
      <c r="L344" s="172" t="s">
        <v>95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459</v>
      </c>
      <c r="B345" s="176">
        <v>46036</v>
      </c>
      <c r="C345" s="172" t="s">
        <v>101</v>
      </c>
      <c r="D345" s="172" t="s">
        <v>102</v>
      </c>
      <c r="E345" s="172" t="s">
        <v>42</v>
      </c>
      <c r="F345" s="172" t="s">
        <v>84</v>
      </c>
      <c r="G345" s="172" t="s">
        <v>85</v>
      </c>
      <c r="H345" s="177">
        <v>1</v>
      </c>
      <c r="I345" s="178">
        <v>1750</v>
      </c>
      <c r="J345" s="176">
        <v>46032</v>
      </c>
      <c r="K345" s="172" t="s">
        <v>94</v>
      </c>
      <c r="L345" s="172" t="s">
        <v>95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459</v>
      </c>
      <c r="B346" s="176">
        <v>46036</v>
      </c>
      <c r="C346" s="172" t="s">
        <v>101</v>
      </c>
      <c r="D346" s="172" t="s">
        <v>103</v>
      </c>
      <c r="E346" s="172" t="s">
        <v>42</v>
      </c>
      <c r="F346" s="172" t="s">
        <v>84</v>
      </c>
      <c r="G346" s="172" t="s">
        <v>85</v>
      </c>
      <c r="H346" s="177">
        <v>1</v>
      </c>
      <c r="I346" s="178">
        <v>1750</v>
      </c>
      <c r="J346" s="176">
        <v>46032</v>
      </c>
      <c r="K346" s="172" t="s">
        <v>94</v>
      </c>
      <c r="L346" s="172" t="s">
        <v>95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459</v>
      </c>
      <c r="B347" s="176">
        <v>46036</v>
      </c>
      <c r="C347" s="172" t="s">
        <v>101</v>
      </c>
      <c r="D347" s="172" t="s">
        <v>104</v>
      </c>
      <c r="E347" s="172" t="s">
        <v>42</v>
      </c>
      <c r="F347" s="172" t="s">
        <v>84</v>
      </c>
      <c r="G347" s="172" t="s">
        <v>85</v>
      </c>
      <c r="H347" s="177">
        <v>1</v>
      </c>
      <c r="I347" s="178">
        <v>1750</v>
      </c>
      <c r="J347" s="176">
        <v>46032</v>
      </c>
      <c r="K347" s="172" t="s">
        <v>94</v>
      </c>
      <c r="L347" s="172" t="s">
        <v>95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459</v>
      </c>
      <c r="B348" s="176">
        <v>46036</v>
      </c>
      <c r="C348" s="172" t="s">
        <v>105</v>
      </c>
      <c r="D348" s="172" t="s">
        <v>106</v>
      </c>
      <c r="E348" s="172" t="s">
        <v>42</v>
      </c>
      <c r="F348" s="172" t="s">
        <v>84</v>
      </c>
      <c r="G348" s="172" t="s">
        <v>85</v>
      </c>
      <c r="H348" s="177">
        <v>1</v>
      </c>
      <c r="I348" s="178">
        <v>1750</v>
      </c>
      <c r="J348" s="176">
        <v>46032</v>
      </c>
      <c r="K348" s="172" t="s">
        <v>94</v>
      </c>
      <c r="L348" s="172" t="s">
        <v>95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459</v>
      </c>
      <c r="B349" s="176">
        <v>46036</v>
      </c>
      <c r="C349" s="172" t="s">
        <v>82</v>
      </c>
      <c r="D349" s="172" t="s">
        <v>96</v>
      </c>
      <c r="E349" s="172" t="s">
        <v>42</v>
      </c>
      <c r="F349" s="172" t="s">
        <v>84</v>
      </c>
      <c r="G349" s="172" t="s">
        <v>85</v>
      </c>
      <c r="H349" s="177">
        <v>1</v>
      </c>
      <c r="I349" s="178">
        <v>1750</v>
      </c>
      <c r="J349" s="176">
        <v>46032</v>
      </c>
      <c r="K349" s="172" t="s">
        <v>94</v>
      </c>
      <c r="L349" s="172" t="s">
        <v>95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458</v>
      </c>
      <c r="B350" s="176">
        <v>46036</v>
      </c>
      <c r="C350" s="172" t="s">
        <v>82</v>
      </c>
      <c r="D350" s="172" t="s">
        <v>83</v>
      </c>
      <c r="E350" s="172" t="s">
        <v>54</v>
      </c>
      <c r="F350" s="172" t="s">
        <v>121</v>
      </c>
      <c r="G350" s="172" t="s">
        <v>85</v>
      </c>
      <c r="H350" s="177">
        <v>1</v>
      </c>
      <c r="I350" s="178">
        <v>0</v>
      </c>
      <c r="J350" s="176">
        <v>46034</v>
      </c>
      <c r="K350" s="172" t="s">
        <v>86</v>
      </c>
      <c r="L350" s="172" t="s">
        <v>86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459</v>
      </c>
      <c r="B351" s="176">
        <v>46036</v>
      </c>
      <c r="C351" s="172" t="s">
        <v>82</v>
      </c>
      <c r="D351" s="172" t="s">
        <v>83</v>
      </c>
      <c r="E351" s="172" t="s">
        <v>42</v>
      </c>
      <c r="F351" s="172" t="s">
        <v>84</v>
      </c>
      <c r="G351" s="172" t="s">
        <v>85</v>
      </c>
      <c r="H351" s="177">
        <v>1</v>
      </c>
      <c r="I351" s="178">
        <v>0</v>
      </c>
      <c r="J351" s="176">
        <v>46032</v>
      </c>
      <c r="K351" s="172" t="s">
        <v>86</v>
      </c>
      <c r="L351" s="172" t="s">
        <v>86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460</v>
      </c>
      <c r="B352" s="176">
        <v>46036</v>
      </c>
      <c r="C352" s="172" t="s">
        <v>93</v>
      </c>
      <c r="D352" s="172" t="s">
        <v>273</v>
      </c>
      <c r="E352" s="172" t="s">
        <v>54</v>
      </c>
      <c r="F352" s="172" t="s">
        <v>121</v>
      </c>
      <c r="G352" s="172" t="s">
        <v>85</v>
      </c>
      <c r="H352" s="177">
        <v>1</v>
      </c>
      <c r="I352" s="178">
        <v>0</v>
      </c>
      <c r="J352" s="176">
        <v>46023</v>
      </c>
      <c r="K352" s="172" t="s">
        <v>94</v>
      </c>
      <c r="L352" s="172" t="s">
        <v>95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460</v>
      </c>
      <c r="B353" s="176">
        <v>46036</v>
      </c>
      <c r="C353" s="172" t="s">
        <v>93</v>
      </c>
      <c r="D353" s="172" t="s">
        <v>98</v>
      </c>
      <c r="E353" s="172" t="s">
        <v>54</v>
      </c>
      <c r="F353" s="172" t="s">
        <v>121</v>
      </c>
      <c r="G353" s="172" t="s">
        <v>85</v>
      </c>
      <c r="H353" s="177">
        <v>1</v>
      </c>
      <c r="I353" s="178">
        <v>0</v>
      </c>
      <c r="J353" s="176">
        <v>46023</v>
      </c>
      <c r="K353" s="172" t="s">
        <v>94</v>
      </c>
      <c r="L353" s="172" t="s">
        <v>95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460</v>
      </c>
      <c r="B354" s="176">
        <v>46036</v>
      </c>
      <c r="C354" s="172" t="s">
        <v>82</v>
      </c>
      <c r="D354" s="172" t="s">
        <v>99</v>
      </c>
      <c r="E354" s="172" t="s">
        <v>54</v>
      </c>
      <c r="F354" s="172" t="s">
        <v>121</v>
      </c>
      <c r="G354" s="172" t="s">
        <v>85</v>
      </c>
      <c r="H354" s="177">
        <v>1</v>
      </c>
      <c r="I354" s="178">
        <v>0</v>
      </c>
      <c r="J354" s="176">
        <v>46023</v>
      </c>
      <c r="K354" s="172" t="s">
        <v>94</v>
      </c>
      <c r="L354" s="172" t="s">
        <v>95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461</v>
      </c>
      <c r="B355" s="176">
        <v>46036</v>
      </c>
      <c r="C355" s="172" t="s">
        <v>93</v>
      </c>
      <c r="D355" s="172" t="s">
        <v>24</v>
      </c>
      <c r="E355" s="172" t="s">
        <v>42</v>
      </c>
      <c r="F355" s="172" t="s">
        <v>84</v>
      </c>
      <c r="G355" s="172" t="s">
        <v>85</v>
      </c>
      <c r="H355" s="177">
        <v>1</v>
      </c>
      <c r="I355" s="178">
        <v>0</v>
      </c>
      <c r="J355" s="176">
        <v>46029</v>
      </c>
      <c r="K355" s="172" t="s">
        <v>94</v>
      </c>
      <c r="L355" s="172" t="s">
        <v>95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461</v>
      </c>
      <c r="B356" s="176">
        <v>46036</v>
      </c>
      <c r="C356" s="172" t="s">
        <v>82</v>
      </c>
      <c r="D356" s="172" t="s">
        <v>96</v>
      </c>
      <c r="E356" s="172" t="s">
        <v>42</v>
      </c>
      <c r="F356" s="172" t="s">
        <v>84</v>
      </c>
      <c r="G356" s="172" t="s">
        <v>85</v>
      </c>
      <c r="H356" s="177">
        <v>1</v>
      </c>
      <c r="I356" s="178">
        <v>0</v>
      </c>
      <c r="J356" s="176">
        <v>46029</v>
      </c>
      <c r="K356" s="172" t="s">
        <v>94</v>
      </c>
      <c r="L356" s="172" t="s">
        <v>95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461</v>
      </c>
      <c r="B357" s="176">
        <v>46036</v>
      </c>
      <c r="C357" s="172" t="s">
        <v>93</v>
      </c>
      <c r="D357" s="172" t="s">
        <v>97</v>
      </c>
      <c r="E357" s="172" t="s">
        <v>42</v>
      </c>
      <c r="F357" s="172" t="s">
        <v>84</v>
      </c>
      <c r="G357" s="172" t="s">
        <v>85</v>
      </c>
      <c r="H357" s="177">
        <v>1</v>
      </c>
      <c r="I357" s="178">
        <v>0</v>
      </c>
      <c r="J357" s="176">
        <v>46029</v>
      </c>
      <c r="K357" s="172" t="s">
        <v>94</v>
      </c>
      <c r="L357" s="172" t="s">
        <v>95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461</v>
      </c>
      <c r="B358" s="176">
        <v>46036</v>
      </c>
      <c r="C358" s="172" t="s">
        <v>93</v>
      </c>
      <c r="D358" s="172" t="s">
        <v>98</v>
      </c>
      <c r="E358" s="172" t="s">
        <v>42</v>
      </c>
      <c r="F358" s="172" t="s">
        <v>84</v>
      </c>
      <c r="G358" s="172" t="s">
        <v>85</v>
      </c>
      <c r="H358" s="177">
        <v>1</v>
      </c>
      <c r="I358" s="178">
        <v>0</v>
      </c>
      <c r="J358" s="176">
        <v>46029</v>
      </c>
      <c r="K358" s="172" t="s">
        <v>94</v>
      </c>
      <c r="L358" s="172" t="s">
        <v>95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461</v>
      </c>
      <c r="B359" s="176">
        <v>46036</v>
      </c>
      <c r="C359" s="172" t="s">
        <v>82</v>
      </c>
      <c r="D359" s="172" t="s">
        <v>99</v>
      </c>
      <c r="E359" s="172" t="s">
        <v>42</v>
      </c>
      <c r="F359" s="172" t="s">
        <v>84</v>
      </c>
      <c r="G359" s="172" t="s">
        <v>85</v>
      </c>
      <c r="H359" s="177">
        <v>1</v>
      </c>
      <c r="I359" s="178">
        <v>0</v>
      </c>
      <c r="J359" s="176">
        <v>46029</v>
      </c>
      <c r="K359" s="172" t="s">
        <v>94</v>
      </c>
      <c r="L359" s="172" t="s">
        <v>95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462</v>
      </c>
      <c r="B360" s="176">
        <v>46036</v>
      </c>
      <c r="C360" s="172" t="s">
        <v>93</v>
      </c>
      <c r="D360" s="172" t="s">
        <v>24</v>
      </c>
      <c r="E360" s="172" t="s">
        <v>54</v>
      </c>
      <c r="F360" s="172" t="s">
        <v>121</v>
      </c>
      <c r="G360" s="172" t="s">
        <v>85</v>
      </c>
      <c r="H360" s="177">
        <v>1</v>
      </c>
      <c r="I360" s="178">
        <v>0</v>
      </c>
      <c r="J360" s="176">
        <v>46021</v>
      </c>
      <c r="K360" s="172" t="s">
        <v>94</v>
      </c>
      <c r="L360" s="172" t="s">
        <v>95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462</v>
      </c>
      <c r="B361" s="176">
        <v>46036</v>
      </c>
      <c r="C361" s="172" t="s">
        <v>82</v>
      </c>
      <c r="D361" s="172" t="s">
        <v>96</v>
      </c>
      <c r="E361" s="172" t="s">
        <v>54</v>
      </c>
      <c r="F361" s="172" t="s">
        <v>121</v>
      </c>
      <c r="G361" s="172" t="s">
        <v>85</v>
      </c>
      <c r="H361" s="177">
        <v>1</v>
      </c>
      <c r="I361" s="178">
        <v>0</v>
      </c>
      <c r="J361" s="176">
        <v>46021</v>
      </c>
      <c r="K361" s="172" t="s">
        <v>94</v>
      </c>
      <c r="L361" s="172" t="s">
        <v>95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462</v>
      </c>
      <c r="B362" s="176">
        <v>46036</v>
      </c>
      <c r="C362" s="172" t="s">
        <v>93</v>
      </c>
      <c r="D362" s="172" t="s">
        <v>97</v>
      </c>
      <c r="E362" s="172" t="s">
        <v>54</v>
      </c>
      <c r="F362" s="172" t="s">
        <v>121</v>
      </c>
      <c r="G362" s="172" t="s">
        <v>85</v>
      </c>
      <c r="H362" s="177">
        <v>1</v>
      </c>
      <c r="I362" s="178">
        <v>0</v>
      </c>
      <c r="J362" s="176">
        <v>46021</v>
      </c>
      <c r="K362" s="172" t="s">
        <v>94</v>
      </c>
      <c r="L362" s="172" t="s">
        <v>95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462</v>
      </c>
      <c r="B363" s="176">
        <v>46036</v>
      </c>
      <c r="C363" s="172" t="s">
        <v>93</v>
      </c>
      <c r="D363" s="172" t="s">
        <v>98</v>
      </c>
      <c r="E363" s="172" t="s">
        <v>54</v>
      </c>
      <c r="F363" s="172" t="s">
        <v>121</v>
      </c>
      <c r="G363" s="172" t="s">
        <v>85</v>
      </c>
      <c r="H363" s="177">
        <v>1</v>
      </c>
      <c r="I363" s="178">
        <v>0</v>
      </c>
      <c r="J363" s="176">
        <v>46021</v>
      </c>
      <c r="K363" s="172" t="s">
        <v>94</v>
      </c>
      <c r="L363" s="172" t="s">
        <v>95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462</v>
      </c>
      <c r="B364" s="176">
        <v>46036</v>
      </c>
      <c r="C364" s="172" t="s">
        <v>82</v>
      </c>
      <c r="D364" s="172" t="s">
        <v>99</v>
      </c>
      <c r="E364" s="172" t="s">
        <v>54</v>
      </c>
      <c r="F364" s="172" t="s">
        <v>121</v>
      </c>
      <c r="G364" s="172" t="s">
        <v>85</v>
      </c>
      <c r="H364" s="177">
        <v>1</v>
      </c>
      <c r="I364" s="178">
        <v>0</v>
      </c>
      <c r="J364" s="176">
        <v>46021</v>
      </c>
      <c r="K364" s="172" t="s">
        <v>94</v>
      </c>
      <c r="L364" s="172" t="s">
        <v>95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463</v>
      </c>
      <c r="B365" s="176">
        <v>46036</v>
      </c>
      <c r="C365" s="172" t="s">
        <v>82</v>
      </c>
      <c r="D365" s="172" t="s">
        <v>83</v>
      </c>
      <c r="E365" s="172" t="s">
        <v>42</v>
      </c>
      <c r="F365" s="172" t="s">
        <v>84</v>
      </c>
      <c r="G365" s="172" t="s">
        <v>85</v>
      </c>
      <c r="H365" s="177">
        <v>1</v>
      </c>
      <c r="I365" s="178">
        <v>0</v>
      </c>
      <c r="J365" s="176">
        <v>46036</v>
      </c>
      <c r="K365" s="172" t="s">
        <v>86</v>
      </c>
      <c r="L365" s="172" t="s">
        <v>86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464</v>
      </c>
      <c r="B366" s="176">
        <v>46036</v>
      </c>
      <c r="C366" s="172" t="s">
        <v>93</v>
      </c>
      <c r="D366" s="172" t="s">
        <v>24</v>
      </c>
      <c r="E366" s="172" t="s">
        <v>53</v>
      </c>
      <c r="F366" s="172" t="s">
        <v>91</v>
      </c>
      <c r="G366" s="172" t="s">
        <v>85</v>
      </c>
      <c r="H366" s="177">
        <v>1</v>
      </c>
      <c r="I366" s="178">
        <v>0</v>
      </c>
      <c r="J366" s="176">
        <v>46027</v>
      </c>
      <c r="K366" s="172" t="s">
        <v>94</v>
      </c>
      <c r="L366" s="172" t="s">
        <v>95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464</v>
      </c>
      <c r="B367" s="176">
        <v>46036</v>
      </c>
      <c r="C367" s="172" t="s">
        <v>82</v>
      </c>
      <c r="D367" s="172" t="s">
        <v>96</v>
      </c>
      <c r="E367" s="172" t="s">
        <v>53</v>
      </c>
      <c r="F367" s="172" t="s">
        <v>91</v>
      </c>
      <c r="G367" s="172" t="s">
        <v>85</v>
      </c>
      <c r="H367" s="177">
        <v>1</v>
      </c>
      <c r="I367" s="178">
        <v>0</v>
      </c>
      <c r="J367" s="176">
        <v>46027</v>
      </c>
      <c r="K367" s="172" t="s">
        <v>94</v>
      </c>
      <c r="L367" s="172" t="s">
        <v>95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464</v>
      </c>
      <c r="B368" s="176">
        <v>46036</v>
      </c>
      <c r="C368" s="172" t="s">
        <v>93</v>
      </c>
      <c r="D368" s="172" t="s">
        <v>97</v>
      </c>
      <c r="E368" s="172" t="s">
        <v>53</v>
      </c>
      <c r="F368" s="172" t="s">
        <v>91</v>
      </c>
      <c r="G368" s="172" t="s">
        <v>85</v>
      </c>
      <c r="H368" s="177">
        <v>1</v>
      </c>
      <c r="I368" s="178">
        <v>0</v>
      </c>
      <c r="J368" s="176">
        <v>46027</v>
      </c>
      <c r="K368" s="172" t="s">
        <v>94</v>
      </c>
      <c r="L368" s="172" t="s">
        <v>95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464</v>
      </c>
      <c r="B369" s="176">
        <v>46036</v>
      </c>
      <c r="C369" s="172" t="s">
        <v>93</v>
      </c>
      <c r="D369" s="172" t="s">
        <v>98</v>
      </c>
      <c r="E369" s="172" t="s">
        <v>53</v>
      </c>
      <c r="F369" s="172" t="s">
        <v>91</v>
      </c>
      <c r="G369" s="172" t="s">
        <v>85</v>
      </c>
      <c r="H369" s="177">
        <v>1</v>
      </c>
      <c r="I369" s="178">
        <v>0</v>
      </c>
      <c r="J369" s="176">
        <v>46027</v>
      </c>
      <c r="K369" s="172" t="s">
        <v>94</v>
      </c>
      <c r="L369" s="172" t="s">
        <v>95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464</v>
      </c>
      <c r="B370" s="176">
        <v>46036</v>
      </c>
      <c r="C370" s="172" t="s">
        <v>82</v>
      </c>
      <c r="D370" s="172" t="s">
        <v>99</v>
      </c>
      <c r="E370" s="172" t="s">
        <v>53</v>
      </c>
      <c r="F370" s="172" t="s">
        <v>91</v>
      </c>
      <c r="G370" s="172" t="s">
        <v>85</v>
      </c>
      <c r="H370" s="177">
        <v>1</v>
      </c>
      <c r="I370" s="178">
        <v>0</v>
      </c>
      <c r="J370" s="176">
        <v>46027</v>
      </c>
      <c r="K370" s="172" t="s">
        <v>94</v>
      </c>
      <c r="L370" s="172" t="s">
        <v>95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465</v>
      </c>
      <c r="B371" s="176">
        <v>46036</v>
      </c>
      <c r="C371" s="172" t="s">
        <v>93</v>
      </c>
      <c r="D371" s="172" t="s">
        <v>24</v>
      </c>
      <c r="E371" s="172" t="s">
        <v>40</v>
      </c>
      <c r="F371" s="172" t="s">
        <v>118</v>
      </c>
      <c r="G371" s="172" t="s">
        <v>85</v>
      </c>
      <c r="H371" s="177">
        <v>1</v>
      </c>
      <c r="I371" s="178">
        <v>1750</v>
      </c>
      <c r="J371" s="176">
        <v>46034</v>
      </c>
      <c r="K371" s="172" t="s">
        <v>94</v>
      </c>
      <c r="L371" s="172" t="s">
        <v>95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465</v>
      </c>
      <c r="B372" s="176">
        <v>46036</v>
      </c>
      <c r="C372" s="172" t="s">
        <v>101</v>
      </c>
      <c r="D372" s="172" t="s">
        <v>102</v>
      </c>
      <c r="E372" s="172" t="s">
        <v>40</v>
      </c>
      <c r="F372" s="172" t="s">
        <v>118</v>
      </c>
      <c r="G372" s="172" t="s">
        <v>85</v>
      </c>
      <c r="H372" s="177">
        <v>1</v>
      </c>
      <c r="I372" s="178">
        <v>1750</v>
      </c>
      <c r="J372" s="176">
        <v>46034</v>
      </c>
      <c r="K372" s="172" t="s">
        <v>94</v>
      </c>
      <c r="L372" s="172" t="s">
        <v>95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465</v>
      </c>
      <c r="B373" s="176">
        <v>46036</v>
      </c>
      <c r="C373" s="172" t="s">
        <v>101</v>
      </c>
      <c r="D373" s="172" t="s">
        <v>103</v>
      </c>
      <c r="E373" s="172" t="s">
        <v>40</v>
      </c>
      <c r="F373" s="172" t="s">
        <v>118</v>
      </c>
      <c r="G373" s="172" t="s">
        <v>85</v>
      </c>
      <c r="H373" s="177">
        <v>1</v>
      </c>
      <c r="I373" s="178">
        <v>1750</v>
      </c>
      <c r="J373" s="176">
        <v>46034</v>
      </c>
      <c r="K373" s="172" t="s">
        <v>94</v>
      </c>
      <c r="L373" s="172" t="s">
        <v>95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465</v>
      </c>
      <c r="B374" s="176">
        <v>46036</v>
      </c>
      <c r="C374" s="172" t="s">
        <v>101</v>
      </c>
      <c r="D374" s="172" t="s">
        <v>104</v>
      </c>
      <c r="E374" s="172" t="s">
        <v>40</v>
      </c>
      <c r="F374" s="172" t="s">
        <v>118</v>
      </c>
      <c r="G374" s="172" t="s">
        <v>85</v>
      </c>
      <c r="H374" s="177">
        <v>1</v>
      </c>
      <c r="I374" s="178">
        <v>1750</v>
      </c>
      <c r="J374" s="176">
        <v>46034</v>
      </c>
      <c r="K374" s="172" t="s">
        <v>94</v>
      </c>
      <c r="L374" s="172" t="s">
        <v>95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465</v>
      </c>
      <c r="B375" s="176">
        <v>46036</v>
      </c>
      <c r="C375" s="172" t="s">
        <v>105</v>
      </c>
      <c r="D375" s="172" t="s">
        <v>106</v>
      </c>
      <c r="E375" s="172" t="s">
        <v>40</v>
      </c>
      <c r="F375" s="172" t="s">
        <v>118</v>
      </c>
      <c r="G375" s="172" t="s">
        <v>85</v>
      </c>
      <c r="H375" s="177">
        <v>1</v>
      </c>
      <c r="I375" s="178">
        <v>1750</v>
      </c>
      <c r="J375" s="176">
        <v>46034</v>
      </c>
      <c r="K375" s="172" t="s">
        <v>94</v>
      </c>
      <c r="L375" s="172" t="s">
        <v>95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465</v>
      </c>
      <c r="B376" s="176">
        <v>46036</v>
      </c>
      <c r="C376" s="172" t="s">
        <v>82</v>
      </c>
      <c r="D376" s="172" t="s">
        <v>96</v>
      </c>
      <c r="E376" s="172" t="s">
        <v>40</v>
      </c>
      <c r="F376" s="172" t="s">
        <v>118</v>
      </c>
      <c r="G376" s="172" t="s">
        <v>85</v>
      </c>
      <c r="H376" s="177">
        <v>1</v>
      </c>
      <c r="I376" s="178">
        <v>1750</v>
      </c>
      <c r="J376" s="176">
        <v>46034</v>
      </c>
      <c r="K376" s="172" t="s">
        <v>94</v>
      </c>
      <c r="L376" s="172" t="s">
        <v>95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466</v>
      </c>
      <c r="B377" s="176">
        <v>46036</v>
      </c>
      <c r="C377" s="172" t="s">
        <v>82</v>
      </c>
      <c r="D377" s="172" t="s">
        <v>83</v>
      </c>
      <c r="E377" s="172" t="s">
        <v>54</v>
      </c>
      <c r="F377" s="172" t="s">
        <v>121</v>
      </c>
      <c r="G377" s="172" t="s">
        <v>85</v>
      </c>
      <c r="H377" s="177">
        <v>1</v>
      </c>
      <c r="I377" s="178">
        <v>0</v>
      </c>
      <c r="J377" s="176">
        <v>46036</v>
      </c>
      <c r="K377" s="172" t="s">
        <v>86</v>
      </c>
      <c r="L377" s="172" t="s">
        <v>86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467</v>
      </c>
      <c r="B378" s="176">
        <v>46036</v>
      </c>
      <c r="C378" s="172" t="s">
        <v>82</v>
      </c>
      <c r="D378" s="172" t="s">
        <v>83</v>
      </c>
      <c r="E378" s="172" t="s">
        <v>42</v>
      </c>
      <c r="F378" s="172" t="s">
        <v>84</v>
      </c>
      <c r="G378" s="172" t="s">
        <v>85</v>
      </c>
      <c r="H378" s="177">
        <v>1</v>
      </c>
      <c r="I378" s="178">
        <v>0</v>
      </c>
      <c r="J378" s="176">
        <v>46036</v>
      </c>
      <c r="K378" s="172" t="s">
        <v>86</v>
      </c>
      <c r="L378" s="172" t="s">
        <v>86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468</v>
      </c>
      <c r="B379" s="176">
        <v>46036</v>
      </c>
      <c r="C379" s="172" t="s">
        <v>93</v>
      </c>
      <c r="D379" s="172" t="s">
        <v>24</v>
      </c>
      <c r="E379" s="172" t="s">
        <v>54</v>
      </c>
      <c r="F379" s="172" t="s">
        <v>121</v>
      </c>
      <c r="G379" s="172" t="s">
        <v>85</v>
      </c>
      <c r="H379" s="177">
        <v>1</v>
      </c>
      <c r="I379" s="178">
        <v>0</v>
      </c>
      <c r="J379" s="176">
        <v>46021</v>
      </c>
      <c r="K379" s="172" t="s">
        <v>94</v>
      </c>
      <c r="L379" s="172" t="s">
        <v>95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468</v>
      </c>
      <c r="B380" s="176">
        <v>46036</v>
      </c>
      <c r="C380" s="172" t="s">
        <v>82</v>
      </c>
      <c r="D380" s="172" t="s">
        <v>96</v>
      </c>
      <c r="E380" s="172" t="s">
        <v>54</v>
      </c>
      <c r="F380" s="172" t="s">
        <v>121</v>
      </c>
      <c r="G380" s="172" t="s">
        <v>85</v>
      </c>
      <c r="H380" s="177">
        <v>1</v>
      </c>
      <c r="I380" s="178">
        <v>0</v>
      </c>
      <c r="J380" s="176">
        <v>46021</v>
      </c>
      <c r="K380" s="172" t="s">
        <v>94</v>
      </c>
      <c r="L380" s="172" t="s">
        <v>95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469</v>
      </c>
      <c r="B381" s="176">
        <v>46036</v>
      </c>
      <c r="C381" s="172" t="s">
        <v>93</v>
      </c>
      <c r="D381" s="172" t="s">
        <v>24</v>
      </c>
      <c r="E381" s="172" t="s">
        <v>41</v>
      </c>
      <c r="F381" s="172" t="s">
        <v>198</v>
      </c>
      <c r="G381" s="172" t="s">
        <v>85</v>
      </c>
      <c r="H381" s="177">
        <v>1</v>
      </c>
      <c r="I381" s="178">
        <v>1650</v>
      </c>
      <c r="J381" s="176">
        <v>46030</v>
      </c>
      <c r="K381" s="172" t="s">
        <v>94</v>
      </c>
      <c r="L381" s="172" t="s">
        <v>95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469</v>
      </c>
      <c r="B382" s="176">
        <v>46036</v>
      </c>
      <c r="C382" s="172" t="s">
        <v>101</v>
      </c>
      <c r="D382" s="172" t="s">
        <v>102</v>
      </c>
      <c r="E382" s="172" t="s">
        <v>41</v>
      </c>
      <c r="F382" s="172" t="s">
        <v>198</v>
      </c>
      <c r="G382" s="172" t="s">
        <v>85</v>
      </c>
      <c r="H382" s="177">
        <v>1</v>
      </c>
      <c r="I382" s="178">
        <v>1650</v>
      </c>
      <c r="J382" s="176">
        <v>46030</v>
      </c>
      <c r="K382" s="172" t="s">
        <v>94</v>
      </c>
      <c r="L382" s="172" t="s">
        <v>95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469</v>
      </c>
      <c r="B383" s="176">
        <v>46036</v>
      </c>
      <c r="C383" s="172" t="s">
        <v>101</v>
      </c>
      <c r="D383" s="172" t="s">
        <v>103</v>
      </c>
      <c r="E383" s="172" t="s">
        <v>41</v>
      </c>
      <c r="F383" s="172" t="s">
        <v>198</v>
      </c>
      <c r="G383" s="172" t="s">
        <v>85</v>
      </c>
      <c r="H383" s="177">
        <v>1</v>
      </c>
      <c r="I383" s="178">
        <v>1650</v>
      </c>
      <c r="J383" s="176">
        <v>46030</v>
      </c>
      <c r="K383" s="172" t="s">
        <v>94</v>
      </c>
      <c r="L383" s="172" t="s">
        <v>95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469</v>
      </c>
      <c r="B384" s="176">
        <v>46036</v>
      </c>
      <c r="C384" s="172" t="s">
        <v>101</v>
      </c>
      <c r="D384" s="172" t="s">
        <v>104</v>
      </c>
      <c r="E384" s="172" t="s">
        <v>41</v>
      </c>
      <c r="F384" s="172" t="s">
        <v>198</v>
      </c>
      <c r="G384" s="172" t="s">
        <v>85</v>
      </c>
      <c r="H384" s="177">
        <v>1</v>
      </c>
      <c r="I384" s="178">
        <v>1650</v>
      </c>
      <c r="J384" s="176">
        <v>46030</v>
      </c>
      <c r="K384" s="172" t="s">
        <v>94</v>
      </c>
      <c r="L384" s="172" t="s">
        <v>95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469</v>
      </c>
      <c r="B385" s="176">
        <v>46036</v>
      </c>
      <c r="C385" s="172" t="s">
        <v>105</v>
      </c>
      <c r="D385" s="172" t="s">
        <v>106</v>
      </c>
      <c r="E385" s="172" t="s">
        <v>41</v>
      </c>
      <c r="F385" s="172" t="s">
        <v>198</v>
      </c>
      <c r="G385" s="172" t="s">
        <v>85</v>
      </c>
      <c r="H385" s="177">
        <v>1</v>
      </c>
      <c r="I385" s="178">
        <v>1650</v>
      </c>
      <c r="J385" s="176">
        <v>46030</v>
      </c>
      <c r="K385" s="172" t="s">
        <v>94</v>
      </c>
      <c r="L385" s="172" t="s">
        <v>95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468</v>
      </c>
      <c r="B386" s="176">
        <v>46036</v>
      </c>
      <c r="C386" s="172" t="s">
        <v>93</v>
      </c>
      <c r="D386" s="172" t="s">
        <v>97</v>
      </c>
      <c r="E386" s="172" t="s">
        <v>54</v>
      </c>
      <c r="F386" s="172" t="s">
        <v>121</v>
      </c>
      <c r="G386" s="172" t="s">
        <v>85</v>
      </c>
      <c r="H386" s="177">
        <v>1</v>
      </c>
      <c r="I386" s="178">
        <v>0</v>
      </c>
      <c r="J386" s="176">
        <v>46021</v>
      </c>
      <c r="K386" s="172" t="s">
        <v>94</v>
      </c>
      <c r="L386" s="172" t="s">
        <v>95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468</v>
      </c>
      <c r="B387" s="176">
        <v>46036</v>
      </c>
      <c r="C387" s="172" t="s">
        <v>93</v>
      </c>
      <c r="D387" s="172" t="s">
        <v>98</v>
      </c>
      <c r="E387" s="172" t="s">
        <v>54</v>
      </c>
      <c r="F387" s="172" t="s">
        <v>121</v>
      </c>
      <c r="G387" s="172" t="s">
        <v>85</v>
      </c>
      <c r="H387" s="177">
        <v>1</v>
      </c>
      <c r="I387" s="178">
        <v>0</v>
      </c>
      <c r="J387" s="176">
        <v>46021</v>
      </c>
      <c r="K387" s="172" t="s">
        <v>94</v>
      </c>
      <c r="L387" s="172" t="s">
        <v>95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468</v>
      </c>
      <c r="B388" s="176">
        <v>46036</v>
      </c>
      <c r="C388" s="172" t="s">
        <v>82</v>
      </c>
      <c r="D388" s="172" t="s">
        <v>99</v>
      </c>
      <c r="E388" s="172" t="s">
        <v>54</v>
      </c>
      <c r="F388" s="172" t="s">
        <v>121</v>
      </c>
      <c r="G388" s="172" t="s">
        <v>85</v>
      </c>
      <c r="H388" s="177">
        <v>1</v>
      </c>
      <c r="I388" s="178">
        <v>0</v>
      </c>
      <c r="J388" s="176">
        <v>46021</v>
      </c>
      <c r="K388" s="172" t="s">
        <v>94</v>
      </c>
      <c r="L388" s="172" t="s">
        <v>95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470</v>
      </c>
      <c r="B389" s="176">
        <v>46036</v>
      </c>
      <c r="C389" s="172" t="s">
        <v>356</v>
      </c>
      <c r="D389" s="172" t="s">
        <v>471</v>
      </c>
      <c r="E389" s="172" t="s">
        <v>86</v>
      </c>
      <c r="F389" s="172" t="s">
        <v>86</v>
      </c>
      <c r="G389" s="172" t="s">
        <v>86</v>
      </c>
      <c r="H389" s="177">
        <v>0</v>
      </c>
      <c r="I389" s="178">
        <v>0</v>
      </c>
      <c r="J389" s="176">
        <v>46036</v>
      </c>
      <c r="K389" s="172" t="s">
        <v>86</v>
      </c>
      <c r="L389" s="172" t="s">
        <v>86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472</v>
      </c>
      <c r="B390" s="176">
        <v>46036</v>
      </c>
      <c r="C390" s="172" t="s">
        <v>93</v>
      </c>
      <c r="D390" s="172" t="s">
        <v>24</v>
      </c>
      <c r="E390" s="172" t="s">
        <v>53</v>
      </c>
      <c r="F390" s="172" t="s">
        <v>91</v>
      </c>
      <c r="G390" s="172" t="s">
        <v>85</v>
      </c>
      <c r="H390" s="177">
        <v>1</v>
      </c>
      <c r="I390" s="178">
        <v>1621</v>
      </c>
      <c r="J390" s="176">
        <v>46033</v>
      </c>
      <c r="K390" s="172" t="s">
        <v>94</v>
      </c>
      <c r="L390" s="172" t="s">
        <v>95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472</v>
      </c>
      <c r="B391" s="176">
        <v>46036</v>
      </c>
      <c r="C391" s="172" t="s">
        <v>101</v>
      </c>
      <c r="D391" s="172" t="s">
        <v>102</v>
      </c>
      <c r="E391" s="172" t="s">
        <v>53</v>
      </c>
      <c r="F391" s="172" t="s">
        <v>91</v>
      </c>
      <c r="G391" s="172" t="s">
        <v>85</v>
      </c>
      <c r="H391" s="177">
        <v>1</v>
      </c>
      <c r="I391" s="178">
        <v>1621</v>
      </c>
      <c r="J391" s="176">
        <v>46033</v>
      </c>
      <c r="K391" s="172" t="s">
        <v>94</v>
      </c>
      <c r="L391" s="172" t="s">
        <v>95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472</v>
      </c>
      <c r="B392" s="176">
        <v>46036</v>
      </c>
      <c r="C392" s="172" t="s">
        <v>101</v>
      </c>
      <c r="D392" s="172" t="s">
        <v>103</v>
      </c>
      <c r="E392" s="172" t="s">
        <v>53</v>
      </c>
      <c r="F392" s="172" t="s">
        <v>91</v>
      </c>
      <c r="G392" s="172" t="s">
        <v>85</v>
      </c>
      <c r="H392" s="177">
        <v>1</v>
      </c>
      <c r="I392" s="178">
        <v>1621</v>
      </c>
      <c r="J392" s="176">
        <v>46033</v>
      </c>
      <c r="K392" s="172" t="s">
        <v>94</v>
      </c>
      <c r="L392" s="172" t="s">
        <v>95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472</v>
      </c>
      <c r="B393" s="176">
        <v>46036</v>
      </c>
      <c r="C393" s="172" t="s">
        <v>101</v>
      </c>
      <c r="D393" s="172" t="s">
        <v>104</v>
      </c>
      <c r="E393" s="172" t="s">
        <v>53</v>
      </c>
      <c r="F393" s="172" t="s">
        <v>91</v>
      </c>
      <c r="G393" s="172" t="s">
        <v>85</v>
      </c>
      <c r="H393" s="177">
        <v>1</v>
      </c>
      <c r="I393" s="178">
        <v>1621</v>
      </c>
      <c r="J393" s="176">
        <v>46033</v>
      </c>
      <c r="K393" s="172" t="s">
        <v>94</v>
      </c>
      <c r="L393" s="172" t="s">
        <v>95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472</v>
      </c>
      <c r="B394" s="176">
        <v>46036</v>
      </c>
      <c r="C394" s="172" t="s">
        <v>105</v>
      </c>
      <c r="D394" s="172" t="s">
        <v>106</v>
      </c>
      <c r="E394" s="172" t="s">
        <v>53</v>
      </c>
      <c r="F394" s="172" t="s">
        <v>91</v>
      </c>
      <c r="G394" s="172" t="s">
        <v>85</v>
      </c>
      <c r="H394" s="177">
        <v>1</v>
      </c>
      <c r="I394" s="178">
        <v>1621</v>
      </c>
      <c r="J394" s="176">
        <v>46033</v>
      </c>
      <c r="K394" s="172" t="s">
        <v>94</v>
      </c>
      <c r="L394" s="172" t="s">
        <v>95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472</v>
      </c>
      <c r="B395" s="176">
        <v>46036</v>
      </c>
      <c r="C395" s="172" t="s">
        <v>82</v>
      </c>
      <c r="D395" s="172" t="s">
        <v>96</v>
      </c>
      <c r="E395" s="172" t="s">
        <v>53</v>
      </c>
      <c r="F395" s="172" t="s">
        <v>91</v>
      </c>
      <c r="G395" s="172" t="s">
        <v>85</v>
      </c>
      <c r="H395" s="177">
        <v>1</v>
      </c>
      <c r="I395" s="178">
        <v>1621</v>
      </c>
      <c r="J395" s="176">
        <v>46033</v>
      </c>
      <c r="K395" s="172" t="s">
        <v>94</v>
      </c>
      <c r="L395" s="172" t="s">
        <v>95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473</v>
      </c>
      <c r="B396" s="176">
        <v>46036</v>
      </c>
      <c r="C396" s="172" t="s">
        <v>93</v>
      </c>
      <c r="D396" s="172" t="s">
        <v>24</v>
      </c>
      <c r="E396" s="172" t="s">
        <v>53</v>
      </c>
      <c r="F396" s="172" t="s">
        <v>91</v>
      </c>
      <c r="G396" s="172" t="s">
        <v>85</v>
      </c>
      <c r="H396" s="177">
        <v>1</v>
      </c>
      <c r="I396" s="178">
        <v>1621</v>
      </c>
      <c r="J396" s="176">
        <v>46032</v>
      </c>
      <c r="K396" s="172" t="s">
        <v>94</v>
      </c>
      <c r="L396" s="172" t="s">
        <v>95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473</v>
      </c>
      <c r="B397" s="176">
        <v>46036</v>
      </c>
      <c r="C397" s="172" t="s">
        <v>101</v>
      </c>
      <c r="D397" s="172" t="s">
        <v>102</v>
      </c>
      <c r="E397" s="172" t="s">
        <v>53</v>
      </c>
      <c r="F397" s="172" t="s">
        <v>91</v>
      </c>
      <c r="G397" s="172" t="s">
        <v>85</v>
      </c>
      <c r="H397" s="177">
        <v>1</v>
      </c>
      <c r="I397" s="178">
        <v>1621</v>
      </c>
      <c r="J397" s="176">
        <v>46032</v>
      </c>
      <c r="K397" s="172" t="s">
        <v>94</v>
      </c>
      <c r="L397" s="172" t="s">
        <v>95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473</v>
      </c>
      <c r="B398" s="176">
        <v>46036</v>
      </c>
      <c r="C398" s="172" t="s">
        <v>101</v>
      </c>
      <c r="D398" s="172" t="s">
        <v>103</v>
      </c>
      <c r="E398" s="172" t="s">
        <v>53</v>
      </c>
      <c r="F398" s="172" t="s">
        <v>91</v>
      </c>
      <c r="G398" s="172" t="s">
        <v>85</v>
      </c>
      <c r="H398" s="177">
        <v>1</v>
      </c>
      <c r="I398" s="178">
        <v>1621</v>
      </c>
      <c r="J398" s="176">
        <v>46032</v>
      </c>
      <c r="K398" s="172" t="s">
        <v>94</v>
      </c>
      <c r="L398" s="172" t="s">
        <v>95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473</v>
      </c>
      <c r="B399" s="176">
        <v>46036</v>
      </c>
      <c r="C399" s="172" t="s">
        <v>101</v>
      </c>
      <c r="D399" s="172" t="s">
        <v>104</v>
      </c>
      <c r="E399" s="172" t="s">
        <v>53</v>
      </c>
      <c r="F399" s="172" t="s">
        <v>91</v>
      </c>
      <c r="G399" s="172" t="s">
        <v>85</v>
      </c>
      <c r="H399" s="177">
        <v>1</v>
      </c>
      <c r="I399" s="178">
        <v>1621</v>
      </c>
      <c r="J399" s="176">
        <v>46032</v>
      </c>
      <c r="K399" s="172" t="s">
        <v>94</v>
      </c>
      <c r="L399" s="172" t="s">
        <v>95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473</v>
      </c>
      <c r="B400" s="176">
        <v>46036</v>
      </c>
      <c r="C400" s="172" t="s">
        <v>105</v>
      </c>
      <c r="D400" s="172" t="s">
        <v>106</v>
      </c>
      <c r="E400" s="172" t="s">
        <v>53</v>
      </c>
      <c r="F400" s="172" t="s">
        <v>91</v>
      </c>
      <c r="G400" s="172" t="s">
        <v>85</v>
      </c>
      <c r="H400" s="177">
        <v>1</v>
      </c>
      <c r="I400" s="178">
        <v>1621</v>
      </c>
      <c r="J400" s="176">
        <v>46032</v>
      </c>
      <c r="K400" s="172" t="s">
        <v>94</v>
      </c>
      <c r="L400" s="172" t="s">
        <v>95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473</v>
      </c>
      <c r="B401" s="176">
        <v>46036</v>
      </c>
      <c r="C401" s="172" t="s">
        <v>82</v>
      </c>
      <c r="D401" s="172" t="s">
        <v>96</v>
      </c>
      <c r="E401" s="172" t="s">
        <v>53</v>
      </c>
      <c r="F401" s="172" t="s">
        <v>91</v>
      </c>
      <c r="G401" s="172" t="s">
        <v>85</v>
      </c>
      <c r="H401" s="177">
        <v>1</v>
      </c>
      <c r="I401" s="178">
        <v>1621</v>
      </c>
      <c r="J401" s="176">
        <v>46032</v>
      </c>
      <c r="K401" s="172" t="s">
        <v>94</v>
      </c>
      <c r="L401" s="172" t="s">
        <v>95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474</v>
      </c>
      <c r="B402" s="176">
        <v>46036</v>
      </c>
      <c r="C402" s="172" t="s">
        <v>93</v>
      </c>
      <c r="D402" s="172" t="s">
        <v>273</v>
      </c>
      <c r="E402" s="172" t="s">
        <v>54</v>
      </c>
      <c r="F402" s="172" t="s">
        <v>121</v>
      </c>
      <c r="G402" s="172" t="s">
        <v>85</v>
      </c>
      <c r="H402" s="177">
        <v>1</v>
      </c>
      <c r="I402" s="178">
        <v>0</v>
      </c>
      <c r="J402" s="176">
        <v>46018</v>
      </c>
      <c r="K402" s="172" t="s">
        <v>94</v>
      </c>
      <c r="L402" s="172" t="s">
        <v>95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474</v>
      </c>
      <c r="B403" s="176">
        <v>46036</v>
      </c>
      <c r="C403" s="172" t="s">
        <v>93</v>
      </c>
      <c r="D403" s="172" t="s">
        <v>98</v>
      </c>
      <c r="E403" s="172" t="s">
        <v>54</v>
      </c>
      <c r="F403" s="172" t="s">
        <v>121</v>
      </c>
      <c r="G403" s="172" t="s">
        <v>85</v>
      </c>
      <c r="H403" s="177">
        <v>1</v>
      </c>
      <c r="I403" s="178">
        <v>0</v>
      </c>
      <c r="J403" s="176">
        <v>46018</v>
      </c>
      <c r="K403" s="172" t="s">
        <v>94</v>
      </c>
      <c r="L403" s="172" t="s">
        <v>95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474</v>
      </c>
      <c r="B404" s="176">
        <v>46036</v>
      </c>
      <c r="C404" s="172" t="s">
        <v>82</v>
      </c>
      <c r="D404" s="172" t="s">
        <v>99</v>
      </c>
      <c r="E404" s="172" t="s">
        <v>54</v>
      </c>
      <c r="F404" s="172" t="s">
        <v>121</v>
      </c>
      <c r="G404" s="172" t="s">
        <v>85</v>
      </c>
      <c r="H404" s="177">
        <v>1</v>
      </c>
      <c r="I404" s="178">
        <v>0</v>
      </c>
      <c r="J404" s="176">
        <v>46018</v>
      </c>
      <c r="K404" s="172" t="s">
        <v>94</v>
      </c>
      <c r="L404" s="172" t="s">
        <v>95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475</v>
      </c>
      <c r="B405" s="176">
        <v>46036</v>
      </c>
      <c r="C405" s="172" t="s">
        <v>82</v>
      </c>
      <c r="D405" s="172" t="s">
        <v>83</v>
      </c>
      <c r="E405" s="172" t="s">
        <v>53</v>
      </c>
      <c r="F405" s="172" t="s">
        <v>91</v>
      </c>
      <c r="G405" s="172" t="s">
        <v>85</v>
      </c>
      <c r="H405" s="177">
        <v>1</v>
      </c>
      <c r="I405" s="178">
        <v>0</v>
      </c>
      <c r="J405" s="176">
        <v>46036</v>
      </c>
      <c r="K405" s="172" t="s">
        <v>86</v>
      </c>
      <c r="L405" s="172" t="s">
        <v>86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476</v>
      </c>
      <c r="B406" s="176">
        <v>46036</v>
      </c>
      <c r="C406" s="172" t="s">
        <v>93</v>
      </c>
      <c r="D406" s="172" t="s">
        <v>24</v>
      </c>
      <c r="E406" s="172" t="s">
        <v>53</v>
      </c>
      <c r="F406" s="172" t="s">
        <v>91</v>
      </c>
      <c r="G406" s="172" t="s">
        <v>85</v>
      </c>
      <c r="H406" s="177">
        <v>1</v>
      </c>
      <c r="I406" s="178">
        <v>1621</v>
      </c>
      <c r="J406" s="176">
        <v>46034</v>
      </c>
      <c r="K406" s="172" t="s">
        <v>94</v>
      </c>
      <c r="L406" s="172" t="s">
        <v>95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476</v>
      </c>
      <c r="B407" s="176">
        <v>46036</v>
      </c>
      <c r="C407" s="172" t="s">
        <v>101</v>
      </c>
      <c r="D407" s="172" t="s">
        <v>102</v>
      </c>
      <c r="E407" s="172" t="s">
        <v>53</v>
      </c>
      <c r="F407" s="172" t="s">
        <v>91</v>
      </c>
      <c r="G407" s="172" t="s">
        <v>85</v>
      </c>
      <c r="H407" s="177">
        <v>1</v>
      </c>
      <c r="I407" s="178">
        <v>1621</v>
      </c>
      <c r="J407" s="176">
        <v>46034</v>
      </c>
      <c r="K407" s="172" t="s">
        <v>94</v>
      </c>
      <c r="L407" s="172" t="s">
        <v>95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476</v>
      </c>
      <c r="B408" s="176">
        <v>46036</v>
      </c>
      <c r="C408" s="172" t="s">
        <v>101</v>
      </c>
      <c r="D408" s="172" t="s">
        <v>103</v>
      </c>
      <c r="E408" s="172" t="s">
        <v>53</v>
      </c>
      <c r="F408" s="172" t="s">
        <v>91</v>
      </c>
      <c r="G408" s="172" t="s">
        <v>85</v>
      </c>
      <c r="H408" s="177">
        <v>1</v>
      </c>
      <c r="I408" s="178">
        <v>1621</v>
      </c>
      <c r="J408" s="176">
        <v>46034</v>
      </c>
      <c r="K408" s="172" t="s">
        <v>94</v>
      </c>
      <c r="L408" s="172" t="s">
        <v>95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476</v>
      </c>
      <c r="B409" s="176">
        <v>46036</v>
      </c>
      <c r="C409" s="172" t="s">
        <v>101</v>
      </c>
      <c r="D409" s="172" t="s">
        <v>104</v>
      </c>
      <c r="E409" s="172" t="s">
        <v>53</v>
      </c>
      <c r="F409" s="172" t="s">
        <v>91</v>
      </c>
      <c r="G409" s="172" t="s">
        <v>85</v>
      </c>
      <c r="H409" s="177">
        <v>1</v>
      </c>
      <c r="I409" s="178">
        <v>1621</v>
      </c>
      <c r="J409" s="176">
        <v>46034</v>
      </c>
      <c r="K409" s="172" t="s">
        <v>94</v>
      </c>
      <c r="L409" s="172" t="s">
        <v>95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476</v>
      </c>
      <c r="B410" s="176">
        <v>46036</v>
      </c>
      <c r="C410" s="172" t="s">
        <v>105</v>
      </c>
      <c r="D410" s="172" t="s">
        <v>106</v>
      </c>
      <c r="E410" s="172" t="s">
        <v>53</v>
      </c>
      <c r="F410" s="172" t="s">
        <v>91</v>
      </c>
      <c r="G410" s="172" t="s">
        <v>85</v>
      </c>
      <c r="H410" s="177">
        <v>1</v>
      </c>
      <c r="I410" s="178">
        <v>1621</v>
      </c>
      <c r="J410" s="176">
        <v>46034</v>
      </c>
      <c r="K410" s="172" t="s">
        <v>94</v>
      </c>
      <c r="L410" s="172" t="s">
        <v>95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476</v>
      </c>
      <c r="B411" s="176">
        <v>46036</v>
      </c>
      <c r="C411" s="172" t="s">
        <v>82</v>
      </c>
      <c r="D411" s="172" t="s">
        <v>96</v>
      </c>
      <c r="E411" s="172" t="s">
        <v>53</v>
      </c>
      <c r="F411" s="172" t="s">
        <v>91</v>
      </c>
      <c r="G411" s="172" t="s">
        <v>85</v>
      </c>
      <c r="H411" s="177">
        <v>1</v>
      </c>
      <c r="I411" s="178">
        <v>1621</v>
      </c>
      <c r="J411" s="176">
        <v>46034</v>
      </c>
      <c r="K411" s="172" t="s">
        <v>94</v>
      </c>
      <c r="L411" s="172" t="s">
        <v>95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477</v>
      </c>
      <c r="B412" s="176">
        <v>46036</v>
      </c>
      <c r="C412" s="172" t="s">
        <v>93</v>
      </c>
      <c r="D412" s="172" t="s">
        <v>24</v>
      </c>
      <c r="E412" s="172" t="s">
        <v>42</v>
      </c>
      <c r="F412" s="172" t="s">
        <v>84</v>
      </c>
      <c r="G412" s="172" t="s">
        <v>85</v>
      </c>
      <c r="H412" s="177">
        <v>1</v>
      </c>
      <c r="I412" s="178">
        <v>1750</v>
      </c>
      <c r="J412" s="176">
        <v>46035</v>
      </c>
      <c r="K412" s="172" t="s">
        <v>94</v>
      </c>
      <c r="L412" s="172" t="s">
        <v>95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477</v>
      </c>
      <c r="B413" s="176">
        <v>46036</v>
      </c>
      <c r="C413" s="172" t="s">
        <v>101</v>
      </c>
      <c r="D413" s="172" t="s">
        <v>102</v>
      </c>
      <c r="E413" s="172" t="s">
        <v>42</v>
      </c>
      <c r="F413" s="172" t="s">
        <v>84</v>
      </c>
      <c r="G413" s="172" t="s">
        <v>85</v>
      </c>
      <c r="H413" s="177">
        <v>1</v>
      </c>
      <c r="I413" s="178">
        <v>1750</v>
      </c>
      <c r="J413" s="176">
        <v>46035</v>
      </c>
      <c r="K413" s="172" t="s">
        <v>94</v>
      </c>
      <c r="L413" s="172" t="s">
        <v>95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477</v>
      </c>
      <c r="B414" s="176">
        <v>46036</v>
      </c>
      <c r="C414" s="172" t="s">
        <v>101</v>
      </c>
      <c r="D414" s="172" t="s">
        <v>103</v>
      </c>
      <c r="E414" s="172" t="s">
        <v>42</v>
      </c>
      <c r="F414" s="172" t="s">
        <v>84</v>
      </c>
      <c r="G414" s="172" t="s">
        <v>85</v>
      </c>
      <c r="H414" s="177">
        <v>1</v>
      </c>
      <c r="I414" s="178">
        <v>1750</v>
      </c>
      <c r="J414" s="176">
        <v>46035</v>
      </c>
      <c r="K414" s="172" t="s">
        <v>94</v>
      </c>
      <c r="L414" s="172" t="s">
        <v>95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477</v>
      </c>
      <c r="B415" s="176">
        <v>46036</v>
      </c>
      <c r="C415" s="172" t="s">
        <v>101</v>
      </c>
      <c r="D415" s="172" t="s">
        <v>104</v>
      </c>
      <c r="E415" s="172" t="s">
        <v>42</v>
      </c>
      <c r="F415" s="172" t="s">
        <v>84</v>
      </c>
      <c r="G415" s="172" t="s">
        <v>85</v>
      </c>
      <c r="H415" s="177">
        <v>1</v>
      </c>
      <c r="I415" s="178">
        <v>1750</v>
      </c>
      <c r="J415" s="176">
        <v>46035</v>
      </c>
      <c r="K415" s="172" t="s">
        <v>94</v>
      </c>
      <c r="L415" s="172" t="s">
        <v>95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477</v>
      </c>
      <c r="B416" s="176">
        <v>46036</v>
      </c>
      <c r="C416" s="172" t="s">
        <v>105</v>
      </c>
      <c r="D416" s="172" t="s">
        <v>106</v>
      </c>
      <c r="E416" s="172" t="s">
        <v>42</v>
      </c>
      <c r="F416" s="172" t="s">
        <v>84</v>
      </c>
      <c r="G416" s="172" t="s">
        <v>85</v>
      </c>
      <c r="H416" s="177">
        <v>1</v>
      </c>
      <c r="I416" s="178">
        <v>1750</v>
      </c>
      <c r="J416" s="176">
        <v>46035</v>
      </c>
      <c r="K416" s="172" t="s">
        <v>94</v>
      </c>
      <c r="L416" s="172" t="s">
        <v>95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477</v>
      </c>
      <c r="B417" s="176">
        <v>46036</v>
      </c>
      <c r="C417" s="172" t="s">
        <v>82</v>
      </c>
      <c r="D417" s="172" t="s">
        <v>96</v>
      </c>
      <c r="E417" s="172" t="s">
        <v>42</v>
      </c>
      <c r="F417" s="172" t="s">
        <v>84</v>
      </c>
      <c r="G417" s="172" t="s">
        <v>85</v>
      </c>
      <c r="H417" s="177">
        <v>1</v>
      </c>
      <c r="I417" s="178">
        <v>1750</v>
      </c>
      <c r="J417" s="176">
        <v>46035</v>
      </c>
      <c r="K417" s="172" t="s">
        <v>94</v>
      </c>
      <c r="L417" s="172" t="s">
        <v>95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476</v>
      </c>
      <c r="B418" s="176">
        <v>46036</v>
      </c>
      <c r="C418" s="172" t="s">
        <v>82</v>
      </c>
      <c r="D418" s="172" t="s">
        <v>83</v>
      </c>
      <c r="E418" s="172" t="s">
        <v>53</v>
      </c>
      <c r="F418" s="172" t="s">
        <v>91</v>
      </c>
      <c r="G418" s="172" t="s">
        <v>85</v>
      </c>
      <c r="H418" s="177">
        <v>1</v>
      </c>
      <c r="I418" s="178">
        <v>0</v>
      </c>
      <c r="J418" s="176">
        <v>46034</v>
      </c>
      <c r="K418" s="172" t="s">
        <v>86</v>
      </c>
      <c r="L418" s="172" t="s">
        <v>86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477</v>
      </c>
      <c r="B419" s="176">
        <v>46036</v>
      </c>
      <c r="C419" s="172" t="s">
        <v>82</v>
      </c>
      <c r="D419" s="172" t="s">
        <v>83</v>
      </c>
      <c r="E419" s="172" t="s">
        <v>42</v>
      </c>
      <c r="F419" s="172" t="s">
        <v>84</v>
      </c>
      <c r="G419" s="172" t="s">
        <v>85</v>
      </c>
      <c r="H419" s="177">
        <v>1</v>
      </c>
      <c r="I419" s="178">
        <v>0</v>
      </c>
      <c r="J419" s="176">
        <v>46035</v>
      </c>
      <c r="K419" s="172" t="s">
        <v>86</v>
      </c>
      <c r="L419" s="172" t="s">
        <v>86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478</v>
      </c>
      <c r="B420" s="176">
        <v>46036</v>
      </c>
      <c r="C420" s="172" t="s">
        <v>93</v>
      </c>
      <c r="D420" s="172" t="s">
        <v>24</v>
      </c>
      <c r="E420" s="172" t="s">
        <v>53</v>
      </c>
      <c r="F420" s="172" t="s">
        <v>91</v>
      </c>
      <c r="G420" s="172" t="s">
        <v>85</v>
      </c>
      <c r="H420" s="177">
        <v>1</v>
      </c>
      <c r="I420" s="178">
        <v>0</v>
      </c>
      <c r="J420" s="176">
        <v>46021</v>
      </c>
      <c r="K420" s="172" t="s">
        <v>94</v>
      </c>
      <c r="L420" s="172" t="s">
        <v>95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478</v>
      </c>
      <c r="B421" s="176">
        <v>46036</v>
      </c>
      <c r="C421" s="172" t="s">
        <v>82</v>
      </c>
      <c r="D421" s="172" t="s">
        <v>96</v>
      </c>
      <c r="E421" s="172" t="s">
        <v>53</v>
      </c>
      <c r="F421" s="172" t="s">
        <v>91</v>
      </c>
      <c r="G421" s="172" t="s">
        <v>85</v>
      </c>
      <c r="H421" s="177">
        <v>1</v>
      </c>
      <c r="I421" s="178">
        <v>0</v>
      </c>
      <c r="J421" s="176">
        <v>46021</v>
      </c>
      <c r="K421" s="172" t="s">
        <v>94</v>
      </c>
      <c r="L421" s="172" t="s">
        <v>95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478</v>
      </c>
      <c r="B422" s="176">
        <v>46036</v>
      </c>
      <c r="C422" s="172" t="s">
        <v>93</v>
      </c>
      <c r="D422" s="172" t="s">
        <v>97</v>
      </c>
      <c r="E422" s="172" t="s">
        <v>53</v>
      </c>
      <c r="F422" s="172" t="s">
        <v>91</v>
      </c>
      <c r="G422" s="172" t="s">
        <v>85</v>
      </c>
      <c r="H422" s="177">
        <v>1</v>
      </c>
      <c r="I422" s="178">
        <v>0</v>
      </c>
      <c r="J422" s="176">
        <v>46021</v>
      </c>
      <c r="K422" s="172" t="s">
        <v>94</v>
      </c>
      <c r="L422" s="172" t="s">
        <v>95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478</v>
      </c>
      <c r="B423" s="176">
        <v>46036</v>
      </c>
      <c r="C423" s="172" t="s">
        <v>93</v>
      </c>
      <c r="D423" s="172" t="s">
        <v>98</v>
      </c>
      <c r="E423" s="172" t="s">
        <v>53</v>
      </c>
      <c r="F423" s="172" t="s">
        <v>91</v>
      </c>
      <c r="G423" s="172" t="s">
        <v>85</v>
      </c>
      <c r="H423" s="177">
        <v>1</v>
      </c>
      <c r="I423" s="178">
        <v>0</v>
      </c>
      <c r="J423" s="176">
        <v>46021</v>
      </c>
      <c r="K423" s="172" t="s">
        <v>94</v>
      </c>
      <c r="L423" s="172" t="s">
        <v>95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478</v>
      </c>
      <c r="B424" s="176">
        <v>46036</v>
      </c>
      <c r="C424" s="172" t="s">
        <v>82</v>
      </c>
      <c r="D424" s="172" t="s">
        <v>99</v>
      </c>
      <c r="E424" s="172" t="s">
        <v>53</v>
      </c>
      <c r="F424" s="172" t="s">
        <v>91</v>
      </c>
      <c r="G424" s="172" t="s">
        <v>85</v>
      </c>
      <c r="H424" s="177">
        <v>1</v>
      </c>
      <c r="I424" s="178">
        <v>0</v>
      </c>
      <c r="J424" s="176">
        <v>46021</v>
      </c>
      <c r="K424" s="172" t="s">
        <v>94</v>
      </c>
      <c r="L424" s="172" t="s">
        <v>95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479</v>
      </c>
      <c r="B425" s="176">
        <v>46036</v>
      </c>
      <c r="C425" s="172" t="s">
        <v>82</v>
      </c>
      <c r="D425" s="172" t="s">
        <v>83</v>
      </c>
      <c r="E425" s="172" t="s">
        <v>54</v>
      </c>
      <c r="F425" s="172" t="s">
        <v>121</v>
      </c>
      <c r="G425" s="172" t="s">
        <v>85</v>
      </c>
      <c r="H425" s="177">
        <v>1</v>
      </c>
      <c r="I425" s="178">
        <v>0</v>
      </c>
      <c r="J425" s="176">
        <v>46036</v>
      </c>
      <c r="K425" s="172" t="s">
        <v>86</v>
      </c>
      <c r="L425" s="172" t="s">
        <v>86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480</v>
      </c>
      <c r="B426" s="176">
        <v>46036</v>
      </c>
      <c r="C426" s="172" t="s">
        <v>93</v>
      </c>
      <c r="D426" s="172" t="s">
        <v>24</v>
      </c>
      <c r="E426" s="172" t="s">
        <v>54</v>
      </c>
      <c r="F426" s="172" t="s">
        <v>121</v>
      </c>
      <c r="G426" s="172" t="s">
        <v>85</v>
      </c>
      <c r="H426" s="177">
        <v>1</v>
      </c>
      <c r="I426" s="178">
        <v>1845</v>
      </c>
      <c r="J426" s="176">
        <v>46032</v>
      </c>
      <c r="K426" s="172" t="s">
        <v>94</v>
      </c>
      <c r="L426" s="172" t="s">
        <v>95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480</v>
      </c>
      <c r="B427" s="176">
        <v>46036</v>
      </c>
      <c r="C427" s="172" t="s">
        <v>101</v>
      </c>
      <c r="D427" s="172" t="s">
        <v>102</v>
      </c>
      <c r="E427" s="172" t="s">
        <v>54</v>
      </c>
      <c r="F427" s="172" t="s">
        <v>121</v>
      </c>
      <c r="G427" s="172" t="s">
        <v>85</v>
      </c>
      <c r="H427" s="177">
        <v>1</v>
      </c>
      <c r="I427" s="178">
        <v>1845</v>
      </c>
      <c r="J427" s="176">
        <v>46032</v>
      </c>
      <c r="K427" s="172" t="s">
        <v>94</v>
      </c>
      <c r="L427" s="172" t="s">
        <v>95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480</v>
      </c>
      <c r="B428" s="176">
        <v>46036</v>
      </c>
      <c r="C428" s="172" t="s">
        <v>101</v>
      </c>
      <c r="D428" s="172" t="s">
        <v>103</v>
      </c>
      <c r="E428" s="172" t="s">
        <v>54</v>
      </c>
      <c r="F428" s="172" t="s">
        <v>121</v>
      </c>
      <c r="G428" s="172" t="s">
        <v>85</v>
      </c>
      <c r="H428" s="177">
        <v>1</v>
      </c>
      <c r="I428" s="178">
        <v>1845</v>
      </c>
      <c r="J428" s="176">
        <v>46032</v>
      </c>
      <c r="K428" s="172" t="s">
        <v>94</v>
      </c>
      <c r="L428" s="172" t="s">
        <v>95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480</v>
      </c>
      <c r="B429" s="176">
        <v>46036</v>
      </c>
      <c r="C429" s="172" t="s">
        <v>101</v>
      </c>
      <c r="D429" s="172" t="s">
        <v>104</v>
      </c>
      <c r="E429" s="172" t="s">
        <v>54</v>
      </c>
      <c r="F429" s="172" t="s">
        <v>121</v>
      </c>
      <c r="G429" s="172" t="s">
        <v>85</v>
      </c>
      <c r="H429" s="177">
        <v>1</v>
      </c>
      <c r="I429" s="178">
        <v>1845</v>
      </c>
      <c r="J429" s="176">
        <v>46032</v>
      </c>
      <c r="K429" s="172" t="s">
        <v>94</v>
      </c>
      <c r="L429" s="172" t="s">
        <v>95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480</v>
      </c>
      <c r="B430" s="176">
        <v>46036</v>
      </c>
      <c r="C430" s="172" t="s">
        <v>105</v>
      </c>
      <c r="D430" s="172" t="s">
        <v>106</v>
      </c>
      <c r="E430" s="172" t="s">
        <v>54</v>
      </c>
      <c r="F430" s="172" t="s">
        <v>121</v>
      </c>
      <c r="G430" s="172" t="s">
        <v>85</v>
      </c>
      <c r="H430" s="177">
        <v>1</v>
      </c>
      <c r="I430" s="178">
        <v>1845</v>
      </c>
      <c r="J430" s="176">
        <v>46032</v>
      </c>
      <c r="K430" s="172" t="s">
        <v>94</v>
      </c>
      <c r="L430" s="172" t="s">
        <v>95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480</v>
      </c>
      <c r="B431" s="176">
        <v>46036</v>
      </c>
      <c r="C431" s="172" t="s">
        <v>82</v>
      </c>
      <c r="D431" s="172" t="s">
        <v>96</v>
      </c>
      <c r="E431" s="172" t="s">
        <v>54</v>
      </c>
      <c r="F431" s="172" t="s">
        <v>121</v>
      </c>
      <c r="G431" s="172" t="s">
        <v>85</v>
      </c>
      <c r="H431" s="177">
        <v>1</v>
      </c>
      <c r="I431" s="178">
        <v>1845</v>
      </c>
      <c r="J431" s="176">
        <v>46032</v>
      </c>
      <c r="K431" s="172" t="s">
        <v>94</v>
      </c>
      <c r="L431" s="172" t="s">
        <v>95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481</v>
      </c>
      <c r="B432" s="176">
        <v>46036</v>
      </c>
      <c r="C432" s="172" t="s">
        <v>167</v>
      </c>
      <c r="D432" s="172" t="s">
        <v>168</v>
      </c>
      <c r="E432" s="172" t="s">
        <v>42</v>
      </c>
      <c r="F432" s="172" t="s">
        <v>84</v>
      </c>
      <c r="G432" s="172" t="s">
        <v>85</v>
      </c>
      <c r="H432" s="177">
        <v>1</v>
      </c>
      <c r="I432" s="178">
        <v>-1600</v>
      </c>
      <c r="J432" s="176">
        <v>46028</v>
      </c>
      <c r="K432" s="172" t="s">
        <v>94</v>
      </c>
      <c r="L432" s="172" t="s">
        <v>95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481</v>
      </c>
      <c r="B433" s="176">
        <v>46036</v>
      </c>
      <c r="C433" s="172" t="s">
        <v>167</v>
      </c>
      <c r="D433" s="172" t="s">
        <v>103</v>
      </c>
      <c r="E433" s="172" t="s">
        <v>42</v>
      </c>
      <c r="F433" s="172" t="s">
        <v>84</v>
      </c>
      <c r="G433" s="172" t="s">
        <v>85</v>
      </c>
      <c r="H433" s="177">
        <v>1</v>
      </c>
      <c r="I433" s="178">
        <v>-1600</v>
      </c>
      <c r="J433" s="176">
        <v>46028</v>
      </c>
      <c r="K433" s="172" t="s">
        <v>94</v>
      </c>
      <c r="L433" s="172" t="s">
        <v>95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481</v>
      </c>
      <c r="B434" s="176">
        <v>46036</v>
      </c>
      <c r="C434" s="172" t="s">
        <v>167</v>
      </c>
      <c r="D434" s="172" t="s">
        <v>104</v>
      </c>
      <c r="E434" s="172" t="s">
        <v>42</v>
      </c>
      <c r="F434" s="172" t="s">
        <v>84</v>
      </c>
      <c r="G434" s="172" t="s">
        <v>85</v>
      </c>
      <c r="H434" s="177">
        <v>1</v>
      </c>
      <c r="I434" s="178">
        <v>-1600</v>
      </c>
      <c r="J434" s="176">
        <v>46028</v>
      </c>
      <c r="K434" s="172" t="s">
        <v>94</v>
      </c>
      <c r="L434" s="172" t="s">
        <v>95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481</v>
      </c>
      <c r="B435" s="176">
        <v>46036</v>
      </c>
      <c r="C435" s="172" t="s">
        <v>105</v>
      </c>
      <c r="D435" s="172" t="s">
        <v>169</v>
      </c>
      <c r="E435" s="172" t="s">
        <v>42</v>
      </c>
      <c r="F435" s="172" t="s">
        <v>84</v>
      </c>
      <c r="G435" s="172" t="s">
        <v>85</v>
      </c>
      <c r="H435" s="177">
        <v>1</v>
      </c>
      <c r="I435" s="178">
        <v>-1600</v>
      </c>
      <c r="J435" s="176">
        <v>46028</v>
      </c>
      <c r="K435" s="172" t="s">
        <v>94</v>
      </c>
      <c r="L435" s="172" t="s">
        <v>95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482</v>
      </c>
      <c r="B436" s="176">
        <v>46036</v>
      </c>
      <c r="C436" s="172" t="s">
        <v>93</v>
      </c>
      <c r="D436" s="172" t="s">
        <v>24</v>
      </c>
      <c r="E436" s="172" t="s">
        <v>53</v>
      </c>
      <c r="F436" s="172" t="s">
        <v>91</v>
      </c>
      <c r="G436" s="172" t="s">
        <v>85</v>
      </c>
      <c r="H436" s="177">
        <v>1</v>
      </c>
      <c r="I436" s="178">
        <v>1621</v>
      </c>
      <c r="J436" s="176">
        <v>46034</v>
      </c>
      <c r="K436" s="172" t="s">
        <v>94</v>
      </c>
      <c r="L436" s="172" t="s">
        <v>95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482</v>
      </c>
      <c r="B437" s="176">
        <v>46036</v>
      </c>
      <c r="C437" s="172" t="s">
        <v>101</v>
      </c>
      <c r="D437" s="172" t="s">
        <v>102</v>
      </c>
      <c r="E437" s="172" t="s">
        <v>53</v>
      </c>
      <c r="F437" s="172" t="s">
        <v>91</v>
      </c>
      <c r="G437" s="172" t="s">
        <v>85</v>
      </c>
      <c r="H437" s="177">
        <v>1</v>
      </c>
      <c r="I437" s="178">
        <v>1621</v>
      </c>
      <c r="J437" s="176">
        <v>46034</v>
      </c>
      <c r="K437" s="172" t="s">
        <v>94</v>
      </c>
      <c r="L437" s="172" t="s">
        <v>95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482</v>
      </c>
      <c r="B438" s="176">
        <v>46036</v>
      </c>
      <c r="C438" s="172" t="s">
        <v>101</v>
      </c>
      <c r="D438" s="172" t="s">
        <v>103</v>
      </c>
      <c r="E438" s="172" t="s">
        <v>53</v>
      </c>
      <c r="F438" s="172" t="s">
        <v>91</v>
      </c>
      <c r="G438" s="172" t="s">
        <v>85</v>
      </c>
      <c r="H438" s="177">
        <v>1</v>
      </c>
      <c r="I438" s="178">
        <v>1621</v>
      </c>
      <c r="J438" s="176">
        <v>46034</v>
      </c>
      <c r="K438" s="172" t="s">
        <v>94</v>
      </c>
      <c r="L438" s="172" t="s">
        <v>95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482</v>
      </c>
      <c r="B439" s="176">
        <v>46036</v>
      </c>
      <c r="C439" s="172" t="s">
        <v>101</v>
      </c>
      <c r="D439" s="172" t="s">
        <v>104</v>
      </c>
      <c r="E439" s="172" t="s">
        <v>53</v>
      </c>
      <c r="F439" s="172" t="s">
        <v>91</v>
      </c>
      <c r="G439" s="172" t="s">
        <v>85</v>
      </c>
      <c r="H439" s="177">
        <v>1</v>
      </c>
      <c r="I439" s="178">
        <v>1621</v>
      </c>
      <c r="J439" s="176">
        <v>46034</v>
      </c>
      <c r="K439" s="172" t="s">
        <v>94</v>
      </c>
      <c r="L439" s="172" t="s">
        <v>95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482</v>
      </c>
      <c r="B440" s="176">
        <v>46036</v>
      </c>
      <c r="C440" s="172" t="s">
        <v>105</v>
      </c>
      <c r="D440" s="172" t="s">
        <v>106</v>
      </c>
      <c r="E440" s="172" t="s">
        <v>53</v>
      </c>
      <c r="F440" s="172" t="s">
        <v>91</v>
      </c>
      <c r="G440" s="172" t="s">
        <v>85</v>
      </c>
      <c r="H440" s="177">
        <v>1</v>
      </c>
      <c r="I440" s="178">
        <v>1621</v>
      </c>
      <c r="J440" s="176">
        <v>46034</v>
      </c>
      <c r="K440" s="172" t="s">
        <v>94</v>
      </c>
      <c r="L440" s="172" t="s">
        <v>95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482</v>
      </c>
      <c r="B441" s="176">
        <v>46036</v>
      </c>
      <c r="C441" s="172" t="s">
        <v>82</v>
      </c>
      <c r="D441" s="172" t="s">
        <v>96</v>
      </c>
      <c r="E441" s="172" t="s">
        <v>53</v>
      </c>
      <c r="F441" s="172" t="s">
        <v>91</v>
      </c>
      <c r="G441" s="172" t="s">
        <v>85</v>
      </c>
      <c r="H441" s="177">
        <v>1</v>
      </c>
      <c r="I441" s="178">
        <v>1621</v>
      </c>
      <c r="J441" s="176">
        <v>46034</v>
      </c>
      <c r="K441" s="172" t="s">
        <v>94</v>
      </c>
      <c r="L441" s="172" t="s">
        <v>95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483</v>
      </c>
      <c r="B442" s="176">
        <v>46036</v>
      </c>
      <c r="C442" s="172" t="s">
        <v>82</v>
      </c>
      <c r="D442" s="172" t="s">
        <v>83</v>
      </c>
      <c r="E442" s="172" t="s">
        <v>42</v>
      </c>
      <c r="F442" s="172" t="s">
        <v>84</v>
      </c>
      <c r="G442" s="172" t="s">
        <v>85</v>
      </c>
      <c r="H442" s="177">
        <v>1</v>
      </c>
      <c r="I442" s="178">
        <v>0</v>
      </c>
      <c r="J442" s="176">
        <v>46028</v>
      </c>
      <c r="K442" s="172" t="s">
        <v>86</v>
      </c>
      <c r="L442" s="172" t="s">
        <v>86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484</v>
      </c>
      <c r="B443" s="176">
        <v>46036</v>
      </c>
      <c r="C443" s="172" t="s">
        <v>93</v>
      </c>
      <c r="D443" s="172" t="s">
        <v>273</v>
      </c>
      <c r="E443" s="172" t="s">
        <v>42</v>
      </c>
      <c r="F443" s="172" t="s">
        <v>84</v>
      </c>
      <c r="G443" s="172" t="s">
        <v>85</v>
      </c>
      <c r="H443" s="177">
        <v>1</v>
      </c>
      <c r="I443" s="178">
        <v>0</v>
      </c>
      <c r="J443" s="176">
        <v>46027</v>
      </c>
      <c r="K443" s="172" t="s">
        <v>94</v>
      </c>
      <c r="L443" s="172" t="s">
        <v>95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484</v>
      </c>
      <c r="B444" s="176">
        <v>46036</v>
      </c>
      <c r="C444" s="172" t="s">
        <v>93</v>
      </c>
      <c r="D444" s="172" t="s">
        <v>98</v>
      </c>
      <c r="E444" s="172" t="s">
        <v>42</v>
      </c>
      <c r="F444" s="172" t="s">
        <v>84</v>
      </c>
      <c r="G444" s="172" t="s">
        <v>85</v>
      </c>
      <c r="H444" s="177">
        <v>1</v>
      </c>
      <c r="I444" s="178">
        <v>0</v>
      </c>
      <c r="J444" s="176">
        <v>46027</v>
      </c>
      <c r="K444" s="172" t="s">
        <v>94</v>
      </c>
      <c r="L444" s="172" t="s">
        <v>95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484</v>
      </c>
      <c r="B445" s="176">
        <v>46036</v>
      </c>
      <c r="C445" s="172" t="s">
        <v>82</v>
      </c>
      <c r="D445" s="172" t="s">
        <v>99</v>
      </c>
      <c r="E445" s="172" t="s">
        <v>42</v>
      </c>
      <c r="F445" s="172" t="s">
        <v>84</v>
      </c>
      <c r="G445" s="172" t="s">
        <v>85</v>
      </c>
      <c r="H445" s="177">
        <v>1</v>
      </c>
      <c r="I445" s="178">
        <v>0</v>
      </c>
      <c r="J445" s="176">
        <v>46027</v>
      </c>
      <c r="K445" s="172" t="s">
        <v>94</v>
      </c>
      <c r="L445" s="172" t="s">
        <v>95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485</v>
      </c>
      <c r="B446" s="176">
        <v>46036</v>
      </c>
      <c r="C446" s="172" t="s">
        <v>93</v>
      </c>
      <c r="D446" s="172" t="s">
        <v>24</v>
      </c>
      <c r="E446" s="172" t="s">
        <v>43</v>
      </c>
      <c r="F446" s="172" t="s">
        <v>90</v>
      </c>
      <c r="G446" s="172" t="s">
        <v>85</v>
      </c>
      <c r="H446" s="177">
        <v>1</v>
      </c>
      <c r="I446" s="178">
        <v>1750</v>
      </c>
      <c r="J446" s="176">
        <v>46035</v>
      </c>
      <c r="K446" s="172" t="s">
        <v>94</v>
      </c>
      <c r="L446" s="172" t="s">
        <v>95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485</v>
      </c>
      <c r="B447" s="176">
        <v>46036</v>
      </c>
      <c r="C447" s="172" t="s">
        <v>101</v>
      </c>
      <c r="D447" s="172" t="s">
        <v>102</v>
      </c>
      <c r="E447" s="172" t="s">
        <v>43</v>
      </c>
      <c r="F447" s="172" t="s">
        <v>90</v>
      </c>
      <c r="G447" s="172" t="s">
        <v>85</v>
      </c>
      <c r="H447" s="177">
        <v>1</v>
      </c>
      <c r="I447" s="178">
        <v>1750</v>
      </c>
      <c r="J447" s="176">
        <v>46035</v>
      </c>
      <c r="K447" s="172" t="s">
        <v>94</v>
      </c>
      <c r="L447" s="172" t="s">
        <v>95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485</v>
      </c>
      <c r="B448" s="176">
        <v>46036</v>
      </c>
      <c r="C448" s="172" t="s">
        <v>101</v>
      </c>
      <c r="D448" s="172" t="s">
        <v>103</v>
      </c>
      <c r="E448" s="172" t="s">
        <v>43</v>
      </c>
      <c r="F448" s="172" t="s">
        <v>90</v>
      </c>
      <c r="G448" s="172" t="s">
        <v>85</v>
      </c>
      <c r="H448" s="177">
        <v>1</v>
      </c>
      <c r="I448" s="178">
        <v>1750</v>
      </c>
      <c r="J448" s="176">
        <v>46035</v>
      </c>
      <c r="K448" s="172" t="s">
        <v>94</v>
      </c>
      <c r="L448" s="172" t="s">
        <v>95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485</v>
      </c>
      <c r="B449" s="176">
        <v>46036</v>
      </c>
      <c r="C449" s="172" t="s">
        <v>101</v>
      </c>
      <c r="D449" s="172" t="s">
        <v>104</v>
      </c>
      <c r="E449" s="172" t="s">
        <v>43</v>
      </c>
      <c r="F449" s="172" t="s">
        <v>90</v>
      </c>
      <c r="G449" s="172" t="s">
        <v>85</v>
      </c>
      <c r="H449" s="177">
        <v>1</v>
      </c>
      <c r="I449" s="178">
        <v>1750</v>
      </c>
      <c r="J449" s="176">
        <v>46035</v>
      </c>
      <c r="K449" s="172" t="s">
        <v>94</v>
      </c>
      <c r="L449" s="172" t="s">
        <v>95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485</v>
      </c>
      <c r="B450" s="176">
        <v>46036</v>
      </c>
      <c r="C450" s="172" t="s">
        <v>105</v>
      </c>
      <c r="D450" s="172" t="s">
        <v>106</v>
      </c>
      <c r="E450" s="172" t="s">
        <v>43</v>
      </c>
      <c r="F450" s="172" t="s">
        <v>90</v>
      </c>
      <c r="G450" s="172" t="s">
        <v>85</v>
      </c>
      <c r="H450" s="177">
        <v>1</v>
      </c>
      <c r="I450" s="178">
        <v>1750</v>
      </c>
      <c r="J450" s="176">
        <v>46035</v>
      </c>
      <c r="K450" s="172" t="s">
        <v>94</v>
      </c>
      <c r="L450" s="172" t="s">
        <v>95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485</v>
      </c>
      <c r="B451" s="176">
        <v>46036</v>
      </c>
      <c r="C451" s="172" t="s">
        <v>82</v>
      </c>
      <c r="D451" s="172" t="s">
        <v>96</v>
      </c>
      <c r="E451" s="172" t="s">
        <v>43</v>
      </c>
      <c r="F451" s="172" t="s">
        <v>90</v>
      </c>
      <c r="G451" s="172" t="s">
        <v>85</v>
      </c>
      <c r="H451" s="177">
        <v>1</v>
      </c>
      <c r="I451" s="178">
        <v>1750</v>
      </c>
      <c r="J451" s="176">
        <v>46035</v>
      </c>
      <c r="K451" s="172" t="s">
        <v>94</v>
      </c>
      <c r="L451" s="172" t="s">
        <v>95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486</v>
      </c>
      <c r="B452" s="176">
        <v>46036</v>
      </c>
      <c r="C452" s="172" t="s">
        <v>93</v>
      </c>
      <c r="D452" s="172" t="s">
        <v>24</v>
      </c>
      <c r="E452" s="172" t="s">
        <v>53</v>
      </c>
      <c r="F452" s="172" t="s">
        <v>91</v>
      </c>
      <c r="G452" s="172" t="s">
        <v>85</v>
      </c>
      <c r="H452" s="177">
        <v>1</v>
      </c>
      <c r="I452" s="178">
        <v>1621</v>
      </c>
      <c r="J452" s="176">
        <v>46035</v>
      </c>
      <c r="K452" s="172" t="s">
        <v>94</v>
      </c>
      <c r="L452" s="172" t="s">
        <v>95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486</v>
      </c>
      <c r="B453" s="176">
        <v>46036</v>
      </c>
      <c r="C453" s="172" t="s">
        <v>101</v>
      </c>
      <c r="D453" s="172" t="s">
        <v>102</v>
      </c>
      <c r="E453" s="172" t="s">
        <v>53</v>
      </c>
      <c r="F453" s="172" t="s">
        <v>91</v>
      </c>
      <c r="G453" s="172" t="s">
        <v>85</v>
      </c>
      <c r="H453" s="177">
        <v>1</v>
      </c>
      <c r="I453" s="178">
        <v>1621</v>
      </c>
      <c r="J453" s="176">
        <v>46035</v>
      </c>
      <c r="K453" s="172" t="s">
        <v>94</v>
      </c>
      <c r="L453" s="172" t="s">
        <v>95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486</v>
      </c>
      <c r="B454" s="176">
        <v>46036</v>
      </c>
      <c r="C454" s="172" t="s">
        <v>101</v>
      </c>
      <c r="D454" s="172" t="s">
        <v>103</v>
      </c>
      <c r="E454" s="172" t="s">
        <v>53</v>
      </c>
      <c r="F454" s="172" t="s">
        <v>91</v>
      </c>
      <c r="G454" s="172" t="s">
        <v>85</v>
      </c>
      <c r="H454" s="177">
        <v>1</v>
      </c>
      <c r="I454" s="178">
        <v>1621</v>
      </c>
      <c r="J454" s="176">
        <v>46035</v>
      </c>
      <c r="K454" s="172" t="s">
        <v>94</v>
      </c>
      <c r="L454" s="172" t="s">
        <v>95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486</v>
      </c>
      <c r="B455" s="176">
        <v>46036</v>
      </c>
      <c r="C455" s="172" t="s">
        <v>101</v>
      </c>
      <c r="D455" s="172" t="s">
        <v>104</v>
      </c>
      <c r="E455" s="172" t="s">
        <v>53</v>
      </c>
      <c r="F455" s="172" t="s">
        <v>91</v>
      </c>
      <c r="G455" s="172" t="s">
        <v>85</v>
      </c>
      <c r="H455" s="177">
        <v>1</v>
      </c>
      <c r="I455" s="178">
        <v>1621</v>
      </c>
      <c r="J455" s="176">
        <v>46035</v>
      </c>
      <c r="K455" s="172" t="s">
        <v>94</v>
      </c>
      <c r="L455" s="172" t="s">
        <v>95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486</v>
      </c>
      <c r="B456" s="176">
        <v>46036</v>
      </c>
      <c r="C456" s="172" t="s">
        <v>105</v>
      </c>
      <c r="D456" s="172" t="s">
        <v>106</v>
      </c>
      <c r="E456" s="172" t="s">
        <v>53</v>
      </c>
      <c r="F456" s="172" t="s">
        <v>91</v>
      </c>
      <c r="G456" s="172" t="s">
        <v>85</v>
      </c>
      <c r="H456" s="177">
        <v>1</v>
      </c>
      <c r="I456" s="178">
        <v>1621</v>
      </c>
      <c r="J456" s="176">
        <v>46035</v>
      </c>
      <c r="K456" s="172" t="s">
        <v>94</v>
      </c>
      <c r="L456" s="172" t="s">
        <v>95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486</v>
      </c>
      <c r="B457" s="176">
        <v>46036</v>
      </c>
      <c r="C457" s="172" t="s">
        <v>82</v>
      </c>
      <c r="D457" s="172" t="s">
        <v>96</v>
      </c>
      <c r="E457" s="172" t="s">
        <v>53</v>
      </c>
      <c r="F457" s="172" t="s">
        <v>91</v>
      </c>
      <c r="G457" s="172" t="s">
        <v>85</v>
      </c>
      <c r="H457" s="177">
        <v>1</v>
      </c>
      <c r="I457" s="178">
        <v>1621</v>
      </c>
      <c r="J457" s="176">
        <v>46035</v>
      </c>
      <c r="K457" s="172" t="s">
        <v>94</v>
      </c>
      <c r="L457" s="172" t="s">
        <v>95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485</v>
      </c>
      <c r="B458" s="176">
        <v>46036</v>
      </c>
      <c r="C458" s="172" t="s">
        <v>82</v>
      </c>
      <c r="D458" s="172" t="s">
        <v>83</v>
      </c>
      <c r="E458" s="172" t="s">
        <v>43</v>
      </c>
      <c r="F458" s="172" t="s">
        <v>90</v>
      </c>
      <c r="G458" s="172" t="s">
        <v>85</v>
      </c>
      <c r="H458" s="177">
        <v>1</v>
      </c>
      <c r="I458" s="178">
        <v>0</v>
      </c>
      <c r="J458" s="176">
        <v>46035</v>
      </c>
      <c r="K458" s="172" t="s">
        <v>86</v>
      </c>
      <c r="L458" s="172" t="s">
        <v>86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486</v>
      </c>
      <c r="B459" s="176">
        <v>46036</v>
      </c>
      <c r="C459" s="172" t="s">
        <v>82</v>
      </c>
      <c r="D459" s="172" t="s">
        <v>83</v>
      </c>
      <c r="E459" s="172" t="s">
        <v>53</v>
      </c>
      <c r="F459" s="172" t="s">
        <v>91</v>
      </c>
      <c r="G459" s="172" t="s">
        <v>85</v>
      </c>
      <c r="H459" s="177">
        <v>1</v>
      </c>
      <c r="I459" s="178">
        <v>0</v>
      </c>
      <c r="J459" s="176">
        <v>46035</v>
      </c>
      <c r="K459" s="172" t="s">
        <v>86</v>
      </c>
      <c r="L459" s="172" t="s">
        <v>86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487</v>
      </c>
      <c r="B460" s="176">
        <v>46036</v>
      </c>
      <c r="C460" s="172" t="s">
        <v>93</v>
      </c>
      <c r="D460" s="172" t="s">
        <v>24</v>
      </c>
      <c r="E460" s="172" t="s">
        <v>54</v>
      </c>
      <c r="F460" s="172" t="s">
        <v>121</v>
      </c>
      <c r="G460" s="172" t="s">
        <v>85</v>
      </c>
      <c r="H460" s="177">
        <v>1</v>
      </c>
      <c r="I460" s="178">
        <v>0</v>
      </c>
      <c r="J460" s="176">
        <v>46024</v>
      </c>
      <c r="K460" s="172" t="s">
        <v>94</v>
      </c>
      <c r="L460" s="172" t="s">
        <v>95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487</v>
      </c>
      <c r="B461" s="176">
        <v>46036</v>
      </c>
      <c r="C461" s="172" t="s">
        <v>82</v>
      </c>
      <c r="D461" s="172" t="s">
        <v>96</v>
      </c>
      <c r="E461" s="172" t="s">
        <v>54</v>
      </c>
      <c r="F461" s="172" t="s">
        <v>121</v>
      </c>
      <c r="G461" s="172" t="s">
        <v>85</v>
      </c>
      <c r="H461" s="177">
        <v>1</v>
      </c>
      <c r="I461" s="178">
        <v>0</v>
      </c>
      <c r="J461" s="176">
        <v>46024</v>
      </c>
      <c r="K461" s="172" t="s">
        <v>94</v>
      </c>
      <c r="L461" s="172" t="s">
        <v>95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487</v>
      </c>
      <c r="B462" s="176">
        <v>46036</v>
      </c>
      <c r="C462" s="172" t="s">
        <v>93</v>
      </c>
      <c r="D462" s="172" t="s">
        <v>97</v>
      </c>
      <c r="E462" s="172" t="s">
        <v>54</v>
      </c>
      <c r="F462" s="172" t="s">
        <v>121</v>
      </c>
      <c r="G462" s="172" t="s">
        <v>85</v>
      </c>
      <c r="H462" s="177">
        <v>1</v>
      </c>
      <c r="I462" s="178">
        <v>0</v>
      </c>
      <c r="J462" s="176">
        <v>46024</v>
      </c>
      <c r="K462" s="172" t="s">
        <v>94</v>
      </c>
      <c r="L462" s="172" t="s">
        <v>95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487</v>
      </c>
      <c r="B463" s="176">
        <v>46036</v>
      </c>
      <c r="C463" s="172" t="s">
        <v>93</v>
      </c>
      <c r="D463" s="172" t="s">
        <v>98</v>
      </c>
      <c r="E463" s="172" t="s">
        <v>54</v>
      </c>
      <c r="F463" s="172" t="s">
        <v>121</v>
      </c>
      <c r="G463" s="172" t="s">
        <v>85</v>
      </c>
      <c r="H463" s="177">
        <v>1</v>
      </c>
      <c r="I463" s="178">
        <v>0</v>
      </c>
      <c r="J463" s="176">
        <v>46024</v>
      </c>
      <c r="K463" s="172" t="s">
        <v>94</v>
      </c>
      <c r="L463" s="172" t="s">
        <v>95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487</v>
      </c>
      <c r="B464" s="176">
        <v>46036</v>
      </c>
      <c r="C464" s="172" t="s">
        <v>82</v>
      </c>
      <c r="D464" s="172" t="s">
        <v>99</v>
      </c>
      <c r="E464" s="172" t="s">
        <v>54</v>
      </c>
      <c r="F464" s="172" t="s">
        <v>121</v>
      </c>
      <c r="G464" s="172" t="s">
        <v>85</v>
      </c>
      <c r="H464" s="177">
        <v>1</v>
      </c>
      <c r="I464" s="178">
        <v>0</v>
      </c>
      <c r="J464" s="176">
        <v>46024</v>
      </c>
      <c r="K464" s="172" t="s">
        <v>94</v>
      </c>
      <c r="L464" s="172" t="s">
        <v>95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143</v>
      </c>
      <c r="B465" s="176">
        <v>46036</v>
      </c>
      <c r="C465" s="172" t="s">
        <v>110</v>
      </c>
      <c r="D465" s="172" t="s">
        <v>144</v>
      </c>
      <c r="E465" s="172" t="s">
        <v>86</v>
      </c>
      <c r="F465" s="172" t="s">
        <v>86</v>
      </c>
      <c r="G465" s="172" t="s">
        <v>86</v>
      </c>
      <c r="H465" s="177">
        <v>0</v>
      </c>
      <c r="I465" s="178">
        <v>0</v>
      </c>
      <c r="J465" s="176">
        <v>46036</v>
      </c>
      <c r="K465" s="172" t="s">
        <v>86</v>
      </c>
      <c r="L465" s="172" t="s">
        <v>86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414</v>
      </c>
      <c r="B466" s="176">
        <v>46036</v>
      </c>
      <c r="C466" s="172" t="s">
        <v>110</v>
      </c>
      <c r="D466" s="172" t="s">
        <v>140</v>
      </c>
      <c r="E466" s="172" t="s">
        <v>86</v>
      </c>
      <c r="F466" s="172" t="s">
        <v>86</v>
      </c>
      <c r="G466" s="172" t="s">
        <v>86</v>
      </c>
      <c r="H466" s="177">
        <v>0</v>
      </c>
      <c r="I466" s="178">
        <v>0</v>
      </c>
      <c r="J466" s="176">
        <v>46036</v>
      </c>
      <c r="K466" s="172" t="s">
        <v>86</v>
      </c>
      <c r="L466" s="172" t="s">
        <v>86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416</v>
      </c>
      <c r="B467" s="176">
        <v>46036</v>
      </c>
      <c r="C467" s="172" t="s">
        <v>110</v>
      </c>
      <c r="D467" s="172" t="s">
        <v>140</v>
      </c>
      <c r="E467" s="172" t="s">
        <v>86</v>
      </c>
      <c r="F467" s="172" t="s">
        <v>86</v>
      </c>
      <c r="G467" s="172" t="s">
        <v>86</v>
      </c>
      <c r="H467" s="177">
        <v>0</v>
      </c>
      <c r="I467" s="178">
        <v>0</v>
      </c>
      <c r="J467" s="176">
        <v>46036</v>
      </c>
      <c r="K467" s="172" t="s">
        <v>86</v>
      </c>
      <c r="L467" s="172" t="s">
        <v>86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145</v>
      </c>
      <c r="B468" s="176">
        <v>46036</v>
      </c>
      <c r="C468" s="172" t="s">
        <v>110</v>
      </c>
      <c r="D468" s="172" t="s">
        <v>140</v>
      </c>
      <c r="E468" s="172" t="s">
        <v>86</v>
      </c>
      <c r="F468" s="172" t="s">
        <v>86</v>
      </c>
      <c r="G468" s="172" t="s">
        <v>86</v>
      </c>
      <c r="H468" s="177">
        <v>0</v>
      </c>
      <c r="I468" s="178">
        <v>0</v>
      </c>
      <c r="J468" s="176">
        <v>46036</v>
      </c>
      <c r="K468" s="172" t="s">
        <v>86</v>
      </c>
      <c r="L468" s="172" t="s">
        <v>86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139</v>
      </c>
      <c r="B469" s="176">
        <v>46036</v>
      </c>
      <c r="C469" s="172" t="s">
        <v>110</v>
      </c>
      <c r="D469" s="172" t="s">
        <v>140</v>
      </c>
      <c r="E469" s="172" t="s">
        <v>86</v>
      </c>
      <c r="F469" s="172" t="s">
        <v>86</v>
      </c>
      <c r="G469" s="172" t="s">
        <v>86</v>
      </c>
      <c r="H469" s="177">
        <v>0</v>
      </c>
      <c r="I469" s="178">
        <v>0</v>
      </c>
      <c r="J469" s="176">
        <v>46036</v>
      </c>
      <c r="K469" s="172" t="s">
        <v>86</v>
      </c>
      <c r="L469" s="172" t="s">
        <v>86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146</v>
      </c>
      <c r="B470" s="176">
        <v>46036</v>
      </c>
      <c r="C470" s="172" t="s">
        <v>110</v>
      </c>
      <c r="D470" s="172" t="s">
        <v>140</v>
      </c>
      <c r="E470" s="172" t="s">
        <v>86</v>
      </c>
      <c r="F470" s="172" t="s">
        <v>86</v>
      </c>
      <c r="G470" s="172" t="s">
        <v>86</v>
      </c>
      <c r="H470" s="177">
        <v>0</v>
      </c>
      <c r="I470" s="178">
        <v>0</v>
      </c>
      <c r="J470" s="176">
        <v>46036</v>
      </c>
      <c r="K470" s="172" t="s">
        <v>86</v>
      </c>
      <c r="L470" s="172" t="s">
        <v>86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141</v>
      </c>
      <c r="B471" s="176">
        <v>46036</v>
      </c>
      <c r="C471" s="172" t="s">
        <v>110</v>
      </c>
      <c r="D471" s="172" t="s">
        <v>140</v>
      </c>
      <c r="E471" s="172" t="s">
        <v>86</v>
      </c>
      <c r="F471" s="172" t="s">
        <v>86</v>
      </c>
      <c r="G471" s="172" t="s">
        <v>86</v>
      </c>
      <c r="H471" s="177">
        <v>0</v>
      </c>
      <c r="I471" s="178">
        <v>0</v>
      </c>
      <c r="J471" s="176">
        <v>46036</v>
      </c>
      <c r="K471" s="172" t="s">
        <v>86</v>
      </c>
      <c r="L471" s="172" t="s">
        <v>86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147</v>
      </c>
      <c r="B472" s="176">
        <v>46036</v>
      </c>
      <c r="C472" s="172" t="s">
        <v>110</v>
      </c>
      <c r="D472" s="172" t="s">
        <v>140</v>
      </c>
      <c r="E472" s="172" t="s">
        <v>86</v>
      </c>
      <c r="F472" s="172" t="s">
        <v>86</v>
      </c>
      <c r="G472" s="172" t="s">
        <v>86</v>
      </c>
      <c r="H472" s="177">
        <v>0</v>
      </c>
      <c r="I472" s="178">
        <v>0</v>
      </c>
      <c r="J472" s="176">
        <v>46036</v>
      </c>
      <c r="K472" s="172" t="s">
        <v>86</v>
      </c>
      <c r="L472" s="172" t="s">
        <v>86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415</v>
      </c>
      <c r="B473" s="176">
        <v>46036</v>
      </c>
      <c r="C473" s="172" t="s">
        <v>110</v>
      </c>
      <c r="D473" s="172" t="s">
        <v>140</v>
      </c>
      <c r="E473" s="172" t="s">
        <v>86</v>
      </c>
      <c r="F473" s="172" t="s">
        <v>86</v>
      </c>
      <c r="G473" s="172" t="s">
        <v>86</v>
      </c>
      <c r="H473" s="177">
        <v>0</v>
      </c>
      <c r="I473" s="178">
        <v>0</v>
      </c>
      <c r="J473" s="176">
        <v>46036</v>
      </c>
      <c r="K473" s="172" t="s">
        <v>86</v>
      </c>
      <c r="L473" s="172" t="s">
        <v>86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488</v>
      </c>
      <c r="B474" s="176">
        <v>46037</v>
      </c>
      <c r="C474" s="172" t="s">
        <v>93</v>
      </c>
      <c r="D474" s="172" t="s">
        <v>97</v>
      </c>
      <c r="E474" s="172" t="s">
        <v>54</v>
      </c>
      <c r="F474" s="172" t="s">
        <v>121</v>
      </c>
      <c r="G474" s="172" t="s">
        <v>85</v>
      </c>
      <c r="H474" s="177">
        <v>1</v>
      </c>
      <c r="I474" s="178">
        <v>0</v>
      </c>
      <c r="J474" s="176">
        <v>46025</v>
      </c>
      <c r="K474" s="172" t="s">
        <v>94</v>
      </c>
      <c r="L474" s="172" t="s">
        <v>95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488</v>
      </c>
      <c r="B475" s="176">
        <v>46037</v>
      </c>
      <c r="C475" s="172" t="s">
        <v>93</v>
      </c>
      <c r="D475" s="172" t="s">
        <v>98</v>
      </c>
      <c r="E475" s="172" t="s">
        <v>54</v>
      </c>
      <c r="F475" s="172" t="s">
        <v>121</v>
      </c>
      <c r="G475" s="172" t="s">
        <v>85</v>
      </c>
      <c r="H475" s="177">
        <v>1</v>
      </c>
      <c r="I475" s="178">
        <v>0</v>
      </c>
      <c r="J475" s="176">
        <v>46025</v>
      </c>
      <c r="K475" s="172" t="s">
        <v>94</v>
      </c>
      <c r="L475" s="172" t="s">
        <v>95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488</v>
      </c>
      <c r="B476" s="176">
        <v>46037</v>
      </c>
      <c r="C476" s="172" t="s">
        <v>82</v>
      </c>
      <c r="D476" s="172" t="s">
        <v>99</v>
      </c>
      <c r="E476" s="172" t="s">
        <v>54</v>
      </c>
      <c r="F476" s="172" t="s">
        <v>121</v>
      </c>
      <c r="G476" s="172" t="s">
        <v>85</v>
      </c>
      <c r="H476" s="177">
        <v>1</v>
      </c>
      <c r="I476" s="178">
        <v>0</v>
      </c>
      <c r="J476" s="176">
        <v>46025</v>
      </c>
      <c r="K476" s="172" t="s">
        <v>94</v>
      </c>
      <c r="L476" s="172" t="s">
        <v>95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488</v>
      </c>
      <c r="B477" s="176">
        <v>46037</v>
      </c>
      <c r="C477" s="172" t="s">
        <v>93</v>
      </c>
      <c r="D477" s="172" t="s">
        <v>24</v>
      </c>
      <c r="E477" s="172" t="s">
        <v>54</v>
      </c>
      <c r="F477" s="172" t="s">
        <v>121</v>
      </c>
      <c r="G477" s="172" t="s">
        <v>85</v>
      </c>
      <c r="H477" s="177">
        <v>1</v>
      </c>
      <c r="I477" s="178">
        <v>0</v>
      </c>
      <c r="J477" s="176">
        <v>46025</v>
      </c>
      <c r="K477" s="172" t="s">
        <v>94</v>
      </c>
      <c r="L477" s="172" t="s">
        <v>95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488</v>
      </c>
      <c r="B478" s="176">
        <v>46037</v>
      </c>
      <c r="C478" s="172" t="s">
        <v>82</v>
      </c>
      <c r="D478" s="172" t="s">
        <v>96</v>
      </c>
      <c r="E478" s="172" t="s">
        <v>54</v>
      </c>
      <c r="F478" s="172" t="s">
        <v>121</v>
      </c>
      <c r="G478" s="172" t="s">
        <v>85</v>
      </c>
      <c r="H478" s="177">
        <v>1</v>
      </c>
      <c r="I478" s="178">
        <v>0</v>
      </c>
      <c r="J478" s="176">
        <v>46025</v>
      </c>
      <c r="K478" s="172" t="s">
        <v>94</v>
      </c>
      <c r="L478" s="172" t="s">
        <v>95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489</v>
      </c>
      <c r="B479" s="176">
        <v>46037</v>
      </c>
      <c r="C479" s="172" t="s">
        <v>93</v>
      </c>
      <c r="D479" s="172" t="s">
        <v>24</v>
      </c>
      <c r="E479" s="172" t="s">
        <v>44</v>
      </c>
      <c r="F479" s="172" t="s">
        <v>126</v>
      </c>
      <c r="G479" s="172" t="s">
        <v>85</v>
      </c>
      <c r="H479" s="177">
        <v>1</v>
      </c>
      <c r="I479" s="178">
        <v>0</v>
      </c>
      <c r="J479" s="176">
        <v>46026</v>
      </c>
      <c r="K479" s="172" t="s">
        <v>94</v>
      </c>
      <c r="L479" s="172" t="s">
        <v>95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489</v>
      </c>
      <c r="B480" s="176">
        <v>46037</v>
      </c>
      <c r="C480" s="172" t="s">
        <v>82</v>
      </c>
      <c r="D480" s="172" t="s">
        <v>96</v>
      </c>
      <c r="E480" s="172" t="s">
        <v>44</v>
      </c>
      <c r="F480" s="172" t="s">
        <v>126</v>
      </c>
      <c r="G480" s="172" t="s">
        <v>85</v>
      </c>
      <c r="H480" s="177">
        <v>1</v>
      </c>
      <c r="I480" s="178">
        <v>0</v>
      </c>
      <c r="J480" s="176">
        <v>46026</v>
      </c>
      <c r="K480" s="172" t="s">
        <v>94</v>
      </c>
      <c r="L480" s="172" t="s">
        <v>95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489</v>
      </c>
      <c r="B481" s="176">
        <v>46037</v>
      </c>
      <c r="C481" s="172" t="s">
        <v>93</v>
      </c>
      <c r="D481" s="172" t="s">
        <v>97</v>
      </c>
      <c r="E481" s="172" t="s">
        <v>44</v>
      </c>
      <c r="F481" s="172" t="s">
        <v>126</v>
      </c>
      <c r="G481" s="172" t="s">
        <v>85</v>
      </c>
      <c r="H481" s="177">
        <v>1</v>
      </c>
      <c r="I481" s="178">
        <v>0</v>
      </c>
      <c r="J481" s="176">
        <v>46026</v>
      </c>
      <c r="K481" s="172" t="s">
        <v>94</v>
      </c>
      <c r="L481" s="172" t="s">
        <v>95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489</v>
      </c>
      <c r="B482" s="176">
        <v>46037</v>
      </c>
      <c r="C482" s="172" t="s">
        <v>93</v>
      </c>
      <c r="D482" s="172" t="s">
        <v>98</v>
      </c>
      <c r="E482" s="172" t="s">
        <v>44</v>
      </c>
      <c r="F482" s="172" t="s">
        <v>126</v>
      </c>
      <c r="G482" s="172" t="s">
        <v>85</v>
      </c>
      <c r="H482" s="177">
        <v>1</v>
      </c>
      <c r="I482" s="178">
        <v>0</v>
      </c>
      <c r="J482" s="176">
        <v>46026</v>
      </c>
      <c r="K482" s="172" t="s">
        <v>94</v>
      </c>
      <c r="L482" s="172" t="s">
        <v>95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489</v>
      </c>
      <c r="B483" s="176">
        <v>46037</v>
      </c>
      <c r="C483" s="172" t="s">
        <v>82</v>
      </c>
      <c r="D483" s="172" t="s">
        <v>99</v>
      </c>
      <c r="E483" s="172" t="s">
        <v>44</v>
      </c>
      <c r="F483" s="172" t="s">
        <v>126</v>
      </c>
      <c r="G483" s="172" t="s">
        <v>85</v>
      </c>
      <c r="H483" s="177">
        <v>1</v>
      </c>
      <c r="I483" s="178">
        <v>0</v>
      </c>
      <c r="J483" s="176">
        <v>46026</v>
      </c>
      <c r="K483" s="172" t="s">
        <v>94</v>
      </c>
      <c r="L483" s="172" t="s">
        <v>95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490</v>
      </c>
      <c r="B484" s="176">
        <v>46037</v>
      </c>
      <c r="C484" s="172" t="s">
        <v>93</v>
      </c>
      <c r="D484" s="172" t="s">
        <v>24</v>
      </c>
      <c r="E484" s="172" t="s">
        <v>54</v>
      </c>
      <c r="F484" s="172" t="s">
        <v>121</v>
      </c>
      <c r="G484" s="172" t="s">
        <v>85</v>
      </c>
      <c r="H484" s="177">
        <v>1</v>
      </c>
      <c r="I484" s="178">
        <v>1845</v>
      </c>
      <c r="J484" s="176">
        <v>46021</v>
      </c>
      <c r="K484" s="172" t="s">
        <v>94</v>
      </c>
      <c r="L484" s="172" t="s">
        <v>95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490</v>
      </c>
      <c r="B485" s="176">
        <v>46037</v>
      </c>
      <c r="C485" s="172" t="s">
        <v>101</v>
      </c>
      <c r="D485" s="172" t="s">
        <v>102</v>
      </c>
      <c r="E485" s="172" t="s">
        <v>54</v>
      </c>
      <c r="F485" s="172" t="s">
        <v>121</v>
      </c>
      <c r="G485" s="172" t="s">
        <v>85</v>
      </c>
      <c r="H485" s="177">
        <v>1</v>
      </c>
      <c r="I485" s="178">
        <v>1845</v>
      </c>
      <c r="J485" s="176">
        <v>46021</v>
      </c>
      <c r="K485" s="172" t="s">
        <v>94</v>
      </c>
      <c r="L485" s="172" t="s">
        <v>95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490</v>
      </c>
      <c r="B486" s="176">
        <v>46037</v>
      </c>
      <c r="C486" s="172" t="s">
        <v>101</v>
      </c>
      <c r="D486" s="172" t="s">
        <v>103</v>
      </c>
      <c r="E486" s="172" t="s">
        <v>54</v>
      </c>
      <c r="F486" s="172" t="s">
        <v>121</v>
      </c>
      <c r="G486" s="172" t="s">
        <v>85</v>
      </c>
      <c r="H486" s="177">
        <v>1</v>
      </c>
      <c r="I486" s="178">
        <v>1845</v>
      </c>
      <c r="J486" s="176">
        <v>46021</v>
      </c>
      <c r="K486" s="172" t="s">
        <v>94</v>
      </c>
      <c r="L486" s="172" t="s">
        <v>95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490</v>
      </c>
      <c r="B487" s="176">
        <v>46037</v>
      </c>
      <c r="C487" s="172" t="s">
        <v>101</v>
      </c>
      <c r="D487" s="172" t="s">
        <v>104</v>
      </c>
      <c r="E487" s="172" t="s">
        <v>54</v>
      </c>
      <c r="F487" s="172" t="s">
        <v>121</v>
      </c>
      <c r="G487" s="172" t="s">
        <v>85</v>
      </c>
      <c r="H487" s="177">
        <v>1</v>
      </c>
      <c r="I487" s="178">
        <v>1845</v>
      </c>
      <c r="J487" s="176">
        <v>46021</v>
      </c>
      <c r="K487" s="172" t="s">
        <v>94</v>
      </c>
      <c r="L487" s="172" t="s">
        <v>95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490</v>
      </c>
      <c r="B488" s="176">
        <v>46037</v>
      </c>
      <c r="C488" s="172" t="s">
        <v>105</v>
      </c>
      <c r="D488" s="172" t="s">
        <v>106</v>
      </c>
      <c r="E488" s="172" t="s">
        <v>54</v>
      </c>
      <c r="F488" s="172" t="s">
        <v>121</v>
      </c>
      <c r="G488" s="172" t="s">
        <v>85</v>
      </c>
      <c r="H488" s="177">
        <v>1</v>
      </c>
      <c r="I488" s="178">
        <v>1845</v>
      </c>
      <c r="J488" s="176">
        <v>46021</v>
      </c>
      <c r="K488" s="172" t="s">
        <v>94</v>
      </c>
      <c r="L488" s="172" t="s">
        <v>95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490</v>
      </c>
      <c r="B489" s="176">
        <v>46037</v>
      </c>
      <c r="C489" s="172" t="s">
        <v>82</v>
      </c>
      <c r="D489" s="172" t="s">
        <v>96</v>
      </c>
      <c r="E489" s="172" t="s">
        <v>54</v>
      </c>
      <c r="F489" s="172" t="s">
        <v>121</v>
      </c>
      <c r="G489" s="172" t="s">
        <v>85</v>
      </c>
      <c r="H489" s="177">
        <v>1</v>
      </c>
      <c r="I489" s="178">
        <v>1845</v>
      </c>
      <c r="J489" s="176">
        <v>46021</v>
      </c>
      <c r="K489" s="172" t="s">
        <v>94</v>
      </c>
      <c r="L489" s="172" t="s">
        <v>95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491</v>
      </c>
      <c r="B490" s="176">
        <v>46037</v>
      </c>
      <c r="C490" s="172" t="s">
        <v>93</v>
      </c>
      <c r="D490" s="172" t="s">
        <v>24</v>
      </c>
      <c r="E490" s="172" t="s">
        <v>42</v>
      </c>
      <c r="F490" s="172" t="s">
        <v>84</v>
      </c>
      <c r="G490" s="172" t="s">
        <v>85</v>
      </c>
      <c r="H490" s="177">
        <v>1</v>
      </c>
      <c r="I490" s="178">
        <v>0</v>
      </c>
      <c r="J490" s="176">
        <v>46029</v>
      </c>
      <c r="K490" s="172" t="s">
        <v>94</v>
      </c>
      <c r="L490" s="172" t="s">
        <v>95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491</v>
      </c>
      <c r="B491" s="176">
        <v>46037</v>
      </c>
      <c r="C491" s="172" t="s">
        <v>82</v>
      </c>
      <c r="D491" s="172" t="s">
        <v>96</v>
      </c>
      <c r="E491" s="172" t="s">
        <v>42</v>
      </c>
      <c r="F491" s="172" t="s">
        <v>84</v>
      </c>
      <c r="G491" s="172" t="s">
        <v>85</v>
      </c>
      <c r="H491" s="177">
        <v>1</v>
      </c>
      <c r="I491" s="178">
        <v>0</v>
      </c>
      <c r="J491" s="176">
        <v>46029</v>
      </c>
      <c r="K491" s="172" t="s">
        <v>94</v>
      </c>
      <c r="L491" s="172" t="s">
        <v>95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491</v>
      </c>
      <c r="B492" s="176">
        <v>46037</v>
      </c>
      <c r="C492" s="172" t="s">
        <v>93</v>
      </c>
      <c r="D492" s="172" t="s">
        <v>97</v>
      </c>
      <c r="E492" s="172" t="s">
        <v>42</v>
      </c>
      <c r="F492" s="172" t="s">
        <v>84</v>
      </c>
      <c r="G492" s="172" t="s">
        <v>85</v>
      </c>
      <c r="H492" s="177">
        <v>1</v>
      </c>
      <c r="I492" s="178">
        <v>0</v>
      </c>
      <c r="J492" s="176">
        <v>46029</v>
      </c>
      <c r="K492" s="172" t="s">
        <v>94</v>
      </c>
      <c r="L492" s="172" t="s">
        <v>95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491</v>
      </c>
      <c r="B493" s="176">
        <v>46037</v>
      </c>
      <c r="C493" s="172" t="s">
        <v>93</v>
      </c>
      <c r="D493" s="172" t="s">
        <v>98</v>
      </c>
      <c r="E493" s="172" t="s">
        <v>42</v>
      </c>
      <c r="F493" s="172" t="s">
        <v>84</v>
      </c>
      <c r="G493" s="172" t="s">
        <v>85</v>
      </c>
      <c r="H493" s="177">
        <v>1</v>
      </c>
      <c r="I493" s="178">
        <v>0</v>
      </c>
      <c r="J493" s="176">
        <v>46029</v>
      </c>
      <c r="K493" s="172" t="s">
        <v>94</v>
      </c>
      <c r="L493" s="172" t="s">
        <v>95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491</v>
      </c>
      <c r="B494" s="176">
        <v>46037</v>
      </c>
      <c r="C494" s="172" t="s">
        <v>82</v>
      </c>
      <c r="D494" s="172" t="s">
        <v>99</v>
      </c>
      <c r="E494" s="172" t="s">
        <v>42</v>
      </c>
      <c r="F494" s="172" t="s">
        <v>84</v>
      </c>
      <c r="G494" s="172" t="s">
        <v>85</v>
      </c>
      <c r="H494" s="177">
        <v>1</v>
      </c>
      <c r="I494" s="178">
        <v>0</v>
      </c>
      <c r="J494" s="176">
        <v>46029</v>
      </c>
      <c r="K494" s="172" t="s">
        <v>94</v>
      </c>
      <c r="L494" s="172" t="s">
        <v>95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492</v>
      </c>
      <c r="B495" s="176">
        <v>46037</v>
      </c>
      <c r="C495" s="172" t="s">
        <v>93</v>
      </c>
      <c r="D495" s="172" t="s">
        <v>97</v>
      </c>
      <c r="E495" s="172" t="s">
        <v>54</v>
      </c>
      <c r="F495" s="172" t="s">
        <v>121</v>
      </c>
      <c r="G495" s="172" t="s">
        <v>85</v>
      </c>
      <c r="H495" s="177">
        <v>1</v>
      </c>
      <c r="I495" s="178">
        <v>0</v>
      </c>
      <c r="J495" s="176">
        <v>46028</v>
      </c>
      <c r="K495" s="172" t="s">
        <v>94</v>
      </c>
      <c r="L495" s="172" t="s">
        <v>95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492</v>
      </c>
      <c r="B496" s="176">
        <v>46037</v>
      </c>
      <c r="C496" s="172" t="s">
        <v>93</v>
      </c>
      <c r="D496" s="172" t="s">
        <v>98</v>
      </c>
      <c r="E496" s="172" t="s">
        <v>54</v>
      </c>
      <c r="F496" s="172" t="s">
        <v>121</v>
      </c>
      <c r="G496" s="172" t="s">
        <v>85</v>
      </c>
      <c r="H496" s="177">
        <v>1</v>
      </c>
      <c r="I496" s="178">
        <v>0</v>
      </c>
      <c r="J496" s="176">
        <v>46028</v>
      </c>
      <c r="K496" s="172" t="s">
        <v>94</v>
      </c>
      <c r="L496" s="172" t="s">
        <v>95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492</v>
      </c>
      <c r="B497" s="176">
        <v>46037</v>
      </c>
      <c r="C497" s="172" t="s">
        <v>82</v>
      </c>
      <c r="D497" s="172" t="s">
        <v>99</v>
      </c>
      <c r="E497" s="172" t="s">
        <v>54</v>
      </c>
      <c r="F497" s="172" t="s">
        <v>121</v>
      </c>
      <c r="G497" s="172" t="s">
        <v>85</v>
      </c>
      <c r="H497" s="177">
        <v>1</v>
      </c>
      <c r="I497" s="178">
        <v>0</v>
      </c>
      <c r="J497" s="176">
        <v>46028</v>
      </c>
      <c r="K497" s="172" t="s">
        <v>94</v>
      </c>
      <c r="L497" s="172" t="s">
        <v>95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492</v>
      </c>
      <c r="B498" s="176">
        <v>46037</v>
      </c>
      <c r="C498" s="172" t="s">
        <v>93</v>
      </c>
      <c r="D498" s="172" t="s">
        <v>24</v>
      </c>
      <c r="E498" s="172" t="s">
        <v>54</v>
      </c>
      <c r="F498" s="172" t="s">
        <v>121</v>
      </c>
      <c r="G498" s="172" t="s">
        <v>85</v>
      </c>
      <c r="H498" s="177">
        <v>1</v>
      </c>
      <c r="I498" s="178">
        <v>0</v>
      </c>
      <c r="J498" s="176">
        <v>46028</v>
      </c>
      <c r="K498" s="172" t="s">
        <v>94</v>
      </c>
      <c r="L498" s="172" t="s">
        <v>95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492</v>
      </c>
      <c r="B499" s="176">
        <v>46037</v>
      </c>
      <c r="C499" s="172" t="s">
        <v>82</v>
      </c>
      <c r="D499" s="172" t="s">
        <v>96</v>
      </c>
      <c r="E499" s="172" t="s">
        <v>54</v>
      </c>
      <c r="F499" s="172" t="s">
        <v>121</v>
      </c>
      <c r="G499" s="172" t="s">
        <v>85</v>
      </c>
      <c r="H499" s="177">
        <v>1</v>
      </c>
      <c r="I499" s="178">
        <v>0</v>
      </c>
      <c r="J499" s="176">
        <v>46028</v>
      </c>
      <c r="K499" s="172" t="s">
        <v>94</v>
      </c>
      <c r="L499" s="172" t="s">
        <v>95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493</v>
      </c>
      <c r="B500" s="176">
        <v>46037</v>
      </c>
      <c r="C500" s="172" t="s">
        <v>93</v>
      </c>
      <c r="D500" s="172" t="s">
        <v>24</v>
      </c>
      <c r="E500" s="172" t="s">
        <v>54</v>
      </c>
      <c r="F500" s="172" t="s">
        <v>121</v>
      </c>
      <c r="G500" s="172" t="s">
        <v>85</v>
      </c>
      <c r="H500" s="177">
        <v>1</v>
      </c>
      <c r="I500" s="178">
        <v>0</v>
      </c>
      <c r="J500" s="176">
        <v>46031</v>
      </c>
      <c r="K500" s="172" t="s">
        <v>94</v>
      </c>
      <c r="L500" s="172" t="s">
        <v>95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493</v>
      </c>
      <c r="B501" s="176">
        <v>46037</v>
      </c>
      <c r="C501" s="172" t="s">
        <v>93</v>
      </c>
      <c r="D501" s="172" t="s">
        <v>97</v>
      </c>
      <c r="E501" s="172" t="s">
        <v>54</v>
      </c>
      <c r="F501" s="172" t="s">
        <v>121</v>
      </c>
      <c r="G501" s="172" t="s">
        <v>85</v>
      </c>
      <c r="H501" s="177">
        <v>1</v>
      </c>
      <c r="I501" s="178">
        <v>0</v>
      </c>
      <c r="J501" s="176">
        <v>46031</v>
      </c>
      <c r="K501" s="172" t="s">
        <v>94</v>
      </c>
      <c r="L501" s="172" t="s">
        <v>95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493</v>
      </c>
      <c r="B502" s="176">
        <v>46037</v>
      </c>
      <c r="C502" s="172" t="s">
        <v>93</v>
      </c>
      <c r="D502" s="172" t="s">
        <v>98</v>
      </c>
      <c r="E502" s="172" t="s">
        <v>54</v>
      </c>
      <c r="F502" s="172" t="s">
        <v>121</v>
      </c>
      <c r="G502" s="172" t="s">
        <v>85</v>
      </c>
      <c r="H502" s="177">
        <v>1</v>
      </c>
      <c r="I502" s="178">
        <v>0</v>
      </c>
      <c r="J502" s="176">
        <v>46031</v>
      </c>
      <c r="K502" s="172" t="s">
        <v>94</v>
      </c>
      <c r="L502" s="172" t="s">
        <v>95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494</v>
      </c>
      <c r="B503" s="176">
        <v>46037</v>
      </c>
      <c r="C503" s="172" t="s">
        <v>93</v>
      </c>
      <c r="D503" s="172" t="s">
        <v>273</v>
      </c>
      <c r="E503" s="172" t="s">
        <v>53</v>
      </c>
      <c r="F503" s="172" t="s">
        <v>91</v>
      </c>
      <c r="G503" s="172" t="s">
        <v>85</v>
      </c>
      <c r="H503" s="177">
        <v>1</v>
      </c>
      <c r="I503" s="178">
        <v>0</v>
      </c>
      <c r="J503" s="176">
        <v>46030</v>
      </c>
      <c r="K503" s="172" t="s">
        <v>94</v>
      </c>
      <c r="L503" s="172" t="s">
        <v>95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494</v>
      </c>
      <c r="B504" s="176">
        <v>46037</v>
      </c>
      <c r="C504" s="172" t="s">
        <v>93</v>
      </c>
      <c r="D504" s="172" t="s">
        <v>98</v>
      </c>
      <c r="E504" s="172" t="s">
        <v>53</v>
      </c>
      <c r="F504" s="172" t="s">
        <v>91</v>
      </c>
      <c r="G504" s="172" t="s">
        <v>85</v>
      </c>
      <c r="H504" s="177">
        <v>1</v>
      </c>
      <c r="I504" s="178">
        <v>0</v>
      </c>
      <c r="J504" s="176">
        <v>46030</v>
      </c>
      <c r="K504" s="172" t="s">
        <v>94</v>
      </c>
      <c r="L504" s="172" t="s">
        <v>95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494</v>
      </c>
      <c r="B505" s="176">
        <v>46037</v>
      </c>
      <c r="C505" s="172" t="s">
        <v>82</v>
      </c>
      <c r="D505" s="172" t="s">
        <v>99</v>
      </c>
      <c r="E505" s="172" t="s">
        <v>53</v>
      </c>
      <c r="F505" s="172" t="s">
        <v>91</v>
      </c>
      <c r="G505" s="172" t="s">
        <v>85</v>
      </c>
      <c r="H505" s="177">
        <v>1</v>
      </c>
      <c r="I505" s="178">
        <v>0</v>
      </c>
      <c r="J505" s="176">
        <v>46030</v>
      </c>
      <c r="K505" s="172" t="s">
        <v>94</v>
      </c>
      <c r="L505" s="172" t="s">
        <v>95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495</v>
      </c>
      <c r="B506" s="176">
        <v>46037</v>
      </c>
      <c r="C506" s="172" t="s">
        <v>93</v>
      </c>
      <c r="D506" s="172" t="s">
        <v>24</v>
      </c>
      <c r="E506" s="172" t="s">
        <v>54</v>
      </c>
      <c r="F506" s="172" t="s">
        <v>121</v>
      </c>
      <c r="G506" s="172" t="s">
        <v>85</v>
      </c>
      <c r="H506" s="177">
        <v>1</v>
      </c>
      <c r="I506" s="178">
        <v>0</v>
      </c>
      <c r="J506" s="176">
        <v>46013</v>
      </c>
      <c r="K506" s="172" t="s">
        <v>94</v>
      </c>
      <c r="L506" s="172" t="s">
        <v>95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495</v>
      </c>
      <c r="B507" s="176">
        <v>46037</v>
      </c>
      <c r="C507" s="172" t="s">
        <v>82</v>
      </c>
      <c r="D507" s="172" t="s">
        <v>96</v>
      </c>
      <c r="E507" s="172" t="s">
        <v>54</v>
      </c>
      <c r="F507" s="172" t="s">
        <v>121</v>
      </c>
      <c r="G507" s="172" t="s">
        <v>85</v>
      </c>
      <c r="H507" s="177">
        <v>1</v>
      </c>
      <c r="I507" s="178">
        <v>0</v>
      </c>
      <c r="J507" s="176">
        <v>46013</v>
      </c>
      <c r="K507" s="172" t="s">
        <v>94</v>
      </c>
      <c r="L507" s="172" t="s">
        <v>95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495</v>
      </c>
      <c r="B508" s="176">
        <v>46037</v>
      </c>
      <c r="C508" s="172" t="s">
        <v>93</v>
      </c>
      <c r="D508" s="172" t="s">
        <v>97</v>
      </c>
      <c r="E508" s="172" t="s">
        <v>54</v>
      </c>
      <c r="F508" s="172" t="s">
        <v>121</v>
      </c>
      <c r="G508" s="172" t="s">
        <v>85</v>
      </c>
      <c r="H508" s="177">
        <v>1</v>
      </c>
      <c r="I508" s="178">
        <v>0</v>
      </c>
      <c r="J508" s="176">
        <v>46013</v>
      </c>
      <c r="K508" s="172" t="s">
        <v>94</v>
      </c>
      <c r="L508" s="172" t="s">
        <v>95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495</v>
      </c>
      <c r="B509" s="176">
        <v>46037</v>
      </c>
      <c r="C509" s="172" t="s">
        <v>93</v>
      </c>
      <c r="D509" s="172" t="s">
        <v>98</v>
      </c>
      <c r="E509" s="172" t="s">
        <v>54</v>
      </c>
      <c r="F509" s="172" t="s">
        <v>121</v>
      </c>
      <c r="G509" s="172" t="s">
        <v>85</v>
      </c>
      <c r="H509" s="177">
        <v>1</v>
      </c>
      <c r="I509" s="178">
        <v>0</v>
      </c>
      <c r="J509" s="176">
        <v>46013</v>
      </c>
      <c r="K509" s="172" t="s">
        <v>94</v>
      </c>
      <c r="L509" s="172" t="s">
        <v>95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496</v>
      </c>
      <c r="B510" s="176">
        <v>46037</v>
      </c>
      <c r="C510" s="172" t="s">
        <v>82</v>
      </c>
      <c r="D510" s="172" t="s">
        <v>83</v>
      </c>
      <c r="E510" s="172" t="s">
        <v>43</v>
      </c>
      <c r="F510" s="172" t="s">
        <v>90</v>
      </c>
      <c r="G510" s="172" t="s">
        <v>85</v>
      </c>
      <c r="H510" s="177">
        <v>1</v>
      </c>
      <c r="I510" s="178">
        <v>0</v>
      </c>
      <c r="J510" s="176">
        <v>46037</v>
      </c>
      <c r="K510" s="172" t="s">
        <v>86</v>
      </c>
      <c r="L510" s="172" t="s">
        <v>86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86</v>
      </c>
      <c r="B511" s="176">
        <v>46037</v>
      </c>
      <c r="C511" s="172" t="s">
        <v>110</v>
      </c>
      <c r="D511" s="172" t="s">
        <v>111</v>
      </c>
      <c r="E511" s="172" t="s">
        <v>86</v>
      </c>
      <c r="F511" s="172" t="s">
        <v>86</v>
      </c>
      <c r="G511" s="172" t="s">
        <v>497</v>
      </c>
      <c r="H511" s="177">
        <v>0</v>
      </c>
      <c r="I511" s="178">
        <v>0</v>
      </c>
      <c r="J511" s="176">
        <v>46037</v>
      </c>
      <c r="K511" s="172" t="s">
        <v>86</v>
      </c>
      <c r="L511" s="172" t="s">
        <v>86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498</v>
      </c>
      <c r="B512" s="176">
        <v>46037</v>
      </c>
      <c r="C512" s="172" t="s">
        <v>93</v>
      </c>
      <c r="D512" s="172" t="s">
        <v>97</v>
      </c>
      <c r="E512" s="172" t="s">
        <v>44</v>
      </c>
      <c r="F512" s="172" t="s">
        <v>126</v>
      </c>
      <c r="G512" s="172" t="s">
        <v>85</v>
      </c>
      <c r="H512" s="177">
        <v>1</v>
      </c>
      <c r="I512" s="178">
        <v>0</v>
      </c>
      <c r="J512" s="176">
        <v>46023</v>
      </c>
      <c r="K512" s="172" t="s">
        <v>94</v>
      </c>
      <c r="L512" s="172" t="s">
        <v>95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498</v>
      </c>
      <c r="B513" s="176">
        <v>46037</v>
      </c>
      <c r="C513" s="172" t="s">
        <v>93</v>
      </c>
      <c r="D513" s="172" t="s">
        <v>98</v>
      </c>
      <c r="E513" s="172" t="s">
        <v>44</v>
      </c>
      <c r="F513" s="172" t="s">
        <v>126</v>
      </c>
      <c r="G513" s="172" t="s">
        <v>85</v>
      </c>
      <c r="H513" s="177">
        <v>1</v>
      </c>
      <c r="I513" s="178">
        <v>0</v>
      </c>
      <c r="J513" s="176">
        <v>46023</v>
      </c>
      <c r="K513" s="172" t="s">
        <v>94</v>
      </c>
      <c r="L513" s="172" t="s">
        <v>95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498</v>
      </c>
      <c r="B514" s="176">
        <v>46037</v>
      </c>
      <c r="C514" s="172" t="s">
        <v>82</v>
      </c>
      <c r="D514" s="172" t="s">
        <v>99</v>
      </c>
      <c r="E514" s="172" t="s">
        <v>44</v>
      </c>
      <c r="F514" s="172" t="s">
        <v>126</v>
      </c>
      <c r="G514" s="172" t="s">
        <v>85</v>
      </c>
      <c r="H514" s="177">
        <v>1</v>
      </c>
      <c r="I514" s="178">
        <v>0</v>
      </c>
      <c r="J514" s="176">
        <v>46023</v>
      </c>
      <c r="K514" s="172" t="s">
        <v>94</v>
      </c>
      <c r="L514" s="172" t="s">
        <v>95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498</v>
      </c>
      <c r="B515" s="176">
        <v>46037</v>
      </c>
      <c r="C515" s="172" t="s">
        <v>93</v>
      </c>
      <c r="D515" s="172" t="s">
        <v>24</v>
      </c>
      <c r="E515" s="172" t="s">
        <v>44</v>
      </c>
      <c r="F515" s="172" t="s">
        <v>126</v>
      </c>
      <c r="G515" s="172" t="s">
        <v>85</v>
      </c>
      <c r="H515" s="177">
        <v>1</v>
      </c>
      <c r="I515" s="178">
        <v>0</v>
      </c>
      <c r="J515" s="176">
        <v>46023</v>
      </c>
      <c r="K515" s="172" t="s">
        <v>94</v>
      </c>
      <c r="L515" s="172" t="s">
        <v>95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498</v>
      </c>
      <c r="B516" s="176">
        <v>46037</v>
      </c>
      <c r="C516" s="172" t="s">
        <v>82</v>
      </c>
      <c r="D516" s="172" t="s">
        <v>96</v>
      </c>
      <c r="E516" s="172" t="s">
        <v>44</v>
      </c>
      <c r="F516" s="172" t="s">
        <v>126</v>
      </c>
      <c r="G516" s="172" t="s">
        <v>85</v>
      </c>
      <c r="H516" s="177">
        <v>1</v>
      </c>
      <c r="I516" s="178">
        <v>0</v>
      </c>
      <c r="J516" s="176">
        <v>46023</v>
      </c>
      <c r="K516" s="172" t="s">
        <v>94</v>
      </c>
      <c r="L516" s="172" t="s">
        <v>95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499</v>
      </c>
      <c r="B517" s="176">
        <v>46037</v>
      </c>
      <c r="C517" s="172" t="s">
        <v>93</v>
      </c>
      <c r="D517" s="172" t="s">
        <v>24</v>
      </c>
      <c r="E517" s="172" t="s">
        <v>53</v>
      </c>
      <c r="F517" s="172" t="s">
        <v>91</v>
      </c>
      <c r="G517" s="172" t="s">
        <v>85</v>
      </c>
      <c r="H517" s="177">
        <v>1</v>
      </c>
      <c r="I517" s="178">
        <v>1621</v>
      </c>
      <c r="J517" s="176">
        <v>46026</v>
      </c>
      <c r="K517" s="172" t="s">
        <v>94</v>
      </c>
      <c r="L517" s="172" t="s">
        <v>95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499</v>
      </c>
      <c r="B518" s="176">
        <v>46037</v>
      </c>
      <c r="C518" s="172" t="s">
        <v>101</v>
      </c>
      <c r="D518" s="172" t="s">
        <v>102</v>
      </c>
      <c r="E518" s="172" t="s">
        <v>53</v>
      </c>
      <c r="F518" s="172" t="s">
        <v>91</v>
      </c>
      <c r="G518" s="172" t="s">
        <v>85</v>
      </c>
      <c r="H518" s="177">
        <v>1</v>
      </c>
      <c r="I518" s="178">
        <v>1621</v>
      </c>
      <c r="J518" s="176">
        <v>46026</v>
      </c>
      <c r="K518" s="172" t="s">
        <v>94</v>
      </c>
      <c r="L518" s="172" t="s">
        <v>95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499</v>
      </c>
      <c r="B519" s="176">
        <v>46037</v>
      </c>
      <c r="C519" s="172" t="s">
        <v>101</v>
      </c>
      <c r="D519" s="172" t="s">
        <v>103</v>
      </c>
      <c r="E519" s="172" t="s">
        <v>53</v>
      </c>
      <c r="F519" s="172" t="s">
        <v>91</v>
      </c>
      <c r="G519" s="172" t="s">
        <v>85</v>
      </c>
      <c r="H519" s="177">
        <v>1</v>
      </c>
      <c r="I519" s="178">
        <v>1621</v>
      </c>
      <c r="J519" s="176">
        <v>46026</v>
      </c>
      <c r="K519" s="172" t="s">
        <v>94</v>
      </c>
      <c r="L519" s="172" t="s">
        <v>95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499</v>
      </c>
      <c r="B520" s="176">
        <v>46037</v>
      </c>
      <c r="C520" s="172" t="s">
        <v>101</v>
      </c>
      <c r="D520" s="172" t="s">
        <v>104</v>
      </c>
      <c r="E520" s="172" t="s">
        <v>53</v>
      </c>
      <c r="F520" s="172" t="s">
        <v>91</v>
      </c>
      <c r="G520" s="172" t="s">
        <v>85</v>
      </c>
      <c r="H520" s="177">
        <v>1</v>
      </c>
      <c r="I520" s="178">
        <v>1621</v>
      </c>
      <c r="J520" s="176">
        <v>46026</v>
      </c>
      <c r="K520" s="172" t="s">
        <v>94</v>
      </c>
      <c r="L520" s="172" t="s">
        <v>95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499</v>
      </c>
      <c r="B521" s="176">
        <v>46037</v>
      </c>
      <c r="C521" s="172" t="s">
        <v>105</v>
      </c>
      <c r="D521" s="172" t="s">
        <v>106</v>
      </c>
      <c r="E521" s="172" t="s">
        <v>53</v>
      </c>
      <c r="F521" s="172" t="s">
        <v>91</v>
      </c>
      <c r="G521" s="172" t="s">
        <v>85</v>
      </c>
      <c r="H521" s="177">
        <v>1</v>
      </c>
      <c r="I521" s="178">
        <v>1621</v>
      </c>
      <c r="J521" s="176">
        <v>46026</v>
      </c>
      <c r="K521" s="172" t="s">
        <v>94</v>
      </c>
      <c r="L521" s="172" t="s">
        <v>95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499</v>
      </c>
      <c r="B522" s="176">
        <v>46037</v>
      </c>
      <c r="C522" s="172" t="s">
        <v>82</v>
      </c>
      <c r="D522" s="172" t="s">
        <v>96</v>
      </c>
      <c r="E522" s="172" t="s">
        <v>53</v>
      </c>
      <c r="F522" s="172" t="s">
        <v>91</v>
      </c>
      <c r="G522" s="172" t="s">
        <v>85</v>
      </c>
      <c r="H522" s="177">
        <v>1</v>
      </c>
      <c r="I522" s="178">
        <v>1621</v>
      </c>
      <c r="J522" s="176">
        <v>46026</v>
      </c>
      <c r="K522" s="172" t="s">
        <v>94</v>
      </c>
      <c r="L522" s="172" t="s">
        <v>95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500</v>
      </c>
      <c r="B523" s="176">
        <v>46037</v>
      </c>
      <c r="C523" s="172" t="s">
        <v>93</v>
      </c>
      <c r="D523" s="172" t="s">
        <v>24</v>
      </c>
      <c r="E523" s="172" t="s">
        <v>54</v>
      </c>
      <c r="F523" s="172" t="s">
        <v>121</v>
      </c>
      <c r="G523" s="172" t="s">
        <v>85</v>
      </c>
      <c r="H523" s="177">
        <v>1</v>
      </c>
      <c r="I523" s="178">
        <v>1845</v>
      </c>
      <c r="J523" s="176">
        <v>46034</v>
      </c>
      <c r="K523" s="172" t="s">
        <v>94</v>
      </c>
      <c r="L523" s="172" t="s">
        <v>95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500</v>
      </c>
      <c r="B524" s="176">
        <v>46037</v>
      </c>
      <c r="C524" s="172" t="s">
        <v>101</v>
      </c>
      <c r="D524" s="172" t="s">
        <v>102</v>
      </c>
      <c r="E524" s="172" t="s">
        <v>54</v>
      </c>
      <c r="F524" s="172" t="s">
        <v>121</v>
      </c>
      <c r="G524" s="172" t="s">
        <v>85</v>
      </c>
      <c r="H524" s="177">
        <v>1</v>
      </c>
      <c r="I524" s="178">
        <v>1845</v>
      </c>
      <c r="J524" s="176">
        <v>46034</v>
      </c>
      <c r="K524" s="172" t="s">
        <v>94</v>
      </c>
      <c r="L524" s="172" t="s">
        <v>95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500</v>
      </c>
      <c r="B525" s="176">
        <v>46037</v>
      </c>
      <c r="C525" s="172" t="s">
        <v>101</v>
      </c>
      <c r="D525" s="172" t="s">
        <v>103</v>
      </c>
      <c r="E525" s="172" t="s">
        <v>54</v>
      </c>
      <c r="F525" s="172" t="s">
        <v>121</v>
      </c>
      <c r="G525" s="172" t="s">
        <v>85</v>
      </c>
      <c r="H525" s="177">
        <v>1</v>
      </c>
      <c r="I525" s="178">
        <v>1845</v>
      </c>
      <c r="J525" s="176">
        <v>46034</v>
      </c>
      <c r="K525" s="172" t="s">
        <v>94</v>
      </c>
      <c r="L525" s="172" t="s">
        <v>95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500</v>
      </c>
      <c r="B526" s="176">
        <v>46037</v>
      </c>
      <c r="C526" s="172" t="s">
        <v>101</v>
      </c>
      <c r="D526" s="172" t="s">
        <v>104</v>
      </c>
      <c r="E526" s="172" t="s">
        <v>54</v>
      </c>
      <c r="F526" s="172" t="s">
        <v>121</v>
      </c>
      <c r="G526" s="172" t="s">
        <v>85</v>
      </c>
      <c r="H526" s="177">
        <v>1</v>
      </c>
      <c r="I526" s="178">
        <v>1845</v>
      </c>
      <c r="J526" s="176">
        <v>46034</v>
      </c>
      <c r="K526" s="172" t="s">
        <v>94</v>
      </c>
      <c r="L526" s="172" t="s">
        <v>95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500</v>
      </c>
      <c r="B527" s="176">
        <v>46037</v>
      </c>
      <c r="C527" s="172" t="s">
        <v>105</v>
      </c>
      <c r="D527" s="172" t="s">
        <v>106</v>
      </c>
      <c r="E527" s="172" t="s">
        <v>54</v>
      </c>
      <c r="F527" s="172" t="s">
        <v>121</v>
      </c>
      <c r="G527" s="172" t="s">
        <v>85</v>
      </c>
      <c r="H527" s="177">
        <v>1</v>
      </c>
      <c r="I527" s="178">
        <v>1845</v>
      </c>
      <c r="J527" s="176">
        <v>46034</v>
      </c>
      <c r="K527" s="172" t="s">
        <v>94</v>
      </c>
      <c r="L527" s="172" t="s">
        <v>95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500</v>
      </c>
      <c r="B528" s="176">
        <v>46037</v>
      </c>
      <c r="C528" s="172" t="s">
        <v>82</v>
      </c>
      <c r="D528" s="172" t="s">
        <v>96</v>
      </c>
      <c r="E528" s="172" t="s">
        <v>54</v>
      </c>
      <c r="F528" s="172" t="s">
        <v>121</v>
      </c>
      <c r="G528" s="172" t="s">
        <v>85</v>
      </c>
      <c r="H528" s="177">
        <v>1</v>
      </c>
      <c r="I528" s="178">
        <v>1845</v>
      </c>
      <c r="J528" s="176">
        <v>46034</v>
      </c>
      <c r="K528" s="172" t="s">
        <v>94</v>
      </c>
      <c r="L528" s="172" t="s">
        <v>95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501</v>
      </c>
      <c r="B529" s="176">
        <v>46037</v>
      </c>
      <c r="C529" s="172" t="s">
        <v>93</v>
      </c>
      <c r="D529" s="172" t="s">
        <v>24</v>
      </c>
      <c r="E529" s="172" t="s">
        <v>54</v>
      </c>
      <c r="F529" s="172" t="s">
        <v>121</v>
      </c>
      <c r="G529" s="172" t="s">
        <v>85</v>
      </c>
      <c r="H529" s="177">
        <v>1</v>
      </c>
      <c r="I529" s="178">
        <v>0</v>
      </c>
      <c r="J529" s="176">
        <v>46034</v>
      </c>
      <c r="K529" s="172" t="s">
        <v>94</v>
      </c>
      <c r="L529" s="172" t="s">
        <v>95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501</v>
      </c>
      <c r="B530" s="176">
        <v>46037</v>
      </c>
      <c r="C530" s="172" t="s">
        <v>82</v>
      </c>
      <c r="D530" s="172" t="s">
        <v>96</v>
      </c>
      <c r="E530" s="172" t="s">
        <v>54</v>
      </c>
      <c r="F530" s="172" t="s">
        <v>121</v>
      </c>
      <c r="G530" s="172" t="s">
        <v>85</v>
      </c>
      <c r="H530" s="177">
        <v>1</v>
      </c>
      <c r="I530" s="178">
        <v>0</v>
      </c>
      <c r="J530" s="176">
        <v>46034</v>
      </c>
      <c r="K530" s="172" t="s">
        <v>94</v>
      </c>
      <c r="L530" s="172" t="s">
        <v>95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501</v>
      </c>
      <c r="B531" s="176">
        <v>46037</v>
      </c>
      <c r="C531" s="172" t="s">
        <v>93</v>
      </c>
      <c r="D531" s="172" t="s">
        <v>97</v>
      </c>
      <c r="E531" s="172" t="s">
        <v>54</v>
      </c>
      <c r="F531" s="172" t="s">
        <v>121</v>
      </c>
      <c r="G531" s="172" t="s">
        <v>85</v>
      </c>
      <c r="H531" s="177">
        <v>1</v>
      </c>
      <c r="I531" s="178">
        <v>0</v>
      </c>
      <c r="J531" s="176">
        <v>46034</v>
      </c>
      <c r="K531" s="172" t="s">
        <v>94</v>
      </c>
      <c r="L531" s="172" t="s">
        <v>95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501</v>
      </c>
      <c r="B532" s="176">
        <v>46037</v>
      </c>
      <c r="C532" s="172" t="s">
        <v>93</v>
      </c>
      <c r="D532" s="172" t="s">
        <v>98</v>
      </c>
      <c r="E532" s="172" t="s">
        <v>54</v>
      </c>
      <c r="F532" s="172" t="s">
        <v>121</v>
      </c>
      <c r="G532" s="172" t="s">
        <v>85</v>
      </c>
      <c r="H532" s="177">
        <v>1</v>
      </c>
      <c r="I532" s="178">
        <v>0</v>
      </c>
      <c r="J532" s="176">
        <v>46034</v>
      </c>
      <c r="K532" s="172" t="s">
        <v>94</v>
      </c>
      <c r="L532" s="172" t="s">
        <v>95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501</v>
      </c>
      <c r="B533" s="176">
        <v>46037</v>
      </c>
      <c r="C533" s="172" t="s">
        <v>82</v>
      </c>
      <c r="D533" s="172" t="s">
        <v>99</v>
      </c>
      <c r="E533" s="172" t="s">
        <v>54</v>
      </c>
      <c r="F533" s="172" t="s">
        <v>121</v>
      </c>
      <c r="G533" s="172" t="s">
        <v>85</v>
      </c>
      <c r="H533" s="177">
        <v>1</v>
      </c>
      <c r="I533" s="178">
        <v>0</v>
      </c>
      <c r="J533" s="176">
        <v>46034</v>
      </c>
      <c r="K533" s="172" t="s">
        <v>94</v>
      </c>
      <c r="L533" s="172" t="s">
        <v>95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502</v>
      </c>
      <c r="B534" s="176">
        <v>46037</v>
      </c>
      <c r="C534" s="172" t="s">
        <v>82</v>
      </c>
      <c r="D534" s="172" t="s">
        <v>83</v>
      </c>
      <c r="E534" s="172" t="s">
        <v>54</v>
      </c>
      <c r="F534" s="172" t="s">
        <v>121</v>
      </c>
      <c r="G534" s="172" t="s">
        <v>85</v>
      </c>
      <c r="H534" s="177">
        <v>1</v>
      </c>
      <c r="I534" s="178">
        <v>0</v>
      </c>
      <c r="J534" s="176">
        <v>46037</v>
      </c>
      <c r="K534" s="172" t="s">
        <v>86</v>
      </c>
      <c r="L534" s="172" t="s">
        <v>86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500</v>
      </c>
      <c r="B535" s="176">
        <v>46037</v>
      </c>
      <c r="C535" s="172" t="s">
        <v>82</v>
      </c>
      <c r="D535" s="172" t="s">
        <v>83</v>
      </c>
      <c r="E535" s="172" t="s">
        <v>54</v>
      </c>
      <c r="F535" s="172" t="s">
        <v>121</v>
      </c>
      <c r="G535" s="172" t="s">
        <v>85</v>
      </c>
      <c r="H535" s="177">
        <v>1</v>
      </c>
      <c r="I535" s="178">
        <v>0</v>
      </c>
      <c r="J535" s="176">
        <v>46034</v>
      </c>
      <c r="K535" s="172" t="s">
        <v>86</v>
      </c>
      <c r="L535" s="172" t="s">
        <v>86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503</v>
      </c>
      <c r="B536" s="176">
        <v>46037</v>
      </c>
      <c r="C536" s="172" t="s">
        <v>93</v>
      </c>
      <c r="D536" s="172" t="s">
        <v>24</v>
      </c>
      <c r="E536" s="172" t="s">
        <v>42</v>
      </c>
      <c r="F536" s="172" t="s">
        <v>84</v>
      </c>
      <c r="G536" s="172" t="s">
        <v>85</v>
      </c>
      <c r="H536" s="177">
        <v>1</v>
      </c>
      <c r="I536" s="178">
        <v>1750</v>
      </c>
      <c r="J536" s="176">
        <v>46032</v>
      </c>
      <c r="K536" s="172" t="s">
        <v>94</v>
      </c>
      <c r="L536" s="172" t="s">
        <v>95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503</v>
      </c>
      <c r="B537" s="176">
        <v>46037</v>
      </c>
      <c r="C537" s="172" t="s">
        <v>101</v>
      </c>
      <c r="D537" s="172" t="s">
        <v>102</v>
      </c>
      <c r="E537" s="172" t="s">
        <v>42</v>
      </c>
      <c r="F537" s="172" t="s">
        <v>84</v>
      </c>
      <c r="G537" s="172" t="s">
        <v>85</v>
      </c>
      <c r="H537" s="177">
        <v>1</v>
      </c>
      <c r="I537" s="178">
        <v>1750</v>
      </c>
      <c r="J537" s="176">
        <v>46032</v>
      </c>
      <c r="K537" s="172" t="s">
        <v>94</v>
      </c>
      <c r="L537" s="172" t="s">
        <v>95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503</v>
      </c>
      <c r="B538" s="176">
        <v>46037</v>
      </c>
      <c r="C538" s="172" t="s">
        <v>101</v>
      </c>
      <c r="D538" s="172" t="s">
        <v>103</v>
      </c>
      <c r="E538" s="172" t="s">
        <v>42</v>
      </c>
      <c r="F538" s="172" t="s">
        <v>84</v>
      </c>
      <c r="G538" s="172" t="s">
        <v>85</v>
      </c>
      <c r="H538" s="177">
        <v>1</v>
      </c>
      <c r="I538" s="178">
        <v>1750</v>
      </c>
      <c r="J538" s="176">
        <v>46032</v>
      </c>
      <c r="K538" s="172" t="s">
        <v>94</v>
      </c>
      <c r="L538" s="172" t="s">
        <v>95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503</v>
      </c>
      <c r="B539" s="176">
        <v>46037</v>
      </c>
      <c r="C539" s="172" t="s">
        <v>101</v>
      </c>
      <c r="D539" s="172" t="s">
        <v>104</v>
      </c>
      <c r="E539" s="172" t="s">
        <v>42</v>
      </c>
      <c r="F539" s="172" t="s">
        <v>84</v>
      </c>
      <c r="G539" s="172" t="s">
        <v>85</v>
      </c>
      <c r="H539" s="177">
        <v>1</v>
      </c>
      <c r="I539" s="178">
        <v>1750</v>
      </c>
      <c r="J539" s="176">
        <v>46032</v>
      </c>
      <c r="K539" s="172" t="s">
        <v>94</v>
      </c>
      <c r="L539" s="172" t="s">
        <v>95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503</v>
      </c>
      <c r="B540" s="176">
        <v>46037</v>
      </c>
      <c r="C540" s="172" t="s">
        <v>105</v>
      </c>
      <c r="D540" s="172" t="s">
        <v>106</v>
      </c>
      <c r="E540" s="172" t="s">
        <v>42</v>
      </c>
      <c r="F540" s="172" t="s">
        <v>84</v>
      </c>
      <c r="G540" s="172" t="s">
        <v>85</v>
      </c>
      <c r="H540" s="177">
        <v>1</v>
      </c>
      <c r="I540" s="178">
        <v>1750</v>
      </c>
      <c r="J540" s="176">
        <v>46032</v>
      </c>
      <c r="K540" s="172" t="s">
        <v>94</v>
      </c>
      <c r="L540" s="172" t="s">
        <v>95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503</v>
      </c>
      <c r="B541" s="176">
        <v>46037</v>
      </c>
      <c r="C541" s="172" t="s">
        <v>82</v>
      </c>
      <c r="D541" s="172" t="s">
        <v>96</v>
      </c>
      <c r="E541" s="172" t="s">
        <v>42</v>
      </c>
      <c r="F541" s="172" t="s">
        <v>84</v>
      </c>
      <c r="G541" s="172" t="s">
        <v>85</v>
      </c>
      <c r="H541" s="177">
        <v>1</v>
      </c>
      <c r="I541" s="178">
        <v>1750</v>
      </c>
      <c r="J541" s="176">
        <v>46032</v>
      </c>
      <c r="K541" s="172" t="s">
        <v>94</v>
      </c>
      <c r="L541" s="172" t="s">
        <v>95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503</v>
      </c>
      <c r="B542" s="176">
        <v>46037</v>
      </c>
      <c r="C542" s="172" t="s">
        <v>82</v>
      </c>
      <c r="D542" s="172" t="s">
        <v>83</v>
      </c>
      <c r="E542" s="172" t="s">
        <v>42</v>
      </c>
      <c r="F542" s="172" t="s">
        <v>84</v>
      </c>
      <c r="G542" s="172" t="s">
        <v>85</v>
      </c>
      <c r="H542" s="177">
        <v>1</v>
      </c>
      <c r="I542" s="178">
        <v>0</v>
      </c>
      <c r="J542" s="176">
        <v>46032</v>
      </c>
      <c r="K542" s="172" t="s">
        <v>86</v>
      </c>
      <c r="L542" s="172" t="s">
        <v>86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504</v>
      </c>
      <c r="B543" s="176">
        <v>46037</v>
      </c>
      <c r="C543" s="172" t="s">
        <v>93</v>
      </c>
      <c r="D543" s="172" t="s">
        <v>24</v>
      </c>
      <c r="E543" s="172" t="s">
        <v>54</v>
      </c>
      <c r="F543" s="172" t="s">
        <v>121</v>
      </c>
      <c r="G543" s="172" t="s">
        <v>85</v>
      </c>
      <c r="H543" s="177">
        <v>1</v>
      </c>
      <c r="I543" s="178">
        <v>1845</v>
      </c>
      <c r="J543" s="176">
        <v>46034</v>
      </c>
      <c r="K543" s="172" t="s">
        <v>94</v>
      </c>
      <c r="L543" s="172" t="s">
        <v>95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504</v>
      </c>
      <c r="B544" s="176">
        <v>46037</v>
      </c>
      <c r="C544" s="172" t="s">
        <v>101</v>
      </c>
      <c r="D544" s="172" t="s">
        <v>102</v>
      </c>
      <c r="E544" s="172" t="s">
        <v>54</v>
      </c>
      <c r="F544" s="172" t="s">
        <v>121</v>
      </c>
      <c r="G544" s="172" t="s">
        <v>85</v>
      </c>
      <c r="H544" s="177">
        <v>1</v>
      </c>
      <c r="I544" s="178">
        <v>1845</v>
      </c>
      <c r="J544" s="176">
        <v>46034</v>
      </c>
      <c r="K544" s="172" t="s">
        <v>94</v>
      </c>
      <c r="L544" s="172" t="s">
        <v>95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504</v>
      </c>
      <c r="B545" s="176">
        <v>46037</v>
      </c>
      <c r="C545" s="172" t="s">
        <v>101</v>
      </c>
      <c r="D545" s="172" t="s">
        <v>103</v>
      </c>
      <c r="E545" s="172" t="s">
        <v>54</v>
      </c>
      <c r="F545" s="172" t="s">
        <v>121</v>
      </c>
      <c r="G545" s="172" t="s">
        <v>85</v>
      </c>
      <c r="H545" s="177">
        <v>1</v>
      </c>
      <c r="I545" s="178">
        <v>1845</v>
      </c>
      <c r="J545" s="176">
        <v>46034</v>
      </c>
      <c r="K545" s="172" t="s">
        <v>94</v>
      </c>
      <c r="L545" s="172" t="s">
        <v>95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504</v>
      </c>
      <c r="B546" s="176">
        <v>46037</v>
      </c>
      <c r="C546" s="172" t="s">
        <v>101</v>
      </c>
      <c r="D546" s="172" t="s">
        <v>104</v>
      </c>
      <c r="E546" s="172" t="s">
        <v>54</v>
      </c>
      <c r="F546" s="172" t="s">
        <v>121</v>
      </c>
      <c r="G546" s="172" t="s">
        <v>85</v>
      </c>
      <c r="H546" s="177">
        <v>1</v>
      </c>
      <c r="I546" s="178">
        <v>1845</v>
      </c>
      <c r="J546" s="176">
        <v>46034</v>
      </c>
      <c r="K546" s="172" t="s">
        <v>94</v>
      </c>
      <c r="L546" s="172" t="s">
        <v>95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504</v>
      </c>
      <c r="B547" s="176">
        <v>46037</v>
      </c>
      <c r="C547" s="172" t="s">
        <v>105</v>
      </c>
      <c r="D547" s="172" t="s">
        <v>106</v>
      </c>
      <c r="E547" s="172" t="s">
        <v>54</v>
      </c>
      <c r="F547" s="172" t="s">
        <v>121</v>
      </c>
      <c r="G547" s="172" t="s">
        <v>85</v>
      </c>
      <c r="H547" s="177">
        <v>1</v>
      </c>
      <c r="I547" s="178">
        <v>1845</v>
      </c>
      <c r="J547" s="176">
        <v>46034</v>
      </c>
      <c r="K547" s="172" t="s">
        <v>94</v>
      </c>
      <c r="L547" s="172" t="s">
        <v>95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504</v>
      </c>
      <c r="B548" s="176">
        <v>46037</v>
      </c>
      <c r="C548" s="172" t="s">
        <v>82</v>
      </c>
      <c r="D548" s="172" t="s">
        <v>96</v>
      </c>
      <c r="E548" s="172" t="s">
        <v>54</v>
      </c>
      <c r="F548" s="172" t="s">
        <v>121</v>
      </c>
      <c r="G548" s="172" t="s">
        <v>85</v>
      </c>
      <c r="H548" s="177">
        <v>1</v>
      </c>
      <c r="I548" s="178">
        <v>1845</v>
      </c>
      <c r="J548" s="176">
        <v>46034</v>
      </c>
      <c r="K548" s="172" t="s">
        <v>94</v>
      </c>
      <c r="L548" s="172" t="s">
        <v>95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505</v>
      </c>
      <c r="B549" s="176">
        <v>46037</v>
      </c>
      <c r="C549" s="172" t="s">
        <v>93</v>
      </c>
      <c r="D549" s="172" t="s">
        <v>24</v>
      </c>
      <c r="E549" s="172" t="s">
        <v>54</v>
      </c>
      <c r="F549" s="172" t="s">
        <v>121</v>
      </c>
      <c r="G549" s="172" t="s">
        <v>85</v>
      </c>
      <c r="H549" s="177">
        <v>1</v>
      </c>
      <c r="I549" s="178">
        <v>0</v>
      </c>
      <c r="J549" s="176">
        <v>46009</v>
      </c>
      <c r="K549" s="172" t="s">
        <v>94</v>
      </c>
      <c r="L549" s="172" t="s">
        <v>95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505</v>
      </c>
      <c r="B550" s="176">
        <v>46037</v>
      </c>
      <c r="C550" s="172" t="s">
        <v>82</v>
      </c>
      <c r="D550" s="172" t="s">
        <v>96</v>
      </c>
      <c r="E550" s="172" t="s">
        <v>54</v>
      </c>
      <c r="F550" s="172" t="s">
        <v>121</v>
      </c>
      <c r="G550" s="172" t="s">
        <v>85</v>
      </c>
      <c r="H550" s="177">
        <v>1</v>
      </c>
      <c r="I550" s="178">
        <v>0</v>
      </c>
      <c r="J550" s="176">
        <v>46009</v>
      </c>
      <c r="K550" s="172" t="s">
        <v>94</v>
      </c>
      <c r="L550" s="172" t="s">
        <v>95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505</v>
      </c>
      <c r="B551" s="176">
        <v>46037</v>
      </c>
      <c r="C551" s="172" t="s">
        <v>93</v>
      </c>
      <c r="D551" s="172" t="s">
        <v>97</v>
      </c>
      <c r="E551" s="172" t="s">
        <v>54</v>
      </c>
      <c r="F551" s="172" t="s">
        <v>121</v>
      </c>
      <c r="G551" s="172" t="s">
        <v>85</v>
      </c>
      <c r="H551" s="177">
        <v>1</v>
      </c>
      <c r="I551" s="178">
        <v>0</v>
      </c>
      <c r="J551" s="176">
        <v>46009</v>
      </c>
      <c r="K551" s="172" t="s">
        <v>94</v>
      </c>
      <c r="L551" s="172" t="s">
        <v>95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505</v>
      </c>
      <c r="B552" s="176">
        <v>46037</v>
      </c>
      <c r="C552" s="172" t="s">
        <v>93</v>
      </c>
      <c r="D552" s="172" t="s">
        <v>98</v>
      </c>
      <c r="E552" s="172" t="s">
        <v>54</v>
      </c>
      <c r="F552" s="172" t="s">
        <v>121</v>
      </c>
      <c r="G552" s="172" t="s">
        <v>85</v>
      </c>
      <c r="H552" s="177">
        <v>1</v>
      </c>
      <c r="I552" s="178">
        <v>0</v>
      </c>
      <c r="J552" s="176">
        <v>46009</v>
      </c>
      <c r="K552" s="172" t="s">
        <v>94</v>
      </c>
      <c r="L552" s="172" t="s">
        <v>95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506</v>
      </c>
      <c r="B553" s="176">
        <v>46037</v>
      </c>
      <c r="C553" s="172" t="s">
        <v>93</v>
      </c>
      <c r="D553" s="172" t="s">
        <v>24</v>
      </c>
      <c r="E553" s="172" t="s">
        <v>53</v>
      </c>
      <c r="F553" s="172" t="s">
        <v>91</v>
      </c>
      <c r="G553" s="172" t="s">
        <v>85</v>
      </c>
      <c r="H553" s="177">
        <v>1</v>
      </c>
      <c r="I553" s="178">
        <v>0</v>
      </c>
      <c r="J553" s="176">
        <v>46030</v>
      </c>
      <c r="K553" s="172" t="s">
        <v>94</v>
      </c>
      <c r="L553" s="172" t="s">
        <v>95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506</v>
      </c>
      <c r="B554" s="176">
        <v>46037</v>
      </c>
      <c r="C554" s="172" t="s">
        <v>82</v>
      </c>
      <c r="D554" s="172" t="s">
        <v>96</v>
      </c>
      <c r="E554" s="172" t="s">
        <v>53</v>
      </c>
      <c r="F554" s="172" t="s">
        <v>91</v>
      </c>
      <c r="G554" s="172" t="s">
        <v>85</v>
      </c>
      <c r="H554" s="177">
        <v>1</v>
      </c>
      <c r="I554" s="178">
        <v>0</v>
      </c>
      <c r="J554" s="176">
        <v>46030</v>
      </c>
      <c r="K554" s="172" t="s">
        <v>94</v>
      </c>
      <c r="L554" s="172" t="s">
        <v>95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506</v>
      </c>
      <c r="B555" s="176">
        <v>46037</v>
      </c>
      <c r="C555" s="172" t="s">
        <v>93</v>
      </c>
      <c r="D555" s="172" t="s">
        <v>97</v>
      </c>
      <c r="E555" s="172" t="s">
        <v>53</v>
      </c>
      <c r="F555" s="172" t="s">
        <v>91</v>
      </c>
      <c r="G555" s="172" t="s">
        <v>85</v>
      </c>
      <c r="H555" s="177">
        <v>1</v>
      </c>
      <c r="I555" s="178">
        <v>0</v>
      </c>
      <c r="J555" s="176">
        <v>46030</v>
      </c>
      <c r="K555" s="172" t="s">
        <v>94</v>
      </c>
      <c r="L555" s="172" t="s">
        <v>95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506</v>
      </c>
      <c r="B556" s="176">
        <v>46037</v>
      </c>
      <c r="C556" s="172" t="s">
        <v>93</v>
      </c>
      <c r="D556" s="172" t="s">
        <v>98</v>
      </c>
      <c r="E556" s="172" t="s">
        <v>53</v>
      </c>
      <c r="F556" s="172" t="s">
        <v>91</v>
      </c>
      <c r="G556" s="172" t="s">
        <v>85</v>
      </c>
      <c r="H556" s="177">
        <v>1</v>
      </c>
      <c r="I556" s="178">
        <v>0</v>
      </c>
      <c r="J556" s="176">
        <v>46030</v>
      </c>
      <c r="K556" s="172" t="s">
        <v>94</v>
      </c>
      <c r="L556" s="172" t="s">
        <v>95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506</v>
      </c>
      <c r="B557" s="176">
        <v>46037</v>
      </c>
      <c r="C557" s="172" t="s">
        <v>82</v>
      </c>
      <c r="D557" s="172" t="s">
        <v>99</v>
      </c>
      <c r="E557" s="172" t="s">
        <v>53</v>
      </c>
      <c r="F557" s="172" t="s">
        <v>91</v>
      </c>
      <c r="G557" s="172" t="s">
        <v>85</v>
      </c>
      <c r="H557" s="177">
        <v>1</v>
      </c>
      <c r="I557" s="178">
        <v>0</v>
      </c>
      <c r="J557" s="176">
        <v>46030</v>
      </c>
      <c r="K557" s="172" t="s">
        <v>94</v>
      </c>
      <c r="L557" s="172" t="s">
        <v>95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507</v>
      </c>
      <c r="B558" s="176">
        <v>46037</v>
      </c>
      <c r="C558" s="172" t="s">
        <v>93</v>
      </c>
      <c r="D558" s="172" t="s">
        <v>24</v>
      </c>
      <c r="E558" s="172" t="s">
        <v>53</v>
      </c>
      <c r="F558" s="172" t="s">
        <v>91</v>
      </c>
      <c r="G558" s="172" t="s">
        <v>85</v>
      </c>
      <c r="H558" s="177">
        <v>1</v>
      </c>
      <c r="I558" s="178">
        <v>1621</v>
      </c>
      <c r="J558" s="176">
        <v>46034</v>
      </c>
      <c r="K558" s="172" t="s">
        <v>94</v>
      </c>
      <c r="L558" s="172" t="s">
        <v>95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507</v>
      </c>
      <c r="B559" s="176">
        <v>46037</v>
      </c>
      <c r="C559" s="172" t="s">
        <v>101</v>
      </c>
      <c r="D559" s="172" t="s">
        <v>102</v>
      </c>
      <c r="E559" s="172" t="s">
        <v>53</v>
      </c>
      <c r="F559" s="172" t="s">
        <v>91</v>
      </c>
      <c r="G559" s="172" t="s">
        <v>85</v>
      </c>
      <c r="H559" s="177">
        <v>1</v>
      </c>
      <c r="I559" s="178">
        <v>1621</v>
      </c>
      <c r="J559" s="176">
        <v>46034</v>
      </c>
      <c r="K559" s="172" t="s">
        <v>94</v>
      </c>
      <c r="L559" s="172" t="s">
        <v>95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507</v>
      </c>
      <c r="B560" s="176">
        <v>46037</v>
      </c>
      <c r="C560" s="172" t="s">
        <v>101</v>
      </c>
      <c r="D560" s="172" t="s">
        <v>103</v>
      </c>
      <c r="E560" s="172" t="s">
        <v>53</v>
      </c>
      <c r="F560" s="172" t="s">
        <v>91</v>
      </c>
      <c r="G560" s="172" t="s">
        <v>85</v>
      </c>
      <c r="H560" s="177">
        <v>1</v>
      </c>
      <c r="I560" s="178">
        <v>1621</v>
      </c>
      <c r="J560" s="176">
        <v>46034</v>
      </c>
      <c r="K560" s="172" t="s">
        <v>94</v>
      </c>
      <c r="L560" s="172" t="s">
        <v>95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507</v>
      </c>
      <c r="B561" s="176">
        <v>46037</v>
      </c>
      <c r="C561" s="172" t="s">
        <v>101</v>
      </c>
      <c r="D561" s="172" t="s">
        <v>104</v>
      </c>
      <c r="E561" s="172" t="s">
        <v>53</v>
      </c>
      <c r="F561" s="172" t="s">
        <v>91</v>
      </c>
      <c r="G561" s="172" t="s">
        <v>85</v>
      </c>
      <c r="H561" s="177">
        <v>1</v>
      </c>
      <c r="I561" s="178">
        <v>1621</v>
      </c>
      <c r="J561" s="176">
        <v>46034</v>
      </c>
      <c r="K561" s="172" t="s">
        <v>94</v>
      </c>
      <c r="L561" s="172" t="s">
        <v>95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507</v>
      </c>
      <c r="B562" s="176">
        <v>46037</v>
      </c>
      <c r="C562" s="172" t="s">
        <v>105</v>
      </c>
      <c r="D562" s="172" t="s">
        <v>106</v>
      </c>
      <c r="E562" s="172" t="s">
        <v>53</v>
      </c>
      <c r="F562" s="172" t="s">
        <v>91</v>
      </c>
      <c r="G562" s="172" t="s">
        <v>85</v>
      </c>
      <c r="H562" s="177">
        <v>1</v>
      </c>
      <c r="I562" s="178">
        <v>1621</v>
      </c>
      <c r="J562" s="176">
        <v>46034</v>
      </c>
      <c r="K562" s="172" t="s">
        <v>94</v>
      </c>
      <c r="L562" s="172" t="s">
        <v>95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507</v>
      </c>
      <c r="B563" s="176">
        <v>46037</v>
      </c>
      <c r="C563" s="172" t="s">
        <v>82</v>
      </c>
      <c r="D563" s="172" t="s">
        <v>96</v>
      </c>
      <c r="E563" s="172" t="s">
        <v>53</v>
      </c>
      <c r="F563" s="172" t="s">
        <v>91</v>
      </c>
      <c r="G563" s="172" t="s">
        <v>85</v>
      </c>
      <c r="H563" s="177">
        <v>1</v>
      </c>
      <c r="I563" s="178">
        <v>1621</v>
      </c>
      <c r="J563" s="176">
        <v>46034</v>
      </c>
      <c r="K563" s="172" t="s">
        <v>94</v>
      </c>
      <c r="L563" s="172" t="s">
        <v>95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508</v>
      </c>
      <c r="B564" s="176">
        <v>46037</v>
      </c>
      <c r="C564" s="172" t="s">
        <v>93</v>
      </c>
      <c r="D564" s="172" t="s">
        <v>24</v>
      </c>
      <c r="E564" s="172" t="s">
        <v>42</v>
      </c>
      <c r="F564" s="172" t="s">
        <v>84</v>
      </c>
      <c r="G564" s="172" t="s">
        <v>85</v>
      </c>
      <c r="H564" s="177">
        <v>1</v>
      </c>
      <c r="I564" s="178">
        <v>1750</v>
      </c>
      <c r="J564" s="176">
        <v>46035</v>
      </c>
      <c r="K564" s="172" t="s">
        <v>94</v>
      </c>
      <c r="L564" s="172" t="s">
        <v>95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508</v>
      </c>
      <c r="B565" s="176">
        <v>46037</v>
      </c>
      <c r="C565" s="172" t="s">
        <v>101</v>
      </c>
      <c r="D565" s="172" t="s">
        <v>102</v>
      </c>
      <c r="E565" s="172" t="s">
        <v>42</v>
      </c>
      <c r="F565" s="172" t="s">
        <v>84</v>
      </c>
      <c r="G565" s="172" t="s">
        <v>85</v>
      </c>
      <c r="H565" s="177">
        <v>1</v>
      </c>
      <c r="I565" s="178">
        <v>1750</v>
      </c>
      <c r="J565" s="176">
        <v>46035</v>
      </c>
      <c r="K565" s="172" t="s">
        <v>94</v>
      </c>
      <c r="L565" s="172" t="s">
        <v>95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508</v>
      </c>
      <c r="B566" s="176">
        <v>46037</v>
      </c>
      <c r="C566" s="172" t="s">
        <v>101</v>
      </c>
      <c r="D566" s="172" t="s">
        <v>103</v>
      </c>
      <c r="E566" s="172" t="s">
        <v>42</v>
      </c>
      <c r="F566" s="172" t="s">
        <v>84</v>
      </c>
      <c r="G566" s="172" t="s">
        <v>85</v>
      </c>
      <c r="H566" s="177">
        <v>1</v>
      </c>
      <c r="I566" s="178">
        <v>1750</v>
      </c>
      <c r="J566" s="176">
        <v>46035</v>
      </c>
      <c r="K566" s="172" t="s">
        <v>94</v>
      </c>
      <c r="L566" s="172" t="s">
        <v>95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508</v>
      </c>
      <c r="B567" s="176">
        <v>46037</v>
      </c>
      <c r="C567" s="172" t="s">
        <v>101</v>
      </c>
      <c r="D567" s="172" t="s">
        <v>104</v>
      </c>
      <c r="E567" s="172" t="s">
        <v>42</v>
      </c>
      <c r="F567" s="172" t="s">
        <v>84</v>
      </c>
      <c r="G567" s="172" t="s">
        <v>85</v>
      </c>
      <c r="H567" s="177">
        <v>1</v>
      </c>
      <c r="I567" s="178">
        <v>1750</v>
      </c>
      <c r="J567" s="176">
        <v>46035</v>
      </c>
      <c r="K567" s="172" t="s">
        <v>94</v>
      </c>
      <c r="L567" s="172" t="s">
        <v>95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508</v>
      </c>
      <c r="B568" s="176">
        <v>46037</v>
      </c>
      <c r="C568" s="172" t="s">
        <v>105</v>
      </c>
      <c r="D568" s="172" t="s">
        <v>106</v>
      </c>
      <c r="E568" s="172" t="s">
        <v>42</v>
      </c>
      <c r="F568" s="172" t="s">
        <v>84</v>
      </c>
      <c r="G568" s="172" t="s">
        <v>85</v>
      </c>
      <c r="H568" s="177">
        <v>1</v>
      </c>
      <c r="I568" s="178">
        <v>1750</v>
      </c>
      <c r="J568" s="176">
        <v>46035</v>
      </c>
      <c r="K568" s="172" t="s">
        <v>94</v>
      </c>
      <c r="L568" s="172" t="s">
        <v>95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508</v>
      </c>
      <c r="B569" s="176">
        <v>46037</v>
      </c>
      <c r="C569" s="172" t="s">
        <v>82</v>
      </c>
      <c r="D569" s="172" t="s">
        <v>96</v>
      </c>
      <c r="E569" s="172" t="s">
        <v>42</v>
      </c>
      <c r="F569" s="172" t="s">
        <v>84</v>
      </c>
      <c r="G569" s="172" t="s">
        <v>85</v>
      </c>
      <c r="H569" s="177">
        <v>1</v>
      </c>
      <c r="I569" s="178">
        <v>1750</v>
      </c>
      <c r="J569" s="176">
        <v>46035</v>
      </c>
      <c r="K569" s="172" t="s">
        <v>94</v>
      </c>
      <c r="L569" s="172" t="s">
        <v>95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507</v>
      </c>
      <c r="B570" s="176">
        <v>46037</v>
      </c>
      <c r="C570" s="172" t="s">
        <v>82</v>
      </c>
      <c r="D570" s="172" t="s">
        <v>83</v>
      </c>
      <c r="E570" s="172" t="s">
        <v>53</v>
      </c>
      <c r="F570" s="172" t="s">
        <v>91</v>
      </c>
      <c r="G570" s="172" t="s">
        <v>85</v>
      </c>
      <c r="H570" s="177">
        <v>1</v>
      </c>
      <c r="I570" s="178">
        <v>0</v>
      </c>
      <c r="J570" s="176">
        <v>46034</v>
      </c>
      <c r="K570" s="172" t="s">
        <v>86</v>
      </c>
      <c r="L570" s="172" t="s">
        <v>86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509</v>
      </c>
      <c r="B571" s="176">
        <v>46037</v>
      </c>
      <c r="C571" s="172" t="s">
        <v>82</v>
      </c>
      <c r="D571" s="172" t="s">
        <v>83</v>
      </c>
      <c r="E571" s="172" t="s">
        <v>53</v>
      </c>
      <c r="F571" s="172" t="s">
        <v>91</v>
      </c>
      <c r="G571" s="172" t="s">
        <v>85</v>
      </c>
      <c r="H571" s="177">
        <v>1</v>
      </c>
      <c r="I571" s="178">
        <v>0</v>
      </c>
      <c r="J571" s="176">
        <v>46037</v>
      </c>
      <c r="K571" s="172" t="s">
        <v>86</v>
      </c>
      <c r="L571" s="172" t="s">
        <v>86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510</v>
      </c>
      <c r="B572" s="176">
        <v>46037</v>
      </c>
      <c r="C572" s="172" t="s">
        <v>93</v>
      </c>
      <c r="D572" s="172" t="s">
        <v>24</v>
      </c>
      <c r="E572" s="172" t="s">
        <v>54</v>
      </c>
      <c r="F572" s="172" t="s">
        <v>121</v>
      </c>
      <c r="G572" s="172" t="s">
        <v>85</v>
      </c>
      <c r="H572" s="177">
        <v>1</v>
      </c>
      <c r="I572" s="178">
        <v>0</v>
      </c>
      <c r="J572" s="176">
        <v>46030</v>
      </c>
      <c r="K572" s="172" t="s">
        <v>94</v>
      </c>
      <c r="L572" s="172" t="s">
        <v>95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510</v>
      </c>
      <c r="B573" s="176">
        <v>46037</v>
      </c>
      <c r="C573" s="172" t="s">
        <v>82</v>
      </c>
      <c r="D573" s="172" t="s">
        <v>96</v>
      </c>
      <c r="E573" s="172" t="s">
        <v>54</v>
      </c>
      <c r="F573" s="172" t="s">
        <v>121</v>
      </c>
      <c r="G573" s="172" t="s">
        <v>85</v>
      </c>
      <c r="H573" s="177">
        <v>1</v>
      </c>
      <c r="I573" s="178">
        <v>0</v>
      </c>
      <c r="J573" s="176">
        <v>46030</v>
      </c>
      <c r="K573" s="172" t="s">
        <v>94</v>
      </c>
      <c r="L573" s="172" t="s">
        <v>95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511</v>
      </c>
      <c r="B574" s="176">
        <v>46037</v>
      </c>
      <c r="C574" s="172" t="s">
        <v>93</v>
      </c>
      <c r="D574" s="172" t="s">
        <v>24</v>
      </c>
      <c r="E574" s="172" t="s">
        <v>39</v>
      </c>
      <c r="F574" s="172" t="s">
        <v>88</v>
      </c>
      <c r="G574" s="172" t="s">
        <v>85</v>
      </c>
      <c r="H574" s="177">
        <v>1</v>
      </c>
      <c r="I574" s="178">
        <v>0</v>
      </c>
      <c r="J574" s="176">
        <v>46029</v>
      </c>
      <c r="K574" s="172" t="s">
        <v>94</v>
      </c>
      <c r="L574" s="172" t="s">
        <v>95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511</v>
      </c>
      <c r="B575" s="176">
        <v>46037</v>
      </c>
      <c r="C575" s="172" t="s">
        <v>82</v>
      </c>
      <c r="D575" s="172" t="s">
        <v>96</v>
      </c>
      <c r="E575" s="172" t="s">
        <v>39</v>
      </c>
      <c r="F575" s="172" t="s">
        <v>88</v>
      </c>
      <c r="G575" s="172" t="s">
        <v>85</v>
      </c>
      <c r="H575" s="177">
        <v>1</v>
      </c>
      <c r="I575" s="178">
        <v>0</v>
      </c>
      <c r="J575" s="176">
        <v>46029</v>
      </c>
      <c r="K575" s="172" t="s">
        <v>94</v>
      </c>
      <c r="L575" s="172" t="s">
        <v>95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511</v>
      </c>
      <c r="B576" s="176">
        <v>46037</v>
      </c>
      <c r="C576" s="172" t="s">
        <v>93</v>
      </c>
      <c r="D576" s="172" t="s">
        <v>97</v>
      </c>
      <c r="E576" s="172" t="s">
        <v>39</v>
      </c>
      <c r="F576" s="172" t="s">
        <v>88</v>
      </c>
      <c r="G576" s="172" t="s">
        <v>85</v>
      </c>
      <c r="H576" s="177">
        <v>1</v>
      </c>
      <c r="I576" s="178">
        <v>0</v>
      </c>
      <c r="J576" s="176">
        <v>46029</v>
      </c>
      <c r="K576" s="172" t="s">
        <v>94</v>
      </c>
      <c r="L576" s="172" t="s">
        <v>95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511</v>
      </c>
      <c r="B577" s="176">
        <v>46037</v>
      </c>
      <c r="C577" s="172" t="s">
        <v>93</v>
      </c>
      <c r="D577" s="172" t="s">
        <v>98</v>
      </c>
      <c r="E577" s="172" t="s">
        <v>39</v>
      </c>
      <c r="F577" s="172" t="s">
        <v>88</v>
      </c>
      <c r="G577" s="172" t="s">
        <v>85</v>
      </c>
      <c r="H577" s="177">
        <v>1</v>
      </c>
      <c r="I577" s="178">
        <v>0</v>
      </c>
      <c r="J577" s="176">
        <v>46029</v>
      </c>
      <c r="K577" s="172" t="s">
        <v>94</v>
      </c>
      <c r="L577" s="172" t="s">
        <v>95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511</v>
      </c>
      <c r="B578" s="176">
        <v>46037</v>
      </c>
      <c r="C578" s="172" t="s">
        <v>82</v>
      </c>
      <c r="D578" s="172" t="s">
        <v>99</v>
      </c>
      <c r="E578" s="172" t="s">
        <v>39</v>
      </c>
      <c r="F578" s="172" t="s">
        <v>88</v>
      </c>
      <c r="G578" s="172" t="s">
        <v>85</v>
      </c>
      <c r="H578" s="177">
        <v>1</v>
      </c>
      <c r="I578" s="178">
        <v>0</v>
      </c>
      <c r="J578" s="176">
        <v>46029</v>
      </c>
      <c r="K578" s="172" t="s">
        <v>94</v>
      </c>
      <c r="L578" s="172" t="s">
        <v>95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510</v>
      </c>
      <c r="B579" s="176">
        <v>46037</v>
      </c>
      <c r="C579" s="172" t="s">
        <v>93</v>
      </c>
      <c r="D579" s="172" t="s">
        <v>97</v>
      </c>
      <c r="E579" s="172" t="s">
        <v>54</v>
      </c>
      <c r="F579" s="172" t="s">
        <v>121</v>
      </c>
      <c r="G579" s="172" t="s">
        <v>85</v>
      </c>
      <c r="H579" s="177">
        <v>1</v>
      </c>
      <c r="I579" s="178">
        <v>0</v>
      </c>
      <c r="J579" s="176">
        <v>46030</v>
      </c>
      <c r="K579" s="172" t="s">
        <v>94</v>
      </c>
      <c r="L579" s="172" t="s">
        <v>95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510</v>
      </c>
      <c r="B580" s="176">
        <v>46037</v>
      </c>
      <c r="C580" s="172" t="s">
        <v>93</v>
      </c>
      <c r="D580" s="172" t="s">
        <v>98</v>
      </c>
      <c r="E580" s="172" t="s">
        <v>54</v>
      </c>
      <c r="F580" s="172" t="s">
        <v>121</v>
      </c>
      <c r="G580" s="172" t="s">
        <v>85</v>
      </c>
      <c r="H580" s="177">
        <v>1</v>
      </c>
      <c r="I580" s="178">
        <v>0</v>
      </c>
      <c r="J580" s="176">
        <v>46030</v>
      </c>
      <c r="K580" s="172" t="s">
        <v>94</v>
      </c>
      <c r="L580" s="172" t="s">
        <v>95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510</v>
      </c>
      <c r="B581" s="176">
        <v>46037</v>
      </c>
      <c r="C581" s="172" t="s">
        <v>82</v>
      </c>
      <c r="D581" s="172" t="s">
        <v>99</v>
      </c>
      <c r="E581" s="172" t="s">
        <v>54</v>
      </c>
      <c r="F581" s="172" t="s">
        <v>121</v>
      </c>
      <c r="G581" s="172" t="s">
        <v>85</v>
      </c>
      <c r="H581" s="177">
        <v>1</v>
      </c>
      <c r="I581" s="178">
        <v>0</v>
      </c>
      <c r="J581" s="176">
        <v>46030</v>
      </c>
      <c r="K581" s="172" t="s">
        <v>94</v>
      </c>
      <c r="L581" s="172" t="s">
        <v>95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512</v>
      </c>
      <c r="B582" s="176">
        <v>46037</v>
      </c>
      <c r="C582" s="172" t="s">
        <v>93</v>
      </c>
      <c r="D582" s="172" t="s">
        <v>24</v>
      </c>
      <c r="E582" s="172" t="s">
        <v>44</v>
      </c>
      <c r="F582" s="172" t="s">
        <v>126</v>
      </c>
      <c r="G582" s="172" t="s">
        <v>85</v>
      </c>
      <c r="H582" s="177">
        <v>1</v>
      </c>
      <c r="I582" s="178">
        <v>1750</v>
      </c>
      <c r="J582" s="176">
        <v>46035</v>
      </c>
      <c r="K582" s="172" t="s">
        <v>94</v>
      </c>
      <c r="L582" s="172" t="s">
        <v>95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512</v>
      </c>
      <c r="B583" s="176">
        <v>46037</v>
      </c>
      <c r="C583" s="172" t="s">
        <v>101</v>
      </c>
      <c r="D583" s="172" t="s">
        <v>102</v>
      </c>
      <c r="E583" s="172" t="s">
        <v>44</v>
      </c>
      <c r="F583" s="172" t="s">
        <v>126</v>
      </c>
      <c r="G583" s="172" t="s">
        <v>85</v>
      </c>
      <c r="H583" s="177">
        <v>1</v>
      </c>
      <c r="I583" s="178">
        <v>1750</v>
      </c>
      <c r="J583" s="176">
        <v>46035</v>
      </c>
      <c r="K583" s="172" t="s">
        <v>94</v>
      </c>
      <c r="L583" s="172" t="s">
        <v>95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512</v>
      </c>
      <c r="B584" s="176">
        <v>46037</v>
      </c>
      <c r="C584" s="172" t="s">
        <v>101</v>
      </c>
      <c r="D584" s="172" t="s">
        <v>103</v>
      </c>
      <c r="E584" s="172" t="s">
        <v>44</v>
      </c>
      <c r="F584" s="172" t="s">
        <v>126</v>
      </c>
      <c r="G584" s="172" t="s">
        <v>85</v>
      </c>
      <c r="H584" s="177">
        <v>1</v>
      </c>
      <c r="I584" s="178">
        <v>1750</v>
      </c>
      <c r="J584" s="176">
        <v>46035</v>
      </c>
      <c r="K584" s="172" t="s">
        <v>94</v>
      </c>
      <c r="L584" s="172" t="s">
        <v>95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512</v>
      </c>
      <c r="B585" s="176">
        <v>46037</v>
      </c>
      <c r="C585" s="172" t="s">
        <v>101</v>
      </c>
      <c r="D585" s="172" t="s">
        <v>104</v>
      </c>
      <c r="E585" s="172" t="s">
        <v>44</v>
      </c>
      <c r="F585" s="172" t="s">
        <v>126</v>
      </c>
      <c r="G585" s="172" t="s">
        <v>85</v>
      </c>
      <c r="H585" s="177">
        <v>1</v>
      </c>
      <c r="I585" s="178">
        <v>1750</v>
      </c>
      <c r="J585" s="176">
        <v>46035</v>
      </c>
      <c r="K585" s="172" t="s">
        <v>94</v>
      </c>
      <c r="L585" s="172" t="s">
        <v>95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512</v>
      </c>
      <c r="B586" s="176">
        <v>46037</v>
      </c>
      <c r="C586" s="172" t="s">
        <v>105</v>
      </c>
      <c r="D586" s="172" t="s">
        <v>106</v>
      </c>
      <c r="E586" s="172" t="s">
        <v>44</v>
      </c>
      <c r="F586" s="172" t="s">
        <v>126</v>
      </c>
      <c r="G586" s="172" t="s">
        <v>85</v>
      </c>
      <c r="H586" s="177">
        <v>1</v>
      </c>
      <c r="I586" s="178">
        <v>1750</v>
      </c>
      <c r="J586" s="176">
        <v>46035</v>
      </c>
      <c r="K586" s="172" t="s">
        <v>94</v>
      </c>
      <c r="L586" s="172" t="s">
        <v>95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512</v>
      </c>
      <c r="B587" s="176">
        <v>46037</v>
      </c>
      <c r="C587" s="172" t="s">
        <v>82</v>
      </c>
      <c r="D587" s="172" t="s">
        <v>96</v>
      </c>
      <c r="E587" s="172" t="s">
        <v>44</v>
      </c>
      <c r="F587" s="172" t="s">
        <v>126</v>
      </c>
      <c r="G587" s="172" t="s">
        <v>85</v>
      </c>
      <c r="H587" s="177">
        <v>1</v>
      </c>
      <c r="I587" s="178">
        <v>1750</v>
      </c>
      <c r="J587" s="176">
        <v>46035</v>
      </c>
      <c r="K587" s="172" t="s">
        <v>94</v>
      </c>
      <c r="L587" s="172" t="s">
        <v>95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513</v>
      </c>
      <c r="B588" s="176">
        <v>46037</v>
      </c>
      <c r="C588" s="172" t="s">
        <v>93</v>
      </c>
      <c r="D588" s="172" t="s">
        <v>24</v>
      </c>
      <c r="E588" s="172" t="s">
        <v>54</v>
      </c>
      <c r="F588" s="172" t="s">
        <v>121</v>
      </c>
      <c r="G588" s="172" t="s">
        <v>85</v>
      </c>
      <c r="H588" s="177">
        <v>1</v>
      </c>
      <c r="I588" s="178">
        <v>1845</v>
      </c>
      <c r="J588" s="176">
        <v>46035</v>
      </c>
      <c r="K588" s="172" t="s">
        <v>94</v>
      </c>
      <c r="L588" s="172" t="s">
        <v>95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513</v>
      </c>
      <c r="B589" s="176">
        <v>46037</v>
      </c>
      <c r="C589" s="172" t="s">
        <v>101</v>
      </c>
      <c r="D589" s="172" t="s">
        <v>102</v>
      </c>
      <c r="E589" s="172" t="s">
        <v>54</v>
      </c>
      <c r="F589" s="172" t="s">
        <v>121</v>
      </c>
      <c r="G589" s="172" t="s">
        <v>85</v>
      </c>
      <c r="H589" s="177">
        <v>1</v>
      </c>
      <c r="I589" s="178">
        <v>1845</v>
      </c>
      <c r="J589" s="176">
        <v>46035</v>
      </c>
      <c r="K589" s="172" t="s">
        <v>94</v>
      </c>
      <c r="L589" s="172" t="s">
        <v>95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513</v>
      </c>
      <c r="B590" s="176">
        <v>46037</v>
      </c>
      <c r="C590" s="172" t="s">
        <v>101</v>
      </c>
      <c r="D590" s="172" t="s">
        <v>103</v>
      </c>
      <c r="E590" s="172" t="s">
        <v>54</v>
      </c>
      <c r="F590" s="172" t="s">
        <v>121</v>
      </c>
      <c r="G590" s="172" t="s">
        <v>85</v>
      </c>
      <c r="H590" s="177">
        <v>1</v>
      </c>
      <c r="I590" s="178">
        <v>1845</v>
      </c>
      <c r="J590" s="176">
        <v>46035</v>
      </c>
      <c r="K590" s="172" t="s">
        <v>94</v>
      </c>
      <c r="L590" s="172" t="s">
        <v>95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513</v>
      </c>
      <c r="B591" s="176">
        <v>46037</v>
      </c>
      <c r="C591" s="172" t="s">
        <v>101</v>
      </c>
      <c r="D591" s="172" t="s">
        <v>104</v>
      </c>
      <c r="E591" s="172" t="s">
        <v>54</v>
      </c>
      <c r="F591" s="172" t="s">
        <v>121</v>
      </c>
      <c r="G591" s="172" t="s">
        <v>85</v>
      </c>
      <c r="H591" s="177">
        <v>1</v>
      </c>
      <c r="I591" s="178">
        <v>1845</v>
      </c>
      <c r="J591" s="176">
        <v>46035</v>
      </c>
      <c r="K591" s="172" t="s">
        <v>94</v>
      </c>
      <c r="L591" s="172" t="s">
        <v>95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513</v>
      </c>
      <c r="B592" s="176">
        <v>46037</v>
      </c>
      <c r="C592" s="172" t="s">
        <v>105</v>
      </c>
      <c r="D592" s="172" t="s">
        <v>106</v>
      </c>
      <c r="E592" s="172" t="s">
        <v>54</v>
      </c>
      <c r="F592" s="172" t="s">
        <v>121</v>
      </c>
      <c r="G592" s="172" t="s">
        <v>85</v>
      </c>
      <c r="H592" s="177">
        <v>1</v>
      </c>
      <c r="I592" s="178">
        <v>1845</v>
      </c>
      <c r="J592" s="176">
        <v>46035</v>
      </c>
      <c r="K592" s="172" t="s">
        <v>94</v>
      </c>
      <c r="L592" s="172" t="s">
        <v>95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513</v>
      </c>
      <c r="B593" s="176">
        <v>46037</v>
      </c>
      <c r="C593" s="172" t="s">
        <v>82</v>
      </c>
      <c r="D593" s="172" t="s">
        <v>96</v>
      </c>
      <c r="E593" s="172" t="s">
        <v>54</v>
      </c>
      <c r="F593" s="172" t="s">
        <v>121</v>
      </c>
      <c r="G593" s="172" t="s">
        <v>85</v>
      </c>
      <c r="H593" s="177">
        <v>1</v>
      </c>
      <c r="I593" s="178">
        <v>1845</v>
      </c>
      <c r="J593" s="176">
        <v>46035</v>
      </c>
      <c r="K593" s="172" t="s">
        <v>94</v>
      </c>
      <c r="L593" s="172" t="s">
        <v>95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514</v>
      </c>
      <c r="B594" s="176">
        <v>46037</v>
      </c>
      <c r="C594" s="172" t="s">
        <v>93</v>
      </c>
      <c r="D594" s="172" t="s">
        <v>24</v>
      </c>
      <c r="E594" s="172" t="s">
        <v>42</v>
      </c>
      <c r="F594" s="172" t="s">
        <v>84</v>
      </c>
      <c r="G594" s="172" t="s">
        <v>85</v>
      </c>
      <c r="H594" s="177">
        <v>1</v>
      </c>
      <c r="I594" s="178">
        <v>1750</v>
      </c>
      <c r="J594" s="176">
        <v>46034</v>
      </c>
      <c r="K594" s="172" t="s">
        <v>94</v>
      </c>
      <c r="L594" s="172" t="s">
        <v>95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514</v>
      </c>
      <c r="B595" s="176">
        <v>46037</v>
      </c>
      <c r="C595" s="172" t="s">
        <v>101</v>
      </c>
      <c r="D595" s="172" t="s">
        <v>102</v>
      </c>
      <c r="E595" s="172" t="s">
        <v>42</v>
      </c>
      <c r="F595" s="172" t="s">
        <v>84</v>
      </c>
      <c r="G595" s="172" t="s">
        <v>85</v>
      </c>
      <c r="H595" s="177">
        <v>1</v>
      </c>
      <c r="I595" s="178">
        <v>1750</v>
      </c>
      <c r="J595" s="176">
        <v>46034</v>
      </c>
      <c r="K595" s="172" t="s">
        <v>94</v>
      </c>
      <c r="L595" s="172" t="s">
        <v>95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514</v>
      </c>
      <c r="B596" s="176">
        <v>46037</v>
      </c>
      <c r="C596" s="172" t="s">
        <v>101</v>
      </c>
      <c r="D596" s="172" t="s">
        <v>103</v>
      </c>
      <c r="E596" s="172" t="s">
        <v>42</v>
      </c>
      <c r="F596" s="172" t="s">
        <v>84</v>
      </c>
      <c r="G596" s="172" t="s">
        <v>85</v>
      </c>
      <c r="H596" s="177">
        <v>1</v>
      </c>
      <c r="I596" s="178">
        <v>1750</v>
      </c>
      <c r="J596" s="176">
        <v>46034</v>
      </c>
      <c r="K596" s="172" t="s">
        <v>94</v>
      </c>
      <c r="L596" s="172" t="s">
        <v>95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514</v>
      </c>
      <c r="B597" s="176">
        <v>46037</v>
      </c>
      <c r="C597" s="172" t="s">
        <v>101</v>
      </c>
      <c r="D597" s="172" t="s">
        <v>104</v>
      </c>
      <c r="E597" s="172" t="s">
        <v>42</v>
      </c>
      <c r="F597" s="172" t="s">
        <v>84</v>
      </c>
      <c r="G597" s="172" t="s">
        <v>85</v>
      </c>
      <c r="H597" s="177">
        <v>1</v>
      </c>
      <c r="I597" s="178">
        <v>1750</v>
      </c>
      <c r="J597" s="176">
        <v>46034</v>
      </c>
      <c r="K597" s="172" t="s">
        <v>94</v>
      </c>
      <c r="L597" s="172" t="s">
        <v>95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514</v>
      </c>
      <c r="B598" s="176">
        <v>46037</v>
      </c>
      <c r="C598" s="172" t="s">
        <v>105</v>
      </c>
      <c r="D598" s="172" t="s">
        <v>106</v>
      </c>
      <c r="E598" s="172" t="s">
        <v>42</v>
      </c>
      <c r="F598" s="172" t="s">
        <v>84</v>
      </c>
      <c r="G598" s="172" t="s">
        <v>85</v>
      </c>
      <c r="H598" s="177">
        <v>1</v>
      </c>
      <c r="I598" s="178">
        <v>1750</v>
      </c>
      <c r="J598" s="176">
        <v>46034</v>
      </c>
      <c r="K598" s="172" t="s">
        <v>94</v>
      </c>
      <c r="L598" s="172" t="s">
        <v>95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514</v>
      </c>
      <c r="B599" s="176">
        <v>46037</v>
      </c>
      <c r="C599" s="172" t="s">
        <v>82</v>
      </c>
      <c r="D599" s="172" t="s">
        <v>96</v>
      </c>
      <c r="E599" s="172" t="s">
        <v>42</v>
      </c>
      <c r="F599" s="172" t="s">
        <v>84</v>
      </c>
      <c r="G599" s="172" t="s">
        <v>85</v>
      </c>
      <c r="H599" s="177">
        <v>1</v>
      </c>
      <c r="I599" s="178">
        <v>1750</v>
      </c>
      <c r="J599" s="176">
        <v>46034</v>
      </c>
      <c r="K599" s="172" t="s">
        <v>94</v>
      </c>
      <c r="L599" s="172" t="s">
        <v>95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515</v>
      </c>
      <c r="B600" s="176">
        <v>46037</v>
      </c>
      <c r="C600" s="172" t="s">
        <v>82</v>
      </c>
      <c r="D600" s="172" t="s">
        <v>83</v>
      </c>
      <c r="E600" s="172" t="s">
        <v>44</v>
      </c>
      <c r="F600" s="172" t="s">
        <v>126</v>
      </c>
      <c r="G600" s="172" t="s">
        <v>85</v>
      </c>
      <c r="H600" s="177">
        <v>1</v>
      </c>
      <c r="I600" s="178">
        <v>0</v>
      </c>
      <c r="J600" s="176">
        <v>46037</v>
      </c>
      <c r="K600" s="172" t="s">
        <v>86</v>
      </c>
      <c r="L600" s="172" t="s">
        <v>86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516</v>
      </c>
      <c r="B601" s="176">
        <v>46037</v>
      </c>
      <c r="C601" s="172" t="s">
        <v>93</v>
      </c>
      <c r="D601" s="172" t="s">
        <v>24</v>
      </c>
      <c r="E601" s="172" t="s">
        <v>43</v>
      </c>
      <c r="F601" s="172" t="s">
        <v>90</v>
      </c>
      <c r="G601" s="172" t="s">
        <v>85</v>
      </c>
      <c r="H601" s="177">
        <v>1</v>
      </c>
      <c r="I601" s="178">
        <v>1750</v>
      </c>
      <c r="J601" s="176">
        <v>46033</v>
      </c>
      <c r="K601" s="172" t="s">
        <v>94</v>
      </c>
      <c r="L601" s="172" t="s">
        <v>95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516</v>
      </c>
      <c r="B602" s="176">
        <v>46037</v>
      </c>
      <c r="C602" s="172" t="s">
        <v>101</v>
      </c>
      <c r="D602" s="172" t="s">
        <v>102</v>
      </c>
      <c r="E602" s="172" t="s">
        <v>43</v>
      </c>
      <c r="F602" s="172" t="s">
        <v>90</v>
      </c>
      <c r="G602" s="172" t="s">
        <v>85</v>
      </c>
      <c r="H602" s="177">
        <v>1</v>
      </c>
      <c r="I602" s="178">
        <v>1750</v>
      </c>
      <c r="J602" s="176">
        <v>46033</v>
      </c>
      <c r="K602" s="172" t="s">
        <v>94</v>
      </c>
      <c r="L602" s="172" t="s">
        <v>95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516</v>
      </c>
      <c r="B603" s="176">
        <v>46037</v>
      </c>
      <c r="C603" s="172" t="s">
        <v>101</v>
      </c>
      <c r="D603" s="172" t="s">
        <v>103</v>
      </c>
      <c r="E603" s="172" t="s">
        <v>43</v>
      </c>
      <c r="F603" s="172" t="s">
        <v>90</v>
      </c>
      <c r="G603" s="172" t="s">
        <v>85</v>
      </c>
      <c r="H603" s="177">
        <v>1</v>
      </c>
      <c r="I603" s="178">
        <v>1750</v>
      </c>
      <c r="J603" s="176">
        <v>46033</v>
      </c>
      <c r="K603" s="172" t="s">
        <v>94</v>
      </c>
      <c r="L603" s="172" t="s">
        <v>95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516</v>
      </c>
      <c r="B604" s="176">
        <v>46037</v>
      </c>
      <c r="C604" s="172" t="s">
        <v>101</v>
      </c>
      <c r="D604" s="172" t="s">
        <v>104</v>
      </c>
      <c r="E604" s="172" t="s">
        <v>43</v>
      </c>
      <c r="F604" s="172" t="s">
        <v>90</v>
      </c>
      <c r="G604" s="172" t="s">
        <v>85</v>
      </c>
      <c r="H604" s="177">
        <v>1</v>
      </c>
      <c r="I604" s="178">
        <v>1750</v>
      </c>
      <c r="J604" s="176">
        <v>46033</v>
      </c>
      <c r="K604" s="172" t="s">
        <v>94</v>
      </c>
      <c r="L604" s="172" t="s">
        <v>95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516</v>
      </c>
      <c r="B605" s="176">
        <v>46037</v>
      </c>
      <c r="C605" s="172" t="s">
        <v>105</v>
      </c>
      <c r="D605" s="172" t="s">
        <v>106</v>
      </c>
      <c r="E605" s="172" t="s">
        <v>43</v>
      </c>
      <c r="F605" s="172" t="s">
        <v>90</v>
      </c>
      <c r="G605" s="172" t="s">
        <v>85</v>
      </c>
      <c r="H605" s="177">
        <v>1</v>
      </c>
      <c r="I605" s="178">
        <v>1750</v>
      </c>
      <c r="J605" s="176">
        <v>46033</v>
      </c>
      <c r="K605" s="172" t="s">
        <v>94</v>
      </c>
      <c r="L605" s="172" t="s">
        <v>95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516</v>
      </c>
      <c r="B606" s="176">
        <v>46037</v>
      </c>
      <c r="C606" s="172" t="s">
        <v>82</v>
      </c>
      <c r="D606" s="172" t="s">
        <v>96</v>
      </c>
      <c r="E606" s="172" t="s">
        <v>43</v>
      </c>
      <c r="F606" s="172" t="s">
        <v>90</v>
      </c>
      <c r="G606" s="172" t="s">
        <v>85</v>
      </c>
      <c r="H606" s="177">
        <v>1</v>
      </c>
      <c r="I606" s="178">
        <v>1750</v>
      </c>
      <c r="J606" s="176">
        <v>46033</v>
      </c>
      <c r="K606" s="172" t="s">
        <v>94</v>
      </c>
      <c r="L606" s="172" t="s">
        <v>95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516</v>
      </c>
      <c r="B607" s="176">
        <v>46037</v>
      </c>
      <c r="C607" s="172" t="s">
        <v>82</v>
      </c>
      <c r="D607" s="172" t="s">
        <v>83</v>
      </c>
      <c r="E607" s="172" t="s">
        <v>43</v>
      </c>
      <c r="F607" s="172" t="s">
        <v>90</v>
      </c>
      <c r="G607" s="172" t="s">
        <v>85</v>
      </c>
      <c r="H607" s="177">
        <v>1</v>
      </c>
      <c r="I607" s="178">
        <v>0</v>
      </c>
      <c r="J607" s="176">
        <v>46033</v>
      </c>
      <c r="K607" s="172" t="s">
        <v>86</v>
      </c>
      <c r="L607" s="172" t="s">
        <v>86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517</v>
      </c>
      <c r="B608" s="176">
        <v>46037</v>
      </c>
      <c r="C608" s="172" t="s">
        <v>93</v>
      </c>
      <c r="D608" s="172" t="s">
        <v>24</v>
      </c>
      <c r="E608" s="172" t="s">
        <v>43</v>
      </c>
      <c r="F608" s="172" t="s">
        <v>90</v>
      </c>
      <c r="G608" s="172" t="s">
        <v>85</v>
      </c>
      <c r="H608" s="177">
        <v>1</v>
      </c>
      <c r="I608" s="178">
        <v>1750</v>
      </c>
      <c r="J608" s="176">
        <v>46033</v>
      </c>
      <c r="K608" s="172" t="s">
        <v>94</v>
      </c>
      <c r="L608" s="172" t="s">
        <v>95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517</v>
      </c>
      <c r="B609" s="176">
        <v>46037</v>
      </c>
      <c r="C609" s="172" t="s">
        <v>101</v>
      </c>
      <c r="D609" s="172" t="s">
        <v>102</v>
      </c>
      <c r="E609" s="172" t="s">
        <v>43</v>
      </c>
      <c r="F609" s="172" t="s">
        <v>90</v>
      </c>
      <c r="G609" s="172" t="s">
        <v>85</v>
      </c>
      <c r="H609" s="177">
        <v>1</v>
      </c>
      <c r="I609" s="178">
        <v>1750</v>
      </c>
      <c r="J609" s="176">
        <v>46033</v>
      </c>
      <c r="K609" s="172" t="s">
        <v>94</v>
      </c>
      <c r="L609" s="172" t="s">
        <v>95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517</v>
      </c>
      <c r="B610" s="176">
        <v>46037</v>
      </c>
      <c r="C610" s="172" t="s">
        <v>101</v>
      </c>
      <c r="D610" s="172" t="s">
        <v>103</v>
      </c>
      <c r="E610" s="172" t="s">
        <v>43</v>
      </c>
      <c r="F610" s="172" t="s">
        <v>90</v>
      </c>
      <c r="G610" s="172" t="s">
        <v>85</v>
      </c>
      <c r="H610" s="177">
        <v>1</v>
      </c>
      <c r="I610" s="178">
        <v>1750</v>
      </c>
      <c r="J610" s="176">
        <v>46033</v>
      </c>
      <c r="K610" s="172" t="s">
        <v>94</v>
      </c>
      <c r="L610" s="172" t="s">
        <v>95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517</v>
      </c>
      <c r="B611" s="176">
        <v>46037</v>
      </c>
      <c r="C611" s="172" t="s">
        <v>101</v>
      </c>
      <c r="D611" s="172" t="s">
        <v>104</v>
      </c>
      <c r="E611" s="172" t="s">
        <v>43</v>
      </c>
      <c r="F611" s="172" t="s">
        <v>90</v>
      </c>
      <c r="G611" s="172" t="s">
        <v>85</v>
      </c>
      <c r="H611" s="177">
        <v>1</v>
      </c>
      <c r="I611" s="178">
        <v>1750</v>
      </c>
      <c r="J611" s="176">
        <v>46033</v>
      </c>
      <c r="K611" s="172" t="s">
        <v>94</v>
      </c>
      <c r="L611" s="172" t="s">
        <v>95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517</v>
      </c>
      <c r="B612" s="176">
        <v>46037</v>
      </c>
      <c r="C612" s="172" t="s">
        <v>105</v>
      </c>
      <c r="D612" s="172" t="s">
        <v>106</v>
      </c>
      <c r="E612" s="172" t="s">
        <v>43</v>
      </c>
      <c r="F612" s="172" t="s">
        <v>90</v>
      </c>
      <c r="G612" s="172" t="s">
        <v>85</v>
      </c>
      <c r="H612" s="177">
        <v>1</v>
      </c>
      <c r="I612" s="178">
        <v>1750</v>
      </c>
      <c r="J612" s="176">
        <v>46033</v>
      </c>
      <c r="K612" s="172" t="s">
        <v>94</v>
      </c>
      <c r="L612" s="172" t="s">
        <v>95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517</v>
      </c>
      <c r="B613" s="176">
        <v>46037</v>
      </c>
      <c r="C613" s="172" t="s">
        <v>82</v>
      </c>
      <c r="D613" s="172" t="s">
        <v>96</v>
      </c>
      <c r="E613" s="172" t="s">
        <v>43</v>
      </c>
      <c r="F613" s="172" t="s">
        <v>90</v>
      </c>
      <c r="G613" s="172" t="s">
        <v>85</v>
      </c>
      <c r="H613" s="177">
        <v>1</v>
      </c>
      <c r="I613" s="178">
        <v>1750</v>
      </c>
      <c r="J613" s="176">
        <v>46033</v>
      </c>
      <c r="K613" s="172" t="s">
        <v>94</v>
      </c>
      <c r="L613" s="172" t="s">
        <v>95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517</v>
      </c>
      <c r="B614" s="176">
        <v>46037</v>
      </c>
      <c r="C614" s="172" t="s">
        <v>82</v>
      </c>
      <c r="D614" s="172" t="s">
        <v>83</v>
      </c>
      <c r="E614" s="172" t="s">
        <v>43</v>
      </c>
      <c r="F614" s="172" t="s">
        <v>90</v>
      </c>
      <c r="G614" s="172" t="s">
        <v>85</v>
      </c>
      <c r="H614" s="177">
        <v>1</v>
      </c>
      <c r="I614" s="178">
        <v>0</v>
      </c>
      <c r="J614" s="176">
        <v>46033</v>
      </c>
      <c r="K614" s="172" t="s">
        <v>86</v>
      </c>
      <c r="L614" s="172" t="s">
        <v>86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518</v>
      </c>
      <c r="B615" s="176">
        <v>46037</v>
      </c>
      <c r="C615" s="172" t="s">
        <v>93</v>
      </c>
      <c r="D615" s="172" t="s">
        <v>273</v>
      </c>
      <c r="E615" s="172" t="s">
        <v>54</v>
      </c>
      <c r="F615" s="172" t="s">
        <v>121</v>
      </c>
      <c r="G615" s="172" t="s">
        <v>85</v>
      </c>
      <c r="H615" s="177">
        <v>1</v>
      </c>
      <c r="I615" s="178">
        <v>0</v>
      </c>
      <c r="J615" s="176">
        <v>46031</v>
      </c>
      <c r="K615" s="172" t="s">
        <v>94</v>
      </c>
      <c r="L615" s="172" t="s">
        <v>95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518</v>
      </c>
      <c r="B616" s="176">
        <v>46037</v>
      </c>
      <c r="C616" s="172" t="s">
        <v>93</v>
      </c>
      <c r="D616" s="172" t="s">
        <v>98</v>
      </c>
      <c r="E616" s="172" t="s">
        <v>54</v>
      </c>
      <c r="F616" s="172" t="s">
        <v>121</v>
      </c>
      <c r="G616" s="172" t="s">
        <v>85</v>
      </c>
      <c r="H616" s="177">
        <v>1</v>
      </c>
      <c r="I616" s="178">
        <v>0</v>
      </c>
      <c r="J616" s="176">
        <v>46031</v>
      </c>
      <c r="K616" s="172" t="s">
        <v>94</v>
      </c>
      <c r="L616" s="172" t="s">
        <v>95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518</v>
      </c>
      <c r="B617" s="176">
        <v>46037</v>
      </c>
      <c r="C617" s="172" t="s">
        <v>82</v>
      </c>
      <c r="D617" s="172" t="s">
        <v>99</v>
      </c>
      <c r="E617" s="172" t="s">
        <v>54</v>
      </c>
      <c r="F617" s="172" t="s">
        <v>121</v>
      </c>
      <c r="G617" s="172" t="s">
        <v>85</v>
      </c>
      <c r="H617" s="177">
        <v>1</v>
      </c>
      <c r="I617" s="178">
        <v>0</v>
      </c>
      <c r="J617" s="176">
        <v>46031</v>
      </c>
      <c r="K617" s="172" t="s">
        <v>94</v>
      </c>
      <c r="L617" s="172" t="s">
        <v>95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519</v>
      </c>
      <c r="B618" s="176">
        <v>46037</v>
      </c>
      <c r="C618" s="172" t="s">
        <v>93</v>
      </c>
      <c r="D618" s="172" t="s">
        <v>24</v>
      </c>
      <c r="E618" s="172" t="s">
        <v>54</v>
      </c>
      <c r="F618" s="172" t="s">
        <v>121</v>
      </c>
      <c r="G618" s="172" t="s">
        <v>85</v>
      </c>
      <c r="H618" s="177">
        <v>1</v>
      </c>
      <c r="I618" s="178">
        <v>1845</v>
      </c>
      <c r="J618" s="176">
        <v>46021</v>
      </c>
      <c r="K618" s="172" t="s">
        <v>94</v>
      </c>
      <c r="L618" s="172" t="s">
        <v>95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519</v>
      </c>
      <c r="B619" s="176">
        <v>46037</v>
      </c>
      <c r="C619" s="172" t="s">
        <v>101</v>
      </c>
      <c r="D619" s="172" t="s">
        <v>102</v>
      </c>
      <c r="E619" s="172" t="s">
        <v>54</v>
      </c>
      <c r="F619" s="172" t="s">
        <v>121</v>
      </c>
      <c r="G619" s="172" t="s">
        <v>85</v>
      </c>
      <c r="H619" s="177">
        <v>1</v>
      </c>
      <c r="I619" s="178">
        <v>1845</v>
      </c>
      <c r="J619" s="176">
        <v>46021</v>
      </c>
      <c r="K619" s="172" t="s">
        <v>94</v>
      </c>
      <c r="L619" s="172" t="s">
        <v>95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519</v>
      </c>
      <c r="B620" s="176">
        <v>46037</v>
      </c>
      <c r="C620" s="172" t="s">
        <v>101</v>
      </c>
      <c r="D620" s="172" t="s">
        <v>103</v>
      </c>
      <c r="E620" s="172" t="s">
        <v>54</v>
      </c>
      <c r="F620" s="172" t="s">
        <v>121</v>
      </c>
      <c r="G620" s="172" t="s">
        <v>85</v>
      </c>
      <c r="H620" s="177">
        <v>1</v>
      </c>
      <c r="I620" s="178">
        <v>1845</v>
      </c>
      <c r="J620" s="176">
        <v>46021</v>
      </c>
      <c r="K620" s="172" t="s">
        <v>94</v>
      </c>
      <c r="L620" s="172" t="s">
        <v>95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519</v>
      </c>
      <c r="B621" s="176">
        <v>46037</v>
      </c>
      <c r="C621" s="172" t="s">
        <v>101</v>
      </c>
      <c r="D621" s="172" t="s">
        <v>104</v>
      </c>
      <c r="E621" s="172" t="s">
        <v>54</v>
      </c>
      <c r="F621" s="172" t="s">
        <v>121</v>
      </c>
      <c r="G621" s="172" t="s">
        <v>85</v>
      </c>
      <c r="H621" s="177">
        <v>1</v>
      </c>
      <c r="I621" s="178">
        <v>1845</v>
      </c>
      <c r="J621" s="176">
        <v>46021</v>
      </c>
      <c r="K621" s="172" t="s">
        <v>94</v>
      </c>
      <c r="L621" s="172" t="s">
        <v>95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519</v>
      </c>
      <c r="B622" s="176">
        <v>46037</v>
      </c>
      <c r="C622" s="172" t="s">
        <v>105</v>
      </c>
      <c r="D622" s="172" t="s">
        <v>106</v>
      </c>
      <c r="E622" s="172" t="s">
        <v>54</v>
      </c>
      <c r="F622" s="172" t="s">
        <v>121</v>
      </c>
      <c r="G622" s="172" t="s">
        <v>85</v>
      </c>
      <c r="H622" s="177">
        <v>1</v>
      </c>
      <c r="I622" s="178">
        <v>1845</v>
      </c>
      <c r="J622" s="176">
        <v>46021</v>
      </c>
      <c r="K622" s="172" t="s">
        <v>94</v>
      </c>
      <c r="L622" s="172" t="s">
        <v>95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519</v>
      </c>
      <c r="B623" s="176">
        <v>46037</v>
      </c>
      <c r="C623" s="172" t="s">
        <v>82</v>
      </c>
      <c r="D623" s="172" t="s">
        <v>96</v>
      </c>
      <c r="E623" s="172" t="s">
        <v>54</v>
      </c>
      <c r="F623" s="172" t="s">
        <v>121</v>
      </c>
      <c r="G623" s="172" t="s">
        <v>85</v>
      </c>
      <c r="H623" s="177">
        <v>1</v>
      </c>
      <c r="I623" s="178">
        <v>1845</v>
      </c>
      <c r="J623" s="176">
        <v>46021</v>
      </c>
      <c r="K623" s="172" t="s">
        <v>94</v>
      </c>
      <c r="L623" s="172" t="s">
        <v>95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520</v>
      </c>
      <c r="B624" s="176">
        <v>46037</v>
      </c>
      <c r="C624" s="172" t="s">
        <v>93</v>
      </c>
      <c r="D624" s="172" t="s">
        <v>24</v>
      </c>
      <c r="E624" s="172" t="s">
        <v>42</v>
      </c>
      <c r="F624" s="172" t="s">
        <v>84</v>
      </c>
      <c r="G624" s="172" t="s">
        <v>85</v>
      </c>
      <c r="H624" s="177">
        <v>1</v>
      </c>
      <c r="I624" s="178">
        <v>1750</v>
      </c>
      <c r="J624" s="176">
        <v>46032</v>
      </c>
      <c r="K624" s="172" t="s">
        <v>94</v>
      </c>
      <c r="L624" s="172" t="s">
        <v>95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520</v>
      </c>
      <c r="B625" s="176">
        <v>46037</v>
      </c>
      <c r="C625" s="172" t="s">
        <v>101</v>
      </c>
      <c r="D625" s="172" t="s">
        <v>102</v>
      </c>
      <c r="E625" s="172" t="s">
        <v>42</v>
      </c>
      <c r="F625" s="172" t="s">
        <v>84</v>
      </c>
      <c r="G625" s="172" t="s">
        <v>85</v>
      </c>
      <c r="H625" s="177">
        <v>1</v>
      </c>
      <c r="I625" s="178">
        <v>1750</v>
      </c>
      <c r="J625" s="176">
        <v>46032</v>
      </c>
      <c r="K625" s="172" t="s">
        <v>94</v>
      </c>
      <c r="L625" s="172" t="s">
        <v>95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520</v>
      </c>
      <c r="B626" s="176">
        <v>46037</v>
      </c>
      <c r="C626" s="172" t="s">
        <v>101</v>
      </c>
      <c r="D626" s="172" t="s">
        <v>103</v>
      </c>
      <c r="E626" s="172" t="s">
        <v>42</v>
      </c>
      <c r="F626" s="172" t="s">
        <v>84</v>
      </c>
      <c r="G626" s="172" t="s">
        <v>85</v>
      </c>
      <c r="H626" s="177">
        <v>1</v>
      </c>
      <c r="I626" s="178">
        <v>1750</v>
      </c>
      <c r="J626" s="176">
        <v>46032</v>
      </c>
      <c r="K626" s="172" t="s">
        <v>94</v>
      </c>
      <c r="L626" s="172" t="s">
        <v>95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520</v>
      </c>
      <c r="B627" s="176">
        <v>46037</v>
      </c>
      <c r="C627" s="172" t="s">
        <v>101</v>
      </c>
      <c r="D627" s="172" t="s">
        <v>104</v>
      </c>
      <c r="E627" s="172" t="s">
        <v>42</v>
      </c>
      <c r="F627" s="172" t="s">
        <v>84</v>
      </c>
      <c r="G627" s="172" t="s">
        <v>85</v>
      </c>
      <c r="H627" s="177">
        <v>1</v>
      </c>
      <c r="I627" s="178">
        <v>1750</v>
      </c>
      <c r="J627" s="176">
        <v>46032</v>
      </c>
      <c r="K627" s="172" t="s">
        <v>94</v>
      </c>
      <c r="L627" s="172" t="s">
        <v>95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520</v>
      </c>
      <c r="B628" s="176">
        <v>46037</v>
      </c>
      <c r="C628" s="172" t="s">
        <v>105</v>
      </c>
      <c r="D628" s="172" t="s">
        <v>106</v>
      </c>
      <c r="E628" s="172" t="s">
        <v>42</v>
      </c>
      <c r="F628" s="172" t="s">
        <v>84</v>
      </c>
      <c r="G628" s="172" t="s">
        <v>85</v>
      </c>
      <c r="H628" s="177">
        <v>1</v>
      </c>
      <c r="I628" s="178">
        <v>1750</v>
      </c>
      <c r="J628" s="176">
        <v>46032</v>
      </c>
      <c r="K628" s="172" t="s">
        <v>94</v>
      </c>
      <c r="L628" s="172" t="s">
        <v>95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520</v>
      </c>
      <c r="B629" s="176">
        <v>46037</v>
      </c>
      <c r="C629" s="172" t="s">
        <v>82</v>
      </c>
      <c r="D629" s="172" t="s">
        <v>96</v>
      </c>
      <c r="E629" s="172" t="s">
        <v>42</v>
      </c>
      <c r="F629" s="172" t="s">
        <v>84</v>
      </c>
      <c r="G629" s="172" t="s">
        <v>85</v>
      </c>
      <c r="H629" s="177">
        <v>1</v>
      </c>
      <c r="I629" s="178">
        <v>1750</v>
      </c>
      <c r="J629" s="176">
        <v>46032</v>
      </c>
      <c r="K629" s="172" t="s">
        <v>94</v>
      </c>
      <c r="L629" s="172" t="s">
        <v>95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521</v>
      </c>
      <c r="B630" s="176">
        <v>46037</v>
      </c>
      <c r="C630" s="172" t="s">
        <v>93</v>
      </c>
      <c r="D630" s="172" t="s">
        <v>24</v>
      </c>
      <c r="E630" s="172" t="s">
        <v>53</v>
      </c>
      <c r="F630" s="172" t="s">
        <v>91</v>
      </c>
      <c r="G630" s="172" t="s">
        <v>85</v>
      </c>
      <c r="H630" s="177">
        <v>1</v>
      </c>
      <c r="I630" s="178">
        <v>1621</v>
      </c>
      <c r="J630" s="176">
        <v>46035</v>
      </c>
      <c r="K630" s="172" t="s">
        <v>94</v>
      </c>
      <c r="L630" s="172" t="s">
        <v>95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521</v>
      </c>
      <c r="B631" s="176">
        <v>46037</v>
      </c>
      <c r="C631" s="172" t="s">
        <v>101</v>
      </c>
      <c r="D631" s="172" t="s">
        <v>102</v>
      </c>
      <c r="E631" s="172" t="s">
        <v>53</v>
      </c>
      <c r="F631" s="172" t="s">
        <v>91</v>
      </c>
      <c r="G631" s="172" t="s">
        <v>85</v>
      </c>
      <c r="H631" s="177">
        <v>1</v>
      </c>
      <c r="I631" s="178">
        <v>1621</v>
      </c>
      <c r="J631" s="176">
        <v>46035</v>
      </c>
      <c r="K631" s="172" t="s">
        <v>94</v>
      </c>
      <c r="L631" s="172" t="s">
        <v>95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521</v>
      </c>
      <c r="B632" s="176">
        <v>46037</v>
      </c>
      <c r="C632" s="172" t="s">
        <v>101</v>
      </c>
      <c r="D632" s="172" t="s">
        <v>103</v>
      </c>
      <c r="E632" s="172" t="s">
        <v>53</v>
      </c>
      <c r="F632" s="172" t="s">
        <v>91</v>
      </c>
      <c r="G632" s="172" t="s">
        <v>85</v>
      </c>
      <c r="H632" s="177">
        <v>1</v>
      </c>
      <c r="I632" s="178">
        <v>1621</v>
      </c>
      <c r="J632" s="176">
        <v>46035</v>
      </c>
      <c r="K632" s="172" t="s">
        <v>94</v>
      </c>
      <c r="L632" s="172" t="s">
        <v>95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521</v>
      </c>
      <c r="B633" s="176">
        <v>46037</v>
      </c>
      <c r="C633" s="172" t="s">
        <v>101</v>
      </c>
      <c r="D633" s="172" t="s">
        <v>104</v>
      </c>
      <c r="E633" s="172" t="s">
        <v>53</v>
      </c>
      <c r="F633" s="172" t="s">
        <v>91</v>
      </c>
      <c r="G633" s="172" t="s">
        <v>85</v>
      </c>
      <c r="H633" s="177">
        <v>1</v>
      </c>
      <c r="I633" s="178">
        <v>1621</v>
      </c>
      <c r="J633" s="176">
        <v>46035</v>
      </c>
      <c r="K633" s="172" t="s">
        <v>94</v>
      </c>
      <c r="L633" s="172" t="s">
        <v>95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521</v>
      </c>
      <c r="B634" s="176">
        <v>46037</v>
      </c>
      <c r="C634" s="172" t="s">
        <v>105</v>
      </c>
      <c r="D634" s="172" t="s">
        <v>106</v>
      </c>
      <c r="E634" s="172" t="s">
        <v>53</v>
      </c>
      <c r="F634" s="172" t="s">
        <v>91</v>
      </c>
      <c r="G634" s="172" t="s">
        <v>85</v>
      </c>
      <c r="H634" s="177">
        <v>1</v>
      </c>
      <c r="I634" s="178">
        <v>1621</v>
      </c>
      <c r="J634" s="176">
        <v>46035</v>
      </c>
      <c r="K634" s="172" t="s">
        <v>94</v>
      </c>
      <c r="L634" s="172" t="s">
        <v>95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521</v>
      </c>
      <c r="B635" s="176">
        <v>46037</v>
      </c>
      <c r="C635" s="172" t="s">
        <v>82</v>
      </c>
      <c r="D635" s="172" t="s">
        <v>96</v>
      </c>
      <c r="E635" s="172" t="s">
        <v>53</v>
      </c>
      <c r="F635" s="172" t="s">
        <v>91</v>
      </c>
      <c r="G635" s="172" t="s">
        <v>85</v>
      </c>
      <c r="H635" s="177">
        <v>1</v>
      </c>
      <c r="I635" s="178">
        <v>1621</v>
      </c>
      <c r="J635" s="176">
        <v>46035</v>
      </c>
      <c r="K635" s="172" t="s">
        <v>94</v>
      </c>
      <c r="L635" s="172" t="s">
        <v>95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522</v>
      </c>
      <c r="B636" s="176">
        <v>46037</v>
      </c>
      <c r="C636" s="172" t="s">
        <v>82</v>
      </c>
      <c r="D636" s="172" t="s">
        <v>83</v>
      </c>
      <c r="E636" s="172" t="s">
        <v>54</v>
      </c>
      <c r="F636" s="172" t="s">
        <v>121</v>
      </c>
      <c r="G636" s="172" t="s">
        <v>85</v>
      </c>
      <c r="H636" s="177">
        <v>1</v>
      </c>
      <c r="I636" s="178">
        <v>0</v>
      </c>
      <c r="J636" s="176">
        <v>46037</v>
      </c>
      <c r="K636" s="172" t="s">
        <v>86</v>
      </c>
      <c r="L636" s="172" t="s">
        <v>86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523</v>
      </c>
      <c r="B637" s="176">
        <v>46037</v>
      </c>
      <c r="C637" s="172" t="s">
        <v>93</v>
      </c>
      <c r="D637" s="172" t="s">
        <v>24</v>
      </c>
      <c r="E637" s="172" t="s">
        <v>53</v>
      </c>
      <c r="F637" s="172" t="s">
        <v>91</v>
      </c>
      <c r="G637" s="172" t="s">
        <v>85</v>
      </c>
      <c r="H637" s="177">
        <v>1</v>
      </c>
      <c r="I637" s="178">
        <v>1621</v>
      </c>
      <c r="J637" s="176">
        <v>46035</v>
      </c>
      <c r="K637" s="172" t="s">
        <v>94</v>
      </c>
      <c r="L637" s="172" t="s">
        <v>95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523</v>
      </c>
      <c r="B638" s="176">
        <v>46037</v>
      </c>
      <c r="C638" s="172" t="s">
        <v>101</v>
      </c>
      <c r="D638" s="172" t="s">
        <v>102</v>
      </c>
      <c r="E638" s="172" t="s">
        <v>53</v>
      </c>
      <c r="F638" s="172" t="s">
        <v>91</v>
      </c>
      <c r="G638" s="172" t="s">
        <v>85</v>
      </c>
      <c r="H638" s="177">
        <v>1</v>
      </c>
      <c r="I638" s="178">
        <v>1621</v>
      </c>
      <c r="J638" s="176">
        <v>46035</v>
      </c>
      <c r="K638" s="172" t="s">
        <v>94</v>
      </c>
      <c r="L638" s="172" t="s">
        <v>95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523</v>
      </c>
      <c r="B639" s="176">
        <v>46037</v>
      </c>
      <c r="C639" s="172" t="s">
        <v>101</v>
      </c>
      <c r="D639" s="172" t="s">
        <v>103</v>
      </c>
      <c r="E639" s="172" t="s">
        <v>53</v>
      </c>
      <c r="F639" s="172" t="s">
        <v>91</v>
      </c>
      <c r="G639" s="172" t="s">
        <v>85</v>
      </c>
      <c r="H639" s="177">
        <v>1</v>
      </c>
      <c r="I639" s="178">
        <v>1621</v>
      </c>
      <c r="J639" s="176">
        <v>46035</v>
      </c>
      <c r="K639" s="172" t="s">
        <v>94</v>
      </c>
      <c r="L639" s="172" t="s">
        <v>95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523</v>
      </c>
      <c r="B640" s="176">
        <v>46037</v>
      </c>
      <c r="C640" s="172" t="s">
        <v>101</v>
      </c>
      <c r="D640" s="172" t="s">
        <v>104</v>
      </c>
      <c r="E640" s="172" t="s">
        <v>53</v>
      </c>
      <c r="F640" s="172" t="s">
        <v>91</v>
      </c>
      <c r="G640" s="172" t="s">
        <v>85</v>
      </c>
      <c r="H640" s="177">
        <v>1</v>
      </c>
      <c r="I640" s="178">
        <v>1621</v>
      </c>
      <c r="J640" s="176">
        <v>46035</v>
      </c>
      <c r="K640" s="172" t="s">
        <v>94</v>
      </c>
      <c r="L640" s="172" t="s">
        <v>95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523</v>
      </c>
      <c r="B641" s="176">
        <v>46037</v>
      </c>
      <c r="C641" s="172" t="s">
        <v>105</v>
      </c>
      <c r="D641" s="172" t="s">
        <v>106</v>
      </c>
      <c r="E641" s="172" t="s">
        <v>53</v>
      </c>
      <c r="F641" s="172" t="s">
        <v>91</v>
      </c>
      <c r="G641" s="172" t="s">
        <v>85</v>
      </c>
      <c r="H641" s="177">
        <v>1</v>
      </c>
      <c r="I641" s="178">
        <v>1621</v>
      </c>
      <c r="J641" s="176">
        <v>46035</v>
      </c>
      <c r="K641" s="172" t="s">
        <v>94</v>
      </c>
      <c r="L641" s="172" t="s">
        <v>95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523</v>
      </c>
      <c r="B642" s="176">
        <v>46037</v>
      </c>
      <c r="C642" s="172" t="s">
        <v>82</v>
      </c>
      <c r="D642" s="172" t="s">
        <v>96</v>
      </c>
      <c r="E642" s="172" t="s">
        <v>53</v>
      </c>
      <c r="F642" s="172" t="s">
        <v>91</v>
      </c>
      <c r="G642" s="172" t="s">
        <v>85</v>
      </c>
      <c r="H642" s="177">
        <v>1</v>
      </c>
      <c r="I642" s="178">
        <v>1621</v>
      </c>
      <c r="J642" s="176">
        <v>46035</v>
      </c>
      <c r="K642" s="172" t="s">
        <v>94</v>
      </c>
      <c r="L642" s="172" t="s">
        <v>95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524</v>
      </c>
      <c r="B643" s="176">
        <v>46037</v>
      </c>
      <c r="C643" s="172" t="s">
        <v>93</v>
      </c>
      <c r="D643" s="172" t="s">
        <v>24</v>
      </c>
      <c r="E643" s="172" t="s">
        <v>53</v>
      </c>
      <c r="F643" s="172" t="s">
        <v>91</v>
      </c>
      <c r="G643" s="172" t="s">
        <v>85</v>
      </c>
      <c r="H643" s="177">
        <v>1</v>
      </c>
      <c r="I643" s="178">
        <v>1621</v>
      </c>
      <c r="J643" s="176">
        <v>46035</v>
      </c>
      <c r="K643" s="172" t="s">
        <v>94</v>
      </c>
      <c r="L643" s="172" t="s">
        <v>95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524</v>
      </c>
      <c r="B644" s="176">
        <v>46037</v>
      </c>
      <c r="C644" s="172" t="s">
        <v>101</v>
      </c>
      <c r="D644" s="172" t="s">
        <v>102</v>
      </c>
      <c r="E644" s="172" t="s">
        <v>53</v>
      </c>
      <c r="F644" s="172" t="s">
        <v>91</v>
      </c>
      <c r="G644" s="172" t="s">
        <v>85</v>
      </c>
      <c r="H644" s="177">
        <v>1</v>
      </c>
      <c r="I644" s="178">
        <v>1621</v>
      </c>
      <c r="J644" s="176">
        <v>46035</v>
      </c>
      <c r="K644" s="172" t="s">
        <v>94</v>
      </c>
      <c r="L644" s="172" t="s">
        <v>95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524</v>
      </c>
      <c r="B645" s="176">
        <v>46037</v>
      </c>
      <c r="C645" s="172" t="s">
        <v>101</v>
      </c>
      <c r="D645" s="172" t="s">
        <v>103</v>
      </c>
      <c r="E645" s="172" t="s">
        <v>53</v>
      </c>
      <c r="F645" s="172" t="s">
        <v>91</v>
      </c>
      <c r="G645" s="172" t="s">
        <v>85</v>
      </c>
      <c r="H645" s="177">
        <v>1</v>
      </c>
      <c r="I645" s="178">
        <v>1621</v>
      </c>
      <c r="J645" s="176">
        <v>46035</v>
      </c>
      <c r="K645" s="172" t="s">
        <v>94</v>
      </c>
      <c r="L645" s="172" t="s">
        <v>95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524</v>
      </c>
      <c r="B646" s="176">
        <v>46037</v>
      </c>
      <c r="C646" s="172" t="s">
        <v>101</v>
      </c>
      <c r="D646" s="172" t="s">
        <v>104</v>
      </c>
      <c r="E646" s="172" t="s">
        <v>53</v>
      </c>
      <c r="F646" s="172" t="s">
        <v>91</v>
      </c>
      <c r="G646" s="172" t="s">
        <v>85</v>
      </c>
      <c r="H646" s="177">
        <v>1</v>
      </c>
      <c r="I646" s="178">
        <v>1621</v>
      </c>
      <c r="J646" s="176">
        <v>46035</v>
      </c>
      <c r="K646" s="172" t="s">
        <v>94</v>
      </c>
      <c r="L646" s="172" t="s">
        <v>95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524</v>
      </c>
      <c r="B647" s="176">
        <v>46037</v>
      </c>
      <c r="C647" s="172" t="s">
        <v>105</v>
      </c>
      <c r="D647" s="172" t="s">
        <v>106</v>
      </c>
      <c r="E647" s="172" t="s">
        <v>53</v>
      </c>
      <c r="F647" s="172" t="s">
        <v>91</v>
      </c>
      <c r="G647" s="172" t="s">
        <v>85</v>
      </c>
      <c r="H647" s="177">
        <v>1</v>
      </c>
      <c r="I647" s="178">
        <v>1621</v>
      </c>
      <c r="J647" s="176">
        <v>46035</v>
      </c>
      <c r="K647" s="172" t="s">
        <v>94</v>
      </c>
      <c r="L647" s="172" t="s">
        <v>95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524</v>
      </c>
      <c r="B648" s="176">
        <v>46037</v>
      </c>
      <c r="C648" s="172" t="s">
        <v>82</v>
      </c>
      <c r="D648" s="172" t="s">
        <v>96</v>
      </c>
      <c r="E648" s="172" t="s">
        <v>53</v>
      </c>
      <c r="F648" s="172" t="s">
        <v>91</v>
      </c>
      <c r="G648" s="172" t="s">
        <v>85</v>
      </c>
      <c r="H648" s="177">
        <v>1</v>
      </c>
      <c r="I648" s="178">
        <v>1621</v>
      </c>
      <c r="J648" s="176">
        <v>46035</v>
      </c>
      <c r="K648" s="172" t="s">
        <v>94</v>
      </c>
      <c r="L648" s="172" t="s">
        <v>95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525</v>
      </c>
      <c r="B649" s="176">
        <v>46037</v>
      </c>
      <c r="C649" s="172" t="s">
        <v>93</v>
      </c>
      <c r="D649" s="172" t="s">
        <v>24</v>
      </c>
      <c r="E649" s="172" t="s">
        <v>53</v>
      </c>
      <c r="F649" s="172" t="s">
        <v>91</v>
      </c>
      <c r="G649" s="172" t="s">
        <v>85</v>
      </c>
      <c r="H649" s="177">
        <v>1</v>
      </c>
      <c r="I649" s="178">
        <v>1621</v>
      </c>
      <c r="J649" s="176">
        <v>46035</v>
      </c>
      <c r="K649" s="172" t="s">
        <v>94</v>
      </c>
      <c r="L649" s="172" t="s">
        <v>95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525</v>
      </c>
      <c r="B650" s="176">
        <v>46037</v>
      </c>
      <c r="C650" s="172" t="s">
        <v>101</v>
      </c>
      <c r="D650" s="172" t="s">
        <v>102</v>
      </c>
      <c r="E650" s="172" t="s">
        <v>53</v>
      </c>
      <c r="F650" s="172" t="s">
        <v>91</v>
      </c>
      <c r="G650" s="172" t="s">
        <v>85</v>
      </c>
      <c r="H650" s="177">
        <v>1</v>
      </c>
      <c r="I650" s="178">
        <v>1621</v>
      </c>
      <c r="J650" s="176">
        <v>46035</v>
      </c>
      <c r="K650" s="172" t="s">
        <v>94</v>
      </c>
      <c r="L650" s="172" t="s">
        <v>95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525</v>
      </c>
      <c r="B651" s="176">
        <v>46037</v>
      </c>
      <c r="C651" s="172" t="s">
        <v>101</v>
      </c>
      <c r="D651" s="172" t="s">
        <v>103</v>
      </c>
      <c r="E651" s="172" t="s">
        <v>53</v>
      </c>
      <c r="F651" s="172" t="s">
        <v>91</v>
      </c>
      <c r="G651" s="172" t="s">
        <v>85</v>
      </c>
      <c r="H651" s="177">
        <v>1</v>
      </c>
      <c r="I651" s="178">
        <v>1621</v>
      </c>
      <c r="J651" s="176">
        <v>46035</v>
      </c>
      <c r="K651" s="172" t="s">
        <v>94</v>
      </c>
      <c r="L651" s="172" t="s">
        <v>95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525</v>
      </c>
      <c r="B652" s="176">
        <v>46037</v>
      </c>
      <c r="C652" s="172" t="s">
        <v>101</v>
      </c>
      <c r="D652" s="172" t="s">
        <v>104</v>
      </c>
      <c r="E652" s="172" t="s">
        <v>53</v>
      </c>
      <c r="F652" s="172" t="s">
        <v>91</v>
      </c>
      <c r="G652" s="172" t="s">
        <v>85</v>
      </c>
      <c r="H652" s="177">
        <v>1</v>
      </c>
      <c r="I652" s="178">
        <v>1621</v>
      </c>
      <c r="J652" s="176">
        <v>46035</v>
      </c>
      <c r="K652" s="172" t="s">
        <v>94</v>
      </c>
      <c r="L652" s="172" t="s">
        <v>95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525</v>
      </c>
      <c r="B653" s="176">
        <v>46037</v>
      </c>
      <c r="C653" s="172" t="s">
        <v>105</v>
      </c>
      <c r="D653" s="172" t="s">
        <v>106</v>
      </c>
      <c r="E653" s="172" t="s">
        <v>53</v>
      </c>
      <c r="F653" s="172" t="s">
        <v>91</v>
      </c>
      <c r="G653" s="172" t="s">
        <v>85</v>
      </c>
      <c r="H653" s="177">
        <v>1</v>
      </c>
      <c r="I653" s="178">
        <v>1621</v>
      </c>
      <c r="J653" s="176">
        <v>46035</v>
      </c>
      <c r="K653" s="172" t="s">
        <v>94</v>
      </c>
      <c r="L653" s="172" t="s">
        <v>95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525</v>
      </c>
      <c r="B654" s="176">
        <v>46037</v>
      </c>
      <c r="C654" s="172" t="s">
        <v>82</v>
      </c>
      <c r="D654" s="172" t="s">
        <v>96</v>
      </c>
      <c r="E654" s="172" t="s">
        <v>53</v>
      </c>
      <c r="F654" s="172" t="s">
        <v>91</v>
      </c>
      <c r="G654" s="172" t="s">
        <v>85</v>
      </c>
      <c r="H654" s="177">
        <v>1</v>
      </c>
      <c r="I654" s="178">
        <v>1621</v>
      </c>
      <c r="J654" s="176">
        <v>46035</v>
      </c>
      <c r="K654" s="172" t="s">
        <v>94</v>
      </c>
      <c r="L654" s="172" t="s">
        <v>95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524</v>
      </c>
      <c r="B655" s="176">
        <v>46037</v>
      </c>
      <c r="C655" s="172" t="s">
        <v>82</v>
      </c>
      <c r="D655" s="172" t="s">
        <v>83</v>
      </c>
      <c r="E655" s="172" t="s">
        <v>53</v>
      </c>
      <c r="F655" s="172" t="s">
        <v>91</v>
      </c>
      <c r="G655" s="172" t="s">
        <v>85</v>
      </c>
      <c r="H655" s="177">
        <v>1</v>
      </c>
      <c r="I655" s="178">
        <v>0</v>
      </c>
      <c r="J655" s="176">
        <v>46035</v>
      </c>
      <c r="K655" s="172" t="s">
        <v>86</v>
      </c>
      <c r="L655" s="172" t="s">
        <v>86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523</v>
      </c>
      <c r="B656" s="176">
        <v>46037</v>
      </c>
      <c r="C656" s="172" t="s">
        <v>82</v>
      </c>
      <c r="D656" s="172" t="s">
        <v>83</v>
      </c>
      <c r="E656" s="172" t="s">
        <v>53</v>
      </c>
      <c r="F656" s="172" t="s">
        <v>91</v>
      </c>
      <c r="G656" s="172" t="s">
        <v>85</v>
      </c>
      <c r="H656" s="177">
        <v>1</v>
      </c>
      <c r="I656" s="178">
        <v>0</v>
      </c>
      <c r="J656" s="176">
        <v>46035</v>
      </c>
      <c r="K656" s="172" t="s">
        <v>86</v>
      </c>
      <c r="L656" s="172" t="s">
        <v>86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525</v>
      </c>
      <c r="B657" s="176">
        <v>46037</v>
      </c>
      <c r="C657" s="172" t="s">
        <v>82</v>
      </c>
      <c r="D657" s="172" t="s">
        <v>83</v>
      </c>
      <c r="E657" s="172" t="s">
        <v>53</v>
      </c>
      <c r="F657" s="172" t="s">
        <v>91</v>
      </c>
      <c r="G657" s="172" t="s">
        <v>85</v>
      </c>
      <c r="H657" s="177">
        <v>1</v>
      </c>
      <c r="I657" s="178">
        <v>0</v>
      </c>
      <c r="J657" s="176">
        <v>46035</v>
      </c>
      <c r="K657" s="172" t="s">
        <v>86</v>
      </c>
      <c r="L657" s="172" t="s">
        <v>86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526</v>
      </c>
      <c r="B658" s="176">
        <v>46037</v>
      </c>
      <c r="C658" s="172" t="s">
        <v>93</v>
      </c>
      <c r="D658" s="172" t="s">
        <v>24</v>
      </c>
      <c r="E658" s="172" t="s">
        <v>44</v>
      </c>
      <c r="F658" s="172" t="s">
        <v>126</v>
      </c>
      <c r="G658" s="172" t="s">
        <v>85</v>
      </c>
      <c r="H658" s="177">
        <v>1</v>
      </c>
      <c r="I658" s="178">
        <v>1202</v>
      </c>
      <c r="J658" s="176">
        <v>46030</v>
      </c>
      <c r="K658" s="172" t="s">
        <v>94</v>
      </c>
      <c r="L658" s="172" t="s">
        <v>95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526</v>
      </c>
      <c r="B659" s="176">
        <v>46037</v>
      </c>
      <c r="C659" s="172" t="s">
        <v>101</v>
      </c>
      <c r="D659" s="172" t="s">
        <v>102</v>
      </c>
      <c r="E659" s="172" t="s">
        <v>44</v>
      </c>
      <c r="F659" s="172" t="s">
        <v>126</v>
      </c>
      <c r="G659" s="172" t="s">
        <v>85</v>
      </c>
      <c r="H659" s="177">
        <v>1</v>
      </c>
      <c r="I659" s="178">
        <v>1202</v>
      </c>
      <c r="J659" s="176">
        <v>46030</v>
      </c>
      <c r="K659" s="172" t="s">
        <v>94</v>
      </c>
      <c r="L659" s="172" t="s">
        <v>95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526</v>
      </c>
      <c r="B660" s="176">
        <v>46037</v>
      </c>
      <c r="C660" s="172" t="s">
        <v>101</v>
      </c>
      <c r="D660" s="172" t="s">
        <v>103</v>
      </c>
      <c r="E660" s="172" t="s">
        <v>44</v>
      </c>
      <c r="F660" s="172" t="s">
        <v>126</v>
      </c>
      <c r="G660" s="172" t="s">
        <v>85</v>
      </c>
      <c r="H660" s="177">
        <v>1</v>
      </c>
      <c r="I660" s="178">
        <v>1202</v>
      </c>
      <c r="J660" s="176">
        <v>46030</v>
      </c>
      <c r="K660" s="172" t="s">
        <v>94</v>
      </c>
      <c r="L660" s="172" t="s">
        <v>95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526</v>
      </c>
      <c r="B661" s="176">
        <v>46037</v>
      </c>
      <c r="C661" s="172" t="s">
        <v>101</v>
      </c>
      <c r="D661" s="172" t="s">
        <v>104</v>
      </c>
      <c r="E661" s="172" t="s">
        <v>44</v>
      </c>
      <c r="F661" s="172" t="s">
        <v>126</v>
      </c>
      <c r="G661" s="172" t="s">
        <v>85</v>
      </c>
      <c r="H661" s="177">
        <v>1</v>
      </c>
      <c r="I661" s="178">
        <v>1202</v>
      </c>
      <c r="J661" s="176">
        <v>46030</v>
      </c>
      <c r="K661" s="172" t="s">
        <v>94</v>
      </c>
      <c r="L661" s="172" t="s">
        <v>95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526</v>
      </c>
      <c r="B662" s="176">
        <v>46037</v>
      </c>
      <c r="C662" s="172" t="s">
        <v>105</v>
      </c>
      <c r="D662" s="172" t="s">
        <v>106</v>
      </c>
      <c r="E662" s="172" t="s">
        <v>44</v>
      </c>
      <c r="F662" s="172" t="s">
        <v>126</v>
      </c>
      <c r="G662" s="172" t="s">
        <v>85</v>
      </c>
      <c r="H662" s="177">
        <v>1</v>
      </c>
      <c r="I662" s="178">
        <v>1202</v>
      </c>
      <c r="J662" s="176">
        <v>46030</v>
      </c>
      <c r="K662" s="172" t="s">
        <v>94</v>
      </c>
      <c r="L662" s="172" t="s">
        <v>95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526</v>
      </c>
      <c r="B663" s="176">
        <v>46037</v>
      </c>
      <c r="C663" s="172" t="s">
        <v>82</v>
      </c>
      <c r="D663" s="172" t="s">
        <v>96</v>
      </c>
      <c r="E663" s="172" t="s">
        <v>44</v>
      </c>
      <c r="F663" s="172" t="s">
        <v>126</v>
      </c>
      <c r="G663" s="172" t="s">
        <v>85</v>
      </c>
      <c r="H663" s="177">
        <v>1</v>
      </c>
      <c r="I663" s="178">
        <v>1202</v>
      </c>
      <c r="J663" s="176">
        <v>46030</v>
      </c>
      <c r="K663" s="172" t="s">
        <v>94</v>
      </c>
      <c r="L663" s="172" t="s">
        <v>95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526</v>
      </c>
      <c r="B664" s="176">
        <v>46037</v>
      </c>
      <c r="C664" s="172" t="s">
        <v>82</v>
      </c>
      <c r="D664" s="172" t="s">
        <v>83</v>
      </c>
      <c r="E664" s="172" t="s">
        <v>44</v>
      </c>
      <c r="F664" s="172" t="s">
        <v>126</v>
      </c>
      <c r="G664" s="172" t="s">
        <v>85</v>
      </c>
      <c r="H664" s="177">
        <v>1</v>
      </c>
      <c r="I664" s="178">
        <v>0</v>
      </c>
      <c r="J664" s="176">
        <v>46030</v>
      </c>
      <c r="K664" s="172" t="s">
        <v>86</v>
      </c>
      <c r="L664" s="172" t="s">
        <v>86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527</v>
      </c>
      <c r="B665" s="176">
        <v>46037</v>
      </c>
      <c r="C665" s="172" t="s">
        <v>82</v>
      </c>
      <c r="D665" s="172" t="s">
        <v>83</v>
      </c>
      <c r="E665" s="172" t="s">
        <v>44</v>
      </c>
      <c r="F665" s="172" t="s">
        <v>126</v>
      </c>
      <c r="G665" s="172" t="s">
        <v>85</v>
      </c>
      <c r="H665" s="177">
        <v>1</v>
      </c>
      <c r="I665" s="178">
        <v>0</v>
      </c>
      <c r="J665" s="176">
        <v>46037</v>
      </c>
      <c r="K665" s="172" t="s">
        <v>86</v>
      </c>
      <c r="L665" s="172" t="s">
        <v>86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145</v>
      </c>
      <c r="B666" s="176">
        <v>46037</v>
      </c>
      <c r="C666" s="172" t="s">
        <v>110</v>
      </c>
      <c r="D666" s="172" t="s">
        <v>140</v>
      </c>
      <c r="E666" s="172" t="s">
        <v>86</v>
      </c>
      <c r="F666" s="172" t="s">
        <v>86</v>
      </c>
      <c r="G666" s="172" t="s">
        <v>86</v>
      </c>
      <c r="H666" s="177">
        <v>0</v>
      </c>
      <c r="I666" s="178">
        <v>0</v>
      </c>
      <c r="J666" s="176">
        <v>46037</v>
      </c>
      <c r="K666" s="172" t="s">
        <v>86</v>
      </c>
      <c r="L666" s="172" t="s">
        <v>86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139</v>
      </c>
      <c r="B667" s="176">
        <v>46037</v>
      </c>
      <c r="C667" s="172" t="s">
        <v>110</v>
      </c>
      <c r="D667" s="172" t="s">
        <v>140</v>
      </c>
      <c r="E667" s="172" t="s">
        <v>86</v>
      </c>
      <c r="F667" s="172" t="s">
        <v>86</v>
      </c>
      <c r="G667" s="172" t="s">
        <v>86</v>
      </c>
      <c r="H667" s="177">
        <v>0</v>
      </c>
      <c r="I667" s="178">
        <v>0</v>
      </c>
      <c r="J667" s="176">
        <v>46037</v>
      </c>
      <c r="K667" s="172" t="s">
        <v>86</v>
      </c>
      <c r="L667" s="172" t="s">
        <v>86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414</v>
      </c>
      <c r="B668" s="176">
        <v>46037</v>
      </c>
      <c r="C668" s="172" t="s">
        <v>110</v>
      </c>
      <c r="D668" s="172" t="s">
        <v>140</v>
      </c>
      <c r="E668" s="172" t="s">
        <v>86</v>
      </c>
      <c r="F668" s="172" t="s">
        <v>86</v>
      </c>
      <c r="G668" s="172" t="s">
        <v>86</v>
      </c>
      <c r="H668" s="177">
        <v>0</v>
      </c>
      <c r="I668" s="178">
        <v>0</v>
      </c>
      <c r="J668" s="176">
        <v>46037</v>
      </c>
      <c r="K668" s="172" t="s">
        <v>86</v>
      </c>
      <c r="L668" s="172" t="s">
        <v>86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146</v>
      </c>
      <c r="B669" s="176">
        <v>46037</v>
      </c>
      <c r="C669" s="172" t="s">
        <v>110</v>
      </c>
      <c r="D669" s="172" t="s">
        <v>140</v>
      </c>
      <c r="E669" s="172" t="s">
        <v>86</v>
      </c>
      <c r="F669" s="172" t="s">
        <v>86</v>
      </c>
      <c r="G669" s="172" t="s">
        <v>86</v>
      </c>
      <c r="H669" s="177">
        <v>0</v>
      </c>
      <c r="I669" s="178">
        <v>0</v>
      </c>
      <c r="J669" s="176">
        <v>46037</v>
      </c>
      <c r="K669" s="172" t="s">
        <v>86</v>
      </c>
      <c r="L669" s="172" t="s">
        <v>86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147</v>
      </c>
      <c r="B670" s="176">
        <v>46037</v>
      </c>
      <c r="C670" s="172" t="s">
        <v>110</v>
      </c>
      <c r="D670" s="172" t="s">
        <v>140</v>
      </c>
      <c r="E670" s="172" t="s">
        <v>86</v>
      </c>
      <c r="F670" s="172" t="s">
        <v>86</v>
      </c>
      <c r="G670" s="172" t="s">
        <v>86</v>
      </c>
      <c r="H670" s="177">
        <v>0</v>
      </c>
      <c r="I670" s="178">
        <v>0</v>
      </c>
      <c r="J670" s="176">
        <v>46037</v>
      </c>
      <c r="K670" s="172" t="s">
        <v>86</v>
      </c>
      <c r="L670" s="172" t="s">
        <v>86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143</v>
      </c>
      <c r="B671" s="176">
        <v>46037</v>
      </c>
      <c r="C671" s="172" t="s">
        <v>110</v>
      </c>
      <c r="D671" s="172" t="s">
        <v>144</v>
      </c>
      <c r="E671" s="172" t="s">
        <v>86</v>
      </c>
      <c r="F671" s="172" t="s">
        <v>86</v>
      </c>
      <c r="G671" s="172" t="s">
        <v>86</v>
      </c>
      <c r="H671" s="177">
        <v>0</v>
      </c>
      <c r="I671" s="178">
        <v>0</v>
      </c>
      <c r="J671" s="176">
        <v>46037</v>
      </c>
      <c r="K671" s="172" t="s">
        <v>86</v>
      </c>
      <c r="L671" s="172" t="s">
        <v>86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528</v>
      </c>
      <c r="B672" s="176">
        <v>46038</v>
      </c>
      <c r="C672" s="172" t="s">
        <v>93</v>
      </c>
      <c r="D672" s="172" t="s">
        <v>24</v>
      </c>
      <c r="E672" s="172" t="s">
        <v>53</v>
      </c>
      <c r="F672" s="172" t="s">
        <v>91</v>
      </c>
      <c r="G672" s="172" t="s">
        <v>85</v>
      </c>
      <c r="H672" s="177">
        <v>1</v>
      </c>
      <c r="I672" s="178">
        <v>0</v>
      </c>
      <c r="J672" s="176">
        <v>46018</v>
      </c>
      <c r="K672" s="172" t="s">
        <v>94</v>
      </c>
      <c r="L672" s="172" t="s">
        <v>95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528</v>
      </c>
      <c r="B673" s="176">
        <v>46038</v>
      </c>
      <c r="C673" s="172" t="s">
        <v>82</v>
      </c>
      <c r="D673" s="172" t="s">
        <v>96</v>
      </c>
      <c r="E673" s="172" t="s">
        <v>53</v>
      </c>
      <c r="F673" s="172" t="s">
        <v>91</v>
      </c>
      <c r="G673" s="172" t="s">
        <v>85</v>
      </c>
      <c r="H673" s="177">
        <v>1</v>
      </c>
      <c r="I673" s="178">
        <v>0</v>
      </c>
      <c r="J673" s="176">
        <v>46018</v>
      </c>
      <c r="K673" s="172" t="s">
        <v>94</v>
      </c>
      <c r="L673" s="172" t="s">
        <v>95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529</v>
      </c>
      <c r="B674" s="176">
        <v>46038</v>
      </c>
      <c r="C674" s="172" t="s">
        <v>93</v>
      </c>
      <c r="D674" s="172" t="s">
        <v>24</v>
      </c>
      <c r="E674" s="172" t="s">
        <v>54</v>
      </c>
      <c r="F674" s="172" t="s">
        <v>121</v>
      </c>
      <c r="G674" s="172" t="s">
        <v>85</v>
      </c>
      <c r="H674" s="177">
        <v>1</v>
      </c>
      <c r="I674" s="178">
        <v>0</v>
      </c>
      <c r="J674" s="176">
        <v>46030</v>
      </c>
      <c r="K674" s="172" t="s">
        <v>94</v>
      </c>
      <c r="L674" s="172" t="s">
        <v>95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529</v>
      </c>
      <c r="B675" s="176">
        <v>46038</v>
      </c>
      <c r="C675" s="172" t="s">
        <v>82</v>
      </c>
      <c r="D675" s="172" t="s">
        <v>96</v>
      </c>
      <c r="E675" s="172" t="s">
        <v>54</v>
      </c>
      <c r="F675" s="172" t="s">
        <v>121</v>
      </c>
      <c r="G675" s="172" t="s">
        <v>85</v>
      </c>
      <c r="H675" s="177">
        <v>1</v>
      </c>
      <c r="I675" s="178">
        <v>0</v>
      </c>
      <c r="J675" s="176">
        <v>46030</v>
      </c>
      <c r="K675" s="172" t="s">
        <v>94</v>
      </c>
      <c r="L675" s="172" t="s">
        <v>95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528</v>
      </c>
      <c r="B676" s="176">
        <v>46038</v>
      </c>
      <c r="C676" s="172" t="s">
        <v>93</v>
      </c>
      <c r="D676" s="172" t="s">
        <v>97</v>
      </c>
      <c r="E676" s="172" t="s">
        <v>53</v>
      </c>
      <c r="F676" s="172" t="s">
        <v>91</v>
      </c>
      <c r="G676" s="172" t="s">
        <v>85</v>
      </c>
      <c r="H676" s="177">
        <v>1</v>
      </c>
      <c r="I676" s="178">
        <v>0</v>
      </c>
      <c r="J676" s="176">
        <v>46018</v>
      </c>
      <c r="K676" s="172" t="s">
        <v>94</v>
      </c>
      <c r="L676" s="172" t="s">
        <v>95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528</v>
      </c>
      <c r="B677" s="176">
        <v>46038</v>
      </c>
      <c r="C677" s="172" t="s">
        <v>93</v>
      </c>
      <c r="D677" s="172" t="s">
        <v>98</v>
      </c>
      <c r="E677" s="172" t="s">
        <v>53</v>
      </c>
      <c r="F677" s="172" t="s">
        <v>91</v>
      </c>
      <c r="G677" s="172" t="s">
        <v>85</v>
      </c>
      <c r="H677" s="177">
        <v>1</v>
      </c>
      <c r="I677" s="178">
        <v>0</v>
      </c>
      <c r="J677" s="176">
        <v>46018</v>
      </c>
      <c r="K677" s="172" t="s">
        <v>94</v>
      </c>
      <c r="L677" s="172" t="s">
        <v>95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529</v>
      </c>
      <c r="B678" s="176">
        <v>46038</v>
      </c>
      <c r="C678" s="172" t="s">
        <v>93</v>
      </c>
      <c r="D678" s="172" t="s">
        <v>97</v>
      </c>
      <c r="E678" s="172" t="s">
        <v>54</v>
      </c>
      <c r="F678" s="172" t="s">
        <v>121</v>
      </c>
      <c r="G678" s="172" t="s">
        <v>85</v>
      </c>
      <c r="H678" s="177">
        <v>1</v>
      </c>
      <c r="I678" s="178">
        <v>0</v>
      </c>
      <c r="J678" s="176">
        <v>46030</v>
      </c>
      <c r="K678" s="172" t="s">
        <v>94</v>
      </c>
      <c r="L678" s="172" t="s">
        <v>95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529</v>
      </c>
      <c r="B679" s="176">
        <v>46038</v>
      </c>
      <c r="C679" s="172" t="s">
        <v>93</v>
      </c>
      <c r="D679" s="172" t="s">
        <v>98</v>
      </c>
      <c r="E679" s="172" t="s">
        <v>54</v>
      </c>
      <c r="F679" s="172" t="s">
        <v>121</v>
      </c>
      <c r="G679" s="172" t="s">
        <v>85</v>
      </c>
      <c r="H679" s="177">
        <v>1</v>
      </c>
      <c r="I679" s="178">
        <v>0</v>
      </c>
      <c r="J679" s="176">
        <v>46030</v>
      </c>
      <c r="K679" s="172" t="s">
        <v>94</v>
      </c>
      <c r="L679" s="172" t="s">
        <v>95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530</v>
      </c>
      <c r="B680" s="176">
        <v>46038</v>
      </c>
      <c r="C680" s="172" t="s">
        <v>93</v>
      </c>
      <c r="D680" s="172" t="s">
        <v>97</v>
      </c>
      <c r="E680" s="172" t="s">
        <v>54</v>
      </c>
      <c r="F680" s="172" t="s">
        <v>121</v>
      </c>
      <c r="G680" s="172" t="s">
        <v>85</v>
      </c>
      <c r="H680" s="177">
        <v>1</v>
      </c>
      <c r="I680" s="178">
        <v>0</v>
      </c>
      <c r="J680" s="176">
        <v>46029</v>
      </c>
      <c r="K680" s="172" t="s">
        <v>94</v>
      </c>
      <c r="L680" s="172" t="s">
        <v>95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530</v>
      </c>
      <c r="B681" s="176">
        <v>46038</v>
      </c>
      <c r="C681" s="172" t="s">
        <v>93</v>
      </c>
      <c r="D681" s="172" t="s">
        <v>98</v>
      </c>
      <c r="E681" s="172" t="s">
        <v>54</v>
      </c>
      <c r="F681" s="172" t="s">
        <v>121</v>
      </c>
      <c r="G681" s="172" t="s">
        <v>85</v>
      </c>
      <c r="H681" s="177">
        <v>1</v>
      </c>
      <c r="I681" s="178">
        <v>0</v>
      </c>
      <c r="J681" s="176">
        <v>46029</v>
      </c>
      <c r="K681" s="172" t="s">
        <v>94</v>
      </c>
      <c r="L681" s="172" t="s">
        <v>95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530</v>
      </c>
      <c r="B682" s="176">
        <v>46038</v>
      </c>
      <c r="C682" s="172" t="s">
        <v>93</v>
      </c>
      <c r="D682" s="172" t="s">
        <v>24</v>
      </c>
      <c r="E682" s="172" t="s">
        <v>54</v>
      </c>
      <c r="F682" s="172" t="s">
        <v>121</v>
      </c>
      <c r="G682" s="172" t="s">
        <v>85</v>
      </c>
      <c r="H682" s="177">
        <v>1</v>
      </c>
      <c r="I682" s="178">
        <v>0</v>
      </c>
      <c r="J682" s="176">
        <v>46029</v>
      </c>
      <c r="K682" s="172" t="s">
        <v>94</v>
      </c>
      <c r="L682" s="172" t="s">
        <v>95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530</v>
      </c>
      <c r="B683" s="176">
        <v>46038</v>
      </c>
      <c r="C683" s="172" t="s">
        <v>82</v>
      </c>
      <c r="D683" s="172" t="s">
        <v>96</v>
      </c>
      <c r="E683" s="172" t="s">
        <v>54</v>
      </c>
      <c r="F683" s="172" t="s">
        <v>121</v>
      </c>
      <c r="G683" s="172" t="s">
        <v>85</v>
      </c>
      <c r="H683" s="177">
        <v>1</v>
      </c>
      <c r="I683" s="178">
        <v>0</v>
      </c>
      <c r="J683" s="176">
        <v>46029</v>
      </c>
      <c r="K683" s="172" t="s">
        <v>94</v>
      </c>
      <c r="L683" s="172" t="s">
        <v>95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531</v>
      </c>
      <c r="B684" s="176">
        <v>46038</v>
      </c>
      <c r="C684" s="172" t="s">
        <v>93</v>
      </c>
      <c r="D684" s="172" t="s">
        <v>24</v>
      </c>
      <c r="E684" s="172" t="s">
        <v>44</v>
      </c>
      <c r="F684" s="172" t="s">
        <v>126</v>
      </c>
      <c r="G684" s="172" t="s">
        <v>85</v>
      </c>
      <c r="H684" s="177">
        <v>1</v>
      </c>
      <c r="I684" s="178">
        <v>0</v>
      </c>
      <c r="J684" s="176">
        <v>46029</v>
      </c>
      <c r="K684" s="172" t="s">
        <v>94</v>
      </c>
      <c r="L684" s="172" t="s">
        <v>95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531</v>
      </c>
      <c r="B685" s="176">
        <v>46038</v>
      </c>
      <c r="C685" s="172" t="s">
        <v>82</v>
      </c>
      <c r="D685" s="172" t="s">
        <v>96</v>
      </c>
      <c r="E685" s="172" t="s">
        <v>44</v>
      </c>
      <c r="F685" s="172" t="s">
        <v>126</v>
      </c>
      <c r="G685" s="172" t="s">
        <v>85</v>
      </c>
      <c r="H685" s="177">
        <v>1</v>
      </c>
      <c r="I685" s="178">
        <v>0</v>
      </c>
      <c r="J685" s="176">
        <v>46029</v>
      </c>
      <c r="K685" s="172" t="s">
        <v>94</v>
      </c>
      <c r="L685" s="172" t="s">
        <v>95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531</v>
      </c>
      <c r="B686" s="176">
        <v>46038</v>
      </c>
      <c r="C686" s="172" t="s">
        <v>93</v>
      </c>
      <c r="D686" s="172" t="s">
        <v>97</v>
      </c>
      <c r="E686" s="172" t="s">
        <v>44</v>
      </c>
      <c r="F686" s="172" t="s">
        <v>126</v>
      </c>
      <c r="G686" s="172" t="s">
        <v>85</v>
      </c>
      <c r="H686" s="177">
        <v>1</v>
      </c>
      <c r="I686" s="178">
        <v>0</v>
      </c>
      <c r="J686" s="176">
        <v>46029</v>
      </c>
      <c r="K686" s="172" t="s">
        <v>94</v>
      </c>
      <c r="L686" s="172" t="s">
        <v>95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531</v>
      </c>
      <c r="B687" s="176">
        <v>46038</v>
      </c>
      <c r="C687" s="172" t="s">
        <v>93</v>
      </c>
      <c r="D687" s="172" t="s">
        <v>98</v>
      </c>
      <c r="E687" s="172" t="s">
        <v>44</v>
      </c>
      <c r="F687" s="172" t="s">
        <v>126</v>
      </c>
      <c r="G687" s="172" t="s">
        <v>85</v>
      </c>
      <c r="H687" s="177">
        <v>1</v>
      </c>
      <c r="I687" s="178">
        <v>0</v>
      </c>
      <c r="J687" s="176">
        <v>46029</v>
      </c>
      <c r="K687" s="172" t="s">
        <v>94</v>
      </c>
      <c r="L687" s="172" t="s">
        <v>95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86</v>
      </c>
      <c r="B688" s="176">
        <v>46038</v>
      </c>
      <c r="C688" s="172" t="s">
        <v>110</v>
      </c>
      <c r="D688" s="172" t="s">
        <v>111</v>
      </c>
      <c r="E688" s="172" t="s">
        <v>86</v>
      </c>
      <c r="F688" s="172" t="s">
        <v>86</v>
      </c>
      <c r="G688" s="172" t="s">
        <v>532</v>
      </c>
      <c r="H688" s="177">
        <v>0</v>
      </c>
      <c r="I688" s="178">
        <v>0</v>
      </c>
      <c r="J688" s="176">
        <v>46038</v>
      </c>
      <c r="K688" s="172" t="s">
        <v>86</v>
      </c>
      <c r="L688" s="172" t="s">
        <v>86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533</v>
      </c>
      <c r="B689" s="176">
        <v>46038</v>
      </c>
      <c r="C689" s="172" t="s">
        <v>93</v>
      </c>
      <c r="D689" s="172" t="s">
        <v>24</v>
      </c>
      <c r="E689" s="172" t="s">
        <v>53</v>
      </c>
      <c r="F689" s="172" t="s">
        <v>91</v>
      </c>
      <c r="G689" s="172" t="s">
        <v>85</v>
      </c>
      <c r="H689" s="177">
        <v>1</v>
      </c>
      <c r="I689" s="178">
        <v>0</v>
      </c>
      <c r="J689" s="176">
        <v>46009</v>
      </c>
      <c r="K689" s="172" t="s">
        <v>94</v>
      </c>
      <c r="L689" s="172" t="s">
        <v>95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533</v>
      </c>
      <c r="B690" s="176">
        <v>46038</v>
      </c>
      <c r="C690" s="172" t="s">
        <v>82</v>
      </c>
      <c r="D690" s="172" t="s">
        <v>96</v>
      </c>
      <c r="E690" s="172" t="s">
        <v>53</v>
      </c>
      <c r="F690" s="172" t="s">
        <v>91</v>
      </c>
      <c r="G690" s="172" t="s">
        <v>85</v>
      </c>
      <c r="H690" s="177">
        <v>1</v>
      </c>
      <c r="I690" s="178">
        <v>0</v>
      </c>
      <c r="J690" s="176">
        <v>46009</v>
      </c>
      <c r="K690" s="172" t="s">
        <v>94</v>
      </c>
      <c r="L690" s="172" t="s">
        <v>95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533</v>
      </c>
      <c r="B691" s="176">
        <v>46038</v>
      </c>
      <c r="C691" s="172" t="s">
        <v>93</v>
      </c>
      <c r="D691" s="172" t="s">
        <v>97</v>
      </c>
      <c r="E691" s="172" t="s">
        <v>53</v>
      </c>
      <c r="F691" s="172" t="s">
        <v>91</v>
      </c>
      <c r="G691" s="172" t="s">
        <v>85</v>
      </c>
      <c r="H691" s="177">
        <v>1</v>
      </c>
      <c r="I691" s="178">
        <v>0</v>
      </c>
      <c r="J691" s="176">
        <v>46009</v>
      </c>
      <c r="K691" s="172" t="s">
        <v>94</v>
      </c>
      <c r="L691" s="172" t="s">
        <v>95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533</v>
      </c>
      <c r="B692" s="176">
        <v>46038</v>
      </c>
      <c r="C692" s="172" t="s">
        <v>93</v>
      </c>
      <c r="D692" s="172" t="s">
        <v>98</v>
      </c>
      <c r="E692" s="172" t="s">
        <v>53</v>
      </c>
      <c r="F692" s="172" t="s">
        <v>91</v>
      </c>
      <c r="G692" s="172" t="s">
        <v>85</v>
      </c>
      <c r="H692" s="177">
        <v>1</v>
      </c>
      <c r="I692" s="178">
        <v>0</v>
      </c>
      <c r="J692" s="176">
        <v>46009</v>
      </c>
      <c r="K692" s="172" t="s">
        <v>94</v>
      </c>
      <c r="L692" s="172" t="s">
        <v>95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533</v>
      </c>
      <c r="B693" s="176">
        <v>46038</v>
      </c>
      <c r="C693" s="172" t="s">
        <v>82</v>
      </c>
      <c r="D693" s="172" t="s">
        <v>99</v>
      </c>
      <c r="E693" s="172" t="s">
        <v>53</v>
      </c>
      <c r="F693" s="172" t="s">
        <v>91</v>
      </c>
      <c r="G693" s="172" t="s">
        <v>85</v>
      </c>
      <c r="H693" s="177">
        <v>1</v>
      </c>
      <c r="I693" s="178">
        <v>0</v>
      </c>
      <c r="J693" s="176">
        <v>46009</v>
      </c>
      <c r="K693" s="172" t="s">
        <v>94</v>
      </c>
      <c r="L693" s="172" t="s">
        <v>95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534</v>
      </c>
      <c r="B694" s="176">
        <v>46038</v>
      </c>
      <c r="C694" s="172" t="s">
        <v>93</v>
      </c>
      <c r="D694" s="172" t="s">
        <v>24</v>
      </c>
      <c r="E694" s="172" t="s">
        <v>54</v>
      </c>
      <c r="F694" s="172" t="s">
        <v>121</v>
      </c>
      <c r="G694" s="172" t="s">
        <v>85</v>
      </c>
      <c r="H694" s="177">
        <v>1</v>
      </c>
      <c r="I694" s="178">
        <v>1845</v>
      </c>
      <c r="J694" s="176">
        <v>46035</v>
      </c>
      <c r="K694" s="172" t="s">
        <v>94</v>
      </c>
      <c r="L694" s="172" t="s">
        <v>95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534</v>
      </c>
      <c r="B695" s="176">
        <v>46038</v>
      </c>
      <c r="C695" s="172" t="s">
        <v>101</v>
      </c>
      <c r="D695" s="172" t="s">
        <v>102</v>
      </c>
      <c r="E695" s="172" t="s">
        <v>54</v>
      </c>
      <c r="F695" s="172" t="s">
        <v>121</v>
      </c>
      <c r="G695" s="172" t="s">
        <v>85</v>
      </c>
      <c r="H695" s="177">
        <v>1</v>
      </c>
      <c r="I695" s="178">
        <v>1845</v>
      </c>
      <c r="J695" s="176">
        <v>46035</v>
      </c>
      <c r="K695" s="172" t="s">
        <v>94</v>
      </c>
      <c r="L695" s="172" t="s">
        <v>95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534</v>
      </c>
      <c r="B696" s="176">
        <v>46038</v>
      </c>
      <c r="C696" s="172" t="s">
        <v>101</v>
      </c>
      <c r="D696" s="172" t="s">
        <v>103</v>
      </c>
      <c r="E696" s="172" t="s">
        <v>54</v>
      </c>
      <c r="F696" s="172" t="s">
        <v>121</v>
      </c>
      <c r="G696" s="172" t="s">
        <v>85</v>
      </c>
      <c r="H696" s="177">
        <v>1</v>
      </c>
      <c r="I696" s="178">
        <v>1845</v>
      </c>
      <c r="J696" s="176">
        <v>46035</v>
      </c>
      <c r="K696" s="172" t="s">
        <v>94</v>
      </c>
      <c r="L696" s="172" t="s">
        <v>95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534</v>
      </c>
      <c r="B697" s="176">
        <v>46038</v>
      </c>
      <c r="C697" s="172" t="s">
        <v>101</v>
      </c>
      <c r="D697" s="172" t="s">
        <v>104</v>
      </c>
      <c r="E697" s="172" t="s">
        <v>54</v>
      </c>
      <c r="F697" s="172" t="s">
        <v>121</v>
      </c>
      <c r="G697" s="172" t="s">
        <v>85</v>
      </c>
      <c r="H697" s="177">
        <v>1</v>
      </c>
      <c r="I697" s="178">
        <v>1845</v>
      </c>
      <c r="J697" s="176">
        <v>46035</v>
      </c>
      <c r="K697" s="172" t="s">
        <v>94</v>
      </c>
      <c r="L697" s="172" t="s">
        <v>95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534</v>
      </c>
      <c r="B698" s="176">
        <v>46038</v>
      </c>
      <c r="C698" s="172" t="s">
        <v>105</v>
      </c>
      <c r="D698" s="172" t="s">
        <v>106</v>
      </c>
      <c r="E698" s="172" t="s">
        <v>54</v>
      </c>
      <c r="F698" s="172" t="s">
        <v>121</v>
      </c>
      <c r="G698" s="172" t="s">
        <v>85</v>
      </c>
      <c r="H698" s="177">
        <v>1</v>
      </c>
      <c r="I698" s="178">
        <v>1845</v>
      </c>
      <c r="J698" s="176">
        <v>46035</v>
      </c>
      <c r="K698" s="172" t="s">
        <v>94</v>
      </c>
      <c r="L698" s="172" t="s">
        <v>95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534</v>
      </c>
      <c r="B699" s="176">
        <v>46038</v>
      </c>
      <c r="C699" s="172" t="s">
        <v>82</v>
      </c>
      <c r="D699" s="172" t="s">
        <v>96</v>
      </c>
      <c r="E699" s="172" t="s">
        <v>54</v>
      </c>
      <c r="F699" s="172" t="s">
        <v>121</v>
      </c>
      <c r="G699" s="172" t="s">
        <v>85</v>
      </c>
      <c r="H699" s="177">
        <v>1</v>
      </c>
      <c r="I699" s="178">
        <v>1845</v>
      </c>
      <c r="J699" s="176">
        <v>46035</v>
      </c>
      <c r="K699" s="172" t="s">
        <v>94</v>
      </c>
      <c r="L699" s="172" t="s">
        <v>95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534</v>
      </c>
      <c r="B700" s="176">
        <v>46038</v>
      </c>
      <c r="C700" s="172" t="s">
        <v>82</v>
      </c>
      <c r="D700" s="172" t="s">
        <v>83</v>
      </c>
      <c r="E700" s="172" t="s">
        <v>54</v>
      </c>
      <c r="F700" s="172" t="s">
        <v>121</v>
      </c>
      <c r="G700" s="172" t="s">
        <v>85</v>
      </c>
      <c r="H700" s="177">
        <v>1</v>
      </c>
      <c r="I700" s="178">
        <v>0</v>
      </c>
      <c r="J700" s="176">
        <v>46035</v>
      </c>
      <c r="K700" s="172" t="s">
        <v>86</v>
      </c>
      <c r="L700" s="172" t="s">
        <v>86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535</v>
      </c>
      <c r="B701" s="176">
        <v>46038</v>
      </c>
      <c r="C701" s="172" t="s">
        <v>93</v>
      </c>
      <c r="D701" s="172" t="s">
        <v>24</v>
      </c>
      <c r="E701" s="172" t="s">
        <v>53</v>
      </c>
      <c r="F701" s="172" t="s">
        <v>91</v>
      </c>
      <c r="G701" s="172" t="s">
        <v>85</v>
      </c>
      <c r="H701" s="177">
        <v>1</v>
      </c>
      <c r="I701" s="178">
        <v>0</v>
      </c>
      <c r="J701" s="176">
        <v>46034</v>
      </c>
      <c r="K701" s="172" t="s">
        <v>94</v>
      </c>
      <c r="L701" s="172" t="s">
        <v>95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535</v>
      </c>
      <c r="B702" s="176">
        <v>46038</v>
      </c>
      <c r="C702" s="172" t="s">
        <v>82</v>
      </c>
      <c r="D702" s="172" t="s">
        <v>96</v>
      </c>
      <c r="E702" s="172" t="s">
        <v>53</v>
      </c>
      <c r="F702" s="172" t="s">
        <v>91</v>
      </c>
      <c r="G702" s="172" t="s">
        <v>85</v>
      </c>
      <c r="H702" s="177">
        <v>1</v>
      </c>
      <c r="I702" s="178">
        <v>0</v>
      </c>
      <c r="J702" s="176">
        <v>46034</v>
      </c>
      <c r="K702" s="172" t="s">
        <v>94</v>
      </c>
      <c r="L702" s="172" t="s">
        <v>95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535</v>
      </c>
      <c r="B703" s="176">
        <v>46038</v>
      </c>
      <c r="C703" s="172" t="s">
        <v>93</v>
      </c>
      <c r="D703" s="172" t="s">
        <v>97</v>
      </c>
      <c r="E703" s="172" t="s">
        <v>53</v>
      </c>
      <c r="F703" s="172" t="s">
        <v>91</v>
      </c>
      <c r="G703" s="172" t="s">
        <v>85</v>
      </c>
      <c r="H703" s="177">
        <v>1</v>
      </c>
      <c r="I703" s="178">
        <v>0</v>
      </c>
      <c r="J703" s="176">
        <v>46034</v>
      </c>
      <c r="K703" s="172" t="s">
        <v>94</v>
      </c>
      <c r="L703" s="172" t="s">
        <v>95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535</v>
      </c>
      <c r="B704" s="176">
        <v>46038</v>
      </c>
      <c r="C704" s="172" t="s">
        <v>93</v>
      </c>
      <c r="D704" s="172" t="s">
        <v>98</v>
      </c>
      <c r="E704" s="172" t="s">
        <v>53</v>
      </c>
      <c r="F704" s="172" t="s">
        <v>91</v>
      </c>
      <c r="G704" s="172" t="s">
        <v>85</v>
      </c>
      <c r="H704" s="177">
        <v>1</v>
      </c>
      <c r="I704" s="178">
        <v>0</v>
      </c>
      <c r="J704" s="176">
        <v>46034</v>
      </c>
      <c r="K704" s="172" t="s">
        <v>94</v>
      </c>
      <c r="L704" s="172" t="s">
        <v>95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535</v>
      </c>
      <c r="B705" s="176">
        <v>46038</v>
      </c>
      <c r="C705" s="172" t="s">
        <v>82</v>
      </c>
      <c r="D705" s="172" t="s">
        <v>99</v>
      </c>
      <c r="E705" s="172" t="s">
        <v>53</v>
      </c>
      <c r="F705" s="172" t="s">
        <v>91</v>
      </c>
      <c r="G705" s="172" t="s">
        <v>85</v>
      </c>
      <c r="H705" s="177">
        <v>1</v>
      </c>
      <c r="I705" s="178">
        <v>0</v>
      </c>
      <c r="J705" s="176">
        <v>46034</v>
      </c>
      <c r="K705" s="172" t="s">
        <v>94</v>
      </c>
      <c r="L705" s="172" t="s">
        <v>95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536</v>
      </c>
      <c r="B706" s="176">
        <v>46038</v>
      </c>
      <c r="C706" s="172" t="s">
        <v>93</v>
      </c>
      <c r="D706" s="172" t="s">
        <v>24</v>
      </c>
      <c r="E706" s="172" t="s">
        <v>54</v>
      </c>
      <c r="F706" s="172" t="s">
        <v>121</v>
      </c>
      <c r="G706" s="172" t="s">
        <v>85</v>
      </c>
      <c r="H706" s="177">
        <v>1</v>
      </c>
      <c r="I706" s="178">
        <v>1845</v>
      </c>
      <c r="J706" s="176">
        <v>46025</v>
      </c>
      <c r="K706" s="172" t="s">
        <v>94</v>
      </c>
      <c r="L706" s="172" t="s">
        <v>95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536</v>
      </c>
      <c r="B707" s="176">
        <v>46038</v>
      </c>
      <c r="C707" s="172" t="s">
        <v>101</v>
      </c>
      <c r="D707" s="172" t="s">
        <v>102</v>
      </c>
      <c r="E707" s="172" t="s">
        <v>54</v>
      </c>
      <c r="F707" s="172" t="s">
        <v>121</v>
      </c>
      <c r="G707" s="172" t="s">
        <v>85</v>
      </c>
      <c r="H707" s="177">
        <v>1</v>
      </c>
      <c r="I707" s="178">
        <v>1845</v>
      </c>
      <c r="J707" s="176">
        <v>46025</v>
      </c>
      <c r="K707" s="172" t="s">
        <v>94</v>
      </c>
      <c r="L707" s="172" t="s">
        <v>95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536</v>
      </c>
      <c r="B708" s="176">
        <v>46038</v>
      </c>
      <c r="C708" s="172" t="s">
        <v>101</v>
      </c>
      <c r="D708" s="172" t="s">
        <v>103</v>
      </c>
      <c r="E708" s="172" t="s">
        <v>54</v>
      </c>
      <c r="F708" s="172" t="s">
        <v>121</v>
      </c>
      <c r="G708" s="172" t="s">
        <v>85</v>
      </c>
      <c r="H708" s="177">
        <v>1</v>
      </c>
      <c r="I708" s="178">
        <v>1845</v>
      </c>
      <c r="J708" s="176">
        <v>46025</v>
      </c>
      <c r="K708" s="172" t="s">
        <v>94</v>
      </c>
      <c r="L708" s="172" t="s">
        <v>95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536</v>
      </c>
      <c r="B709" s="176">
        <v>46038</v>
      </c>
      <c r="C709" s="172" t="s">
        <v>101</v>
      </c>
      <c r="D709" s="172" t="s">
        <v>104</v>
      </c>
      <c r="E709" s="172" t="s">
        <v>54</v>
      </c>
      <c r="F709" s="172" t="s">
        <v>121</v>
      </c>
      <c r="G709" s="172" t="s">
        <v>85</v>
      </c>
      <c r="H709" s="177">
        <v>1</v>
      </c>
      <c r="I709" s="178">
        <v>1845</v>
      </c>
      <c r="J709" s="176">
        <v>46025</v>
      </c>
      <c r="K709" s="172" t="s">
        <v>94</v>
      </c>
      <c r="L709" s="172" t="s">
        <v>95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536</v>
      </c>
      <c r="B710" s="176">
        <v>46038</v>
      </c>
      <c r="C710" s="172" t="s">
        <v>105</v>
      </c>
      <c r="D710" s="172" t="s">
        <v>106</v>
      </c>
      <c r="E710" s="172" t="s">
        <v>54</v>
      </c>
      <c r="F710" s="172" t="s">
        <v>121</v>
      </c>
      <c r="G710" s="172" t="s">
        <v>85</v>
      </c>
      <c r="H710" s="177">
        <v>1</v>
      </c>
      <c r="I710" s="178">
        <v>1845</v>
      </c>
      <c r="J710" s="176">
        <v>46025</v>
      </c>
      <c r="K710" s="172" t="s">
        <v>94</v>
      </c>
      <c r="L710" s="172" t="s">
        <v>95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537</v>
      </c>
      <c r="B711" s="176">
        <v>46038</v>
      </c>
      <c r="C711" s="172" t="s">
        <v>82</v>
      </c>
      <c r="D711" s="172" t="s">
        <v>83</v>
      </c>
      <c r="E711" s="172" t="s">
        <v>53</v>
      </c>
      <c r="F711" s="172" t="s">
        <v>91</v>
      </c>
      <c r="G711" s="172" t="s">
        <v>85</v>
      </c>
      <c r="H711" s="177">
        <v>1</v>
      </c>
      <c r="I711" s="178">
        <v>0</v>
      </c>
      <c r="J711" s="176">
        <v>46038</v>
      </c>
      <c r="K711" s="172" t="s">
        <v>86</v>
      </c>
      <c r="L711" s="172" t="s">
        <v>86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538</v>
      </c>
      <c r="B712" s="176">
        <v>46038</v>
      </c>
      <c r="C712" s="172" t="s">
        <v>93</v>
      </c>
      <c r="D712" s="172" t="s">
        <v>24</v>
      </c>
      <c r="E712" s="172" t="s">
        <v>54</v>
      </c>
      <c r="F712" s="172" t="s">
        <v>121</v>
      </c>
      <c r="G712" s="172" t="s">
        <v>85</v>
      </c>
      <c r="H712" s="177">
        <v>1</v>
      </c>
      <c r="I712" s="178">
        <v>0</v>
      </c>
      <c r="J712" s="176">
        <v>46025</v>
      </c>
      <c r="K712" s="172" t="s">
        <v>94</v>
      </c>
      <c r="L712" s="172" t="s">
        <v>95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538</v>
      </c>
      <c r="B713" s="176">
        <v>46038</v>
      </c>
      <c r="C713" s="172" t="s">
        <v>93</v>
      </c>
      <c r="D713" s="172" t="s">
        <v>97</v>
      </c>
      <c r="E713" s="172" t="s">
        <v>54</v>
      </c>
      <c r="F713" s="172" t="s">
        <v>121</v>
      </c>
      <c r="G713" s="172" t="s">
        <v>85</v>
      </c>
      <c r="H713" s="177">
        <v>1</v>
      </c>
      <c r="I713" s="178">
        <v>0</v>
      </c>
      <c r="J713" s="176">
        <v>46025</v>
      </c>
      <c r="K713" s="172" t="s">
        <v>94</v>
      </c>
      <c r="L713" s="172" t="s">
        <v>95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538</v>
      </c>
      <c r="B714" s="176">
        <v>46038</v>
      </c>
      <c r="C714" s="172" t="s">
        <v>93</v>
      </c>
      <c r="D714" s="172" t="s">
        <v>98</v>
      </c>
      <c r="E714" s="172" t="s">
        <v>54</v>
      </c>
      <c r="F714" s="172" t="s">
        <v>121</v>
      </c>
      <c r="G714" s="172" t="s">
        <v>85</v>
      </c>
      <c r="H714" s="177">
        <v>1</v>
      </c>
      <c r="I714" s="178">
        <v>0</v>
      </c>
      <c r="J714" s="176">
        <v>46025</v>
      </c>
      <c r="K714" s="172" t="s">
        <v>94</v>
      </c>
      <c r="L714" s="172" t="s">
        <v>95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539</v>
      </c>
      <c r="B715" s="176">
        <v>46038</v>
      </c>
      <c r="C715" s="172" t="s">
        <v>93</v>
      </c>
      <c r="D715" s="172" t="s">
        <v>24</v>
      </c>
      <c r="E715" s="172" t="s">
        <v>54</v>
      </c>
      <c r="F715" s="172" t="s">
        <v>121</v>
      </c>
      <c r="G715" s="172" t="s">
        <v>85</v>
      </c>
      <c r="H715" s="177">
        <v>1</v>
      </c>
      <c r="I715" s="178">
        <v>1845</v>
      </c>
      <c r="J715" s="176">
        <v>46036</v>
      </c>
      <c r="K715" s="172" t="s">
        <v>94</v>
      </c>
      <c r="L715" s="172" t="s">
        <v>95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539</v>
      </c>
      <c r="B716" s="176">
        <v>46038</v>
      </c>
      <c r="C716" s="172" t="s">
        <v>101</v>
      </c>
      <c r="D716" s="172" t="s">
        <v>102</v>
      </c>
      <c r="E716" s="172" t="s">
        <v>54</v>
      </c>
      <c r="F716" s="172" t="s">
        <v>121</v>
      </c>
      <c r="G716" s="172" t="s">
        <v>85</v>
      </c>
      <c r="H716" s="177">
        <v>1</v>
      </c>
      <c r="I716" s="178">
        <v>1845</v>
      </c>
      <c r="J716" s="176">
        <v>46036</v>
      </c>
      <c r="K716" s="172" t="s">
        <v>94</v>
      </c>
      <c r="L716" s="172" t="s">
        <v>95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539</v>
      </c>
      <c r="B717" s="176">
        <v>46038</v>
      </c>
      <c r="C717" s="172" t="s">
        <v>101</v>
      </c>
      <c r="D717" s="172" t="s">
        <v>103</v>
      </c>
      <c r="E717" s="172" t="s">
        <v>54</v>
      </c>
      <c r="F717" s="172" t="s">
        <v>121</v>
      </c>
      <c r="G717" s="172" t="s">
        <v>85</v>
      </c>
      <c r="H717" s="177">
        <v>1</v>
      </c>
      <c r="I717" s="178">
        <v>1845</v>
      </c>
      <c r="J717" s="176">
        <v>46036</v>
      </c>
      <c r="K717" s="172" t="s">
        <v>94</v>
      </c>
      <c r="L717" s="172" t="s">
        <v>95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539</v>
      </c>
      <c r="B718" s="176">
        <v>46038</v>
      </c>
      <c r="C718" s="172" t="s">
        <v>101</v>
      </c>
      <c r="D718" s="172" t="s">
        <v>104</v>
      </c>
      <c r="E718" s="172" t="s">
        <v>54</v>
      </c>
      <c r="F718" s="172" t="s">
        <v>121</v>
      </c>
      <c r="G718" s="172" t="s">
        <v>85</v>
      </c>
      <c r="H718" s="177">
        <v>1</v>
      </c>
      <c r="I718" s="178">
        <v>1845</v>
      </c>
      <c r="J718" s="176">
        <v>46036</v>
      </c>
      <c r="K718" s="172" t="s">
        <v>94</v>
      </c>
      <c r="L718" s="172" t="s">
        <v>95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539</v>
      </c>
      <c r="B719" s="176">
        <v>46038</v>
      </c>
      <c r="C719" s="172" t="s">
        <v>105</v>
      </c>
      <c r="D719" s="172" t="s">
        <v>106</v>
      </c>
      <c r="E719" s="172" t="s">
        <v>54</v>
      </c>
      <c r="F719" s="172" t="s">
        <v>121</v>
      </c>
      <c r="G719" s="172" t="s">
        <v>85</v>
      </c>
      <c r="H719" s="177">
        <v>1</v>
      </c>
      <c r="I719" s="178">
        <v>1845</v>
      </c>
      <c r="J719" s="176">
        <v>46036</v>
      </c>
      <c r="K719" s="172" t="s">
        <v>94</v>
      </c>
      <c r="L719" s="172" t="s">
        <v>95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539</v>
      </c>
      <c r="B720" s="176">
        <v>46038</v>
      </c>
      <c r="C720" s="172" t="s">
        <v>82</v>
      </c>
      <c r="D720" s="172" t="s">
        <v>96</v>
      </c>
      <c r="E720" s="172" t="s">
        <v>54</v>
      </c>
      <c r="F720" s="172" t="s">
        <v>121</v>
      </c>
      <c r="G720" s="172" t="s">
        <v>85</v>
      </c>
      <c r="H720" s="177">
        <v>1</v>
      </c>
      <c r="I720" s="178">
        <v>1845</v>
      </c>
      <c r="J720" s="176">
        <v>46036</v>
      </c>
      <c r="K720" s="172" t="s">
        <v>94</v>
      </c>
      <c r="L720" s="172" t="s">
        <v>95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540</v>
      </c>
      <c r="B721" s="176">
        <v>46038</v>
      </c>
      <c r="C721" s="172" t="s">
        <v>93</v>
      </c>
      <c r="D721" s="172" t="s">
        <v>24</v>
      </c>
      <c r="E721" s="172" t="s">
        <v>53</v>
      </c>
      <c r="F721" s="172" t="s">
        <v>91</v>
      </c>
      <c r="G721" s="172" t="s">
        <v>85</v>
      </c>
      <c r="H721" s="177">
        <v>1</v>
      </c>
      <c r="I721" s="178">
        <v>1621</v>
      </c>
      <c r="J721" s="176">
        <v>46035</v>
      </c>
      <c r="K721" s="172" t="s">
        <v>94</v>
      </c>
      <c r="L721" s="172" t="s">
        <v>95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540</v>
      </c>
      <c r="B722" s="176">
        <v>46038</v>
      </c>
      <c r="C722" s="172" t="s">
        <v>101</v>
      </c>
      <c r="D722" s="172" t="s">
        <v>102</v>
      </c>
      <c r="E722" s="172" t="s">
        <v>53</v>
      </c>
      <c r="F722" s="172" t="s">
        <v>91</v>
      </c>
      <c r="G722" s="172" t="s">
        <v>85</v>
      </c>
      <c r="H722" s="177">
        <v>1</v>
      </c>
      <c r="I722" s="178">
        <v>1621</v>
      </c>
      <c r="J722" s="176">
        <v>46035</v>
      </c>
      <c r="K722" s="172" t="s">
        <v>94</v>
      </c>
      <c r="L722" s="172" t="s">
        <v>95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540</v>
      </c>
      <c r="B723" s="176">
        <v>46038</v>
      </c>
      <c r="C723" s="172" t="s">
        <v>101</v>
      </c>
      <c r="D723" s="172" t="s">
        <v>103</v>
      </c>
      <c r="E723" s="172" t="s">
        <v>53</v>
      </c>
      <c r="F723" s="172" t="s">
        <v>91</v>
      </c>
      <c r="G723" s="172" t="s">
        <v>85</v>
      </c>
      <c r="H723" s="177">
        <v>1</v>
      </c>
      <c r="I723" s="178">
        <v>1621</v>
      </c>
      <c r="J723" s="176">
        <v>46035</v>
      </c>
      <c r="K723" s="172" t="s">
        <v>94</v>
      </c>
      <c r="L723" s="172" t="s">
        <v>95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540</v>
      </c>
      <c r="B724" s="176">
        <v>46038</v>
      </c>
      <c r="C724" s="172" t="s">
        <v>101</v>
      </c>
      <c r="D724" s="172" t="s">
        <v>104</v>
      </c>
      <c r="E724" s="172" t="s">
        <v>53</v>
      </c>
      <c r="F724" s="172" t="s">
        <v>91</v>
      </c>
      <c r="G724" s="172" t="s">
        <v>85</v>
      </c>
      <c r="H724" s="177">
        <v>1</v>
      </c>
      <c r="I724" s="178">
        <v>1621</v>
      </c>
      <c r="J724" s="176">
        <v>46035</v>
      </c>
      <c r="K724" s="172" t="s">
        <v>94</v>
      </c>
      <c r="L724" s="172" t="s">
        <v>95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540</v>
      </c>
      <c r="B725" s="176">
        <v>46038</v>
      </c>
      <c r="C725" s="172" t="s">
        <v>105</v>
      </c>
      <c r="D725" s="172" t="s">
        <v>106</v>
      </c>
      <c r="E725" s="172" t="s">
        <v>53</v>
      </c>
      <c r="F725" s="172" t="s">
        <v>91</v>
      </c>
      <c r="G725" s="172" t="s">
        <v>85</v>
      </c>
      <c r="H725" s="177">
        <v>1</v>
      </c>
      <c r="I725" s="178">
        <v>1621</v>
      </c>
      <c r="J725" s="176">
        <v>46035</v>
      </c>
      <c r="K725" s="172" t="s">
        <v>94</v>
      </c>
      <c r="L725" s="172" t="s">
        <v>95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540</v>
      </c>
      <c r="B726" s="176">
        <v>46038</v>
      </c>
      <c r="C726" s="172" t="s">
        <v>82</v>
      </c>
      <c r="D726" s="172" t="s">
        <v>96</v>
      </c>
      <c r="E726" s="172" t="s">
        <v>53</v>
      </c>
      <c r="F726" s="172" t="s">
        <v>91</v>
      </c>
      <c r="G726" s="172" t="s">
        <v>85</v>
      </c>
      <c r="H726" s="177">
        <v>1</v>
      </c>
      <c r="I726" s="178">
        <v>1621</v>
      </c>
      <c r="J726" s="176">
        <v>46035</v>
      </c>
      <c r="K726" s="172" t="s">
        <v>94</v>
      </c>
      <c r="L726" s="172" t="s">
        <v>95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541</v>
      </c>
      <c r="B727" s="176">
        <v>46038</v>
      </c>
      <c r="C727" s="172" t="s">
        <v>93</v>
      </c>
      <c r="D727" s="172" t="s">
        <v>24</v>
      </c>
      <c r="E727" s="172" t="s">
        <v>43</v>
      </c>
      <c r="F727" s="172" t="s">
        <v>90</v>
      </c>
      <c r="G727" s="172" t="s">
        <v>85</v>
      </c>
      <c r="H727" s="177">
        <v>1</v>
      </c>
      <c r="I727" s="178">
        <v>1600</v>
      </c>
      <c r="J727" s="176">
        <v>46029</v>
      </c>
      <c r="K727" s="172" t="s">
        <v>94</v>
      </c>
      <c r="L727" s="172" t="s">
        <v>95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541</v>
      </c>
      <c r="B728" s="176">
        <v>46038</v>
      </c>
      <c r="C728" s="172" t="s">
        <v>101</v>
      </c>
      <c r="D728" s="172" t="s">
        <v>102</v>
      </c>
      <c r="E728" s="172" t="s">
        <v>43</v>
      </c>
      <c r="F728" s="172" t="s">
        <v>90</v>
      </c>
      <c r="G728" s="172" t="s">
        <v>85</v>
      </c>
      <c r="H728" s="177">
        <v>1</v>
      </c>
      <c r="I728" s="178">
        <v>1600</v>
      </c>
      <c r="J728" s="176">
        <v>46029</v>
      </c>
      <c r="K728" s="172" t="s">
        <v>94</v>
      </c>
      <c r="L728" s="172" t="s">
        <v>95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541</v>
      </c>
      <c r="B729" s="176">
        <v>46038</v>
      </c>
      <c r="C729" s="172" t="s">
        <v>101</v>
      </c>
      <c r="D729" s="172" t="s">
        <v>103</v>
      </c>
      <c r="E729" s="172" t="s">
        <v>43</v>
      </c>
      <c r="F729" s="172" t="s">
        <v>90</v>
      </c>
      <c r="G729" s="172" t="s">
        <v>85</v>
      </c>
      <c r="H729" s="177">
        <v>1</v>
      </c>
      <c r="I729" s="178">
        <v>1600</v>
      </c>
      <c r="J729" s="176">
        <v>46029</v>
      </c>
      <c r="K729" s="172" t="s">
        <v>94</v>
      </c>
      <c r="L729" s="172" t="s">
        <v>95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541</v>
      </c>
      <c r="B730" s="176">
        <v>46038</v>
      </c>
      <c r="C730" s="172" t="s">
        <v>101</v>
      </c>
      <c r="D730" s="172" t="s">
        <v>104</v>
      </c>
      <c r="E730" s="172" t="s">
        <v>43</v>
      </c>
      <c r="F730" s="172" t="s">
        <v>90</v>
      </c>
      <c r="G730" s="172" t="s">
        <v>85</v>
      </c>
      <c r="H730" s="177">
        <v>1</v>
      </c>
      <c r="I730" s="178">
        <v>1600</v>
      </c>
      <c r="J730" s="176">
        <v>46029</v>
      </c>
      <c r="K730" s="172" t="s">
        <v>94</v>
      </c>
      <c r="L730" s="172" t="s">
        <v>95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541</v>
      </c>
      <c r="B731" s="176">
        <v>46038</v>
      </c>
      <c r="C731" s="172" t="s">
        <v>105</v>
      </c>
      <c r="D731" s="172" t="s">
        <v>106</v>
      </c>
      <c r="E731" s="172" t="s">
        <v>43</v>
      </c>
      <c r="F731" s="172" t="s">
        <v>90</v>
      </c>
      <c r="G731" s="172" t="s">
        <v>85</v>
      </c>
      <c r="H731" s="177">
        <v>1</v>
      </c>
      <c r="I731" s="178">
        <v>1600</v>
      </c>
      <c r="J731" s="176">
        <v>46029</v>
      </c>
      <c r="K731" s="172" t="s">
        <v>94</v>
      </c>
      <c r="L731" s="172" t="s">
        <v>95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541</v>
      </c>
      <c r="B732" s="176">
        <v>46038</v>
      </c>
      <c r="C732" s="172" t="s">
        <v>82</v>
      </c>
      <c r="D732" s="172" t="s">
        <v>96</v>
      </c>
      <c r="E732" s="172" t="s">
        <v>43</v>
      </c>
      <c r="F732" s="172" t="s">
        <v>90</v>
      </c>
      <c r="G732" s="172" t="s">
        <v>85</v>
      </c>
      <c r="H732" s="177">
        <v>1</v>
      </c>
      <c r="I732" s="178">
        <v>1600</v>
      </c>
      <c r="J732" s="176">
        <v>46029</v>
      </c>
      <c r="K732" s="172" t="s">
        <v>94</v>
      </c>
      <c r="L732" s="172" t="s">
        <v>95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542</v>
      </c>
      <c r="B733" s="176">
        <v>46038</v>
      </c>
      <c r="C733" s="172" t="s">
        <v>93</v>
      </c>
      <c r="D733" s="172" t="s">
        <v>24</v>
      </c>
      <c r="E733" s="172" t="s">
        <v>54</v>
      </c>
      <c r="F733" s="172" t="s">
        <v>121</v>
      </c>
      <c r="G733" s="172" t="s">
        <v>85</v>
      </c>
      <c r="H733" s="177">
        <v>1</v>
      </c>
      <c r="I733" s="178">
        <v>1845</v>
      </c>
      <c r="J733" s="176">
        <v>46029</v>
      </c>
      <c r="K733" s="172" t="s">
        <v>94</v>
      </c>
      <c r="L733" s="172" t="s">
        <v>95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542</v>
      </c>
      <c r="B734" s="176">
        <v>46038</v>
      </c>
      <c r="C734" s="172" t="s">
        <v>101</v>
      </c>
      <c r="D734" s="172" t="s">
        <v>102</v>
      </c>
      <c r="E734" s="172" t="s">
        <v>54</v>
      </c>
      <c r="F734" s="172" t="s">
        <v>121</v>
      </c>
      <c r="G734" s="172" t="s">
        <v>85</v>
      </c>
      <c r="H734" s="177">
        <v>1</v>
      </c>
      <c r="I734" s="178">
        <v>1845</v>
      </c>
      <c r="J734" s="176">
        <v>46029</v>
      </c>
      <c r="K734" s="172" t="s">
        <v>94</v>
      </c>
      <c r="L734" s="172" t="s">
        <v>95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542</v>
      </c>
      <c r="B735" s="176">
        <v>46038</v>
      </c>
      <c r="C735" s="172" t="s">
        <v>101</v>
      </c>
      <c r="D735" s="172" t="s">
        <v>103</v>
      </c>
      <c r="E735" s="172" t="s">
        <v>54</v>
      </c>
      <c r="F735" s="172" t="s">
        <v>121</v>
      </c>
      <c r="G735" s="172" t="s">
        <v>85</v>
      </c>
      <c r="H735" s="177">
        <v>1</v>
      </c>
      <c r="I735" s="178">
        <v>1845</v>
      </c>
      <c r="J735" s="176">
        <v>46029</v>
      </c>
      <c r="K735" s="172" t="s">
        <v>94</v>
      </c>
      <c r="L735" s="172" t="s">
        <v>95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542</v>
      </c>
      <c r="B736" s="176">
        <v>46038</v>
      </c>
      <c r="C736" s="172" t="s">
        <v>101</v>
      </c>
      <c r="D736" s="172" t="s">
        <v>104</v>
      </c>
      <c r="E736" s="172" t="s">
        <v>54</v>
      </c>
      <c r="F736" s="172" t="s">
        <v>121</v>
      </c>
      <c r="G736" s="172" t="s">
        <v>85</v>
      </c>
      <c r="H736" s="177">
        <v>1</v>
      </c>
      <c r="I736" s="178">
        <v>1845</v>
      </c>
      <c r="J736" s="176">
        <v>46029</v>
      </c>
      <c r="K736" s="172" t="s">
        <v>94</v>
      </c>
      <c r="L736" s="172" t="s">
        <v>95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542</v>
      </c>
      <c r="B737" s="176">
        <v>46038</v>
      </c>
      <c r="C737" s="172" t="s">
        <v>105</v>
      </c>
      <c r="D737" s="172" t="s">
        <v>106</v>
      </c>
      <c r="E737" s="172" t="s">
        <v>54</v>
      </c>
      <c r="F737" s="172" t="s">
        <v>121</v>
      </c>
      <c r="G737" s="172" t="s">
        <v>85</v>
      </c>
      <c r="H737" s="177">
        <v>1</v>
      </c>
      <c r="I737" s="178">
        <v>1845</v>
      </c>
      <c r="J737" s="176">
        <v>46029</v>
      </c>
      <c r="K737" s="172" t="s">
        <v>94</v>
      </c>
      <c r="L737" s="172" t="s">
        <v>95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542</v>
      </c>
      <c r="B738" s="176">
        <v>46038</v>
      </c>
      <c r="C738" s="172" t="s">
        <v>82</v>
      </c>
      <c r="D738" s="172" t="s">
        <v>96</v>
      </c>
      <c r="E738" s="172" t="s">
        <v>54</v>
      </c>
      <c r="F738" s="172" t="s">
        <v>121</v>
      </c>
      <c r="G738" s="172" t="s">
        <v>85</v>
      </c>
      <c r="H738" s="177">
        <v>1</v>
      </c>
      <c r="I738" s="178">
        <v>1845</v>
      </c>
      <c r="J738" s="176">
        <v>46029</v>
      </c>
      <c r="K738" s="172" t="s">
        <v>94</v>
      </c>
      <c r="L738" s="172" t="s">
        <v>95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543</v>
      </c>
      <c r="B739" s="176">
        <v>46038</v>
      </c>
      <c r="C739" s="172" t="s">
        <v>93</v>
      </c>
      <c r="D739" s="172" t="s">
        <v>24</v>
      </c>
      <c r="E739" s="172" t="s">
        <v>53</v>
      </c>
      <c r="F739" s="172" t="s">
        <v>91</v>
      </c>
      <c r="G739" s="172" t="s">
        <v>85</v>
      </c>
      <c r="H739" s="177">
        <v>1</v>
      </c>
      <c r="I739" s="178">
        <v>0</v>
      </c>
      <c r="J739" s="176">
        <v>46019</v>
      </c>
      <c r="K739" s="172" t="s">
        <v>94</v>
      </c>
      <c r="L739" s="172" t="s">
        <v>95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543</v>
      </c>
      <c r="B740" s="176">
        <v>46038</v>
      </c>
      <c r="C740" s="172" t="s">
        <v>82</v>
      </c>
      <c r="D740" s="172" t="s">
        <v>96</v>
      </c>
      <c r="E740" s="172" t="s">
        <v>53</v>
      </c>
      <c r="F740" s="172" t="s">
        <v>91</v>
      </c>
      <c r="G740" s="172" t="s">
        <v>85</v>
      </c>
      <c r="H740" s="177">
        <v>1</v>
      </c>
      <c r="I740" s="178">
        <v>0</v>
      </c>
      <c r="J740" s="176">
        <v>46019</v>
      </c>
      <c r="K740" s="172" t="s">
        <v>94</v>
      </c>
      <c r="L740" s="172" t="s">
        <v>95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543</v>
      </c>
      <c r="B741" s="176">
        <v>46038</v>
      </c>
      <c r="C741" s="172" t="s">
        <v>93</v>
      </c>
      <c r="D741" s="172" t="s">
        <v>97</v>
      </c>
      <c r="E741" s="172" t="s">
        <v>53</v>
      </c>
      <c r="F741" s="172" t="s">
        <v>91</v>
      </c>
      <c r="G741" s="172" t="s">
        <v>85</v>
      </c>
      <c r="H741" s="177">
        <v>1</v>
      </c>
      <c r="I741" s="178">
        <v>0</v>
      </c>
      <c r="J741" s="176">
        <v>46019</v>
      </c>
      <c r="K741" s="172" t="s">
        <v>94</v>
      </c>
      <c r="L741" s="172" t="s">
        <v>95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543</v>
      </c>
      <c r="B742" s="176">
        <v>46038</v>
      </c>
      <c r="C742" s="172" t="s">
        <v>93</v>
      </c>
      <c r="D742" s="172" t="s">
        <v>98</v>
      </c>
      <c r="E742" s="172" t="s">
        <v>53</v>
      </c>
      <c r="F742" s="172" t="s">
        <v>91</v>
      </c>
      <c r="G742" s="172" t="s">
        <v>85</v>
      </c>
      <c r="H742" s="177">
        <v>1</v>
      </c>
      <c r="I742" s="178">
        <v>0</v>
      </c>
      <c r="J742" s="176">
        <v>46019</v>
      </c>
      <c r="K742" s="172" t="s">
        <v>94</v>
      </c>
      <c r="L742" s="172" t="s">
        <v>95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544</v>
      </c>
      <c r="B743" s="176">
        <v>46038</v>
      </c>
      <c r="C743" s="172" t="s">
        <v>93</v>
      </c>
      <c r="D743" s="172" t="s">
        <v>24</v>
      </c>
      <c r="E743" s="172" t="s">
        <v>54</v>
      </c>
      <c r="F743" s="172" t="s">
        <v>121</v>
      </c>
      <c r="G743" s="172" t="s">
        <v>85</v>
      </c>
      <c r="H743" s="177">
        <v>1</v>
      </c>
      <c r="I743" s="178">
        <v>1845</v>
      </c>
      <c r="J743" s="176">
        <v>46036</v>
      </c>
      <c r="K743" s="172" t="s">
        <v>94</v>
      </c>
      <c r="L743" s="172" t="s">
        <v>95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544</v>
      </c>
      <c r="B744" s="176">
        <v>46038</v>
      </c>
      <c r="C744" s="172" t="s">
        <v>101</v>
      </c>
      <c r="D744" s="172" t="s">
        <v>102</v>
      </c>
      <c r="E744" s="172" t="s">
        <v>54</v>
      </c>
      <c r="F744" s="172" t="s">
        <v>121</v>
      </c>
      <c r="G744" s="172" t="s">
        <v>85</v>
      </c>
      <c r="H744" s="177">
        <v>1</v>
      </c>
      <c r="I744" s="178">
        <v>1845</v>
      </c>
      <c r="J744" s="176">
        <v>46036</v>
      </c>
      <c r="K744" s="172" t="s">
        <v>94</v>
      </c>
      <c r="L744" s="172" t="s">
        <v>95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544</v>
      </c>
      <c r="B745" s="176">
        <v>46038</v>
      </c>
      <c r="C745" s="172" t="s">
        <v>101</v>
      </c>
      <c r="D745" s="172" t="s">
        <v>103</v>
      </c>
      <c r="E745" s="172" t="s">
        <v>54</v>
      </c>
      <c r="F745" s="172" t="s">
        <v>121</v>
      </c>
      <c r="G745" s="172" t="s">
        <v>85</v>
      </c>
      <c r="H745" s="177">
        <v>1</v>
      </c>
      <c r="I745" s="178">
        <v>1845</v>
      </c>
      <c r="J745" s="176">
        <v>46036</v>
      </c>
      <c r="K745" s="172" t="s">
        <v>94</v>
      </c>
      <c r="L745" s="172" t="s">
        <v>95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544</v>
      </c>
      <c r="B746" s="176">
        <v>46038</v>
      </c>
      <c r="C746" s="172" t="s">
        <v>101</v>
      </c>
      <c r="D746" s="172" t="s">
        <v>104</v>
      </c>
      <c r="E746" s="172" t="s">
        <v>54</v>
      </c>
      <c r="F746" s="172" t="s">
        <v>121</v>
      </c>
      <c r="G746" s="172" t="s">
        <v>85</v>
      </c>
      <c r="H746" s="177">
        <v>1</v>
      </c>
      <c r="I746" s="178">
        <v>1845</v>
      </c>
      <c r="J746" s="176">
        <v>46036</v>
      </c>
      <c r="K746" s="172" t="s">
        <v>94</v>
      </c>
      <c r="L746" s="172" t="s">
        <v>95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544</v>
      </c>
      <c r="B747" s="176">
        <v>46038</v>
      </c>
      <c r="C747" s="172" t="s">
        <v>105</v>
      </c>
      <c r="D747" s="172" t="s">
        <v>106</v>
      </c>
      <c r="E747" s="172" t="s">
        <v>54</v>
      </c>
      <c r="F747" s="172" t="s">
        <v>121</v>
      </c>
      <c r="G747" s="172" t="s">
        <v>85</v>
      </c>
      <c r="H747" s="177">
        <v>1</v>
      </c>
      <c r="I747" s="178">
        <v>1845</v>
      </c>
      <c r="J747" s="176">
        <v>46036</v>
      </c>
      <c r="K747" s="172" t="s">
        <v>94</v>
      </c>
      <c r="L747" s="172" t="s">
        <v>95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544</v>
      </c>
      <c r="B748" s="176">
        <v>46038</v>
      </c>
      <c r="C748" s="172" t="s">
        <v>82</v>
      </c>
      <c r="D748" s="172" t="s">
        <v>96</v>
      </c>
      <c r="E748" s="172" t="s">
        <v>54</v>
      </c>
      <c r="F748" s="172" t="s">
        <v>121</v>
      </c>
      <c r="G748" s="172" t="s">
        <v>85</v>
      </c>
      <c r="H748" s="177">
        <v>1</v>
      </c>
      <c r="I748" s="178">
        <v>1845</v>
      </c>
      <c r="J748" s="176">
        <v>46036</v>
      </c>
      <c r="K748" s="172" t="s">
        <v>94</v>
      </c>
      <c r="L748" s="172" t="s">
        <v>95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545</v>
      </c>
      <c r="B749" s="176">
        <v>46038</v>
      </c>
      <c r="C749" s="172" t="s">
        <v>93</v>
      </c>
      <c r="D749" s="172" t="s">
        <v>24</v>
      </c>
      <c r="E749" s="172" t="s">
        <v>54</v>
      </c>
      <c r="F749" s="172" t="s">
        <v>121</v>
      </c>
      <c r="G749" s="172" t="s">
        <v>85</v>
      </c>
      <c r="H749" s="177">
        <v>1</v>
      </c>
      <c r="I749" s="178">
        <v>1845</v>
      </c>
      <c r="J749" s="176">
        <v>46032</v>
      </c>
      <c r="K749" s="172" t="s">
        <v>94</v>
      </c>
      <c r="L749" s="172" t="s">
        <v>95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545</v>
      </c>
      <c r="B750" s="176">
        <v>46038</v>
      </c>
      <c r="C750" s="172" t="s">
        <v>101</v>
      </c>
      <c r="D750" s="172" t="s">
        <v>102</v>
      </c>
      <c r="E750" s="172" t="s">
        <v>54</v>
      </c>
      <c r="F750" s="172" t="s">
        <v>121</v>
      </c>
      <c r="G750" s="172" t="s">
        <v>85</v>
      </c>
      <c r="H750" s="177">
        <v>1</v>
      </c>
      <c r="I750" s="178">
        <v>1845</v>
      </c>
      <c r="J750" s="176">
        <v>46032</v>
      </c>
      <c r="K750" s="172" t="s">
        <v>94</v>
      </c>
      <c r="L750" s="172" t="s">
        <v>95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545</v>
      </c>
      <c r="B751" s="176">
        <v>46038</v>
      </c>
      <c r="C751" s="172" t="s">
        <v>101</v>
      </c>
      <c r="D751" s="172" t="s">
        <v>103</v>
      </c>
      <c r="E751" s="172" t="s">
        <v>54</v>
      </c>
      <c r="F751" s="172" t="s">
        <v>121</v>
      </c>
      <c r="G751" s="172" t="s">
        <v>85</v>
      </c>
      <c r="H751" s="177">
        <v>1</v>
      </c>
      <c r="I751" s="178">
        <v>1845</v>
      </c>
      <c r="J751" s="176">
        <v>46032</v>
      </c>
      <c r="K751" s="172" t="s">
        <v>94</v>
      </c>
      <c r="L751" s="172" t="s">
        <v>95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545</v>
      </c>
      <c r="B752" s="176">
        <v>46038</v>
      </c>
      <c r="C752" s="172" t="s">
        <v>101</v>
      </c>
      <c r="D752" s="172" t="s">
        <v>104</v>
      </c>
      <c r="E752" s="172" t="s">
        <v>54</v>
      </c>
      <c r="F752" s="172" t="s">
        <v>121</v>
      </c>
      <c r="G752" s="172" t="s">
        <v>85</v>
      </c>
      <c r="H752" s="177">
        <v>1</v>
      </c>
      <c r="I752" s="178">
        <v>1845</v>
      </c>
      <c r="J752" s="176">
        <v>46032</v>
      </c>
      <c r="K752" s="172" t="s">
        <v>94</v>
      </c>
      <c r="L752" s="172" t="s">
        <v>95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545</v>
      </c>
      <c r="B753" s="176">
        <v>46038</v>
      </c>
      <c r="C753" s="172" t="s">
        <v>105</v>
      </c>
      <c r="D753" s="172" t="s">
        <v>106</v>
      </c>
      <c r="E753" s="172" t="s">
        <v>54</v>
      </c>
      <c r="F753" s="172" t="s">
        <v>121</v>
      </c>
      <c r="G753" s="172" t="s">
        <v>85</v>
      </c>
      <c r="H753" s="177">
        <v>1</v>
      </c>
      <c r="I753" s="178">
        <v>1845</v>
      </c>
      <c r="J753" s="176">
        <v>46032</v>
      </c>
      <c r="K753" s="172" t="s">
        <v>94</v>
      </c>
      <c r="L753" s="172" t="s">
        <v>95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545</v>
      </c>
      <c r="B754" s="176">
        <v>46038</v>
      </c>
      <c r="C754" s="172" t="s">
        <v>82</v>
      </c>
      <c r="D754" s="172" t="s">
        <v>96</v>
      </c>
      <c r="E754" s="172" t="s">
        <v>54</v>
      </c>
      <c r="F754" s="172" t="s">
        <v>121</v>
      </c>
      <c r="G754" s="172" t="s">
        <v>85</v>
      </c>
      <c r="H754" s="177">
        <v>1</v>
      </c>
      <c r="I754" s="178">
        <v>1845</v>
      </c>
      <c r="J754" s="176">
        <v>46032</v>
      </c>
      <c r="K754" s="172" t="s">
        <v>94</v>
      </c>
      <c r="L754" s="172" t="s">
        <v>95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544</v>
      </c>
      <c r="B755" s="176">
        <v>46038</v>
      </c>
      <c r="C755" s="172" t="s">
        <v>82</v>
      </c>
      <c r="D755" s="172" t="s">
        <v>83</v>
      </c>
      <c r="E755" s="172" t="s">
        <v>54</v>
      </c>
      <c r="F755" s="172" t="s">
        <v>121</v>
      </c>
      <c r="G755" s="172" t="s">
        <v>85</v>
      </c>
      <c r="H755" s="177">
        <v>1</v>
      </c>
      <c r="I755" s="178">
        <v>0</v>
      </c>
      <c r="J755" s="176">
        <v>46036</v>
      </c>
      <c r="K755" s="172" t="s">
        <v>86</v>
      </c>
      <c r="L755" s="172" t="s">
        <v>86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546</v>
      </c>
      <c r="B756" s="176">
        <v>46038</v>
      </c>
      <c r="C756" s="172" t="s">
        <v>93</v>
      </c>
      <c r="D756" s="172" t="s">
        <v>24</v>
      </c>
      <c r="E756" s="172" t="s">
        <v>41</v>
      </c>
      <c r="F756" s="172" t="s">
        <v>198</v>
      </c>
      <c r="G756" s="172" t="s">
        <v>85</v>
      </c>
      <c r="H756" s="177">
        <v>1</v>
      </c>
      <c r="I756" s="178">
        <v>1650</v>
      </c>
      <c r="J756" s="176">
        <v>46030</v>
      </c>
      <c r="K756" s="172" t="s">
        <v>94</v>
      </c>
      <c r="L756" s="172" t="s">
        <v>95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546</v>
      </c>
      <c r="B757" s="176">
        <v>46038</v>
      </c>
      <c r="C757" s="172" t="s">
        <v>101</v>
      </c>
      <c r="D757" s="172" t="s">
        <v>102</v>
      </c>
      <c r="E757" s="172" t="s">
        <v>41</v>
      </c>
      <c r="F757" s="172" t="s">
        <v>198</v>
      </c>
      <c r="G757" s="172" t="s">
        <v>85</v>
      </c>
      <c r="H757" s="177">
        <v>1</v>
      </c>
      <c r="I757" s="178">
        <v>1650</v>
      </c>
      <c r="J757" s="176">
        <v>46030</v>
      </c>
      <c r="K757" s="172" t="s">
        <v>94</v>
      </c>
      <c r="L757" s="172" t="s">
        <v>95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546</v>
      </c>
      <c r="B758" s="176">
        <v>46038</v>
      </c>
      <c r="C758" s="172" t="s">
        <v>101</v>
      </c>
      <c r="D758" s="172" t="s">
        <v>103</v>
      </c>
      <c r="E758" s="172" t="s">
        <v>41</v>
      </c>
      <c r="F758" s="172" t="s">
        <v>198</v>
      </c>
      <c r="G758" s="172" t="s">
        <v>85</v>
      </c>
      <c r="H758" s="177">
        <v>1</v>
      </c>
      <c r="I758" s="178">
        <v>1650</v>
      </c>
      <c r="J758" s="176">
        <v>46030</v>
      </c>
      <c r="K758" s="172" t="s">
        <v>94</v>
      </c>
      <c r="L758" s="172" t="s">
        <v>95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546</v>
      </c>
      <c r="B759" s="176">
        <v>46038</v>
      </c>
      <c r="C759" s="172" t="s">
        <v>101</v>
      </c>
      <c r="D759" s="172" t="s">
        <v>104</v>
      </c>
      <c r="E759" s="172" t="s">
        <v>41</v>
      </c>
      <c r="F759" s="172" t="s">
        <v>198</v>
      </c>
      <c r="G759" s="172" t="s">
        <v>85</v>
      </c>
      <c r="H759" s="177">
        <v>1</v>
      </c>
      <c r="I759" s="178">
        <v>1650</v>
      </c>
      <c r="J759" s="176">
        <v>46030</v>
      </c>
      <c r="K759" s="172" t="s">
        <v>94</v>
      </c>
      <c r="L759" s="172" t="s">
        <v>95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546</v>
      </c>
      <c r="B760" s="176">
        <v>46038</v>
      </c>
      <c r="C760" s="172" t="s">
        <v>105</v>
      </c>
      <c r="D760" s="172" t="s">
        <v>106</v>
      </c>
      <c r="E760" s="172" t="s">
        <v>41</v>
      </c>
      <c r="F760" s="172" t="s">
        <v>198</v>
      </c>
      <c r="G760" s="172" t="s">
        <v>85</v>
      </c>
      <c r="H760" s="177">
        <v>1</v>
      </c>
      <c r="I760" s="178">
        <v>1650</v>
      </c>
      <c r="J760" s="176">
        <v>46030</v>
      </c>
      <c r="K760" s="172" t="s">
        <v>94</v>
      </c>
      <c r="L760" s="172" t="s">
        <v>95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546</v>
      </c>
      <c r="B761" s="176">
        <v>46038</v>
      </c>
      <c r="C761" s="172" t="s">
        <v>82</v>
      </c>
      <c r="D761" s="172" t="s">
        <v>96</v>
      </c>
      <c r="E761" s="172" t="s">
        <v>41</v>
      </c>
      <c r="F761" s="172" t="s">
        <v>198</v>
      </c>
      <c r="G761" s="172" t="s">
        <v>85</v>
      </c>
      <c r="H761" s="177">
        <v>1</v>
      </c>
      <c r="I761" s="178">
        <v>1650</v>
      </c>
      <c r="J761" s="176">
        <v>46030</v>
      </c>
      <c r="K761" s="172" t="s">
        <v>94</v>
      </c>
      <c r="L761" s="172" t="s">
        <v>95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547</v>
      </c>
      <c r="B762" s="176">
        <v>46038</v>
      </c>
      <c r="C762" s="172" t="s">
        <v>82</v>
      </c>
      <c r="D762" s="172" t="s">
        <v>83</v>
      </c>
      <c r="E762" s="172" t="s">
        <v>54</v>
      </c>
      <c r="F762" s="172" t="s">
        <v>121</v>
      </c>
      <c r="G762" s="172" t="s">
        <v>85</v>
      </c>
      <c r="H762" s="177">
        <v>1</v>
      </c>
      <c r="I762" s="178">
        <v>0</v>
      </c>
      <c r="J762" s="176">
        <v>46038</v>
      </c>
      <c r="K762" s="172" t="s">
        <v>86</v>
      </c>
      <c r="L762" s="172" t="s">
        <v>86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546</v>
      </c>
      <c r="B763" s="176">
        <v>46038</v>
      </c>
      <c r="C763" s="172" t="s">
        <v>82</v>
      </c>
      <c r="D763" s="172" t="s">
        <v>83</v>
      </c>
      <c r="E763" s="172" t="s">
        <v>41</v>
      </c>
      <c r="F763" s="172" t="s">
        <v>198</v>
      </c>
      <c r="G763" s="172" t="s">
        <v>85</v>
      </c>
      <c r="H763" s="177">
        <v>1</v>
      </c>
      <c r="I763" s="178">
        <v>0</v>
      </c>
      <c r="J763" s="176">
        <v>46030</v>
      </c>
      <c r="K763" s="172" t="s">
        <v>86</v>
      </c>
      <c r="L763" s="172" t="s">
        <v>86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548</v>
      </c>
      <c r="B764" s="176">
        <v>46038</v>
      </c>
      <c r="C764" s="172" t="s">
        <v>93</v>
      </c>
      <c r="D764" s="172" t="s">
        <v>24</v>
      </c>
      <c r="E764" s="172" t="s">
        <v>54</v>
      </c>
      <c r="F764" s="172" t="s">
        <v>121</v>
      </c>
      <c r="G764" s="172" t="s">
        <v>85</v>
      </c>
      <c r="H764" s="177">
        <v>1</v>
      </c>
      <c r="I764" s="178">
        <v>1845</v>
      </c>
      <c r="J764" s="176">
        <v>46035</v>
      </c>
      <c r="K764" s="172" t="s">
        <v>94</v>
      </c>
      <c r="L764" s="172" t="s">
        <v>95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548</v>
      </c>
      <c r="B765" s="176">
        <v>46038</v>
      </c>
      <c r="C765" s="172" t="s">
        <v>101</v>
      </c>
      <c r="D765" s="172" t="s">
        <v>102</v>
      </c>
      <c r="E765" s="172" t="s">
        <v>54</v>
      </c>
      <c r="F765" s="172" t="s">
        <v>121</v>
      </c>
      <c r="G765" s="172" t="s">
        <v>85</v>
      </c>
      <c r="H765" s="177">
        <v>1</v>
      </c>
      <c r="I765" s="178">
        <v>1845</v>
      </c>
      <c r="J765" s="176">
        <v>46035</v>
      </c>
      <c r="K765" s="172" t="s">
        <v>94</v>
      </c>
      <c r="L765" s="172" t="s">
        <v>95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548</v>
      </c>
      <c r="B766" s="176">
        <v>46038</v>
      </c>
      <c r="C766" s="172" t="s">
        <v>101</v>
      </c>
      <c r="D766" s="172" t="s">
        <v>103</v>
      </c>
      <c r="E766" s="172" t="s">
        <v>54</v>
      </c>
      <c r="F766" s="172" t="s">
        <v>121</v>
      </c>
      <c r="G766" s="172" t="s">
        <v>85</v>
      </c>
      <c r="H766" s="177">
        <v>1</v>
      </c>
      <c r="I766" s="178">
        <v>1845</v>
      </c>
      <c r="J766" s="176">
        <v>46035</v>
      </c>
      <c r="K766" s="172" t="s">
        <v>94</v>
      </c>
      <c r="L766" s="172" t="s">
        <v>95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548</v>
      </c>
      <c r="B767" s="176">
        <v>46038</v>
      </c>
      <c r="C767" s="172" t="s">
        <v>101</v>
      </c>
      <c r="D767" s="172" t="s">
        <v>104</v>
      </c>
      <c r="E767" s="172" t="s">
        <v>54</v>
      </c>
      <c r="F767" s="172" t="s">
        <v>121</v>
      </c>
      <c r="G767" s="172" t="s">
        <v>85</v>
      </c>
      <c r="H767" s="177">
        <v>1</v>
      </c>
      <c r="I767" s="178">
        <v>1845</v>
      </c>
      <c r="J767" s="176">
        <v>46035</v>
      </c>
      <c r="K767" s="172" t="s">
        <v>94</v>
      </c>
      <c r="L767" s="172" t="s">
        <v>95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548</v>
      </c>
      <c r="B768" s="176">
        <v>46038</v>
      </c>
      <c r="C768" s="172" t="s">
        <v>105</v>
      </c>
      <c r="D768" s="172" t="s">
        <v>106</v>
      </c>
      <c r="E768" s="172" t="s">
        <v>54</v>
      </c>
      <c r="F768" s="172" t="s">
        <v>121</v>
      </c>
      <c r="G768" s="172" t="s">
        <v>85</v>
      </c>
      <c r="H768" s="177">
        <v>1</v>
      </c>
      <c r="I768" s="178">
        <v>1845</v>
      </c>
      <c r="J768" s="176">
        <v>46035</v>
      </c>
      <c r="K768" s="172" t="s">
        <v>94</v>
      </c>
      <c r="L768" s="172" t="s">
        <v>95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548</v>
      </c>
      <c r="B769" s="176">
        <v>46038</v>
      </c>
      <c r="C769" s="172" t="s">
        <v>82</v>
      </c>
      <c r="D769" s="172" t="s">
        <v>96</v>
      </c>
      <c r="E769" s="172" t="s">
        <v>54</v>
      </c>
      <c r="F769" s="172" t="s">
        <v>121</v>
      </c>
      <c r="G769" s="172" t="s">
        <v>85</v>
      </c>
      <c r="H769" s="177">
        <v>1</v>
      </c>
      <c r="I769" s="178">
        <v>1845</v>
      </c>
      <c r="J769" s="176">
        <v>46035</v>
      </c>
      <c r="K769" s="172" t="s">
        <v>94</v>
      </c>
      <c r="L769" s="172" t="s">
        <v>95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549</v>
      </c>
      <c r="B770" s="176">
        <v>46038</v>
      </c>
      <c r="C770" s="172" t="s">
        <v>93</v>
      </c>
      <c r="D770" s="172" t="s">
        <v>24</v>
      </c>
      <c r="E770" s="172" t="s">
        <v>54</v>
      </c>
      <c r="F770" s="172" t="s">
        <v>121</v>
      </c>
      <c r="G770" s="172" t="s">
        <v>85</v>
      </c>
      <c r="H770" s="177">
        <v>1</v>
      </c>
      <c r="I770" s="178">
        <v>1845</v>
      </c>
      <c r="J770" s="176">
        <v>46035</v>
      </c>
      <c r="K770" s="172" t="s">
        <v>94</v>
      </c>
      <c r="L770" s="172" t="s">
        <v>95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549</v>
      </c>
      <c r="B771" s="176">
        <v>46038</v>
      </c>
      <c r="C771" s="172" t="s">
        <v>101</v>
      </c>
      <c r="D771" s="172" t="s">
        <v>102</v>
      </c>
      <c r="E771" s="172" t="s">
        <v>54</v>
      </c>
      <c r="F771" s="172" t="s">
        <v>121</v>
      </c>
      <c r="G771" s="172" t="s">
        <v>85</v>
      </c>
      <c r="H771" s="177">
        <v>1</v>
      </c>
      <c r="I771" s="178">
        <v>1845</v>
      </c>
      <c r="J771" s="176">
        <v>46035</v>
      </c>
      <c r="K771" s="172" t="s">
        <v>94</v>
      </c>
      <c r="L771" s="172" t="s">
        <v>95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549</v>
      </c>
      <c r="B772" s="176">
        <v>46038</v>
      </c>
      <c r="C772" s="172" t="s">
        <v>101</v>
      </c>
      <c r="D772" s="172" t="s">
        <v>103</v>
      </c>
      <c r="E772" s="172" t="s">
        <v>54</v>
      </c>
      <c r="F772" s="172" t="s">
        <v>121</v>
      </c>
      <c r="G772" s="172" t="s">
        <v>85</v>
      </c>
      <c r="H772" s="177">
        <v>1</v>
      </c>
      <c r="I772" s="178">
        <v>1845</v>
      </c>
      <c r="J772" s="176">
        <v>46035</v>
      </c>
      <c r="K772" s="172" t="s">
        <v>94</v>
      </c>
      <c r="L772" s="172" t="s">
        <v>95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549</v>
      </c>
      <c r="B773" s="176">
        <v>46038</v>
      </c>
      <c r="C773" s="172" t="s">
        <v>101</v>
      </c>
      <c r="D773" s="172" t="s">
        <v>104</v>
      </c>
      <c r="E773" s="172" t="s">
        <v>54</v>
      </c>
      <c r="F773" s="172" t="s">
        <v>121</v>
      </c>
      <c r="G773" s="172" t="s">
        <v>85</v>
      </c>
      <c r="H773" s="177">
        <v>1</v>
      </c>
      <c r="I773" s="178">
        <v>1845</v>
      </c>
      <c r="J773" s="176">
        <v>46035</v>
      </c>
      <c r="K773" s="172" t="s">
        <v>94</v>
      </c>
      <c r="L773" s="172" t="s">
        <v>95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549</v>
      </c>
      <c r="B774" s="176">
        <v>46038</v>
      </c>
      <c r="C774" s="172" t="s">
        <v>105</v>
      </c>
      <c r="D774" s="172" t="s">
        <v>106</v>
      </c>
      <c r="E774" s="172" t="s">
        <v>54</v>
      </c>
      <c r="F774" s="172" t="s">
        <v>121</v>
      </c>
      <c r="G774" s="172" t="s">
        <v>85</v>
      </c>
      <c r="H774" s="177">
        <v>1</v>
      </c>
      <c r="I774" s="178">
        <v>1845</v>
      </c>
      <c r="J774" s="176">
        <v>46035</v>
      </c>
      <c r="K774" s="172" t="s">
        <v>94</v>
      </c>
      <c r="L774" s="172" t="s">
        <v>95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549</v>
      </c>
      <c r="B775" s="176">
        <v>46038</v>
      </c>
      <c r="C775" s="172" t="s">
        <v>82</v>
      </c>
      <c r="D775" s="172" t="s">
        <v>96</v>
      </c>
      <c r="E775" s="172" t="s">
        <v>54</v>
      </c>
      <c r="F775" s="172" t="s">
        <v>121</v>
      </c>
      <c r="G775" s="172" t="s">
        <v>85</v>
      </c>
      <c r="H775" s="177">
        <v>1</v>
      </c>
      <c r="I775" s="178">
        <v>1845</v>
      </c>
      <c r="J775" s="176">
        <v>46035</v>
      </c>
      <c r="K775" s="172" t="s">
        <v>94</v>
      </c>
      <c r="L775" s="172" t="s">
        <v>95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549</v>
      </c>
      <c r="B776" s="176">
        <v>46038</v>
      </c>
      <c r="C776" s="172" t="s">
        <v>82</v>
      </c>
      <c r="D776" s="172" t="s">
        <v>83</v>
      </c>
      <c r="E776" s="172" t="s">
        <v>54</v>
      </c>
      <c r="F776" s="172" t="s">
        <v>121</v>
      </c>
      <c r="G776" s="172" t="s">
        <v>85</v>
      </c>
      <c r="H776" s="177">
        <v>1</v>
      </c>
      <c r="I776" s="178">
        <v>0</v>
      </c>
      <c r="J776" s="176">
        <v>46035</v>
      </c>
      <c r="K776" s="172" t="s">
        <v>86</v>
      </c>
      <c r="L776" s="172" t="s">
        <v>86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550</v>
      </c>
      <c r="B777" s="176">
        <v>46038</v>
      </c>
      <c r="C777" s="172" t="s">
        <v>93</v>
      </c>
      <c r="D777" s="172" t="s">
        <v>24</v>
      </c>
      <c r="E777" s="172" t="s">
        <v>40</v>
      </c>
      <c r="F777" s="172" t="s">
        <v>118</v>
      </c>
      <c r="G777" s="172" t="s">
        <v>85</v>
      </c>
      <c r="H777" s="177">
        <v>1</v>
      </c>
      <c r="I777" s="178">
        <v>1750</v>
      </c>
      <c r="J777" s="176">
        <v>46035</v>
      </c>
      <c r="K777" s="172" t="s">
        <v>94</v>
      </c>
      <c r="L777" s="172" t="s">
        <v>95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550</v>
      </c>
      <c r="B778" s="176">
        <v>46038</v>
      </c>
      <c r="C778" s="172" t="s">
        <v>101</v>
      </c>
      <c r="D778" s="172" t="s">
        <v>102</v>
      </c>
      <c r="E778" s="172" t="s">
        <v>40</v>
      </c>
      <c r="F778" s="172" t="s">
        <v>118</v>
      </c>
      <c r="G778" s="172" t="s">
        <v>85</v>
      </c>
      <c r="H778" s="177">
        <v>1</v>
      </c>
      <c r="I778" s="178">
        <v>1750</v>
      </c>
      <c r="J778" s="176">
        <v>46035</v>
      </c>
      <c r="K778" s="172" t="s">
        <v>94</v>
      </c>
      <c r="L778" s="172" t="s">
        <v>95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550</v>
      </c>
      <c r="B779" s="176">
        <v>46038</v>
      </c>
      <c r="C779" s="172" t="s">
        <v>101</v>
      </c>
      <c r="D779" s="172" t="s">
        <v>103</v>
      </c>
      <c r="E779" s="172" t="s">
        <v>40</v>
      </c>
      <c r="F779" s="172" t="s">
        <v>118</v>
      </c>
      <c r="G779" s="172" t="s">
        <v>85</v>
      </c>
      <c r="H779" s="177">
        <v>1</v>
      </c>
      <c r="I779" s="178">
        <v>1750</v>
      </c>
      <c r="J779" s="176">
        <v>46035</v>
      </c>
      <c r="K779" s="172" t="s">
        <v>94</v>
      </c>
      <c r="L779" s="172" t="s">
        <v>95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550</v>
      </c>
      <c r="B780" s="176">
        <v>46038</v>
      </c>
      <c r="C780" s="172" t="s">
        <v>101</v>
      </c>
      <c r="D780" s="172" t="s">
        <v>104</v>
      </c>
      <c r="E780" s="172" t="s">
        <v>40</v>
      </c>
      <c r="F780" s="172" t="s">
        <v>118</v>
      </c>
      <c r="G780" s="172" t="s">
        <v>85</v>
      </c>
      <c r="H780" s="177">
        <v>1</v>
      </c>
      <c r="I780" s="178">
        <v>1750</v>
      </c>
      <c r="J780" s="176">
        <v>46035</v>
      </c>
      <c r="K780" s="172" t="s">
        <v>94</v>
      </c>
      <c r="L780" s="172" t="s">
        <v>95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550</v>
      </c>
      <c r="B781" s="176">
        <v>46038</v>
      </c>
      <c r="C781" s="172" t="s">
        <v>105</v>
      </c>
      <c r="D781" s="172" t="s">
        <v>106</v>
      </c>
      <c r="E781" s="172" t="s">
        <v>40</v>
      </c>
      <c r="F781" s="172" t="s">
        <v>118</v>
      </c>
      <c r="G781" s="172" t="s">
        <v>85</v>
      </c>
      <c r="H781" s="177">
        <v>1</v>
      </c>
      <c r="I781" s="178">
        <v>1750</v>
      </c>
      <c r="J781" s="176">
        <v>46035</v>
      </c>
      <c r="K781" s="172" t="s">
        <v>94</v>
      </c>
      <c r="L781" s="172" t="s">
        <v>95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550</v>
      </c>
      <c r="B782" s="176">
        <v>46038</v>
      </c>
      <c r="C782" s="172" t="s">
        <v>82</v>
      </c>
      <c r="D782" s="172" t="s">
        <v>96</v>
      </c>
      <c r="E782" s="172" t="s">
        <v>40</v>
      </c>
      <c r="F782" s="172" t="s">
        <v>118</v>
      </c>
      <c r="G782" s="172" t="s">
        <v>85</v>
      </c>
      <c r="H782" s="177">
        <v>1</v>
      </c>
      <c r="I782" s="178">
        <v>1750</v>
      </c>
      <c r="J782" s="176">
        <v>46035</v>
      </c>
      <c r="K782" s="172" t="s">
        <v>94</v>
      </c>
      <c r="L782" s="172" t="s">
        <v>95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551</v>
      </c>
      <c r="B783" s="176">
        <v>46038</v>
      </c>
      <c r="C783" s="172" t="s">
        <v>82</v>
      </c>
      <c r="D783" s="172" t="s">
        <v>83</v>
      </c>
      <c r="E783" s="172" t="s">
        <v>54</v>
      </c>
      <c r="F783" s="172" t="s">
        <v>121</v>
      </c>
      <c r="G783" s="172" t="s">
        <v>85</v>
      </c>
      <c r="H783" s="177">
        <v>1</v>
      </c>
      <c r="I783" s="178">
        <v>0</v>
      </c>
      <c r="J783" s="176">
        <v>46038</v>
      </c>
      <c r="K783" s="172" t="s">
        <v>86</v>
      </c>
      <c r="L783" s="172" t="s">
        <v>86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550</v>
      </c>
      <c r="B784" s="176">
        <v>46038</v>
      </c>
      <c r="C784" s="172" t="s">
        <v>82</v>
      </c>
      <c r="D784" s="172" t="s">
        <v>83</v>
      </c>
      <c r="E784" s="172" t="s">
        <v>40</v>
      </c>
      <c r="F784" s="172" t="s">
        <v>118</v>
      </c>
      <c r="G784" s="172" t="s">
        <v>85</v>
      </c>
      <c r="H784" s="177">
        <v>1</v>
      </c>
      <c r="I784" s="178">
        <v>0</v>
      </c>
      <c r="J784" s="176">
        <v>46035</v>
      </c>
      <c r="K784" s="172" t="s">
        <v>86</v>
      </c>
      <c r="L784" s="172" t="s">
        <v>86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552</v>
      </c>
      <c r="B785" s="176">
        <v>46038</v>
      </c>
      <c r="C785" s="172" t="s">
        <v>93</v>
      </c>
      <c r="D785" s="172" t="s">
        <v>24</v>
      </c>
      <c r="E785" s="172" t="s">
        <v>54</v>
      </c>
      <c r="F785" s="172" t="s">
        <v>121</v>
      </c>
      <c r="G785" s="172" t="s">
        <v>85</v>
      </c>
      <c r="H785" s="177">
        <v>1</v>
      </c>
      <c r="I785" s="178">
        <v>1845</v>
      </c>
      <c r="J785" s="176">
        <v>46036</v>
      </c>
      <c r="K785" s="172" t="s">
        <v>94</v>
      </c>
      <c r="L785" s="172" t="s">
        <v>95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552</v>
      </c>
      <c r="B786" s="176">
        <v>46038</v>
      </c>
      <c r="C786" s="172" t="s">
        <v>101</v>
      </c>
      <c r="D786" s="172" t="s">
        <v>102</v>
      </c>
      <c r="E786" s="172" t="s">
        <v>54</v>
      </c>
      <c r="F786" s="172" t="s">
        <v>121</v>
      </c>
      <c r="G786" s="172" t="s">
        <v>85</v>
      </c>
      <c r="H786" s="177">
        <v>1</v>
      </c>
      <c r="I786" s="178">
        <v>1845</v>
      </c>
      <c r="J786" s="176">
        <v>46036</v>
      </c>
      <c r="K786" s="172" t="s">
        <v>94</v>
      </c>
      <c r="L786" s="172" t="s">
        <v>95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552</v>
      </c>
      <c r="B787" s="176">
        <v>46038</v>
      </c>
      <c r="C787" s="172" t="s">
        <v>101</v>
      </c>
      <c r="D787" s="172" t="s">
        <v>103</v>
      </c>
      <c r="E787" s="172" t="s">
        <v>54</v>
      </c>
      <c r="F787" s="172" t="s">
        <v>121</v>
      </c>
      <c r="G787" s="172" t="s">
        <v>85</v>
      </c>
      <c r="H787" s="177">
        <v>1</v>
      </c>
      <c r="I787" s="178">
        <v>1845</v>
      </c>
      <c r="J787" s="176">
        <v>46036</v>
      </c>
      <c r="K787" s="172" t="s">
        <v>94</v>
      </c>
      <c r="L787" s="172" t="s">
        <v>95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552</v>
      </c>
      <c r="B788" s="176">
        <v>46038</v>
      </c>
      <c r="C788" s="172" t="s">
        <v>101</v>
      </c>
      <c r="D788" s="172" t="s">
        <v>104</v>
      </c>
      <c r="E788" s="172" t="s">
        <v>54</v>
      </c>
      <c r="F788" s="172" t="s">
        <v>121</v>
      </c>
      <c r="G788" s="172" t="s">
        <v>85</v>
      </c>
      <c r="H788" s="177">
        <v>1</v>
      </c>
      <c r="I788" s="178">
        <v>1845</v>
      </c>
      <c r="J788" s="176">
        <v>46036</v>
      </c>
      <c r="K788" s="172" t="s">
        <v>94</v>
      </c>
      <c r="L788" s="172" t="s">
        <v>95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552</v>
      </c>
      <c r="B789" s="176">
        <v>46038</v>
      </c>
      <c r="C789" s="172" t="s">
        <v>105</v>
      </c>
      <c r="D789" s="172" t="s">
        <v>106</v>
      </c>
      <c r="E789" s="172" t="s">
        <v>54</v>
      </c>
      <c r="F789" s="172" t="s">
        <v>121</v>
      </c>
      <c r="G789" s="172" t="s">
        <v>85</v>
      </c>
      <c r="H789" s="177">
        <v>1</v>
      </c>
      <c r="I789" s="178">
        <v>1845</v>
      </c>
      <c r="J789" s="176">
        <v>46036</v>
      </c>
      <c r="K789" s="172" t="s">
        <v>94</v>
      </c>
      <c r="L789" s="172" t="s">
        <v>95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552</v>
      </c>
      <c r="B790" s="176">
        <v>46038</v>
      </c>
      <c r="C790" s="172" t="s">
        <v>82</v>
      </c>
      <c r="D790" s="172" t="s">
        <v>96</v>
      </c>
      <c r="E790" s="172" t="s">
        <v>54</v>
      </c>
      <c r="F790" s="172" t="s">
        <v>121</v>
      </c>
      <c r="G790" s="172" t="s">
        <v>85</v>
      </c>
      <c r="H790" s="177">
        <v>1</v>
      </c>
      <c r="I790" s="178">
        <v>1845</v>
      </c>
      <c r="J790" s="176">
        <v>46036</v>
      </c>
      <c r="K790" s="172" t="s">
        <v>94</v>
      </c>
      <c r="L790" s="172" t="s">
        <v>95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553</v>
      </c>
      <c r="B791" s="176">
        <v>46038</v>
      </c>
      <c r="C791" s="172" t="s">
        <v>93</v>
      </c>
      <c r="D791" s="172" t="s">
        <v>24</v>
      </c>
      <c r="E791" s="172" t="s">
        <v>53</v>
      </c>
      <c r="F791" s="172" t="s">
        <v>91</v>
      </c>
      <c r="G791" s="172" t="s">
        <v>85</v>
      </c>
      <c r="H791" s="177">
        <v>1</v>
      </c>
      <c r="I791" s="178">
        <v>1621</v>
      </c>
      <c r="J791" s="176">
        <v>46033</v>
      </c>
      <c r="K791" s="172" t="s">
        <v>94</v>
      </c>
      <c r="L791" s="172" t="s">
        <v>95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553</v>
      </c>
      <c r="B792" s="176">
        <v>46038</v>
      </c>
      <c r="C792" s="172" t="s">
        <v>101</v>
      </c>
      <c r="D792" s="172" t="s">
        <v>102</v>
      </c>
      <c r="E792" s="172" t="s">
        <v>53</v>
      </c>
      <c r="F792" s="172" t="s">
        <v>91</v>
      </c>
      <c r="G792" s="172" t="s">
        <v>85</v>
      </c>
      <c r="H792" s="177">
        <v>1</v>
      </c>
      <c r="I792" s="178">
        <v>1621</v>
      </c>
      <c r="J792" s="176">
        <v>46033</v>
      </c>
      <c r="K792" s="172" t="s">
        <v>94</v>
      </c>
      <c r="L792" s="172" t="s">
        <v>95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553</v>
      </c>
      <c r="B793" s="176">
        <v>46038</v>
      </c>
      <c r="C793" s="172" t="s">
        <v>101</v>
      </c>
      <c r="D793" s="172" t="s">
        <v>103</v>
      </c>
      <c r="E793" s="172" t="s">
        <v>53</v>
      </c>
      <c r="F793" s="172" t="s">
        <v>91</v>
      </c>
      <c r="G793" s="172" t="s">
        <v>85</v>
      </c>
      <c r="H793" s="177">
        <v>1</v>
      </c>
      <c r="I793" s="178">
        <v>1621</v>
      </c>
      <c r="J793" s="176">
        <v>46033</v>
      </c>
      <c r="K793" s="172" t="s">
        <v>94</v>
      </c>
      <c r="L793" s="172" t="s">
        <v>95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553</v>
      </c>
      <c r="B794" s="176">
        <v>46038</v>
      </c>
      <c r="C794" s="172" t="s">
        <v>101</v>
      </c>
      <c r="D794" s="172" t="s">
        <v>104</v>
      </c>
      <c r="E794" s="172" t="s">
        <v>53</v>
      </c>
      <c r="F794" s="172" t="s">
        <v>91</v>
      </c>
      <c r="G794" s="172" t="s">
        <v>85</v>
      </c>
      <c r="H794" s="177">
        <v>1</v>
      </c>
      <c r="I794" s="178">
        <v>1621</v>
      </c>
      <c r="J794" s="176">
        <v>46033</v>
      </c>
      <c r="K794" s="172" t="s">
        <v>94</v>
      </c>
      <c r="L794" s="172" t="s">
        <v>95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553</v>
      </c>
      <c r="B795" s="176">
        <v>46038</v>
      </c>
      <c r="C795" s="172" t="s">
        <v>105</v>
      </c>
      <c r="D795" s="172" t="s">
        <v>106</v>
      </c>
      <c r="E795" s="172" t="s">
        <v>53</v>
      </c>
      <c r="F795" s="172" t="s">
        <v>91</v>
      </c>
      <c r="G795" s="172" t="s">
        <v>85</v>
      </c>
      <c r="H795" s="177">
        <v>1</v>
      </c>
      <c r="I795" s="178">
        <v>1621</v>
      </c>
      <c r="J795" s="176">
        <v>46033</v>
      </c>
      <c r="K795" s="172" t="s">
        <v>94</v>
      </c>
      <c r="L795" s="172" t="s">
        <v>95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553</v>
      </c>
      <c r="B796" s="176">
        <v>46038</v>
      </c>
      <c r="C796" s="172" t="s">
        <v>82</v>
      </c>
      <c r="D796" s="172" t="s">
        <v>96</v>
      </c>
      <c r="E796" s="172" t="s">
        <v>53</v>
      </c>
      <c r="F796" s="172" t="s">
        <v>91</v>
      </c>
      <c r="G796" s="172" t="s">
        <v>85</v>
      </c>
      <c r="H796" s="177">
        <v>1</v>
      </c>
      <c r="I796" s="178">
        <v>1621</v>
      </c>
      <c r="J796" s="176">
        <v>46033</v>
      </c>
      <c r="K796" s="172" t="s">
        <v>94</v>
      </c>
      <c r="L796" s="172" t="s">
        <v>95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552</v>
      </c>
      <c r="B797" s="176">
        <v>46038</v>
      </c>
      <c r="C797" s="172" t="s">
        <v>82</v>
      </c>
      <c r="D797" s="172" t="s">
        <v>83</v>
      </c>
      <c r="E797" s="172" t="s">
        <v>54</v>
      </c>
      <c r="F797" s="172" t="s">
        <v>121</v>
      </c>
      <c r="G797" s="172" t="s">
        <v>85</v>
      </c>
      <c r="H797" s="177">
        <v>1</v>
      </c>
      <c r="I797" s="178">
        <v>0</v>
      </c>
      <c r="J797" s="176">
        <v>46036</v>
      </c>
      <c r="K797" s="172" t="s">
        <v>86</v>
      </c>
      <c r="L797" s="172" t="s">
        <v>86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554</v>
      </c>
      <c r="B798" s="176">
        <v>46038</v>
      </c>
      <c r="C798" s="172" t="s">
        <v>82</v>
      </c>
      <c r="D798" s="172" t="s">
        <v>83</v>
      </c>
      <c r="E798" s="172" t="s">
        <v>53</v>
      </c>
      <c r="F798" s="172" t="s">
        <v>91</v>
      </c>
      <c r="G798" s="172" t="s">
        <v>85</v>
      </c>
      <c r="H798" s="177">
        <v>1</v>
      </c>
      <c r="I798" s="178">
        <v>0</v>
      </c>
      <c r="J798" s="176">
        <v>46038</v>
      </c>
      <c r="K798" s="172" t="s">
        <v>86</v>
      </c>
      <c r="L798" s="172" t="s">
        <v>86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555</v>
      </c>
      <c r="B799" s="176">
        <v>46038</v>
      </c>
      <c r="C799" s="172" t="s">
        <v>93</v>
      </c>
      <c r="D799" s="172" t="s">
        <v>24</v>
      </c>
      <c r="E799" s="172" t="s">
        <v>42</v>
      </c>
      <c r="F799" s="172" t="s">
        <v>84</v>
      </c>
      <c r="G799" s="172" t="s">
        <v>85</v>
      </c>
      <c r="H799" s="177">
        <v>1</v>
      </c>
      <c r="I799" s="178">
        <v>1750</v>
      </c>
      <c r="J799" s="176">
        <v>46036</v>
      </c>
      <c r="K799" s="172" t="s">
        <v>94</v>
      </c>
      <c r="L799" s="172" t="s">
        <v>95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555</v>
      </c>
      <c r="B800" s="176">
        <v>46038</v>
      </c>
      <c r="C800" s="172" t="s">
        <v>101</v>
      </c>
      <c r="D800" s="172" t="s">
        <v>102</v>
      </c>
      <c r="E800" s="172" t="s">
        <v>42</v>
      </c>
      <c r="F800" s="172" t="s">
        <v>84</v>
      </c>
      <c r="G800" s="172" t="s">
        <v>85</v>
      </c>
      <c r="H800" s="177">
        <v>1</v>
      </c>
      <c r="I800" s="178">
        <v>1750</v>
      </c>
      <c r="J800" s="176">
        <v>46036</v>
      </c>
      <c r="K800" s="172" t="s">
        <v>94</v>
      </c>
      <c r="L800" s="172" t="s">
        <v>95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555</v>
      </c>
      <c r="B801" s="176">
        <v>46038</v>
      </c>
      <c r="C801" s="172" t="s">
        <v>101</v>
      </c>
      <c r="D801" s="172" t="s">
        <v>103</v>
      </c>
      <c r="E801" s="172" t="s">
        <v>42</v>
      </c>
      <c r="F801" s="172" t="s">
        <v>84</v>
      </c>
      <c r="G801" s="172" t="s">
        <v>85</v>
      </c>
      <c r="H801" s="177">
        <v>1</v>
      </c>
      <c r="I801" s="178">
        <v>1750</v>
      </c>
      <c r="J801" s="176">
        <v>46036</v>
      </c>
      <c r="K801" s="172" t="s">
        <v>94</v>
      </c>
      <c r="L801" s="172" t="s">
        <v>95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555</v>
      </c>
      <c r="B802" s="176">
        <v>46038</v>
      </c>
      <c r="C802" s="172" t="s">
        <v>101</v>
      </c>
      <c r="D802" s="172" t="s">
        <v>104</v>
      </c>
      <c r="E802" s="172" t="s">
        <v>42</v>
      </c>
      <c r="F802" s="172" t="s">
        <v>84</v>
      </c>
      <c r="G802" s="172" t="s">
        <v>85</v>
      </c>
      <c r="H802" s="177">
        <v>1</v>
      </c>
      <c r="I802" s="178">
        <v>1750</v>
      </c>
      <c r="J802" s="176">
        <v>46036</v>
      </c>
      <c r="K802" s="172" t="s">
        <v>94</v>
      </c>
      <c r="L802" s="172" t="s">
        <v>95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555</v>
      </c>
      <c r="B803" s="176">
        <v>46038</v>
      </c>
      <c r="C803" s="172" t="s">
        <v>105</v>
      </c>
      <c r="D803" s="172" t="s">
        <v>106</v>
      </c>
      <c r="E803" s="172" t="s">
        <v>42</v>
      </c>
      <c r="F803" s="172" t="s">
        <v>84</v>
      </c>
      <c r="G803" s="172" t="s">
        <v>85</v>
      </c>
      <c r="H803" s="177">
        <v>1</v>
      </c>
      <c r="I803" s="178">
        <v>1750</v>
      </c>
      <c r="J803" s="176">
        <v>46036</v>
      </c>
      <c r="K803" s="172" t="s">
        <v>94</v>
      </c>
      <c r="L803" s="172" t="s">
        <v>95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555</v>
      </c>
      <c r="B804" s="176">
        <v>46038</v>
      </c>
      <c r="C804" s="172" t="s">
        <v>82</v>
      </c>
      <c r="D804" s="172" t="s">
        <v>96</v>
      </c>
      <c r="E804" s="172" t="s">
        <v>42</v>
      </c>
      <c r="F804" s="172" t="s">
        <v>84</v>
      </c>
      <c r="G804" s="172" t="s">
        <v>85</v>
      </c>
      <c r="H804" s="177">
        <v>1</v>
      </c>
      <c r="I804" s="178">
        <v>1750</v>
      </c>
      <c r="J804" s="176">
        <v>46036</v>
      </c>
      <c r="K804" s="172" t="s">
        <v>94</v>
      </c>
      <c r="L804" s="172" t="s">
        <v>95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556</v>
      </c>
      <c r="B805" s="176">
        <v>46038</v>
      </c>
      <c r="C805" s="172" t="s">
        <v>93</v>
      </c>
      <c r="D805" s="172" t="s">
        <v>24</v>
      </c>
      <c r="E805" s="172" t="s">
        <v>54</v>
      </c>
      <c r="F805" s="172" t="s">
        <v>121</v>
      </c>
      <c r="G805" s="172" t="s">
        <v>85</v>
      </c>
      <c r="H805" s="177">
        <v>1</v>
      </c>
      <c r="I805" s="178">
        <v>1845</v>
      </c>
      <c r="J805" s="176">
        <v>46037</v>
      </c>
      <c r="K805" s="172" t="s">
        <v>94</v>
      </c>
      <c r="L805" s="172" t="s">
        <v>95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556</v>
      </c>
      <c r="B806" s="176">
        <v>46038</v>
      </c>
      <c r="C806" s="172" t="s">
        <v>101</v>
      </c>
      <c r="D806" s="172" t="s">
        <v>102</v>
      </c>
      <c r="E806" s="172" t="s">
        <v>54</v>
      </c>
      <c r="F806" s="172" t="s">
        <v>121</v>
      </c>
      <c r="G806" s="172" t="s">
        <v>85</v>
      </c>
      <c r="H806" s="177">
        <v>1</v>
      </c>
      <c r="I806" s="178">
        <v>1845</v>
      </c>
      <c r="J806" s="176">
        <v>46037</v>
      </c>
      <c r="K806" s="172" t="s">
        <v>94</v>
      </c>
      <c r="L806" s="172" t="s">
        <v>95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556</v>
      </c>
      <c r="B807" s="176">
        <v>46038</v>
      </c>
      <c r="C807" s="172" t="s">
        <v>101</v>
      </c>
      <c r="D807" s="172" t="s">
        <v>103</v>
      </c>
      <c r="E807" s="172" t="s">
        <v>54</v>
      </c>
      <c r="F807" s="172" t="s">
        <v>121</v>
      </c>
      <c r="G807" s="172" t="s">
        <v>85</v>
      </c>
      <c r="H807" s="177">
        <v>1</v>
      </c>
      <c r="I807" s="178">
        <v>1845</v>
      </c>
      <c r="J807" s="176">
        <v>46037</v>
      </c>
      <c r="K807" s="172" t="s">
        <v>94</v>
      </c>
      <c r="L807" s="172" t="s">
        <v>95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556</v>
      </c>
      <c r="B808" s="176">
        <v>46038</v>
      </c>
      <c r="C808" s="172" t="s">
        <v>101</v>
      </c>
      <c r="D808" s="172" t="s">
        <v>104</v>
      </c>
      <c r="E808" s="172" t="s">
        <v>54</v>
      </c>
      <c r="F808" s="172" t="s">
        <v>121</v>
      </c>
      <c r="G808" s="172" t="s">
        <v>85</v>
      </c>
      <c r="H808" s="177">
        <v>1</v>
      </c>
      <c r="I808" s="178">
        <v>1845</v>
      </c>
      <c r="J808" s="176">
        <v>46037</v>
      </c>
      <c r="K808" s="172" t="s">
        <v>94</v>
      </c>
      <c r="L808" s="172" t="s">
        <v>95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556</v>
      </c>
      <c r="B809" s="176">
        <v>46038</v>
      </c>
      <c r="C809" s="172" t="s">
        <v>105</v>
      </c>
      <c r="D809" s="172" t="s">
        <v>106</v>
      </c>
      <c r="E809" s="172" t="s">
        <v>54</v>
      </c>
      <c r="F809" s="172" t="s">
        <v>121</v>
      </c>
      <c r="G809" s="172" t="s">
        <v>85</v>
      </c>
      <c r="H809" s="177">
        <v>1</v>
      </c>
      <c r="I809" s="178">
        <v>1845</v>
      </c>
      <c r="J809" s="176">
        <v>46037</v>
      </c>
      <c r="K809" s="172" t="s">
        <v>94</v>
      </c>
      <c r="L809" s="172" t="s">
        <v>95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556</v>
      </c>
      <c r="B810" s="176">
        <v>46038</v>
      </c>
      <c r="C810" s="172" t="s">
        <v>82</v>
      </c>
      <c r="D810" s="172" t="s">
        <v>96</v>
      </c>
      <c r="E810" s="172" t="s">
        <v>54</v>
      </c>
      <c r="F810" s="172" t="s">
        <v>121</v>
      </c>
      <c r="G810" s="172" t="s">
        <v>85</v>
      </c>
      <c r="H810" s="177">
        <v>1</v>
      </c>
      <c r="I810" s="178">
        <v>1845</v>
      </c>
      <c r="J810" s="176">
        <v>46037</v>
      </c>
      <c r="K810" s="172" t="s">
        <v>94</v>
      </c>
      <c r="L810" s="172" t="s">
        <v>95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556</v>
      </c>
      <c r="B811" s="176">
        <v>46038</v>
      </c>
      <c r="C811" s="172" t="s">
        <v>82</v>
      </c>
      <c r="D811" s="172" t="s">
        <v>83</v>
      </c>
      <c r="E811" s="172" t="s">
        <v>54</v>
      </c>
      <c r="F811" s="172" t="s">
        <v>121</v>
      </c>
      <c r="G811" s="172" t="s">
        <v>85</v>
      </c>
      <c r="H811" s="177">
        <v>1</v>
      </c>
      <c r="I811" s="178">
        <v>0</v>
      </c>
      <c r="J811" s="176">
        <v>46037</v>
      </c>
      <c r="K811" s="172" t="s">
        <v>86</v>
      </c>
      <c r="L811" s="172" t="s">
        <v>86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557</v>
      </c>
      <c r="B812" s="176">
        <v>46038</v>
      </c>
      <c r="C812" s="172" t="s">
        <v>93</v>
      </c>
      <c r="D812" s="172" t="s">
        <v>24</v>
      </c>
      <c r="E812" s="172" t="s">
        <v>53</v>
      </c>
      <c r="F812" s="172" t="s">
        <v>91</v>
      </c>
      <c r="G812" s="172" t="s">
        <v>85</v>
      </c>
      <c r="H812" s="177">
        <v>1</v>
      </c>
      <c r="I812" s="178">
        <v>1621</v>
      </c>
      <c r="J812" s="176">
        <v>46035</v>
      </c>
      <c r="K812" s="172" t="s">
        <v>94</v>
      </c>
      <c r="L812" s="172" t="s">
        <v>95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557</v>
      </c>
      <c r="B813" s="176">
        <v>46038</v>
      </c>
      <c r="C813" s="172" t="s">
        <v>101</v>
      </c>
      <c r="D813" s="172" t="s">
        <v>102</v>
      </c>
      <c r="E813" s="172" t="s">
        <v>53</v>
      </c>
      <c r="F813" s="172" t="s">
        <v>91</v>
      </c>
      <c r="G813" s="172" t="s">
        <v>85</v>
      </c>
      <c r="H813" s="177">
        <v>1</v>
      </c>
      <c r="I813" s="178">
        <v>1621</v>
      </c>
      <c r="J813" s="176">
        <v>46035</v>
      </c>
      <c r="K813" s="172" t="s">
        <v>94</v>
      </c>
      <c r="L813" s="172" t="s">
        <v>95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557</v>
      </c>
      <c r="B814" s="176">
        <v>46038</v>
      </c>
      <c r="C814" s="172" t="s">
        <v>101</v>
      </c>
      <c r="D814" s="172" t="s">
        <v>103</v>
      </c>
      <c r="E814" s="172" t="s">
        <v>53</v>
      </c>
      <c r="F814" s="172" t="s">
        <v>91</v>
      </c>
      <c r="G814" s="172" t="s">
        <v>85</v>
      </c>
      <c r="H814" s="177">
        <v>1</v>
      </c>
      <c r="I814" s="178">
        <v>1621</v>
      </c>
      <c r="J814" s="176">
        <v>46035</v>
      </c>
      <c r="K814" s="172" t="s">
        <v>94</v>
      </c>
      <c r="L814" s="172" t="s">
        <v>95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557</v>
      </c>
      <c r="B815" s="176">
        <v>46038</v>
      </c>
      <c r="C815" s="172" t="s">
        <v>101</v>
      </c>
      <c r="D815" s="172" t="s">
        <v>104</v>
      </c>
      <c r="E815" s="172" t="s">
        <v>53</v>
      </c>
      <c r="F815" s="172" t="s">
        <v>91</v>
      </c>
      <c r="G815" s="172" t="s">
        <v>85</v>
      </c>
      <c r="H815" s="177">
        <v>1</v>
      </c>
      <c r="I815" s="178">
        <v>1621</v>
      </c>
      <c r="J815" s="176">
        <v>46035</v>
      </c>
      <c r="K815" s="172" t="s">
        <v>94</v>
      </c>
      <c r="L815" s="172" t="s">
        <v>95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557</v>
      </c>
      <c r="B816" s="176">
        <v>46038</v>
      </c>
      <c r="C816" s="172" t="s">
        <v>105</v>
      </c>
      <c r="D816" s="172" t="s">
        <v>106</v>
      </c>
      <c r="E816" s="172" t="s">
        <v>53</v>
      </c>
      <c r="F816" s="172" t="s">
        <v>91</v>
      </c>
      <c r="G816" s="172" t="s">
        <v>85</v>
      </c>
      <c r="H816" s="177">
        <v>1</v>
      </c>
      <c r="I816" s="178">
        <v>1621</v>
      </c>
      <c r="J816" s="176">
        <v>46035</v>
      </c>
      <c r="K816" s="172" t="s">
        <v>94</v>
      </c>
      <c r="L816" s="172" t="s">
        <v>95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557</v>
      </c>
      <c r="B817" s="176">
        <v>46038</v>
      </c>
      <c r="C817" s="172" t="s">
        <v>82</v>
      </c>
      <c r="D817" s="172" t="s">
        <v>96</v>
      </c>
      <c r="E817" s="172" t="s">
        <v>53</v>
      </c>
      <c r="F817" s="172" t="s">
        <v>91</v>
      </c>
      <c r="G817" s="172" t="s">
        <v>85</v>
      </c>
      <c r="H817" s="177">
        <v>1</v>
      </c>
      <c r="I817" s="178">
        <v>1621</v>
      </c>
      <c r="J817" s="176">
        <v>46035</v>
      </c>
      <c r="K817" s="172" t="s">
        <v>94</v>
      </c>
      <c r="L817" s="172" t="s">
        <v>95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558</v>
      </c>
      <c r="B818" s="176">
        <v>46038</v>
      </c>
      <c r="C818" s="172" t="s">
        <v>93</v>
      </c>
      <c r="D818" s="172" t="s">
        <v>24</v>
      </c>
      <c r="E818" s="172" t="s">
        <v>53</v>
      </c>
      <c r="F818" s="172" t="s">
        <v>91</v>
      </c>
      <c r="G818" s="172" t="s">
        <v>85</v>
      </c>
      <c r="H818" s="177">
        <v>1</v>
      </c>
      <c r="I818" s="178">
        <v>0</v>
      </c>
      <c r="J818" s="176">
        <v>46034</v>
      </c>
      <c r="K818" s="172" t="s">
        <v>94</v>
      </c>
      <c r="L818" s="172" t="s">
        <v>95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559</v>
      </c>
      <c r="B819" s="176">
        <v>46038</v>
      </c>
      <c r="C819" s="172" t="s">
        <v>93</v>
      </c>
      <c r="D819" s="172" t="s">
        <v>24</v>
      </c>
      <c r="E819" s="172" t="s">
        <v>43</v>
      </c>
      <c r="F819" s="172" t="s">
        <v>90</v>
      </c>
      <c r="G819" s="172" t="s">
        <v>85</v>
      </c>
      <c r="H819" s="177">
        <v>1</v>
      </c>
      <c r="I819" s="178">
        <v>1750</v>
      </c>
      <c r="J819" s="176">
        <v>46036</v>
      </c>
      <c r="K819" s="172" t="s">
        <v>94</v>
      </c>
      <c r="L819" s="172" t="s">
        <v>95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559</v>
      </c>
      <c r="B820" s="176">
        <v>46038</v>
      </c>
      <c r="C820" s="172" t="s">
        <v>101</v>
      </c>
      <c r="D820" s="172" t="s">
        <v>102</v>
      </c>
      <c r="E820" s="172" t="s">
        <v>43</v>
      </c>
      <c r="F820" s="172" t="s">
        <v>90</v>
      </c>
      <c r="G820" s="172" t="s">
        <v>85</v>
      </c>
      <c r="H820" s="177">
        <v>1</v>
      </c>
      <c r="I820" s="178">
        <v>1750</v>
      </c>
      <c r="J820" s="176">
        <v>46036</v>
      </c>
      <c r="K820" s="172" t="s">
        <v>94</v>
      </c>
      <c r="L820" s="172" t="s">
        <v>95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559</v>
      </c>
      <c r="B821" s="176">
        <v>46038</v>
      </c>
      <c r="C821" s="172" t="s">
        <v>101</v>
      </c>
      <c r="D821" s="172" t="s">
        <v>103</v>
      </c>
      <c r="E821" s="172" t="s">
        <v>43</v>
      </c>
      <c r="F821" s="172" t="s">
        <v>90</v>
      </c>
      <c r="G821" s="172" t="s">
        <v>85</v>
      </c>
      <c r="H821" s="177">
        <v>1</v>
      </c>
      <c r="I821" s="178">
        <v>1750</v>
      </c>
      <c r="J821" s="176">
        <v>46036</v>
      </c>
      <c r="K821" s="172" t="s">
        <v>94</v>
      </c>
      <c r="L821" s="172" t="s">
        <v>95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559</v>
      </c>
      <c r="B822" s="176">
        <v>46038</v>
      </c>
      <c r="C822" s="172" t="s">
        <v>101</v>
      </c>
      <c r="D822" s="172" t="s">
        <v>104</v>
      </c>
      <c r="E822" s="172" t="s">
        <v>43</v>
      </c>
      <c r="F822" s="172" t="s">
        <v>90</v>
      </c>
      <c r="G822" s="172" t="s">
        <v>85</v>
      </c>
      <c r="H822" s="177">
        <v>1</v>
      </c>
      <c r="I822" s="178">
        <v>1750</v>
      </c>
      <c r="J822" s="176">
        <v>46036</v>
      </c>
      <c r="K822" s="172" t="s">
        <v>94</v>
      </c>
      <c r="L822" s="172" t="s">
        <v>95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559</v>
      </c>
      <c r="B823" s="176">
        <v>46038</v>
      </c>
      <c r="C823" s="172" t="s">
        <v>105</v>
      </c>
      <c r="D823" s="172" t="s">
        <v>106</v>
      </c>
      <c r="E823" s="172" t="s">
        <v>43</v>
      </c>
      <c r="F823" s="172" t="s">
        <v>90</v>
      </c>
      <c r="G823" s="172" t="s">
        <v>85</v>
      </c>
      <c r="H823" s="177">
        <v>1</v>
      </c>
      <c r="I823" s="178">
        <v>1750</v>
      </c>
      <c r="J823" s="176">
        <v>46036</v>
      </c>
      <c r="K823" s="172" t="s">
        <v>94</v>
      </c>
      <c r="L823" s="172" t="s">
        <v>95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559</v>
      </c>
      <c r="B824" s="176">
        <v>46038</v>
      </c>
      <c r="C824" s="172" t="s">
        <v>82</v>
      </c>
      <c r="D824" s="172" t="s">
        <v>96</v>
      </c>
      <c r="E824" s="172" t="s">
        <v>43</v>
      </c>
      <c r="F824" s="172" t="s">
        <v>90</v>
      </c>
      <c r="G824" s="172" t="s">
        <v>85</v>
      </c>
      <c r="H824" s="177">
        <v>1</v>
      </c>
      <c r="I824" s="178">
        <v>1750</v>
      </c>
      <c r="J824" s="176">
        <v>46036</v>
      </c>
      <c r="K824" s="172" t="s">
        <v>94</v>
      </c>
      <c r="L824" s="172" t="s">
        <v>95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557</v>
      </c>
      <c r="B825" s="176">
        <v>46038</v>
      </c>
      <c r="C825" s="172" t="s">
        <v>82</v>
      </c>
      <c r="D825" s="172" t="s">
        <v>83</v>
      </c>
      <c r="E825" s="172" t="s">
        <v>53</v>
      </c>
      <c r="F825" s="172" t="s">
        <v>91</v>
      </c>
      <c r="G825" s="172" t="s">
        <v>85</v>
      </c>
      <c r="H825" s="177">
        <v>1</v>
      </c>
      <c r="I825" s="178">
        <v>0</v>
      </c>
      <c r="J825" s="176">
        <v>46035</v>
      </c>
      <c r="K825" s="172" t="s">
        <v>86</v>
      </c>
      <c r="L825" s="172" t="s">
        <v>86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559</v>
      </c>
      <c r="B826" s="176">
        <v>46038</v>
      </c>
      <c r="C826" s="172" t="s">
        <v>82</v>
      </c>
      <c r="D826" s="172" t="s">
        <v>83</v>
      </c>
      <c r="E826" s="172" t="s">
        <v>43</v>
      </c>
      <c r="F826" s="172" t="s">
        <v>90</v>
      </c>
      <c r="G826" s="172" t="s">
        <v>85</v>
      </c>
      <c r="H826" s="177">
        <v>1</v>
      </c>
      <c r="I826" s="178">
        <v>0</v>
      </c>
      <c r="J826" s="176">
        <v>46036</v>
      </c>
      <c r="K826" s="172" t="s">
        <v>86</v>
      </c>
      <c r="L826" s="172" t="s">
        <v>86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560</v>
      </c>
      <c r="B827" s="176">
        <v>46038</v>
      </c>
      <c r="C827" s="172" t="s">
        <v>82</v>
      </c>
      <c r="D827" s="172" t="s">
        <v>83</v>
      </c>
      <c r="E827" s="172" t="s">
        <v>54</v>
      </c>
      <c r="F827" s="172" t="s">
        <v>121</v>
      </c>
      <c r="G827" s="172" t="s">
        <v>85</v>
      </c>
      <c r="H827" s="177">
        <v>1</v>
      </c>
      <c r="I827" s="178">
        <v>0</v>
      </c>
      <c r="J827" s="176">
        <v>46038</v>
      </c>
      <c r="K827" s="172" t="s">
        <v>86</v>
      </c>
      <c r="L827" s="172" t="s">
        <v>86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561</v>
      </c>
      <c r="B828" s="176">
        <v>46038</v>
      </c>
      <c r="C828" s="172" t="s">
        <v>93</v>
      </c>
      <c r="D828" s="172" t="s">
        <v>24</v>
      </c>
      <c r="E828" s="172" t="s">
        <v>42</v>
      </c>
      <c r="F828" s="172" t="s">
        <v>84</v>
      </c>
      <c r="G828" s="172" t="s">
        <v>85</v>
      </c>
      <c r="H828" s="177">
        <v>1</v>
      </c>
      <c r="I828" s="178">
        <v>1750</v>
      </c>
      <c r="J828" s="176">
        <v>46035</v>
      </c>
      <c r="K828" s="172" t="s">
        <v>94</v>
      </c>
      <c r="L828" s="172" t="s">
        <v>95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561</v>
      </c>
      <c r="B829" s="176">
        <v>46038</v>
      </c>
      <c r="C829" s="172" t="s">
        <v>101</v>
      </c>
      <c r="D829" s="172" t="s">
        <v>102</v>
      </c>
      <c r="E829" s="172" t="s">
        <v>42</v>
      </c>
      <c r="F829" s="172" t="s">
        <v>84</v>
      </c>
      <c r="G829" s="172" t="s">
        <v>85</v>
      </c>
      <c r="H829" s="177">
        <v>1</v>
      </c>
      <c r="I829" s="178">
        <v>1750</v>
      </c>
      <c r="J829" s="176">
        <v>46035</v>
      </c>
      <c r="K829" s="172" t="s">
        <v>94</v>
      </c>
      <c r="L829" s="172" t="s">
        <v>95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561</v>
      </c>
      <c r="B830" s="176">
        <v>46038</v>
      </c>
      <c r="C830" s="172" t="s">
        <v>101</v>
      </c>
      <c r="D830" s="172" t="s">
        <v>103</v>
      </c>
      <c r="E830" s="172" t="s">
        <v>42</v>
      </c>
      <c r="F830" s="172" t="s">
        <v>84</v>
      </c>
      <c r="G830" s="172" t="s">
        <v>85</v>
      </c>
      <c r="H830" s="177">
        <v>1</v>
      </c>
      <c r="I830" s="178">
        <v>1750</v>
      </c>
      <c r="J830" s="176">
        <v>46035</v>
      </c>
      <c r="K830" s="172" t="s">
        <v>94</v>
      </c>
      <c r="L830" s="172" t="s">
        <v>95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561</v>
      </c>
      <c r="B831" s="176">
        <v>46038</v>
      </c>
      <c r="C831" s="172" t="s">
        <v>101</v>
      </c>
      <c r="D831" s="172" t="s">
        <v>104</v>
      </c>
      <c r="E831" s="172" t="s">
        <v>42</v>
      </c>
      <c r="F831" s="172" t="s">
        <v>84</v>
      </c>
      <c r="G831" s="172" t="s">
        <v>85</v>
      </c>
      <c r="H831" s="177">
        <v>1</v>
      </c>
      <c r="I831" s="178">
        <v>1750</v>
      </c>
      <c r="J831" s="176">
        <v>46035</v>
      </c>
      <c r="K831" s="172" t="s">
        <v>94</v>
      </c>
      <c r="L831" s="172" t="s">
        <v>95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561</v>
      </c>
      <c r="B832" s="176">
        <v>46038</v>
      </c>
      <c r="C832" s="172" t="s">
        <v>105</v>
      </c>
      <c r="D832" s="172" t="s">
        <v>106</v>
      </c>
      <c r="E832" s="172" t="s">
        <v>42</v>
      </c>
      <c r="F832" s="172" t="s">
        <v>84</v>
      </c>
      <c r="G832" s="172" t="s">
        <v>85</v>
      </c>
      <c r="H832" s="177">
        <v>1</v>
      </c>
      <c r="I832" s="178">
        <v>1750</v>
      </c>
      <c r="J832" s="176">
        <v>46035</v>
      </c>
      <c r="K832" s="172" t="s">
        <v>94</v>
      </c>
      <c r="L832" s="172" t="s">
        <v>95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561</v>
      </c>
      <c r="B833" s="176">
        <v>46038</v>
      </c>
      <c r="C833" s="172" t="s">
        <v>82</v>
      </c>
      <c r="D833" s="172" t="s">
        <v>96</v>
      </c>
      <c r="E833" s="172" t="s">
        <v>42</v>
      </c>
      <c r="F833" s="172" t="s">
        <v>84</v>
      </c>
      <c r="G833" s="172" t="s">
        <v>85</v>
      </c>
      <c r="H833" s="177">
        <v>1</v>
      </c>
      <c r="I833" s="178">
        <v>1750</v>
      </c>
      <c r="J833" s="176">
        <v>46035</v>
      </c>
      <c r="K833" s="172" t="s">
        <v>94</v>
      </c>
      <c r="L833" s="172" t="s">
        <v>95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562</v>
      </c>
      <c r="B834" s="176">
        <v>46038</v>
      </c>
      <c r="C834" s="172" t="s">
        <v>93</v>
      </c>
      <c r="D834" s="172" t="s">
        <v>24</v>
      </c>
      <c r="E834" s="172" t="s">
        <v>40</v>
      </c>
      <c r="F834" s="172" t="s">
        <v>118</v>
      </c>
      <c r="G834" s="172" t="s">
        <v>85</v>
      </c>
      <c r="H834" s="177">
        <v>1</v>
      </c>
      <c r="I834" s="178">
        <v>1750</v>
      </c>
      <c r="J834" s="176">
        <v>46036</v>
      </c>
      <c r="K834" s="172" t="s">
        <v>94</v>
      </c>
      <c r="L834" s="172" t="s">
        <v>95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562</v>
      </c>
      <c r="B835" s="176">
        <v>46038</v>
      </c>
      <c r="C835" s="172" t="s">
        <v>101</v>
      </c>
      <c r="D835" s="172" t="s">
        <v>102</v>
      </c>
      <c r="E835" s="172" t="s">
        <v>40</v>
      </c>
      <c r="F835" s="172" t="s">
        <v>118</v>
      </c>
      <c r="G835" s="172" t="s">
        <v>85</v>
      </c>
      <c r="H835" s="177">
        <v>1</v>
      </c>
      <c r="I835" s="178">
        <v>1750</v>
      </c>
      <c r="J835" s="176">
        <v>46036</v>
      </c>
      <c r="K835" s="172" t="s">
        <v>94</v>
      </c>
      <c r="L835" s="172" t="s">
        <v>95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562</v>
      </c>
      <c r="B836" s="176">
        <v>46038</v>
      </c>
      <c r="C836" s="172" t="s">
        <v>101</v>
      </c>
      <c r="D836" s="172" t="s">
        <v>103</v>
      </c>
      <c r="E836" s="172" t="s">
        <v>40</v>
      </c>
      <c r="F836" s="172" t="s">
        <v>118</v>
      </c>
      <c r="G836" s="172" t="s">
        <v>85</v>
      </c>
      <c r="H836" s="177">
        <v>1</v>
      </c>
      <c r="I836" s="178">
        <v>1750</v>
      </c>
      <c r="J836" s="176">
        <v>46036</v>
      </c>
      <c r="K836" s="172" t="s">
        <v>94</v>
      </c>
      <c r="L836" s="172" t="s">
        <v>95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562</v>
      </c>
      <c r="B837" s="176">
        <v>46038</v>
      </c>
      <c r="C837" s="172" t="s">
        <v>101</v>
      </c>
      <c r="D837" s="172" t="s">
        <v>104</v>
      </c>
      <c r="E837" s="172" t="s">
        <v>40</v>
      </c>
      <c r="F837" s="172" t="s">
        <v>118</v>
      </c>
      <c r="G837" s="172" t="s">
        <v>85</v>
      </c>
      <c r="H837" s="177">
        <v>1</v>
      </c>
      <c r="I837" s="178">
        <v>1750</v>
      </c>
      <c r="J837" s="176">
        <v>46036</v>
      </c>
      <c r="K837" s="172" t="s">
        <v>94</v>
      </c>
      <c r="L837" s="172" t="s">
        <v>95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562</v>
      </c>
      <c r="B838" s="176">
        <v>46038</v>
      </c>
      <c r="C838" s="172" t="s">
        <v>105</v>
      </c>
      <c r="D838" s="172" t="s">
        <v>106</v>
      </c>
      <c r="E838" s="172" t="s">
        <v>40</v>
      </c>
      <c r="F838" s="172" t="s">
        <v>118</v>
      </c>
      <c r="G838" s="172" t="s">
        <v>85</v>
      </c>
      <c r="H838" s="177">
        <v>1</v>
      </c>
      <c r="I838" s="178">
        <v>1750</v>
      </c>
      <c r="J838" s="176">
        <v>46036</v>
      </c>
      <c r="K838" s="172" t="s">
        <v>94</v>
      </c>
      <c r="L838" s="172" t="s">
        <v>95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562</v>
      </c>
      <c r="B839" s="176">
        <v>46038</v>
      </c>
      <c r="C839" s="172" t="s">
        <v>82</v>
      </c>
      <c r="D839" s="172" t="s">
        <v>96</v>
      </c>
      <c r="E839" s="172" t="s">
        <v>40</v>
      </c>
      <c r="F839" s="172" t="s">
        <v>118</v>
      </c>
      <c r="G839" s="172" t="s">
        <v>85</v>
      </c>
      <c r="H839" s="177">
        <v>1</v>
      </c>
      <c r="I839" s="178">
        <v>1750</v>
      </c>
      <c r="J839" s="176">
        <v>46036</v>
      </c>
      <c r="K839" s="172" t="s">
        <v>94</v>
      </c>
      <c r="L839" s="172" t="s">
        <v>95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563</v>
      </c>
      <c r="B840" s="176">
        <v>46038</v>
      </c>
      <c r="C840" s="172" t="s">
        <v>93</v>
      </c>
      <c r="D840" s="172" t="s">
        <v>24</v>
      </c>
      <c r="E840" s="172" t="s">
        <v>42</v>
      </c>
      <c r="F840" s="172" t="s">
        <v>84</v>
      </c>
      <c r="G840" s="172" t="s">
        <v>85</v>
      </c>
      <c r="H840" s="177">
        <v>1</v>
      </c>
      <c r="I840" s="178">
        <v>1750</v>
      </c>
      <c r="J840" s="176">
        <v>46036</v>
      </c>
      <c r="K840" s="172" t="s">
        <v>94</v>
      </c>
      <c r="L840" s="172" t="s">
        <v>95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563</v>
      </c>
      <c r="B841" s="176">
        <v>46038</v>
      </c>
      <c r="C841" s="172" t="s">
        <v>101</v>
      </c>
      <c r="D841" s="172" t="s">
        <v>102</v>
      </c>
      <c r="E841" s="172" t="s">
        <v>42</v>
      </c>
      <c r="F841" s="172" t="s">
        <v>84</v>
      </c>
      <c r="G841" s="172" t="s">
        <v>85</v>
      </c>
      <c r="H841" s="177">
        <v>1</v>
      </c>
      <c r="I841" s="178">
        <v>1750</v>
      </c>
      <c r="J841" s="176">
        <v>46036</v>
      </c>
      <c r="K841" s="172" t="s">
        <v>94</v>
      </c>
      <c r="L841" s="172" t="s">
        <v>95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563</v>
      </c>
      <c r="B842" s="176">
        <v>46038</v>
      </c>
      <c r="C842" s="172" t="s">
        <v>101</v>
      </c>
      <c r="D842" s="172" t="s">
        <v>103</v>
      </c>
      <c r="E842" s="172" t="s">
        <v>42</v>
      </c>
      <c r="F842" s="172" t="s">
        <v>84</v>
      </c>
      <c r="G842" s="172" t="s">
        <v>85</v>
      </c>
      <c r="H842" s="177">
        <v>1</v>
      </c>
      <c r="I842" s="178">
        <v>1750</v>
      </c>
      <c r="J842" s="176">
        <v>46036</v>
      </c>
      <c r="K842" s="172" t="s">
        <v>94</v>
      </c>
      <c r="L842" s="172" t="s">
        <v>95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563</v>
      </c>
      <c r="B843" s="176">
        <v>46038</v>
      </c>
      <c r="C843" s="172" t="s">
        <v>101</v>
      </c>
      <c r="D843" s="172" t="s">
        <v>104</v>
      </c>
      <c r="E843" s="172" t="s">
        <v>42</v>
      </c>
      <c r="F843" s="172" t="s">
        <v>84</v>
      </c>
      <c r="G843" s="172" t="s">
        <v>85</v>
      </c>
      <c r="H843" s="177">
        <v>1</v>
      </c>
      <c r="I843" s="178">
        <v>1750</v>
      </c>
      <c r="J843" s="176">
        <v>46036</v>
      </c>
      <c r="K843" s="172" t="s">
        <v>94</v>
      </c>
      <c r="L843" s="172" t="s">
        <v>95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563</v>
      </c>
      <c r="B844" s="176">
        <v>46038</v>
      </c>
      <c r="C844" s="172" t="s">
        <v>105</v>
      </c>
      <c r="D844" s="172" t="s">
        <v>106</v>
      </c>
      <c r="E844" s="172" t="s">
        <v>42</v>
      </c>
      <c r="F844" s="172" t="s">
        <v>84</v>
      </c>
      <c r="G844" s="172" t="s">
        <v>85</v>
      </c>
      <c r="H844" s="177">
        <v>1</v>
      </c>
      <c r="I844" s="178">
        <v>1750</v>
      </c>
      <c r="J844" s="176">
        <v>46036</v>
      </c>
      <c r="K844" s="172" t="s">
        <v>94</v>
      </c>
      <c r="L844" s="172" t="s">
        <v>95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563</v>
      </c>
      <c r="B845" s="176">
        <v>46038</v>
      </c>
      <c r="C845" s="172" t="s">
        <v>82</v>
      </c>
      <c r="D845" s="172" t="s">
        <v>96</v>
      </c>
      <c r="E845" s="172" t="s">
        <v>42</v>
      </c>
      <c r="F845" s="172" t="s">
        <v>84</v>
      </c>
      <c r="G845" s="172" t="s">
        <v>85</v>
      </c>
      <c r="H845" s="177">
        <v>1</v>
      </c>
      <c r="I845" s="178">
        <v>1750</v>
      </c>
      <c r="J845" s="176">
        <v>46036</v>
      </c>
      <c r="K845" s="172" t="s">
        <v>94</v>
      </c>
      <c r="L845" s="172" t="s">
        <v>95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563</v>
      </c>
      <c r="B846" s="176">
        <v>46038</v>
      </c>
      <c r="C846" s="172" t="s">
        <v>82</v>
      </c>
      <c r="D846" s="172" t="s">
        <v>83</v>
      </c>
      <c r="E846" s="172" t="s">
        <v>42</v>
      </c>
      <c r="F846" s="172" t="s">
        <v>84</v>
      </c>
      <c r="G846" s="172" t="s">
        <v>85</v>
      </c>
      <c r="H846" s="177">
        <v>1</v>
      </c>
      <c r="I846" s="178">
        <v>0</v>
      </c>
      <c r="J846" s="176">
        <v>46036</v>
      </c>
      <c r="K846" s="172" t="s">
        <v>86</v>
      </c>
      <c r="L846" s="172" t="s">
        <v>86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562</v>
      </c>
      <c r="B847" s="176">
        <v>46038</v>
      </c>
      <c r="C847" s="172" t="s">
        <v>82</v>
      </c>
      <c r="D847" s="172" t="s">
        <v>83</v>
      </c>
      <c r="E847" s="172" t="s">
        <v>40</v>
      </c>
      <c r="F847" s="172" t="s">
        <v>118</v>
      </c>
      <c r="G847" s="172" t="s">
        <v>85</v>
      </c>
      <c r="H847" s="177">
        <v>1</v>
      </c>
      <c r="I847" s="178">
        <v>0</v>
      </c>
      <c r="J847" s="176">
        <v>46036</v>
      </c>
      <c r="K847" s="172" t="s">
        <v>86</v>
      </c>
      <c r="L847" s="172" t="s">
        <v>86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564</v>
      </c>
      <c r="B848" s="176">
        <v>46038</v>
      </c>
      <c r="C848" s="172" t="s">
        <v>82</v>
      </c>
      <c r="D848" s="172" t="s">
        <v>83</v>
      </c>
      <c r="E848" s="172" t="s">
        <v>42</v>
      </c>
      <c r="F848" s="172" t="s">
        <v>84</v>
      </c>
      <c r="G848" s="172" t="s">
        <v>85</v>
      </c>
      <c r="H848" s="177">
        <v>1</v>
      </c>
      <c r="I848" s="178">
        <v>0</v>
      </c>
      <c r="J848" s="176">
        <v>46038</v>
      </c>
      <c r="K848" s="172" t="s">
        <v>86</v>
      </c>
      <c r="L848" s="172" t="s">
        <v>86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145</v>
      </c>
      <c r="B849" s="176">
        <v>46038</v>
      </c>
      <c r="C849" s="172" t="s">
        <v>110</v>
      </c>
      <c r="D849" s="172" t="s">
        <v>140</v>
      </c>
      <c r="E849" s="172" t="s">
        <v>86</v>
      </c>
      <c r="F849" s="172" t="s">
        <v>86</v>
      </c>
      <c r="G849" s="172" t="s">
        <v>86</v>
      </c>
      <c r="H849" s="177">
        <v>0</v>
      </c>
      <c r="I849" s="178">
        <v>0</v>
      </c>
      <c r="J849" s="176">
        <v>46038</v>
      </c>
      <c r="K849" s="172" t="s">
        <v>86</v>
      </c>
      <c r="L849" s="172" t="s">
        <v>86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139</v>
      </c>
      <c r="B850" s="176">
        <v>46038</v>
      </c>
      <c r="C850" s="172" t="s">
        <v>110</v>
      </c>
      <c r="D850" s="172" t="s">
        <v>140</v>
      </c>
      <c r="E850" s="172" t="s">
        <v>86</v>
      </c>
      <c r="F850" s="172" t="s">
        <v>86</v>
      </c>
      <c r="G850" s="172" t="s">
        <v>86</v>
      </c>
      <c r="H850" s="177">
        <v>0</v>
      </c>
      <c r="I850" s="178">
        <v>0</v>
      </c>
      <c r="J850" s="176">
        <v>46038</v>
      </c>
      <c r="K850" s="172" t="s">
        <v>86</v>
      </c>
      <c r="L850" s="172" t="s">
        <v>86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147</v>
      </c>
      <c r="B851" s="176">
        <v>46038</v>
      </c>
      <c r="C851" s="172" t="s">
        <v>110</v>
      </c>
      <c r="D851" s="172" t="s">
        <v>140</v>
      </c>
      <c r="E851" s="172" t="s">
        <v>86</v>
      </c>
      <c r="F851" s="172" t="s">
        <v>86</v>
      </c>
      <c r="G851" s="172" t="s">
        <v>86</v>
      </c>
      <c r="H851" s="177">
        <v>0</v>
      </c>
      <c r="I851" s="178">
        <v>0</v>
      </c>
      <c r="J851" s="176">
        <v>46038</v>
      </c>
      <c r="K851" s="172" t="s">
        <v>86</v>
      </c>
      <c r="L851" s="172" t="s">
        <v>86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143</v>
      </c>
      <c r="B852" s="176">
        <v>46038</v>
      </c>
      <c r="C852" s="172" t="s">
        <v>110</v>
      </c>
      <c r="D852" s="172" t="s">
        <v>144</v>
      </c>
      <c r="E852" s="172" t="s">
        <v>86</v>
      </c>
      <c r="F852" s="172" t="s">
        <v>86</v>
      </c>
      <c r="G852" s="172" t="s">
        <v>86</v>
      </c>
      <c r="H852" s="177">
        <v>0</v>
      </c>
      <c r="I852" s="178">
        <v>0</v>
      </c>
      <c r="J852" s="176">
        <v>46038</v>
      </c>
      <c r="K852" s="172" t="s">
        <v>86</v>
      </c>
      <c r="L852" s="172" t="s">
        <v>86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146</v>
      </c>
      <c r="B853" s="176">
        <v>46038</v>
      </c>
      <c r="C853" s="172" t="s">
        <v>110</v>
      </c>
      <c r="D853" s="172" t="s">
        <v>140</v>
      </c>
      <c r="E853" s="172" t="s">
        <v>86</v>
      </c>
      <c r="F853" s="172" t="s">
        <v>86</v>
      </c>
      <c r="G853" s="172" t="s">
        <v>86</v>
      </c>
      <c r="H853" s="177">
        <v>0</v>
      </c>
      <c r="I853" s="178">
        <v>0</v>
      </c>
      <c r="J853" s="176">
        <v>46038</v>
      </c>
      <c r="K853" s="172" t="s">
        <v>86</v>
      </c>
      <c r="L853" s="172" t="s">
        <v>86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141</v>
      </c>
      <c r="B854" s="176">
        <v>46038</v>
      </c>
      <c r="C854" s="172" t="s">
        <v>110</v>
      </c>
      <c r="D854" s="172" t="s">
        <v>140</v>
      </c>
      <c r="E854" s="172" t="s">
        <v>86</v>
      </c>
      <c r="F854" s="172" t="s">
        <v>86</v>
      </c>
      <c r="G854" s="172" t="s">
        <v>86</v>
      </c>
      <c r="H854" s="177">
        <v>0</v>
      </c>
      <c r="I854" s="178">
        <v>0</v>
      </c>
      <c r="J854" s="176">
        <v>46038</v>
      </c>
      <c r="K854" s="172" t="s">
        <v>86</v>
      </c>
      <c r="L854" s="172" t="s">
        <v>86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565</v>
      </c>
      <c r="B855" s="176">
        <v>46039</v>
      </c>
      <c r="C855" s="172" t="s">
        <v>82</v>
      </c>
      <c r="D855" s="172" t="s">
        <v>83</v>
      </c>
      <c r="E855" s="172" t="s">
        <v>41</v>
      </c>
      <c r="F855" s="172" t="s">
        <v>198</v>
      </c>
      <c r="G855" s="172" t="s">
        <v>85</v>
      </c>
      <c r="H855" s="177">
        <v>1</v>
      </c>
      <c r="I855" s="178">
        <v>0</v>
      </c>
      <c r="J855" s="176">
        <v>46039</v>
      </c>
      <c r="K855" s="172" t="s">
        <v>86</v>
      </c>
      <c r="L855" s="172" t="s">
        <v>86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566</v>
      </c>
      <c r="B856" s="176">
        <v>46039</v>
      </c>
      <c r="C856" s="172" t="s">
        <v>82</v>
      </c>
      <c r="D856" s="172" t="s">
        <v>83</v>
      </c>
      <c r="E856" s="172" t="s">
        <v>54</v>
      </c>
      <c r="F856" s="172" t="s">
        <v>121</v>
      </c>
      <c r="G856" s="172" t="s">
        <v>85</v>
      </c>
      <c r="H856" s="177">
        <v>1</v>
      </c>
      <c r="I856" s="178">
        <v>0</v>
      </c>
      <c r="J856" s="176">
        <v>46039</v>
      </c>
      <c r="K856" s="172" t="s">
        <v>86</v>
      </c>
      <c r="L856" s="172" t="s">
        <v>86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567</v>
      </c>
      <c r="B857" s="176">
        <v>46039</v>
      </c>
      <c r="C857" s="172" t="s">
        <v>93</v>
      </c>
      <c r="D857" s="172" t="s">
        <v>24</v>
      </c>
      <c r="E857" s="172" t="s">
        <v>53</v>
      </c>
      <c r="F857" s="172" t="s">
        <v>91</v>
      </c>
      <c r="G857" s="172" t="s">
        <v>85</v>
      </c>
      <c r="H857" s="177">
        <v>1</v>
      </c>
      <c r="I857" s="178">
        <v>0</v>
      </c>
      <c r="J857" s="176">
        <v>46035</v>
      </c>
      <c r="K857" s="172" t="s">
        <v>94</v>
      </c>
      <c r="L857" s="172" t="s">
        <v>95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567</v>
      </c>
      <c r="B858" s="176">
        <v>46039</v>
      </c>
      <c r="C858" s="172" t="s">
        <v>82</v>
      </c>
      <c r="D858" s="172" t="s">
        <v>96</v>
      </c>
      <c r="E858" s="172" t="s">
        <v>53</v>
      </c>
      <c r="F858" s="172" t="s">
        <v>91</v>
      </c>
      <c r="G858" s="172" t="s">
        <v>85</v>
      </c>
      <c r="H858" s="177">
        <v>1</v>
      </c>
      <c r="I858" s="178">
        <v>0</v>
      </c>
      <c r="J858" s="176">
        <v>46035</v>
      </c>
      <c r="K858" s="172" t="s">
        <v>94</v>
      </c>
      <c r="L858" s="172" t="s">
        <v>95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567</v>
      </c>
      <c r="B859" s="176">
        <v>46039</v>
      </c>
      <c r="C859" s="172" t="s">
        <v>93</v>
      </c>
      <c r="D859" s="172" t="s">
        <v>97</v>
      </c>
      <c r="E859" s="172" t="s">
        <v>53</v>
      </c>
      <c r="F859" s="172" t="s">
        <v>91</v>
      </c>
      <c r="G859" s="172" t="s">
        <v>85</v>
      </c>
      <c r="H859" s="177">
        <v>1</v>
      </c>
      <c r="I859" s="178">
        <v>0</v>
      </c>
      <c r="J859" s="176">
        <v>46035</v>
      </c>
      <c r="K859" s="172" t="s">
        <v>94</v>
      </c>
      <c r="L859" s="172" t="s">
        <v>95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567</v>
      </c>
      <c r="B860" s="176">
        <v>46039</v>
      </c>
      <c r="C860" s="172" t="s">
        <v>93</v>
      </c>
      <c r="D860" s="172" t="s">
        <v>98</v>
      </c>
      <c r="E860" s="172" t="s">
        <v>53</v>
      </c>
      <c r="F860" s="172" t="s">
        <v>91</v>
      </c>
      <c r="G860" s="172" t="s">
        <v>85</v>
      </c>
      <c r="H860" s="177">
        <v>1</v>
      </c>
      <c r="I860" s="178">
        <v>0</v>
      </c>
      <c r="J860" s="176">
        <v>46035</v>
      </c>
      <c r="K860" s="172" t="s">
        <v>94</v>
      </c>
      <c r="L860" s="172" t="s">
        <v>95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567</v>
      </c>
      <c r="B861" s="176">
        <v>46039</v>
      </c>
      <c r="C861" s="172" t="s">
        <v>82</v>
      </c>
      <c r="D861" s="172" t="s">
        <v>99</v>
      </c>
      <c r="E861" s="172" t="s">
        <v>53</v>
      </c>
      <c r="F861" s="172" t="s">
        <v>91</v>
      </c>
      <c r="G861" s="172" t="s">
        <v>85</v>
      </c>
      <c r="H861" s="177">
        <v>1</v>
      </c>
      <c r="I861" s="178">
        <v>0</v>
      </c>
      <c r="J861" s="176">
        <v>46035</v>
      </c>
      <c r="K861" s="172" t="s">
        <v>94</v>
      </c>
      <c r="L861" s="172" t="s">
        <v>95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481</v>
      </c>
      <c r="B862" s="176">
        <v>46039</v>
      </c>
      <c r="C862" s="172" t="s">
        <v>93</v>
      </c>
      <c r="D862" s="172" t="s">
        <v>273</v>
      </c>
      <c r="E862" s="172" t="s">
        <v>42</v>
      </c>
      <c r="F862" s="172" t="s">
        <v>84</v>
      </c>
      <c r="G862" s="172" t="s">
        <v>85</v>
      </c>
      <c r="H862" s="177">
        <v>1</v>
      </c>
      <c r="I862" s="178">
        <v>0</v>
      </c>
      <c r="J862" s="176">
        <v>46028</v>
      </c>
      <c r="K862" s="172" t="s">
        <v>94</v>
      </c>
      <c r="L862" s="172" t="s">
        <v>95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481</v>
      </c>
      <c r="B863" s="176">
        <v>46039</v>
      </c>
      <c r="C863" s="172" t="s">
        <v>93</v>
      </c>
      <c r="D863" s="172" t="s">
        <v>98</v>
      </c>
      <c r="E863" s="172" t="s">
        <v>42</v>
      </c>
      <c r="F863" s="172" t="s">
        <v>84</v>
      </c>
      <c r="G863" s="172" t="s">
        <v>85</v>
      </c>
      <c r="H863" s="177">
        <v>1</v>
      </c>
      <c r="I863" s="178">
        <v>0</v>
      </c>
      <c r="J863" s="176">
        <v>46028</v>
      </c>
      <c r="K863" s="172" t="s">
        <v>94</v>
      </c>
      <c r="L863" s="172" t="s">
        <v>95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481</v>
      </c>
      <c r="B864" s="176">
        <v>46039</v>
      </c>
      <c r="C864" s="172" t="s">
        <v>82</v>
      </c>
      <c r="D864" s="172" t="s">
        <v>99</v>
      </c>
      <c r="E864" s="172" t="s">
        <v>42</v>
      </c>
      <c r="F864" s="172" t="s">
        <v>84</v>
      </c>
      <c r="G864" s="172" t="s">
        <v>85</v>
      </c>
      <c r="H864" s="177">
        <v>1</v>
      </c>
      <c r="I864" s="178">
        <v>0</v>
      </c>
      <c r="J864" s="176">
        <v>46028</v>
      </c>
      <c r="K864" s="172" t="s">
        <v>94</v>
      </c>
      <c r="L864" s="172" t="s">
        <v>95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568</v>
      </c>
      <c r="B865" s="176">
        <v>46039</v>
      </c>
      <c r="C865" s="172" t="s">
        <v>93</v>
      </c>
      <c r="D865" s="172" t="s">
        <v>24</v>
      </c>
      <c r="E865" s="172" t="s">
        <v>54</v>
      </c>
      <c r="F865" s="172" t="s">
        <v>121</v>
      </c>
      <c r="G865" s="172" t="s">
        <v>85</v>
      </c>
      <c r="H865" s="177">
        <v>1</v>
      </c>
      <c r="I865" s="178">
        <v>1845</v>
      </c>
      <c r="J865" s="176">
        <v>46037</v>
      </c>
      <c r="K865" s="172" t="s">
        <v>94</v>
      </c>
      <c r="L865" s="172" t="s">
        <v>95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568</v>
      </c>
      <c r="B866" s="176">
        <v>46039</v>
      </c>
      <c r="C866" s="172" t="s">
        <v>101</v>
      </c>
      <c r="D866" s="172" t="s">
        <v>102</v>
      </c>
      <c r="E866" s="172" t="s">
        <v>54</v>
      </c>
      <c r="F866" s="172" t="s">
        <v>121</v>
      </c>
      <c r="G866" s="172" t="s">
        <v>85</v>
      </c>
      <c r="H866" s="177">
        <v>1</v>
      </c>
      <c r="I866" s="178">
        <v>1845</v>
      </c>
      <c r="J866" s="176">
        <v>46037</v>
      </c>
      <c r="K866" s="172" t="s">
        <v>94</v>
      </c>
      <c r="L866" s="172" t="s">
        <v>95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568</v>
      </c>
      <c r="B867" s="176">
        <v>46039</v>
      </c>
      <c r="C867" s="172" t="s">
        <v>101</v>
      </c>
      <c r="D867" s="172" t="s">
        <v>103</v>
      </c>
      <c r="E867" s="172" t="s">
        <v>54</v>
      </c>
      <c r="F867" s="172" t="s">
        <v>121</v>
      </c>
      <c r="G867" s="172" t="s">
        <v>85</v>
      </c>
      <c r="H867" s="177">
        <v>1</v>
      </c>
      <c r="I867" s="178">
        <v>1845</v>
      </c>
      <c r="J867" s="176">
        <v>46037</v>
      </c>
      <c r="K867" s="172" t="s">
        <v>94</v>
      </c>
      <c r="L867" s="172" t="s">
        <v>95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568</v>
      </c>
      <c r="B868" s="176">
        <v>46039</v>
      </c>
      <c r="C868" s="172" t="s">
        <v>101</v>
      </c>
      <c r="D868" s="172" t="s">
        <v>104</v>
      </c>
      <c r="E868" s="172" t="s">
        <v>54</v>
      </c>
      <c r="F868" s="172" t="s">
        <v>121</v>
      </c>
      <c r="G868" s="172" t="s">
        <v>85</v>
      </c>
      <c r="H868" s="177">
        <v>1</v>
      </c>
      <c r="I868" s="178">
        <v>1845</v>
      </c>
      <c r="J868" s="176">
        <v>46037</v>
      </c>
      <c r="K868" s="172" t="s">
        <v>94</v>
      </c>
      <c r="L868" s="172" t="s">
        <v>95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568</v>
      </c>
      <c r="B869" s="176">
        <v>46039</v>
      </c>
      <c r="C869" s="172" t="s">
        <v>105</v>
      </c>
      <c r="D869" s="172" t="s">
        <v>106</v>
      </c>
      <c r="E869" s="172" t="s">
        <v>54</v>
      </c>
      <c r="F869" s="172" t="s">
        <v>121</v>
      </c>
      <c r="G869" s="172" t="s">
        <v>85</v>
      </c>
      <c r="H869" s="177">
        <v>1</v>
      </c>
      <c r="I869" s="178">
        <v>1845</v>
      </c>
      <c r="J869" s="176">
        <v>46037</v>
      </c>
      <c r="K869" s="172" t="s">
        <v>94</v>
      </c>
      <c r="L869" s="172" t="s">
        <v>95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568</v>
      </c>
      <c r="B870" s="176">
        <v>46039</v>
      </c>
      <c r="C870" s="172" t="s">
        <v>82</v>
      </c>
      <c r="D870" s="172" t="s">
        <v>96</v>
      </c>
      <c r="E870" s="172" t="s">
        <v>54</v>
      </c>
      <c r="F870" s="172" t="s">
        <v>121</v>
      </c>
      <c r="G870" s="172" t="s">
        <v>85</v>
      </c>
      <c r="H870" s="177">
        <v>1</v>
      </c>
      <c r="I870" s="178">
        <v>1845</v>
      </c>
      <c r="J870" s="176">
        <v>46037</v>
      </c>
      <c r="K870" s="172" t="s">
        <v>94</v>
      </c>
      <c r="L870" s="172" t="s">
        <v>95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569</v>
      </c>
      <c r="B871" s="176">
        <v>46039</v>
      </c>
      <c r="C871" s="172" t="s">
        <v>82</v>
      </c>
      <c r="D871" s="172" t="s">
        <v>83</v>
      </c>
      <c r="E871" s="172" t="s">
        <v>42</v>
      </c>
      <c r="F871" s="172" t="s">
        <v>84</v>
      </c>
      <c r="G871" s="172" t="s">
        <v>85</v>
      </c>
      <c r="H871" s="177">
        <v>1</v>
      </c>
      <c r="I871" s="178">
        <v>0</v>
      </c>
      <c r="J871" s="176">
        <v>46039</v>
      </c>
      <c r="K871" s="172" t="s">
        <v>86</v>
      </c>
      <c r="L871" s="172" t="s">
        <v>86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570</v>
      </c>
      <c r="B872" s="176">
        <v>46039</v>
      </c>
      <c r="C872" s="172" t="s">
        <v>82</v>
      </c>
      <c r="D872" s="172" t="s">
        <v>83</v>
      </c>
      <c r="E872" s="172" t="s">
        <v>39</v>
      </c>
      <c r="F872" s="172" t="s">
        <v>88</v>
      </c>
      <c r="G872" s="172" t="s">
        <v>85</v>
      </c>
      <c r="H872" s="177">
        <v>1</v>
      </c>
      <c r="I872" s="178">
        <v>0</v>
      </c>
      <c r="J872" s="176">
        <v>46039</v>
      </c>
      <c r="K872" s="172" t="s">
        <v>86</v>
      </c>
      <c r="L872" s="172" t="s">
        <v>86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86</v>
      </c>
      <c r="B873" s="176">
        <v>46039</v>
      </c>
      <c r="C873" s="172" t="s">
        <v>110</v>
      </c>
      <c r="D873" s="172" t="s">
        <v>111</v>
      </c>
      <c r="E873" s="172" t="s">
        <v>86</v>
      </c>
      <c r="F873" s="172" t="s">
        <v>86</v>
      </c>
      <c r="G873" s="172" t="s">
        <v>571</v>
      </c>
      <c r="H873" s="177">
        <v>0</v>
      </c>
      <c r="I873" s="178">
        <v>0</v>
      </c>
      <c r="J873" s="176">
        <v>46039</v>
      </c>
      <c r="K873" s="172" t="s">
        <v>86</v>
      </c>
      <c r="L873" s="172" t="s">
        <v>86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572</v>
      </c>
      <c r="B874" s="176">
        <v>46039</v>
      </c>
      <c r="C874" s="172" t="s">
        <v>93</v>
      </c>
      <c r="D874" s="172" t="s">
        <v>97</v>
      </c>
      <c r="E874" s="172" t="s">
        <v>53</v>
      </c>
      <c r="F874" s="172" t="s">
        <v>91</v>
      </c>
      <c r="G874" s="172" t="s">
        <v>85</v>
      </c>
      <c r="H874" s="177">
        <v>1</v>
      </c>
      <c r="I874" s="178">
        <v>0</v>
      </c>
      <c r="J874" s="176">
        <v>46002</v>
      </c>
      <c r="K874" s="172" t="s">
        <v>94</v>
      </c>
      <c r="L874" s="172" t="s">
        <v>95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572</v>
      </c>
      <c r="B875" s="176">
        <v>46039</v>
      </c>
      <c r="C875" s="172" t="s">
        <v>93</v>
      </c>
      <c r="D875" s="172" t="s">
        <v>98</v>
      </c>
      <c r="E875" s="172" t="s">
        <v>53</v>
      </c>
      <c r="F875" s="172" t="s">
        <v>91</v>
      </c>
      <c r="G875" s="172" t="s">
        <v>85</v>
      </c>
      <c r="H875" s="177">
        <v>1</v>
      </c>
      <c r="I875" s="178">
        <v>0</v>
      </c>
      <c r="J875" s="176">
        <v>46002</v>
      </c>
      <c r="K875" s="172" t="s">
        <v>94</v>
      </c>
      <c r="L875" s="172" t="s">
        <v>95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572</v>
      </c>
      <c r="B876" s="176">
        <v>46039</v>
      </c>
      <c r="C876" s="172" t="s">
        <v>82</v>
      </c>
      <c r="D876" s="172" t="s">
        <v>99</v>
      </c>
      <c r="E876" s="172" t="s">
        <v>53</v>
      </c>
      <c r="F876" s="172" t="s">
        <v>91</v>
      </c>
      <c r="G876" s="172" t="s">
        <v>85</v>
      </c>
      <c r="H876" s="177">
        <v>1</v>
      </c>
      <c r="I876" s="178">
        <v>0</v>
      </c>
      <c r="J876" s="176">
        <v>46002</v>
      </c>
      <c r="K876" s="172" t="s">
        <v>94</v>
      </c>
      <c r="L876" s="172" t="s">
        <v>95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572</v>
      </c>
      <c r="B877" s="176">
        <v>46039</v>
      </c>
      <c r="C877" s="172" t="s">
        <v>93</v>
      </c>
      <c r="D877" s="172" t="s">
        <v>24</v>
      </c>
      <c r="E877" s="172" t="s">
        <v>53</v>
      </c>
      <c r="F877" s="172" t="s">
        <v>91</v>
      </c>
      <c r="G877" s="172" t="s">
        <v>85</v>
      </c>
      <c r="H877" s="177">
        <v>1</v>
      </c>
      <c r="I877" s="178">
        <v>0</v>
      </c>
      <c r="J877" s="176">
        <v>46002</v>
      </c>
      <c r="K877" s="172" t="s">
        <v>94</v>
      </c>
      <c r="L877" s="172" t="s">
        <v>95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572</v>
      </c>
      <c r="B878" s="176">
        <v>46039</v>
      </c>
      <c r="C878" s="172" t="s">
        <v>82</v>
      </c>
      <c r="D878" s="172" t="s">
        <v>96</v>
      </c>
      <c r="E878" s="172" t="s">
        <v>53</v>
      </c>
      <c r="F878" s="172" t="s">
        <v>91</v>
      </c>
      <c r="G878" s="172" t="s">
        <v>85</v>
      </c>
      <c r="H878" s="177">
        <v>1</v>
      </c>
      <c r="I878" s="178">
        <v>0</v>
      </c>
      <c r="J878" s="176">
        <v>46002</v>
      </c>
      <c r="K878" s="172" t="s">
        <v>94</v>
      </c>
      <c r="L878" s="172" t="s">
        <v>95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573</v>
      </c>
      <c r="B879" s="176">
        <v>46039</v>
      </c>
      <c r="C879" s="172" t="s">
        <v>93</v>
      </c>
      <c r="D879" s="172" t="s">
        <v>273</v>
      </c>
      <c r="E879" s="172" t="s">
        <v>54</v>
      </c>
      <c r="F879" s="172" t="s">
        <v>121</v>
      </c>
      <c r="G879" s="172" t="s">
        <v>85</v>
      </c>
      <c r="H879" s="177">
        <v>1</v>
      </c>
      <c r="I879" s="178">
        <v>0</v>
      </c>
      <c r="J879" s="176">
        <v>46029</v>
      </c>
      <c r="K879" s="172" t="s">
        <v>94</v>
      </c>
      <c r="L879" s="172" t="s">
        <v>95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573</v>
      </c>
      <c r="B880" s="176">
        <v>46039</v>
      </c>
      <c r="C880" s="172" t="s">
        <v>93</v>
      </c>
      <c r="D880" s="172" t="s">
        <v>98</v>
      </c>
      <c r="E880" s="172" t="s">
        <v>54</v>
      </c>
      <c r="F880" s="172" t="s">
        <v>121</v>
      </c>
      <c r="G880" s="172" t="s">
        <v>85</v>
      </c>
      <c r="H880" s="177">
        <v>1</v>
      </c>
      <c r="I880" s="178">
        <v>0</v>
      </c>
      <c r="J880" s="176">
        <v>46029</v>
      </c>
      <c r="K880" s="172" t="s">
        <v>94</v>
      </c>
      <c r="L880" s="172" t="s">
        <v>95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573</v>
      </c>
      <c r="B881" s="176">
        <v>46039</v>
      </c>
      <c r="C881" s="172" t="s">
        <v>82</v>
      </c>
      <c r="D881" s="172" t="s">
        <v>99</v>
      </c>
      <c r="E881" s="172" t="s">
        <v>54</v>
      </c>
      <c r="F881" s="172" t="s">
        <v>121</v>
      </c>
      <c r="G881" s="172" t="s">
        <v>85</v>
      </c>
      <c r="H881" s="177">
        <v>1</v>
      </c>
      <c r="I881" s="178">
        <v>0</v>
      </c>
      <c r="J881" s="176">
        <v>46029</v>
      </c>
      <c r="K881" s="172" t="s">
        <v>94</v>
      </c>
      <c r="L881" s="172" t="s">
        <v>95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574</v>
      </c>
      <c r="B882" s="176">
        <v>46039</v>
      </c>
      <c r="C882" s="172" t="s">
        <v>93</v>
      </c>
      <c r="D882" s="172" t="s">
        <v>24</v>
      </c>
      <c r="E882" s="172" t="s">
        <v>43</v>
      </c>
      <c r="F882" s="172" t="s">
        <v>90</v>
      </c>
      <c r="G882" s="172" t="s">
        <v>85</v>
      </c>
      <c r="H882" s="177">
        <v>1</v>
      </c>
      <c r="I882" s="178">
        <v>0</v>
      </c>
      <c r="J882" s="176">
        <v>46032</v>
      </c>
      <c r="K882" s="172" t="s">
        <v>94</v>
      </c>
      <c r="L882" s="172" t="s">
        <v>95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574</v>
      </c>
      <c r="B883" s="176">
        <v>46039</v>
      </c>
      <c r="C883" s="172" t="s">
        <v>82</v>
      </c>
      <c r="D883" s="172" t="s">
        <v>96</v>
      </c>
      <c r="E883" s="172" t="s">
        <v>43</v>
      </c>
      <c r="F883" s="172" t="s">
        <v>90</v>
      </c>
      <c r="G883" s="172" t="s">
        <v>85</v>
      </c>
      <c r="H883" s="177">
        <v>1</v>
      </c>
      <c r="I883" s="178">
        <v>0</v>
      </c>
      <c r="J883" s="176">
        <v>46032</v>
      </c>
      <c r="K883" s="172" t="s">
        <v>94</v>
      </c>
      <c r="L883" s="172" t="s">
        <v>95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574</v>
      </c>
      <c r="B884" s="176">
        <v>46039</v>
      </c>
      <c r="C884" s="172" t="s">
        <v>93</v>
      </c>
      <c r="D884" s="172" t="s">
        <v>97</v>
      </c>
      <c r="E884" s="172" t="s">
        <v>43</v>
      </c>
      <c r="F884" s="172" t="s">
        <v>90</v>
      </c>
      <c r="G884" s="172" t="s">
        <v>85</v>
      </c>
      <c r="H884" s="177">
        <v>1</v>
      </c>
      <c r="I884" s="178">
        <v>0</v>
      </c>
      <c r="J884" s="176">
        <v>46032</v>
      </c>
      <c r="K884" s="172" t="s">
        <v>94</v>
      </c>
      <c r="L884" s="172" t="s">
        <v>95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574</v>
      </c>
      <c r="B885" s="176">
        <v>46039</v>
      </c>
      <c r="C885" s="172" t="s">
        <v>93</v>
      </c>
      <c r="D885" s="172" t="s">
        <v>98</v>
      </c>
      <c r="E885" s="172" t="s">
        <v>43</v>
      </c>
      <c r="F885" s="172" t="s">
        <v>90</v>
      </c>
      <c r="G885" s="172" t="s">
        <v>85</v>
      </c>
      <c r="H885" s="177">
        <v>1</v>
      </c>
      <c r="I885" s="178">
        <v>0</v>
      </c>
      <c r="J885" s="176">
        <v>46032</v>
      </c>
      <c r="K885" s="172" t="s">
        <v>94</v>
      </c>
      <c r="L885" s="172" t="s">
        <v>95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574</v>
      </c>
      <c r="B886" s="176">
        <v>46039</v>
      </c>
      <c r="C886" s="172" t="s">
        <v>82</v>
      </c>
      <c r="D886" s="172" t="s">
        <v>99</v>
      </c>
      <c r="E886" s="172" t="s">
        <v>43</v>
      </c>
      <c r="F886" s="172" t="s">
        <v>90</v>
      </c>
      <c r="G886" s="172" t="s">
        <v>85</v>
      </c>
      <c r="H886" s="177">
        <v>1</v>
      </c>
      <c r="I886" s="178">
        <v>0</v>
      </c>
      <c r="J886" s="176">
        <v>46032</v>
      </c>
      <c r="K886" s="172" t="s">
        <v>94</v>
      </c>
      <c r="L886" s="172" t="s">
        <v>95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575</v>
      </c>
      <c r="B887" s="176">
        <v>46039</v>
      </c>
      <c r="C887" s="172" t="s">
        <v>82</v>
      </c>
      <c r="D887" s="172" t="s">
        <v>83</v>
      </c>
      <c r="E887" s="172" t="s">
        <v>53</v>
      </c>
      <c r="F887" s="172" t="s">
        <v>91</v>
      </c>
      <c r="G887" s="172" t="s">
        <v>85</v>
      </c>
      <c r="H887" s="177">
        <v>1</v>
      </c>
      <c r="I887" s="178">
        <v>0</v>
      </c>
      <c r="J887" s="176">
        <v>46039</v>
      </c>
      <c r="K887" s="172" t="s">
        <v>86</v>
      </c>
      <c r="L887" s="172" t="s">
        <v>86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576</v>
      </c>
      <c r="B888" s="176">
        <v>46039</v>
      </c>
      <c r="C888" s="172" t="s">
        <v>93</v>
      </c>
      <c r="D888" s="172" t="s">
        <v>24</v>
      </c>
      <c r="E888" s="172" t="s">
        <v>53</v>
      </c>
      <c r="F888" s="172" t="s">
        <v>91</v>
      </c>
      <c r="G888" s="172" t="s">
        <v>85</v>
      </c>
      <c r="H888" s="177">
        <v>1</v>
      </c>
      <c r="I888" s="178">
        <v>1621</v>
      </c>
      <c r="J888" s="176">
        <v>46034</v>
      </c>
      <c r="K888" s="172" t="s">
        <v>94</v>
      </c>
      <c r="L888" s="172" t="s">
        <v>95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576</v>
      </c>
      <c r="B889" s="176">
        <v>46039</v>
      </c>
      <c r="C889" s="172" t="s">
        <v>101</v>
      </c>
      <c r="D889" s="172" t="s">
        <v>102</v>
      </c>
      <c r="E889" s="172" t="s">
        <v>53</v>
      </c>
      <c r="F889" s="172" t="s">
        <v>91</v>
      </c>
      <c r="G889" s="172" t="s">
        <v>85</v>
      </c>
      <c r="H889" s="177">
        <v>1</v>
      </c>
      <c r="I889" s="178">
        <v>1621</v>
      </c>
      <c r="J889" s="176">
        <v>46034</v>
      </c>
      <c r="K889" s="172" t="s">
        <v>94</v>
      </c>
      <c r="L889" s="172" t="s">
        <v>95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576</v>
      </c>
      <c r="B890" s="176">
        <v>46039</v>
      </c>
      <c r="C890" s="172" t="s">
        <v>101</v>
      </c>
      <c r="D890" s="172" t="s">
        <v>103</v>
      </c>
      <c r="E890" s="172" t="s">
        <v>53</v>
      </c>
      <c r="F890" s="172" t="s">
        <v>91</v>
      </c>
      <c r="G890" s="172" t="s">
        <v>85</v>
      </c>
      <c r="H890" s="177">
        <v>1</v>
      </c>
      <c r="I890" s="178">
        <v>1621</v>
      </c>
      <c r="J890" s="176">
        <v>46034</v>
      </c>
      <c r="K890" s="172" t="s">
        <v>94</v>
      </c>
      <c r="L890" s="172" t="s">
        <v>95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576</v>
      </c>
      <c r="B891" s="176">
        <v>46039</v>
      </c>
      <c r="C891" s="172" t="s">
        <v>101</v>
      </c>
      <c r="D891" s="172" t="s">
        <v>104</v>
      </c>
      <c r="E891" s="172" t="s">
        <v>53</v>
      </c>
      <c r="F891" s="172" t="s">
        <v>91</v>
      </c>
      <c r="G891" s="172" t="s">
        <v>85</v>
      </c>
      <c r="H891" s="177">
        <v>1</v>
      </c>
      <c r="I891" s="178">
        <v>1621</v>
      </c>
      <c r="J891" s="176">
        <v>46034</v>
      </c>
      <c r="K891" s="172" t="s">
        <v>94</v>
      </c>
      <c r="L891" s="172" t="s">
        <v>95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576</v>
      </c>
      <c r="B892" s="176">
        <v>46039</v>
      </c>
      <c r="C892" s="172" t="s">
        <v>105</v>
      </c>
      <c r="D892" s="172" t="s">
        <v>106</v>
      </c>
      <c r="E892" s="172" t="s">
        <v>53</v>
      </c>
      <c r="F892" s="172" t="s">
        <v>91</v>
      </c>
      <c r="G892" s="172" t="s">
        <v>85</v>
      </c>
      <c r="H892" s="177">
        <v>1</v>
      </c>
      <c r="I892" s="178">
        <v>1621</v>
      </c>
      <c r="J892" s="176">
        <v>46034</v>
      </c>
      <c r="K892" s="172" t="s">
        <v>94</v>
      </c>
      <c r="L892" s="172" t="s">
        <v>95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576</v>
      </c>
      <c r="B893" s="176">
        <v>46039</v>
      </c>
      <c r="C893" s="172" t="s">
        <v>82</v>
      </c>
      <c r="D893" s="172" t="s">
        <v>96</v>
      </c>
      <c r="E893" s="172" t="s">
        <v>53</v>
      </c>
      <c r="F893" s="172" t="s">
        <v>91</v>
      </c>
      <c r="G893" s="172" t="s">
        <v>85</v>
      </c>
      <c r="H893" s="177">
        <v>1</v>
      </c>
      <c r="I893" s="178">
        <v>1621</v>
      </c>
      <c r="J893" s="176">
        <v>46034</v>
      </c>
      <c r="K893" s="172" t="s">
        <v>94</v>
      </c>
      <c r="L893" s="172" t="s">
        <v>95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577</v>
      </c>
      <c r="B894" s="176">
        <v>46039</v>
      </c>
      <c r="C894" s="172" t="s">
        <v>93</v>
      </c>
      <c r="D894" s="172" t="s">
        <v>24</v>
      </c>
      <c r="E894" s="172" t="s">
        <v>54</v>
      </c>
      <c r="F894" s="172" t="s">
        <v>121</v>
      </c>
      <c r="G894" s="172" t="s">
        <v>85</v>
      </c>
      <c r="H894" s="177">
        <v>1</v>
      </c>
      <c r="I894" s="178">
        <v>1845</v>
      </c>
      <c r="J894" s="176">
        <v>46031</v>
      </c>
      <c r="K894" s="172" t="s">
        <v>94</v>
      </c>
      <c r="L894" s="172" t="s">
        <v>95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577</v>
      </c>
      <c r="B895" s="176">
        <v>46039</v>
      </c>
      <c r="C895" s="172" t="s">
        <v>101</v>
      </c>
      <c r="D895" s="172" t="s">
        <v>102</v>
      </c>
      <c r="E895" s="172" t="s">
        <v>54</v>
      </c>
      <c r="F895" s="172" t="s">
        <v>121</v>
      </c>
      <c r="G895" s="172" t="s">
        <v>85</v>
      </c>
      <c r="H895" s="177">
        <v>1</v>
      </c>
      <c r="I895" s="178">
        <v>1845</v>
      </c>
      <c r="J895" s="176">
        <v>46031</v>
      </c>
      <c r="K895" s="172" t="s">
        <v>94</v>
      </c>
      <c r="L895" s="172" t="s">
        <v>95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577</v>
      </c>
      <c r="B896" s="176">
        <v>46039</v>
      </c>
      <c r="C896" s="172" t="s">
        <v>101</v>
      </c>
      <c r="D896" s="172" t="s">
        <v>103</v>
      </c>
      <c r="E896" s="172" t="s">
        <v>54</v>
      </c>
      <c r="F896" s="172" t="s">
        <v>121</v>
      </c>
      <c r="G896" s="172" t="s">
        <v>85</v>
      </c>
      <c r="H896" s="177">
        <v>1</v>
      </c>
      <c r="I896" s="178">
        <v>1845</v>
      </c>
      <c r="J896" s="176">
        <v>46031</v>
      </c>
      <c r="K896" s="172" t="s">
        <v>94</v>
      </c>
      <c r="L896" s="172" t="s">
        <v>95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577</v>
      </c>
      <c r="B897" s="176">
        <v>46039</v>
      </c>
      <c r="C897" s="172" t="s">
        <v>101</v>
      </c>
      <c r="D897" s="172" t="s">
        <v>104</v>
      </c>
      <c r="E897" s="172" t="s">
        <v>54</v>
      </c>
      <c r="F897" s="172" t="s">
        <v>121</v>
      </c>
      <c r="G897" s="172" t="s">
        <v>85</v>
      </c>
      <c r="H897" s="177">
        <v>1</v>
      </c>
      <c r="I897" s="178">
        <v>1845</v>
      </c>
      <c r="J897" s="176">
        <v>46031</v>
      </c>
      <c r="K897" s="172" t="s">
        <v>94</v>
      </c>
      <c r="L897" s="172" t="s">
        <v>95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577</v>
      </c>
      <c r="B898" s="176">
        <v>46039</v>
      </c>
      <c r="C898" s="172" t="s">
        <v>105</v>
      </c>
      <c r="D898" s="172" t="s">
        <v>106</v>
      </c>
      <c r="E898" s="172" t="s">
        <v>54</v>
      </c>
      <c r="F898" s="172" t="s">
        <v>121</v>
      </c>
      <c r="G898" s="172" t="s">
        <v>85</v>
      </c>
      <c r="H898" s="177">
        <v>1</v>
      </c>
      <c r="I898" s="178">
        <v>1845</v>
      </c>
      <c r="J898" s="176">
        <v>46031</v>
      </c>
      <c r="K898" s="172" t="s">
        <v>94</v>
      </c>
      <c r="L898" s="172" t="s">
        <v>95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578</v>
      </c>
      <c r="B899" s="176">
        <v>46039</v>
      </c>
      <c r="C899" s="172" t="s">
        <v>93</v>
      </c>
      <c r="D899" s="172" t="s">
        <v>24</v>
      </c>
      <c r="E899" s="172" t="s">
        <v>54</v>
      </c>
      <c r="F899" s="172" t="s">
        <v>121</v>
      </c>
      <c r="G899" s="172" t="s">
        <v>85</v>
      </c>
      <c r="H899" s="177">
        <v>1</v>
      </c>
      <c r="I899" s="178">
        <v>0</v>
      </c>
      <c r="J899" s="176">
        <v>46033</v>
      </c>
      <c r="K899" s="172" t="s">
        <v>94</v>
      </c>
      <c r="L899" s="172" t="s">
        <v>95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578</v>
      </c>
      <c r="B900" s="176">
        <v>46039</v>
      </c>
      <c r="C900" s="172" t="s">
        <v>82</v>
      </c>
      <c r="D900" s="172" t="s">
        <v>96</v>
      </c>
      <c r="E900" s="172" t="s">
        <v>54</v>
      </c>
      <c r="F900" s="172" t="s">
        <v>121</v>
      </c>
      <c r="G900" s="172" t="s">
        <v>85</v>
      </c>
      <c r="H900" s="177">
        <v>1</v>
      </c>
      <c r="I900" s="178">
        <v>0</v>
      </c>
      <c r="J900" s="176">
        <v>46033</v>
      </c>
      <c r="K900" s="172" t="s">
        <v>94</v>
      </c>
      <c r="L900" s="172" t="s">
        <v>95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579</v>
      </c>
      <c r="B901" s="176">
        <v>46039</v>
      </c>
      <c r="C901" s="172" t="s">
        <v>93</v>
      </c>
      <c r="D901" s="172" t="s">
        <v>24</v>
      </c>
      <c r="E901" s="172" t="s">
        <v>53</v>
      </c>
      <c r="F901" s="172" t="s">
        <v>91</v>
      </c>
      <c r="G901" s="172" t="s">
        <v>85</v>
      </c>
      <c r="H901" s="177">
        <v>1</v>
      </c>
      <c r="I901" s="178">
        <v>2027</v>
      </c>
      <c r="J901" s="176">
        <v>46036</v>
      </c>
      <c r="K901" s="172" t="s">
        <v>94</v>
      </c>
      <c r="L901" s="172" t="s">
        <v>95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579</v>
      </c>
      <c r="B902" s="176">
        <v>46039</v>
      </c>
      <c r="C902" s="172" t="s">
        <v>101</v>
      </c>
      <c r="D902" s="172" t="s">
        <v>102</v>
      </c>
      <c r="E902" s="172" t="s">
        <v>53</v>
      </c>
      <c r="F902" s="172" t="s">
        <v>91</v>
      </c>
      <c r="G902" s="172" t="s">
        <v>85</v>
      </c>
      <c r="H902" s="177">
        <v>1</v>
      </c>
      <c r="I902" s="178">
        <v>2027</v>
      </c>
      <c r="J902" s="176">
        <v>46036</v>
      </c>
      <c r="K902" s="172" t="s">
        <v>94</v>
      </c>
      <c r="L902" s="172" t="s">
        <v>95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579</v>
      </c>
      <c r="B903" s="176">
        <v>46039</v>
      </c>
      <c r="C903" s="172" t="s">
        <v>101</v>
      </c>
      <c r="D903" s="172" t="s">
        <v>103</v>
      </c>
      <c r="E903" s="172" t="s">
        <v>53</v>
      </c>
      <c r="F903" s="172" t="s">
        <v>91</v>
      </c>
      <c r="G903" s="172" t="s">
        <v>85</v>
      </c>
      <c r="H903" s="177">
        <v>1</v>
      </c>
      <c r="I903" s="178">
        <v>2027</v>
      </c>
      <c r="J903" s="176">
        <v>46036</v>
      </c>
      <c r="K903" s="172" t="s">
        <v>94</v>
      </c>
      <c r="L903" s="172" t="s">
        <v>95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579</v>
      </c>
      <c r="B904" s="176">
        <v>46039</v>
      </c>
      <c r="C904" s="172" t="s">
        <v>101</v>
      </c>
      <c r="D904" s="172" t="s">
        <v>104</v>
      </c>
      <c r="E904" s="172" t="s">
        <v>53</v>
      </c>
      <c r="F904" s="172" t="s">
        <v>91</v>
      </c>
      <c r="G904" s="172" t="s">
        <v>85</v>
      </c>
      <c r="H904" s="177">
        <v>1</v>
      </c>
      <c r="I904" s="178">
        <v>2027</v>
      </c>
      <c r="J904" s="176">
        <v>46036</v>
      </c>
      <c r="K904" s="172" t="s">
        <v>94</v>
      </c>
      <c r="L904" s="172" t="s">
        <v>95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579</v>
      </c>
      <c r="B905" s="176">
        <v>46039</v>
      </c>
      <c r="C905" s="172" t="s">
        <v>105</v>
      </c>
      <c r="D905" s="172" t="s">
        <v>106</v>
      </c>
      <c r="E905" s="172" t="s">
        <v>53</v>
      </c>
      <c r="F905" s="172" t="s">
        <v>91</v>
      </c>
      <c r="G905" s="172" t="s">
        <v>85</v>
      </c>
      <c r="H905" s="177">
        <v>1</v>
      </c>
      <c r="I905" s="178">
        <v>2027</v>
      </c>
      <c r="J905" s="176">
        <v>46036</v>
      </c>
      <c r="K905" s="172" t="s">
        <v>94</v>
      </c>
      <c r="L905" s="172" t="s">
        <v>95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578</v>
      </c>
      <c r="B906" s="176">
        <v>46039</v>
      </c>
      <c r="C906" s="172" t="s">
        <v>93</v>
      </c>
      <c r="D906" s="172" t="s">
        <v>97</v>
      </c>
      <c r="E906" s="172" t="s">
        <v>54</v>
      </c>
      <c r="F906" s="172" t="s">
        <v>121</v>
      </c>
      <c r="G906" s="172" t="s">
        <v>85</v>
      </c>
      <c r="H906" s="177">
        <v>1</v>
      </c>
      <c r="I906" s="178">
        <v>0</v>
      </c>
      <c r="J906" s="176">
        <v>46033</v>
      </c>
      <c r="K906" s="172" t="s">
        <v>94</v>
      </c>
      <c r="L906" s="172" t="s">
        <v>95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578</v>
      </c>
      <c r="B907" s="176">
        <v>46039</v>
      </c>
      <c r="C907" s="172" t="s">
        <v>93</v>
      </c>
      <c r="D907" s="172" t="s">
        <v>98</v>
      </c>
      <c r="E907" s="172" t="s">
        <v>54</v>
      </c>
      <c r="F907" s="172" t="s">
        <v>121</v>
      </c>
      <c r="G907" s="172" t="s">
        <v>85</v>
      </c>
      <c r="H907" s="177">
        <v>1</v>
      </c>
      <c r="I907" s="178">
        <v>0</v>
      </c>
      <c r="J907" s="176">
        <v>46033</v>
      </c>
      <c r="K907" s="172" t="s">
        <v>94</v>
      </c>
      <c r="L907" s="172" t="s">
        <v>95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578</v>
      </c>
      <c r="B908" s="176">
        <v>46039</v>
      </c>
      <c r="C908" s="172" t="s">
        <v>82</v>
      </c>
      <c r="D908" s="172" t="s">
        <v>99</v>
      </c>
      <c r="E908" s="172" t="s">
        <v>54</v>
      </c>
      <c r="F908" s="172" t="s">
        <v>121</v>
      </c>
      <c r="G908" s="172" t="s">
        <v>85</v>
      </c>
      <c r="H908" s="177">
        <v>1</v>
      </c>
      <c r="I908" s="178">
        <v>0</v>
      </c>
      <c r="J908" s="176">
        <v>46033</v>
      </c>
      <c r="K908" s="172" t="s">
        <v>94</v>
      </c>
      <c r="L908" s="172" t="s">
        <v>95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580</v>
      </c>
      <c r="B909" s="176">
        <v>46039</v>
      </c>
      <c r="C909" s="172" t="s">
        <v>93</v>
      </c>
      <c r="D909" s="172" t="s">
        <v>24</v>
      </c>
      <c r="E909" s="172" t="s">
        <v>44</v>
      </c>
      <c r="F909" s="172" t="s">
        <v>126</v>
      </c>
      <c r="G909" s="172" t="s">
        <v>85</v>
      </c>
      <c r="H909" s="177">
        <v>1</v>
      </c>
      <c r="I909" s="178">
        <v>1750</v>
      </c>
      <c r="J909" s="176">
        <v>46037</v>
      </c>
      <c r="K909" s="172" t="s">
        <v>94</v>
      </c>
      <c r="L909" s="172" t="s">
        <v>95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580</v>
      </c>
      <c r="B910" s="176">
        <v>46039</v>
      </c>
      <c r="C910" s="172" t="s">
        <v>101</v>
      </c>
      <c r="D910" s="172" t="s">
        <v>102</v>
      </c>
      <c r="E910" s="172" t="s">
        <v>44</v>
      </c>
      <c r="F910" s="172" t="s">
        <v>126</v>
      </c>
      <c r="G910" s="172" t="s">
        <v>85</v>
      </c>
      <c r="H910" s="177">
        <v>1</v>
      </c>
      <c r="I910" s="178">
        <v>1750</v>
      </c>
      <c r="J910" s="176">
        <v>46037</v>
      </c>
      <c r="K910" s="172" t="s">
        <v>94</v>
      </c>
      <c r="L910" s="172" t="s">
        <v>95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580</v>
      </c>
      <c r="B911" s="176">
        <v>46039</v>
      </c>
      <c r="C911" s="172" t="s">
        <v>101</v>
      </c>
      <c r="D911" s="172" t="s">
        <v>103</v>
      </c>
      <c r="E911" s="172" t="s">
        <v>44</v>
      </c>
      <c r="F911" s="172" t="s">
        <v>126</v>
      </c>
      <c r="G911" s="172" t="s">
        <v>85</v>
      </c>
      <c r="H911" s="177">
        <v>1</v>
      </c>
      <c r="I911" s="178">
        <v>1750</v>
      </c>
      <c r="J911" s="176">
        <v>46037</v>
      </c>
      <c r="K911" s="172" t="s">
        <v>94</v>
      </c>
      <c r="L911" s="172" t="s">
        <v>95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580</v>
      </c>
      <c r="B912" s="176">
        <v>46039</v>
      </c>
      <c r="C912" s="172" t="s">
        <v>101</v>
      </c>
      <c r="D912" s="172" t="s">
        <v>104</v>
      </c>
      <c r="E912" s="172" t="s">
        <v>44</v>
      </c>
      <c r="F912" s="172" t="s">
        <v>126</v>
      </c>
      <c r="G912" s="172" t="s">
        <v>85</v>
      </c>
      <c r="H912" s="177">
        <v>1</v>
      </c>
      <c r="I912" s="178">
        <v>1750</v>
      </c>
      <c r="J912" s="176">
        <v>46037</v>
      </c>
      <c r="K912" s="172" t="s">
        <v>94</v>
      </c>
      <c r="L912" s="172" t="s">
        <v>95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580</v>
      </c>
      <c r="B913" s="176">
        <v>46039</v>
      </c>
      <c r="C913" s="172" t="s">
        <v>105</v>
      </c>
      <c r="D913" s="172" t="s">
        <v>106</v>
      </c>
      <c r="E913" s="172" t="s">
        <v>44</v>
      </c>
      <c r="F913" s="172" t="s">
        <v>126</v>
      </c>
      <c r="G913" s="172" t="s">
        <v>85</v>
      </c>
      <c r="H913" s="177">
        <v>1</v>
      </c>
      <c r="I913" s="178">
        <v>1750</v>
      </c>
      <c r="J913" s="176">
        <v>46037</v>
      </c>
      <c r="K913" s="172" t="s">
        <v>94</v>
      </c>
      <c r="L913" s="172" t="s">
        <v>95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580</v>
      </c>
      <c r="B914" s="176">
        <v>46039</v>
      </c>
      <c r="C914" s="172" t="s">
        <v>82</v>
      </c>
      <c r="D914" s="172" t="s">
        <v>96</v>
      </c>
      <c r="E914" s="172" t="s">
        <v>44</v>
      </c>
      <c r="F914" s="172" t="s">
        <v>126</v>
      </c>
      <c r="G914" s="172" t="s">
        <v>85</v>
      </c>
      <c r="H914" s="177">
        <v>1</v>
      </c>
      <c r="I914" s="178">
        <v>1750</v>
      </c>
      <c r="J914" s="176">
        <v>46037</v>
      </c>
      <c r="K914" s="172" t="s">
        <v>94</v>
      </c>
      <c r="L914" s="172" t="s">
        <v>95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581</v>
      </c>
      <c r="B915" s="176">
        <v>46039</v>
      </c>
      <c r="C915" s="172" t="s">
        <v>93</v>
      </c>
      <c r="D915" s="172" t="s">
        <v>24</v>
      </c>
      <c r="E915" s="172" t="s">
        <v>44</v>
      </c>
      <c r="F915" s="172" t="s">
        <v>126</v>
      </c>
      <c r="G915" s="172" t="s">
        <v>85</v>
      </c>
      <c r="H915" s="177">
        <v>1</v>
      </c>
      <c r="I915" s="178">
        <v>1750</v>
      </c>
      <c r="J915" s="176">
        <v>46034</v>
      </c>
      <c r="K915" s="172" t="s">
        <v>94</v>
      </c>
      <c r="L915" s="172" t="s">
        <v>95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581</v>
      </c>
      <c r="B916" s="176">
        <v>46039</v>
      </c>
      <c r="C916" s="172" t="s">
        <v>101</v>
      </c>
      <c r="D916" s="172" t="s">
        <v>102</v>
      </c>
      <c r="E916" s="172" t="s">
        <v>44</v>
      </c>
      <c r="F916" s="172" t="s">
        <v>126</v>
      </c>
      <c r="G916" s="172" t="s">
        <v>85</v>
      </c>
      <c r="H916" s="177">
        <v>1</v>
      </c>
      <c r="I916" s="178">
        <v>1750</v>
      </c>
      <c r="J916" s="176">
        <v>46034</v>
      </c>
      <c r="K916" s="172" t="s">
        <v>94</v>
      </c>
      <c r="L916" s="172" t="s">
        <v>95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581</v>
      </c>
      <c r="B917" s="176">
        <v>46039</v>
      </c>
      <c r="C917" s="172" t="s">
        <v>101</v>
      </c>
      <c r="D917" s="172" t="s">
        <v>103</v>
      </c>
      <c r="E917" s="172" t="s">
        <v>44</v>
      </c>
      <c r="F917" s="172" t="s">
        <v>126</v>
      </c>
      <c r="G917" s="172" t="s">
        <v>85</v>
      </c>
      <c r="H917" s="177">
        <v>1</v>
      </c>
      <c r="I917" s="178">
        <v>1750</v>
      </c>
      <c r="J917" s="176">
        <v>46034</v>
      </c>
      <c r="K917" s="172" t="s">
        <v>94</v>
      </c>
      <c r="L917" s="172" t="s">
        <v>95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581</v>
      </c>
      <c r="B918" s="176">
        <v>46039</v>
      </c>
      <c r="C918" s="172" t="s">
        <v>101</v>
      </c>
      <c r="D918" s="172" t="s">
        <v>104</v>
      </c>
      <c r="E918" s="172" t="s">
        <v>44</v>
      </c>
      <c r="F918" s="172" t="s">
        <v>126</v>
      </c>
      <c r="G918" s="172" t="s">
        <v>85</v>
      </c>
      <c r="H918" s="177">
        <v>1</v>
      </c>
      <c r="I918" s="178">
        <v>1750</v>
      </c>
      <c r="J918" s="176">
        <v>46034</v>
      </c>
      <c r="K918" s="172" t="s">
        <v>94</v>
      </c>
      <c r="L918" s="172" t="s">
        <v>95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581</v>
      </c>
      <c r="B919" s="176">
        <v>46039</v>
      </c>
      <c r="C919" s="172" t="s">
        <v>105</v>
      </c>
      <c r="D919" s="172" t="s">
        <v>106</v>
      </c>
      <c r="E919" s="172" t="s">
        <v>44</v>
      </c>
      <c r="F919" s="172" t="s">
        <v>126</v>
      </c>
      <c r="G919" s="172" t="s">
        <v>85</v>
      </c>
      <c r="H919" s="177">
        <v>1</v>
      </c>
      <c r="I919" s="178">
        <v>1750</v>
      </c>
      <c r="J919" s="176">
        <v>46034</v>
      </c>
      <c r="K919" s="172" t="s">
        <v>94</v>
      </c>
      <c r="L919" s="172" t="s">
        <v>95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581</v>
      </c>
      <c r="B920" s="176">
        <v>46039</v>
      </c>
      <c r="C920" s="172" t="s">
        <v>82</v>
      </c>
      <c r="D920" s="172" t="s">
        <v>96</v>
      </c>
      <c r="E920" s="172" t="s">
        <v>44</v>
      </c>
      <c r="F920" s="172" t="s">
        <v>126</v>
      </c>
      <c r="G920" s="172" t="s">
        <v>85</v>
      </c>
      <c r="H920" s="177">
        <v>1</v>
      </c>
      <c r="I920" s="178">
        <v>1750</v>
      </c>
      <c r="J920" s="176">
        <v>46034</v>
      </c>
      <c r="K920" s="172" t="s">
        <v>94</v>
      </c>
      <c r="L920" s="172" t="s">
        <v>95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582</v>
      </c>
      <c r="B921" s="176">
        <v>46039</v>
      </c>
      <c r="C921" s="172" t="s">
        <v>93</v>
      </c>
      <c r="D921" s="172" t="s">
        <v>24</v>
      </c>
      <c r="E921" s="172" t="s">
        <v>53</v>
      </c>
      <c r="F921" s="172" t="s">
        <v>91</v>
      </c>
      <c r="G921" s="172" t="s">
        <v>85</v>
      </c>
      <c r="H921" s="177">
        <v>1</v>
      </c>
      <c r="I921" s="178">
        <v>1621</v>
      </c>
      <c r="J921" s="176">
        <v>46031</v>
      </c>
      <c r="K921" s="172" t="s">
        <v>94</v>
      </c>
      <c r="L921" s="172" t="s">
        <v>95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582</v>
      </c>
      <c r="B922" s="176">
        <v>46039</v>
      </c>
      <c r="C922" s="172" t="s">
        <v>101</v>
      </c>
      <c r="D922" s="172" t="s">
        <v>102</v>
      </c>
      <c r="E922" s="172" t="s">
        <v>53</v>
      </c>
      <c r="F922" s="172" t="s">
        <v>91</v>
      </c>
      <c r="G922" s="172" t="s">
        <v>85</v>
      </c>
      <c r="H922" s="177">
        <v>1</v>
      </c>
      <c r="I922" s="178">
        <v>1621</v>
      </c>
      <c r="J922" s="176">
        <v>46031</v>
      </c>
      <c r="K922" s="172" t="s">
        <v>94</v>
      </c>
      <c r="L922" s="172" t="s">
        <v>95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582</v>
      </c>
      <c r="B923" s="176">
        <v>46039</v>
      </c>
      <c r="C923" s="172" t="s">
        <v>101</v>
      </c>
      <c r="D923" s="172" t="s">
        <v>103</v>
      </c>
      <c r="E923" s="172" t="s">
        <v>53</v>
      </c>
      <c r="F923" s="172" t="s">
        <v>91</v>
      </c>
      <c r="G923" s="172" t="s">
        <v>85</v>
      </c>
      <c r="H923" s="177">
        <v>1</v>
      </c>
      <c r="I923" s="178">
        <v>1621</v>
      </c>
      <c r="J923" s="176">
        <v>46031</v>
      </c>
      <c r="K923" s="172" t="s">
        <v>94</v>
      </c>
      <c r="L923" s="172" t="s">
        <v>95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582</v>
      </c>
      <c r="B924" s="176">
        <v>46039</v>
      </c>
      <c r="C924" s="172" t="s">
        <v>101</v>
      </c>
      <c r="D924" s="172" t="s">
        <v>104</v>
      </c>
      <c r="E924" s="172" t="s">
        <v>53</v>
      </c>
      <c r="F924" s="172" t="s">
        <v>91</v>
      </c>
      <c r="G924" s="172" t="s">
        <v>85</v>
      </c>
      <c r="H924" s="177">
        <v>1</v>
      </c>
      <c r="I924" s="178">
        <v>1621</v>
      </c>
      <c r="J924" s="176">
        <v>46031</v>
      </c>
      <c r="K924" s="172" t="s">
        <v>94</v>
      </c>
      <c r="L924" s="172" t="s">
        <v>95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582</v>
      </c>
      <c r="B925" s="176">
        <v>46039</v>
      </c>
      <c r="C925" s="172" t="s">
        <v>105</v>
      </c>
      <c r="D925" s="172" t="s">
        <v>106</v>
      </c>
      <c r="E925" s="172" t="s">
        <v>53</v>
      </c>
      <c r="F925" s="172" t="s">
        <v>91</v>
      </c>
      <c r="G925" s="172" t="s">
        <v>85</v>
      </c>
      <c r="H925" s="177">
        <v>1</v>
      </c>
      <c r="I925" s="178">
        <v>1621</v>
      </c>
      <c r="J925" s="176">
        <v>46031</v>
      </c>
      <c r="K925" s="172" t="s">
        <v>94</v>
      </c>
      <c r="L925" s="172" t="s">
        <v>95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582</v>
      </c>
      <c r="B926" s="176">
        <v>46039</v>
      </c>
      <c r="C926" s="172" t="s">
        <v>82</v>
      </c>
      <c r="D926" s="172" t="s">
        <v>96</v>
      </c>
      <c r="E926" s="172" t="s">
        <v>53</v>
      </c>
      <c r="F926" s="172" t="s">
        <v>91</v>
      </c>
      <c r="G926" s="172" t="s">
        <v>85</v>
      </c>
      <c r="H926" s="177">
        <v>1</v>
      </c>
      <c r="I926" s="178">
        <v>1621</v>
      </c>
      <c r="J926" s="176">
        <v>46031</v>
      </c>
      <c r="K926" s="172" t="s">
        <v>94</v>
      </c>
      <c r="L926" s="172" t="s">
        <v>95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581</v>
      </c>
      <c r="B927" s="176">
        <v>46039</v>
      </c>
      <c r="C927" s="172" t="s">
        <v>82</v>
      </c>
      <c r="D927" s="172" t="s">
        <v>83</v>
      </c>
      <c r="E927" s="172" t="s">
        <v>44</v>
      </c>
      <c r="F927" s="172" t="s">
        <v>126</v>
      </c>
      <c r="G927" s="172" t="s">
        <v>85</v>
      </c>
      <c r="H927" s="177">
        <v>1</v>
      </c>
      <c r="I927" s="178">
        <v>0</v>
      </c>
      <c r="J927" s="176">
        <v>46034</v>
      </c>
      <c r="K927" s="172" t="s">
        <v>86</v>
      </c>
      <c r="L927" s="172" t="s">
        <v>86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583</v>
      </c>
      <c r="B928" s="176">
        <v>46039</v>
      </c>
      <c r="C928" s="172" t="s">
        <v>93</v>
      </c>
      <c r="D928" s="172" t="s">
        <v>24</v>
      </c>
      <c r="E928" s="172" t="s">
        <v>43</v>
      </c>
      <c r="F928" s="172" t="s">
        <v>90</v>
      </c>
      <c r="G928" s="172" t="s">
        <v>85</v>
      </c>
      <c r="H928" s="177">
        <v>1</v>
      </c>
      <c r="I928" s="178">
        <v>1750</v>
      </c>
      <c r="J928" s="176">
        <v>46035</v>
      </c>
      <c r="K928" s="172" t="s">
        <v>94</v>
      </c>
      <c r="L928" s="172" t="s">
        <v>95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583</v>
      </c>
      <c r="B929" s="176">
        <v>46039</v>
      </c>
      <c r="C929" s="172" t="s">
        <v>101</v>
      </c>
      <c r="D929" s="172" t="s">
        <v>102</v>
      </c>
      <c r="E929" s="172" t="s">
        <v>43</v>
      </c>
      <c r="F929" s="172" t="s">
        <v>90</v>
      </c>
      <c r="G929" s="172" t="s">
        <v>85</v>
      </c>
      <c r="H929" s="177">
        <v>1</v>
      </c>
      <c r="I929" s="178">
        <v>1750</v>
      </c>
      <c r="J929" s="176">
        <v>46035</v>
      </c>
      <c r="K929" s="172" t="s">
        <v>94</v>
      </c>
      <c r="L929" s="172" t="s">
        <v>95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583</v>
      </c>
      <c r="B930" s="176">
        <v>46039</v>
      </c>
      <c r="C930" s="172" t="s">
        <v>101</v>
      </c>
      <c r="D930" s="172" t="s">
        <v>103</v>
      </c>
      <c r="E930" s="172" t="s">
        <v>43</v>
      </c>
      <c r="F930" s="172" t="s">
        <v>90</v>
      </c>
      <c r="G930" s="172" t="s">
        <v>85</v>
      </c>
      <c r="H930" s="177">
        <v>1</v>
      </c>
      <c r="I930" s="178">
        <v>1750</v>
      </c>
      <c r="J930" s="176">
        <v>46035</v>
      </c>
      <c r="K930" s="172" t="s">
        <v>94</v>
      </c>
      <c r="L930" s="172" t="s">
        <v>95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583</v>
      </c>
      <c r="B931" s="176">
        <v>46039</v>
      </c>
      <c r="C931" s="172" t="s">
        <v>101</v>
      </c>
      <c r="D931" s="172" t="s">
        <v>104</v>
      </c>
      <c r="E931" s="172" t="s">
        <v>43</v>
      </c>
      <c r="F931" s="172" t="s">
        <v>90</v>
      </c>
      <c r="G931" s="172" t="s">
        <v>85</v>
      </c>
      <c r="H931" s="177">
        <v>1</v>
      </c>
      <c r="I931" s="178">
        <v>1750</v>
      </c>
      <c r="J931" s="176">
        <v>46035</v>
      </c>
      <c r="K931" s="172" t="s">
        <v>94</v>
      </c>
      <c r="L931" s="172" t="s">
        <v>95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583</v>
      </c>
      <c r="B932" s="176">
        <v>46039</v>
      </c>
      <c r="C932" s="172" t="s">
        <v>105</v>
      </c>
      <c r="D932" s="172" t="s">
        <v>106</v>
      </c>
      <c r="E932" s="172" t="s">
        <v>43</v>
      </c>
      <c r="F932" s="172" t="s">
        <v>90</v>
      </c>
      <c r="G932" s="172" t="s">
        <v>85</v>
      </c>
      <c r="H932" s="177">
        <v>1</v>
      </c>
      <c r="I932" s="178">
        <v>1750</v>
      </c>
      <c r="J932" s="176">
        <v>46035</v>
      </c>
      <c r="K932" s="172" t="s">
        <v>94</v>
      </c>
      <c r="L932" s="172" t="s">
        <v>95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583</v>
      </c>
      <c r="B933" s="176">
        <v>46039</v>
      </c>
      <c r="C933" s="172" t="s">
        <v>82</v>
      </c>
      <c r="D933" s="172" t="s">
        <v>96</v>
      </c>
      <c r="E933" s="172" t="s">
        <v>43</v>
      </c>
      <c r="F933" s="172" t="s">
        <v>90</v>
      </c>
      <c r="G933" s="172" t="s">
        <v>85</v>
      </c>
      <c r="H933" s="177">
        <v>1</v>
      </c>
      <c r="I933" s="178">
        <v>1750</v>
      </c>
      <c r="J933" s="176">
        <v>46035</v>
      </c>
      <c r="K933" s="172" t="s">
        <v>94</v>
      </c>
      <c r="L933" s="172" t="s">
        <v>95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584</v>
      </c>
      <c r="B934" s="176">
        <v>46039</v>
      </c>
      <c r="C934" s="172" t="s">
        <v>93</v>
      </c>
      <c r="D934" s="172" t="s">
        <v>24</v>
      </c>
      <c r="E934" s="172" t="s">
        <v>53</v>
      </c>
      <c r="F934" s="172" t="s">
        <v>91</v>
      </c>
      <c r="G934" s="172" t="s">
        <v>85</v>
      </c>
      <c r="H934" s="177">
        <v>1</v>
      </c>
      <c r="I934" s="178">
        <v>1621</v>
      </c>
      <c r="J934" s="176">
        <v>46035</v>
      </c>
      <c r="K934" s="172" t="s">
        <v>94</v>
      </c>
      <c r="L934" s="172" t="s">
        <v>95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584</v>
      </c>
      <c r="B935" s="176">
        <v>46039</v>
      </c>
      <c r="C935" s="172" t="s">
        <v>101</v>
      </c>
      <c r="D935" s="172" t="s">
        <v>102</v>
      </c>
      <c r="E935" s="172" t="s">
        <v>53</v>
      </c>
      <c r="F935" s="172" t="s">
        <v>91</v>
      </c>
      <c r="G935" s="172" t="s">
        <v>85</v>
      </c>
      <c r="H935" s="177">
        <v>1</v>
      </c>
      <c r="I935" s="178">
        <v>1621</v>
      </c>
      <c r="J935" s="176">
        <v>46035</v>
      </c>
      <c r="K935" s="172" t="s">
        <v>94</v>
      </c>
      <c r="L935" s="172" t="s">
        <v>95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584</v>
      </c>
      <c r="B936" s="176">
        <v>46039</v>
      </c>
      <c r="C936" s="172" t="s">
        <v>101</v>
      </c>
      <c r="D936" s="172" t="s">
        <v>103</v>
      </c>
      <c r="E936" s="172" t="s">
        <v>53</v>
      </c>
      <c r="F936" s="172" t="s">
        <v>91</v>
      </c>
      <c r="G936" s="172" t="s">
        <v>85</v>
      </c>
      <c r="H936" s="177">
        <v>1</v>
      </c>
      <c r="I936" s="178">
        <v>1621</v>
      </c>
      <c r="J936" s="176">
        <v>46035</v>
      </c>
      <c r="K936" s="172" t="s">
        <v>94</v>
      </c>
      <c r="L936" s="172" t="s">
        <v>95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584</v>
      </c>
      <c r="B937" s="176">
        <v>46039</v>
      </c>
      <c r="C937" s="172" t="s">
        <v>101</v>
      </c>
      <c r="D937" s="172" t="s">
        <v>104</v>
      </c>
      <c r="E937" s="172" t="s">
        <v>53</v>
      </c>
      <c r="F937" s="172" t="s">
        <v>91</v>
      </c>
      <c r="G937" s="172" t="s">
        <v>85</v>
      </c>
      <c r="H937" s="177">
        <v>1</v>
      </c>
      <c r="I937" s="178">
        <v>1621</v>
      </c>
      <c r="J937" s="176">
        <v>46035</v>
      </c>
      <c r="K937" s="172" t="s">
        <v>94</v>
      </c>
      <c r="L937" s="172" t="s">
        <v>95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584</v>
      </c>
      <c r="B938" s="176">
        <v>46039</v>
      </c>
      <c r="C938" s="172" t="s">
        <v>105</v>
      </c>
      <c r="D938" s="172" t="s">
        <v>106</v>
      </c>
      <c r="E938" s="172" t="s">
        <v>53</v>
      </c>
      <c r="F938" s="172" t="s">
        <v>91</v>
      </c>
      <c r="G938" s="172" t="s">
        <v>85</v>
      </c>
      <c r="H938" s="177">
        <v>1</v>
      </c>
      <c r="I938" s="178">
        <v>1621</v>
      </c>
      <c r="J938" s="176">
        <v>46035</v>
      </c>
      <c r="K938" s="172" t="s">
        <v>94</v>
      </c>
      <c r="L938" s="172" t="s">
        <v>95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584</v>
      </c>
      <c r="B939" s="176">
        <v>46039</v>
      </c>
      <c r="C939" s="172" t="s">
        <v>82</v>
      </c>
      <c r="D939" s="172" t="s">
        <v>96</v>
      </c>
      <c r="E939" s="172" t="s">
        <v>53</v>
      </c>
      <c r="F939" s="172" t="s">
        <v>91</v>
      </c>
      <c r="G939" s="172" t="s">
        <v>85</v>
      </c>
      <c r="H939" s="177">
        <v>1</v>
      </c>
      <c r="I939" s="178">
        <v>1621</v>
      </c>
      <c r="J939" s="176">
        <v>46035</v>
      </c>
      <c r="K939" s="172" t="s">
        <v>94</v>
      </c>
      <c r="L939" s="172" t="s">
        <v>95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583</v>
      </c>
      <c r="B940" s="176">
        <v>46039</v>
      </c>
      <c r="C940" s="172" t="s">
        <v>82</v>
      </c>
      <c r="D940" s="172" t="s">
        <v>83</v>
      </c>
      <c r="E940" s="172" t="s">
        <v>43</v>
      </c>
      <c r="F940" s="172" t="s">
        <v>90</v>
      </c>
      <c r="G940" s="172" t="s">
        <v>85</v>
      </c>
      <c r="H940" s="177">
        <v>1</v>
      </c>
      <c r="I940" s="178">
        <v>0</v>
      </c>
      <c r="J940" s="176">
        <v>46035</v>
      </c>
      <c r="K940" s="172" t="s">
        <v>86</v>
      </c>
      <c r="L940" s="172" t="s">
        <v>86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585</v>
      </c>
      <c r="B941" s="176">
        <v>46039</v>
      </c>
      <c r="C941" s="172" t="s">
        <v>93</v>
      </c>
      <c r="D941" s="172" t="s">
        <v>24</v>
      </c>
      <c r="E941" s="172" t="s">
        <v>53</v>
      </c>
      <c r="F941" s="172" t="s">
        <v>91</v>
      </c>
      <c r="G941" s="172" t="s">
        <v>85</v>
      </c>
      <c r="H941" s="177">
        <v>1</v>
      </c>
      <c r="I941" s="178">
        <v>1621</v>
      </c>
      <c r="J941" s="176">
        <v>46035</v>
      </c>
      <c r="K941" s="172" t="s">
        <v>94</v>
      </c>
      <c r="L941" s="172" t="s">
        <v>95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585</v>
      </c>
      <c r="B942" s="176">
        <v>46039</v>
      </c>
      <c r="C942" s="172" t="s">
        <v>101</v>
      </c>
      <c r="D942" s="172" t="s">
        <v>102</v>
      </c>
      <c r="E942" s="172" t="s">
        <v>53</v>
      </c>
      <c r="F942" s="172" t="s">
        <v>91</v>
      </c>
      <c r="G942" s="172" t="s">
        <v>85</v>
      </c>
      <c r="H942" s="177">
        <v>1</v>
      </c>
      <c r="I942" s="178">
        <v>1621</v>
      </c>
      <c r="J942" s="176">
        <v>46035</v>
      </c>
      <c r="K942" s="172" t="s">
        <v>94</v>
      </c>
      <c r="L942" s="172" t="s">
        <v>95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585</v>
      </c>
      <c r="B943" s="176">
        <v>46039</v>
      </c>
      <c r="C943" s="172" t="s">
        <v>101</v>
      </c>
      <c r="D943" s="172" t="s">
        <v>103</v>
      </c>
      <c r="E943" s="172" t="s">
        <v>53</v>
      </c>
      <c r="F943" s="172" t="s">
        <v>91</v>
      </c>
      <c r="G943" s="172" t="s">
        <v>85</v>
      </c>
      <c r="H943" s="177">
        <v>1</v>
      </c>
      <c r="I943" s="178">
        <v>1621</v>
      </c>
      <c r="J943" s="176">
        <v>46035</v>
      </c>
      <c r="K943" s="172" t="s">
        <v>94</v>
      </c>
      <c r="L943" s="172" t="s">
        <v>95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585</v>
      </c>
      <c r="B944" s="176">
        <v>46039</v>
      </c>
      <c r="C944" s="172" t="s">
        <v>101</v>
      </c>
      <c r="D944" s="172" t="s">
        <v>104</v>
      </c>
      <c r="E944" s="172" t="s">
        <v>53</v>
      </c>
      <c r="F944" s="172" t="s">
        <v>91</v>
      </c>
      <c r="G944" s="172" t="s">
        <v>85</v>
      </c>
      <c r="H944" s="177">
        <v>1</v>
      </c>
      <c r="I944" s="178">
        <v>1621</v>
      </c>
      <c r="J944" s="176">
        <v>46035</v>
      </c>
      <c r="K944" s="172" t="s">
        <v>94</v>
      </c>
      <c r="L944" s="172" t="s">
        <v>95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585</v>
      </c>
      <c r="B945" s="176">
        <v>46039</v>
      </c>
      <c r="C945" s="172" t="s">
        <v>105</v>
      </c>
      <c r="D945" s="172" t="s">
        <v>106</v>
      </c>
      <c r="E945" s="172" t="s">
        <v>53</v>
      </c>
      <c r="F945" s="172" t="s">
        <v>91</v>
      </c>
      <c r="G945" s="172" t="s">
        <v>85</v>
      </c>
      <c r="H945" s="177">
        <v>1</v>
      </c>
      <c r="I945" s="178">
        <v>1621</v>
      </c>
      <c r="J945" s="176">
        <v>46035</v>
      </c>
      <c r="K945" s="172" t="s">
        <v>94</v>
      </c>
      <c r="L945" s="172" t="s">
        <v>95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585</v>
      </c>
      <c r="B946" s="176">
        <v>46039</v>
      </c>
      <c r="C946" s="172" t="s">
        <v>82</v>
      </c>
      <c r="D946" s="172" t="s">
        <v>96</v>
      </c>
      <c r="E946" s="172" t="s">
        <v>53</v>
      </c>
      <c r="F946" s="172" t="s">
        <v>91</v>
      </c>
      <c r="G946" s="172" t="s">
        <v>85</v>
      </c>
      <c r="H946" s="177">
        <v>1</v>
      </c>
      <c r="I946" s="178">
        <v>1621</v>
      </c>
      <c r="J946" s="176">
        <v>46035</v>
      </c>
      <c r="K946" s="172" t="s">
        <v>94</v>
      </c>
      <c r="L946" s="172" t="s">
        <v>95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585</v>
      </c>
      <c r="B947" s="176">
        <v>46039</v>
      </c>
      <c r="C947" s="172" t="s">
        <v>82</v>
      </c>
      <c r="D947" s="172" t="s">
        <v>83</v>
      </c>
      <c r="E947" s="172" t="s">
        <v>53</v>
      </c>
      <c r="F947" s="172" t="s">
        <v>91</v>
      </c>
      <c r="G947" s="172" t="s">
        <v>85</v>
      </c>
      <c r="H947" s="177">
        <v>1</v>
      </c>
      <c r="I947" s="178">
        <v>0</v>
      </c>
      <c r="J947" s="176">
        <v>46035</v>
      </c>
      <c r="K947" s="172" t="s">
        <v>86</v>
      </c>
      <c r="L947" s="172" t="s">
        <v>86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586</v>
      </c>
      <c r="B948" s="176">
        <v>46039</v>
      </c>
      <c r="C948" s="172" t="s">
        <v>93</v>
      </c>
      <c r="D948" s="172" t="s">
        <v>24</v>
      </c>
      <c r="E948" s="172" t="s">
        <v>42</v>
      </c>
      <c r="F948" s="172" t="s">
        <v>84</v>
      </c>
      <c r="G948" s="172" t="s">
        <v>85</v>
      </c>
      <c r="H948" s="177">
        <v>1</v>
      </c>
      <c r="I948" s="178">
        <v>0</v>
      </c>
      <c r="J948" s="176">
        <v>46027</v>
      </c>
      <c r="K948" s="172" t="s">
        <v>94</v>
      </c>
      <c r="L948" s="172" t="s">
        <v>95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586</v>
      </c>
      <c r="B949" s="176">
        <v>46039</v>
      </c>
      <c r="C949" s="172" t="s">
        <v>82</v>
      </c>
      <c r="D949" s="172" t="s">
        <v>96</v>
      </c>
      <c r="E949" s="172" t="s">
        <v>42</v>
      </c>
      <c r="F949" s="172" t="s">
        <v>84</v>
      </c>
      <c r="G949" s="172" t="s">
        <v>85</v>
      </c>
      <c r="H949" s="177">
        <v>1</v>
      </c>
      <c r="I949" s="178">
        <v>0</v>
      </c>
      <c r="J949" s="176">
        <v>46027</v>
      </c>
      <c r="K949" s="172" t="s">
        <v>94</v>
      </c>
      <c r="L949" s="172" t="s">
        <v>95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587</v>
      </c>
      <c r="B950" s="176">
        <v>46039</v>
      </c>
      <c r="C950" s="172" t="s">
        <v>93</v>
      </c>
      <c r="D950" s="172" t="s">
        <v>24</v>
      </c>
      <c r="E950" s="172" t="s">
        <v>39</v>
      </c>
      <c r="F950" s="172" t="s">
        <v>88</v>
      </c>
      <c r="G950" s="172" t="s">
        <v>85</v>
      </c>
      <c r="H950" s="177">
        <v>1</v>
      </c>
      <c r="I950" s="178">
        <v>0</v>
      </c>
      <c r="J950" s="176">
        <v>46027</v>
      </c>
      <c r="K950" s="172" t="s">
        <v>94</v>
      </c>
      <c r="L950" s="172" t="s">
        <v>95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587</v>
      </c>
      <c r="B951" s="176">
        <v>46039</v>
      </c>
      <c r="C951" s="172" t="s">
        <v>82</v>
      </c>
      <c r="D951" s="172" t="s">
        <v>96</v>
      </c>
      <c r="E951" s="172" t="s">
        <v>39</v>
      </c>
      <c r="F951" s="172" t="s">
        <v>88</v>
      </c>
      <c r="G951" s="172" t="s">
        <v>85</v>
      </c>
      <c r="H951" s="177">
        <v>1</v>
      </c>
      <c r="I951" s="178">
        <v>0</v>
      </c>
      <c r="J951" s="176">
        <v>46027</v>
      </c>
      <c r="K951" s="172" t="s">
        <v>94</v>
      </c>
      <c r="L951" s="172" t="s">
        <v>95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587</v>
      </c>
      <c r="B952" s="176">
        <v>46039</v>
      </c>
      <c r="C952" s="172" t="s">
        <v>93</v>
      </c>
      <c r="D952" s="172" t="s">
        <v>97</v>
      </c>
      <c r="E952" s="172" t="s">
        <v>39</v>
      </c>
      <c r="F952" s="172" t="s">
        <v>88</v>
      </c>
      <c r="G952" s="172" t="s">
        <v>85</v>
      </c>
      <c r="H952" s="177">
        <v>1</v>
      </c>
      <c r="I952" s="178">
        <v>0</v>
      </c>
      <c r="J952" s="176">
        <v>46027</v>
      </c>
      <c r="K952" s="172" t="s">
        <v>94</v>
      </c>
      <c r="L952" s="172" t="s">
        <v>95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587</v>
      </c>
      <c r="B953" s="176">
        <v>46039</v>
      </c>
      <c r="C953" s="172" t="s">
        <v>93</v>
      </c>
      <c r="D953" s="172" t="s">
        <v>98</v>
      </c>
      <c r="E953" s="172" t="s">
        <v>39</v>
      </c>
      <c r="F953" s="172" t="s">
        <v>88</v>
      </c>
      <c r="G953" s="172" t="s">
        <v>85</v>
      </c>
      <c r="H953" s="177">
        <v>1</v>
      </c>
      <c r="I953" s="178">
        <v>0</v>
      </c>
      <c r="J953" s="176">
        <v>46027</v>
      </c>
      <c r="K953" s="172" t="s">
        <v>94</v>
      </c>
      <c r="L953" s="172" t="s">
        <v>95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587</v>
      </c>
      <c r="B954" s="176">
        <v>46039</v>
      </c>
      <c r="C954" s="172" t="s">
        <v>82</v>
      </c>
      <c r="D954" s="172" t="s">
        <v>99</v>
      </c>
      <c r="E954" s="172" t="s">
        <v>39</v>
      </c>
      <c r="F954" s="172" t="s">
        <v>88</v>
      </c>
      <c r="G954" s="172" t="s">
        <v>85</v>
      </c>
      <c r="H954" s="177">
        <v>1</v>
      </c>
      <c r="I954" s="178">
        <v>0</v>
      </c>
      <c r="J954" s="176">
        <v>46027</v>
      </c>
      <c r="K954" s="172" t="s">
        <v>94</v>
      </c>
      <c r="L954" s="172" t="s">
        <v>95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586</v>
      </c>
      <c r="B955" s="176">
        <v>46039</v>
      </c>
      <c r="C955" s="172" t="s">
        <v>93</v>
      </c>
      <c r="D955" s="172" t="s">
        <v>97</v>
      </c>
      <c r="E955" s="172" t="s">
        <v>42</v>
      </c>
      <c r="F955" s="172" t="s">
        <v>84</v>
      </c>
      <c r="G955" s="172" t="s">
        <v>85</v>
      </c>
      <c r="H955" s="177">
        <v>1</v>
      </c>
      <c r="I955" s="178">
        <v>0</v>
      </c>
      <c r="J955" s="176">
        <v>46027</v>
      </c>
      <c r="K955" s="172" t="s">
        <v>94</v>
      </c>
      <c r="L955" s="172" t="s">
        <v>95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586</v>
      </c>
      <c r="B956" s="176">
        <v>46039</v>
      </c>
      <c r="C956" s="172" t="s">
        <v>93</v>
      </c>
      <c r="D956" s="172" t="s">
        <v>98</v>
      </c>
      <c r="E956" s="172" t="s">
        <v>42</v>
      </c>
      <c r="F956" s="172" t="s">
        <v>84</v>
      </c>
      <c r="G956" s="172" t="s">
        <v>85</v>
      </c>
      <c r="H956" s="177">
        <v>1</v>
      </c>
      <c r="I956" s="178">
        <v>0</v>
      </c>
      <c r="J956" s="176">
        <v>46027</v>
      </c>
      <c r="K956" s="172" t="s">
        <v>94</v>
      </c>
      <c r="L956" s="172" t="s">
        <v>95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586</v>
      </c>
      <c r="B957" s="176">
        <v>46039</v>
      </c>
      <c r="C957" s="172" t="s">
        <v>82</v>
      </c>
      <c r="D957" s="172" t="s">
        <v>99</v>
      </c>
      <c r="E957" s="172" t="s">
        <v>42</v>
      </c>
      <c r="F957" s="172" t="s">
        <v>84</v>
      </c>
      <c r="G957" s="172" t="s">
        <v>85</v>
      </c>
      <c r="H957" s="177">
        <v>1</v>
      </c>
      <c r="I957" s="178">
        <v>0</v>
      </c>
      <c r="J957" s="176">
        <v>46027</v>
      </c>
      <c r="K957" s="172" t="s">
        <v>94</v>
      </c>
      <c r="L957" s="172" t="s">
        <v>95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588</v>
      </c>
      <c r="B958" s="176">
        <v>46039</v>
      </c>
      <c r="C958" s="172" t="s">
        <v>93</v>
      </c>
      <c r="D958" s="172" t="s">
        <v>24</v>
      </c>
      <c r="E958" s="172" t="s">
        <v>42</v>
      </c>
      <c r="F958" s="172" t="s">
        <v>84</v>
      </c>
      <c r="G958" s="172" t="s">
        <v>85</v>
      </c>
      <c r="H958" s="177">
        <v>1</v>
      </c>
      <c r="I958" s="178">
        <v>1750</v>
      </c>
      <c r="J958" s="176">
        <v>46037</v>
      </c>
      <c r="K958" s="172" t="s">
        <v>94</v>
      </c>
      <c r="L958" s="172" t="s">
        <v>95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588</v>
      </c>
      <c r="B959" s="176">
        <v>46039</v>
      </c>
      <c r="C959" s="172" t="s">
        <v>101</v>
      </c>
      <c r="D959" s="172" t="s">
        <v>102</v>
      </c>
      <c r="E959" s="172" t="s">
        <v>42</v>
      </c>
      <c r="F959" s="172" t="s">
        <v>84</v>
      </c>
      <c r="G959" s="172" t="s">
        <v>85</v>
      </c>
      <c r="H959" s="177">
        <v>1</v>
      </c>
      <c r="I959" s="178">
        <v>1750</v>
      </c>
      <c r="J959" s="176">
        <v>46037</v>
      </c>
      <c r="K959" s="172" t="s">
        <v>94</v>
      </c>
      <c r="L959" s="172" t="s">
        <v>95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588</v>
      </c>
      <c r="B960" s="176">
        <v>46039</v>
      </c>
      <c r="C960" s="172" t="s">
        <v>101</v>
      </c>
      <c r="D960" s="172" t="s">
        <v>103</v>
      </c>
      <c r="E960" s="172" t="s">
        <v>42</v>
      </c>
      <c r="F960" s="172" t="s">
        <v>84</v>
      </c>
      <c r="G960" s="172" t="s">
        <v>85</v>
      </c>
      <c r="H960" s="177">
        <v>1</v>
      </c>
      <c r="I960" s="178">
        <v>1750</v>
      </c>
      <c r="J960" s="176">
        <v>46037</v>
      </c>
      <c r="K960" s="172" t="s">
        <v>94</v>
      </c>
      <c r="L960" s="172" t="s">
        <v>95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588</v>
      </c>
      <c r="B961" s="176">
        <v>46039</v>
      </c>
      <c r="C961" s="172" t="s">
        <v>101</v>
      </c>
      <c r="D961" s="172" t="s">
        <v>104</v>
      </c>
      <c r="E961" s="172" t="s">
        <v>42</v>
      </c>
      <c r="F961" s="172" t="s">
        <v>84</v>
      </c>
      <c r="G961" s="172" t="s">
        <v>85</v>
      </c>
      <c r="H961" s="177">
        <v>1</v>
      </c>
      <c r="I961" s="178">
        <v>1750</v>
      </c>
      <c r="J961" s="176">
        <v>46037</v>
      </c>
      <c r="K961" s="172" t="s">
        <v>94</v>
      </c>
      <c r="L961" s="172" t="s">
        <v>95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588</v>
      </c>
      <c r="B962" s="176">
        <v>46039</v>
      </c>
      <c r="C962" s="172" t="s">
        <v>105</v>
      </c>
      <c r="D962" s="172" t="s">
        <v>106</v>
      </c>
      <c r="E962" s="172" t="s">
        <v>42</v>
      </c>
      <c r="F962" s="172" t="s">
        <v>84</v>
      </c>
      <c r="G962" s="172" t="s">
        <v>85</v>
      </c>
      <c r="H962" s="177">
        <v>1</v>
      </c>
      <c r="I962" s="178">
        <v>1750</v>
      </c>
      <c r="J962" s="176">
        <v>46037</v>
      </c>
      <c r="K962" s="172" t="s">
        <v>94</v>
      </c>
      <c r="L962" s="172" t="s">
        <v>95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588</v>
      </c>
      <c r="B963" s="176">
        <v>46039</v>
      </c>
      <c r="C963" s="172" t="s">
        <v>82</v>
      </c>
      <c r="D963" s="172" t="s">
        <v>96</v>
      </c>
      <c r="E963" s="172" t="s">
        <v>42</v>
      </c>
      <c r="F963" s="172" t="s">
        <v>84</v>
      </c>
      <c r="G963" s="172" t="s">
        <v>85</v>
      </c>
      <c r="H963" s="177">
        <v>1</v>
      </c>
      <c r="I963" s="178">
        <v>1750</v>
      </c>
      <c r="J963" s="176">
        <v>46037</v>
      </c>
      <c r="K963" s="172" t="s">
        <v>94</v>
      </c>
      <c r="L963" s="172" t="s">
        <v>95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589</v>
      </c>
      <c r="B964" s="176">
        <v>46039</v>
      </c>
      <c r="C964" s="172" t="s">
        <v>93</v>
      </c>
      <c r="D964" s="172" t="s">
        <v>24</v>
      </c>
      <c r="E964" s="172" t="s">
        <v>39</v>
      </c>
      <c r="F964" s="172" t="s">
        <v>88</v>
      </c>
      <c r="G964" s="172" t="s">
        <v>85</v>
      </c>
      <c r="H964" s="177">
        <v>1</v>
      </c>
      <c r="I964" s="178">
        <v>1750</v>
      </c>
      <c r="J964" s="176">
        <v>46035</v>
      </c>
      <c r="K964" s="172" t="s">
        <v>94</v>
      </c>
      <c r="L964" s="172" t="s">
        <v>95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589</v>
      </c>
      <c r="B965" s="176">
        <v>46039</v>
      </c>
      <c r="C965" s="172" t="s">
        <v>101</v>
      </c>
      <c r="D965" s="172" t="s">
        <v>102</v>
      </c>
      <c r="E965" s="172" t="s">
        <v>39</v>
      </c>
      <c r="F965" s="172" t="s">
        <v>88</v>
      </c>
      <c r="G965" s="172" t="s">
        <v>85</v>
      </c>
      <c r="H965" s="177">
        <v>1</v>
      </c>
      <c r="I965" s="178">
        <v>1750</v>
      </c>
      <c r="J965" s="176">
        <v>46035</v>
      </c>
      <c r="K965" s="172" t="s">
        <v>94</v>
      </c>
      <c r="L965" s="172" t="s">
        <v>95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589</v>
      </c>
      <c r="B966" s="176">
        <v>46039</v>
      </c>
      <c r="C966" s="172" t="s">
        <v>101</v>
      </c>
      <c r="D966" s="172" t="s">
        <v>103</v>
      </c>
      <c r="E966" s="172" t="s">
        <v>39</v>
      </c>
      <c r="F966" s="172" t="s">
        <v>88</v>
      </c>
      <c r="G966" s="172" t="s">
        <v>85</v>
      </c>
      <c r="H966" s="177">
        <v>1</v>
      </c>
      <c r="I966" s="178">
        <v>1750</v>
      </c>
      <c r="J966" s="176">
        <v>46035</v>
      </c>
      <c r="K966" s="172" t="s">
        <v>94</v>
      </c>
      <c r="L966" s="172" t="s">
        <v>95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589</v>
      </c>
      <c r="B967" s="176">
        <v>46039</v>
      </c>
      <c r="C967" s="172" t="s">
        <v>101</v>
      </c>
      <c r="D967" s="172" t="s">
        <v>104</v>
      </c>
      <c r="E967" s="172" t="s">
        <v>39</v>
      </c>
      <c r="F967" s="172" t="s">
        <v>88</v>
      </c>
      <c r="G967" s="172" t="s">
        <v>85</v>
      </c>
      <c r="H967" s="177">
        <v>1</v>
      </c>
      <c r="I967" s="178">
        <v>1750</v>
      </c>
      <c r="J967" s="176">
        <v>46035</v>
      </c>
      <c r="K967" s="172" t="s">
        <v>94</v>
      </c>
      <c r="L967" s="172" t="s">
        <v>95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589</v>
      </c>
      <c r="B968" s="176">
        <v>46039</v>
      </c>
      <c r="C968" s="172" t="s">
        <v>105</v>
      </c>
      <c r="D968" s="172" t="s">
        <v>106</v>
      </c>
      <c r="E968" s="172" t="s">
        <v>39</v>
      </c>
      <c r="F968" s="172" t="s">
        <v>88</v>
      </c>
      <c r="G968" s="172" t="s">
        <v>85</v>
      </c>
      <c r="H968" s="177">
        <v>1</v>
      </c>
      <c r="I968" s="178">
        <v>1750</v>
      </c>
      <c r="J968" s="176">
        <v>46035</v>
      </c>
      <c r="K968" s="172" t="s">
        <v>94</v>
      </c>
      <c r="L968" s="172" t="s">
        <v>95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589</v>
      </c>
      <c r="B969" s="176">
        <v>46039</v>
      </c>
      <c r="C969" s="172" t="s">
        <v>82</v>
      </c>
      <c r="D969" s="172" t="s">
        <v>96</v>
      </c>
      <c r="E969" s="172" t="s">
        <v>39</v>
      </c>
      <c r="F969" s="172" t="s">
        <v>88</v>
      </c>
      <c r="G969" s="172" t="s">
        <v>85</v>
      </c>
      <c r="H969" s="177">
        <v>1</v>
      </c>
      <c r="I969" s="178">
        <v>1750</v>
      </c>
      <c r="J969" s="176">
        <v>46035</v>
      </c>
      <c r="K969" s="172" t="s">
        <v>94</v>
      </c>
      <c r="L969" s="172" t="s">
        <v>95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590</v>
      </c>
      <c r="B970" s="176">
        <v>46039</v>
      </c>
      <c r="C970" s="172" t="s">
        <v>93</v>
      </c>
      <c r="D970" s="172" t="s">
        <v>24</v>
      </c>
      <c r="E970" s="172" t="s">
        <v>53</v>
      </c>
      <c r="F970" s="172" t="s">
        <v>91</v>
      </c>
      <c r="G970" s="172" t="s">
        <v>85</v>
      </c>
      <c r="H970" s="177">
        <v>1</v>
      </c>
      <c r="I970" s="178">
        <v>2027</v>
      </c>
      <c r="J970" s="176">
        <v>46036</v>
      </c>
      <c r="K970" s="172" t="s">
        <v>94</v>
      </c>
      <c r="L970" s="172" t="s">
        <v>95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590</v>
      </c>
      <c r="B971" s="176">
        <v>46039</v>
      </c>
      <c r="C971" s="172" t="s">
        <v>101</v>
      </c>
      <c r="D971" s="172" t="s">
        <v>102</v>
      </c>
      <c r="E971" s="172" t="s">
        <v>53</v>
      </c>
      <c r="F971" s="172" t="s">
        <v>91</v>
      </c>
      <c r="G971" s="172" t="s">
        <v>85</v>
      </c>
      <c r="H971" s="177">
        <v>1</v>
      </c>
      <c r="I971" s="178">
        <v>2027</v>
      </c>
      <c r="J971" s="176">
        <v>46036</v>
      </c>
      <c r="K971" s="172" t="s">
        <v>94</v>
      </c>
      <c r="L971" s="172" t="s">
        <v>95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590</v>
      </c>
      <c r="B972" s="176">
        <v>46039</v>
      </c>
      <c r="C972" s="172" t="s">
        <v>101</v>
      </c>
      <c r="D972" s="172" t="s">
        <v>103</v>
      </c>
      <c r="E972" s="172" t="s">
        <v>53</v>
      </c>
      <c r="F972" s="172" t="s">
        <v>91</v>
      </c>
      <c r="G972" s="172" t="s">
        <v>85</v>
      </c>
      <c r="H972" s="177">
        <v>1</v>
      </c>
      <c r="I972" s="178">
        <v>2027</v>
      </c>
      <c r="J972" s="176">
        <v>46036</v>
      </c>
      <c r="K972" s="172" t="s">
        <v>94</v>
      </c>
      <c r="L972" s="172" t="s">
        <v>95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590</v>
      </c>
      <c r="B973" s="176">
        <v>46039</v>
      </c>
      <c r="C973" s="172" t="s">
        <v>101</v>
      </c>
      <c r="D973" s="172" t="s">
        <v>104</v>
      </c>
      <c r="E973" s="172" t="s">
        <v>53</v>
      </c>
      <c r="F973" s="172" t="s">
        <v>91</v>
      </c>
      <c r="G973" s="172" t="s">
        <v>85</v>
      </c>
      <c r="H973" s="177">
        <v>1</v>
      </c>
      <c r="I973" s="178">
        <v>2027</v>
      </c>
      <c r="J973" s="176">
        <v>46036</v>
      </c>
      <c r="K973" s="172" t="s">
        <v>94</v>
      </c>
      <c r="L973" s="172" t="s">
        <v>95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590</v>
      </c>
      <c r="B974" s="176">
        <v>46039</v>
      </c>
      <c r="C974" s="172" t="s">
        <v>105</v>
      </c>
      <c r="D974" s="172" t="s">
        <v>106</v>
      </c>
      <c r="E974" s="172" t="s">
        <v>53</v>
      </c>
      <c r="F974" s="172" t="s">
        <v>91</v>
      </c>
      <c r="G974" s="172" t="s">
        <v>85</v>
      </c>
      <c r="H974" s="177">
        <v>1</v>
      </c>
      <c r="I974" s="178">
        <v>2027</v>
      </c>
      <c r="J974" s="176">
        <v>46036</v>
      </c>
      <c r="K974" s="172" t="s">
        <v>94</v>
      </c>
      <c r="L974" s="172" t="s">
        <v>95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590</v>
      </c>
      <c r="B975" s="176">
        <v>46039</v>
      </c>
      <c r="C975" s="172" t="s">
        <v>82</v>
      </c>
      <c r="D975" s="172" t="s">
        <v>96</v>
      </c>
      <c r="E975" s="172" t="s">
        <v>53</v>
      </c>
      <c r="F975" s="172" t="s">
        <v>91</v>
      </c>
      <c r="G975" s="172" t="s">
        <v>85</v>
      </c>
      <c r="H975" s="177">
        <v>1</v>
      </c>
      <c r="I975" s="178">
        <v>2027</v>
      </c>
      <c r="J975" s="176">
        <v>46036</v>
      </c>
      <c r="K975" s="172" t="s">
        <v>94</v>
      </c>
      <c r="L975" s="172" t="s">
        <v>95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588</v>
      </c>
      <c r="B976" s="176">
        <v>46039</v>
      </c>
      <c r="C976" s="172" t="s">
        <v>82</v>
      </c>
      <c r="D976" s="172" t="s">
        <v>83</v>
      </c>
      <c r="E976" s="172" t="s">
        <v>42</v>
      </c>
      <c r="F976" s="172" t="s">
        <v>84</v>
      </c>
      <c r="G976" s="172" t="s">
        <v>85</v>
      </c>
      <c r="H976" s="177">
        <v>1</v>
      </c>
      <c r="I976" s="178">
        <v>0</v>
      </c>
      <c r="J976" s="176">
        <v>46037</v>
      </c>
      <c r="K976" s="172" t="s">
        <v>86</v>
      </c>
      <c r="L976" s="172" t="s">
        <v>86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591</v>
      </c>
      <c r="B977" s="176">
        <v>46039</v>
      </c>
      <c r="C977" s="172" t="s">
        <v>93</v>
      </c>
      <c r="D977" s="172" t="s">
        <v>24</v>
      </c>
      <c r="E977" s="172" t="s">
        <v>54</v>
      </c>
      <c r="F977" s="172" t="s">
        <v>121</v>
      </c>
      <c r="G977" s="172" t="s">
        <v>85</v>
      </c>
      <c r="H977" s="177">
        <v>1</v>
      </c>
      <c r="I977" s="178">
        <v>1845</v>
      </c>
      <c r="J977" s="176">
        <v>46030</v>
      </c>
      <c r="K977" s="172" t="s">
        <v>94</v>
      </c>
      <c r="L977" s="172" t="s">
        <v>95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591</v>
      </c>
      <c r="B978" s="176">
        <v>46039</v>
      </c>
      <c r="C978" s="172" t="s">
        <v>101</v>
      </c>
      <c r="D978" s="172" t="s">
        <v>102</v>
      </c>
      <c r="E978" s="172" t="s">
        <v>54</v>
      </c>
      <c r="F978" s="172" t="s">
        <v>121</v>
      </c>
      <c r="G978" s="172" t="s">
        <v>85</v>
      </c>
      <c r="H978" s="177">
        <v>1</v>
      </c>
      <c r="I978" s="178">
        <v>1845</v>
      </c>
      <c r="J978" s="176">
        <v>46030</v>
      </c>
      <c r="K978" s="172" t="s">
        <v>94</v>
      </c>
      <c r="L978" s="172" t="s">
        <v>95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591</v>
      </c>
      <c r="B979" s="176">
        <v>46039</v>
      </c>
      <c r="C979" s="172" t="s">
        <v>101</v>
      </c>
      <c r="D979" s="172" t="s">
        <v>103</v>
      </c>
      <c r="E979" s="172" t="s">
        <v>54</v>
      </c>
      <c r="F979" s="172" t="s">
        <v>121</v>
      </c>
      <c r="G979" s="172" t="s">
        <v>85</v>
      </c>
      <c r="H979" s="177">
        <v>1</v>
      </c>
      <c r="I979" s="178">
        <v>1845</v>
      </c>
      <c r="J979" s="176">
        <v>46030</v>
      </c>
      <c r="K979" s="172" t="s">
        <v>94</v>
      </c>
      <c r="L979" s="172" t="s">
        <v>95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591</v>
      </c>
      <c r="B980" s="176">
        <v>46039</v>
      </c>
      <c r="C980" s="172" t="s">
        <v>101</v>
      </c>
      <c r="D980" s="172" t="s">
        <v>104</v>
      </c>
      <c r="E980" s="172" t="s">
        <v>54</v>
      </c>
      <c r="F980" s="172" t="s">
        <v>121</v>
      </c>
      <c r="G980" s="172" t="s">
        <v>85</v>
      </c>
      <c r="H980" s="177">
        <v>1</v>
      </c>
      <c r="I980" s="178">
        <v>1845</v>
      </c>
      <c r="J980" s="176">
        <v>46030</v>
      </c>
      <c r="K980" s="172" t="s">
        <v>94</v>
      </c>
      <c r="L980" s="172" t="s">
        <v>95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591</v>
      </c>
      <c r="B981" s="176">
        <v>46039</v>
      </c>
      <c r="C981" s="172" t="s">
        <v>105</v>
      </c>
      <c r="D981" s="172" t="s">
        <v>106</v>
      </c>
      <c r="E981" s="172" t="s">
        <v>54</v>
      </c>
      <c r="F981" s="172" t="s">
        <v>121</v>
      </c>
      <c r="G981" s="172" t="s">
        <v>85</v>
      </c>
      <c r="H981" s="177">
        <v>1</v>
      </c>
      <c r="I981" s="178">
        <v>1845</v>
      </c>
      <c r="J981" s="176">
        <v>46030</v>
      </c>
      <c r="K981" s="172" t="s">
        <v>94</v>
      </c>
      <c r="L981" s="172" t="s">
        <v>95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591</v>
      </c>
      <c r="B982" s="176">
        <v>46039</v>
      </c>
      <c r="C982" s="172" t="s">
        <v>82</v>
      </c>
      <c r="D982" s="172" t="s">
        <v>96</v>
      </c>
      <c r="E982" s="172" t="s">
        <v>54</v>
      </c>
      <c r="F982" s="172" t="s">
        <v>121</v>
      </c>
      <c r="G982" s="172" t="s">
        <v>85</v>
      </c>
      <c r="H982" s="177">
        <v>1</v>
      </c>
      <c r="I982" s="178">
        <v>1845</v>
      </c>
      <c r="J982" s="176">
        <v>46030</v>
      </c>
      <c r="K982" s="172" t="s">
        <v>94</v>
      </c>
      <c r="L982" s="172" t="s">
        <v>95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592</v>
      </c>
      <c r="B983" s="176">
        <v>46039</v>
      </c>
      <c r="C983" s="172" t="s">
        <v>93</v>
      </c>
      <c r="D983" s="172" t="s">
        <v>24</v>
      </c>
      <c r="E983" s="172" t="s">
        <v>54</v>
      </c>
      <c r="F983" s="172" t="s">
        <v>121</v>
      </c>
      <c r="G983" s="172" t="s">
        <v>85</v>
      </c>
      <c r="H983" s="177">
        <v>1</v>
      </c>
      <c r="I983" s="178">
        <v>1845</v>
      </c>
      <c r="J983" s="176">
        <v>46036</v>
      </c>
      <c r="K983" s="172" t="s">
        <v>94</v>
      </c>
      <c r="L983" s="172" t="s">
        <v>95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592</v>
      </c>
      <c r="B984" s="176">
        <v>46039</v>
      </c>
      <c r="C984" s="172" t="s">
        <v>101</v>
      </c>
      <c r="D984" s="172" t="s">
        <v>102</v>
      </c>
      <c r="E984" s="172" t="s">
        <v>54</v>
      </c>
      <c r="F984" s="172" t="s">
        <v>121</v>
      </c>
      <c r="G984" s="172" t="s">
        <v>85</v>
      </c>
      <c r="H984" s="177">
        <v>1</v>
      </c>
      <c r="I984" s="178">
        <v>1845</v>
      </c>
      <c r="J984" s="176">
        <v>46036</v>
      </c>
      <c r="K984" s="172" t="s">
        <v>94</v>
      </c>
      <c r="L984" s="172" t="s">
        <v>95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592</v>
      </c>
      <c r="B985" s="176">
        <v>46039</v>
      </c>
      <c r="C985" s="172" t="s">
        <v>101</v>
      </c>
      <c r="D985" s="172" t="s">
        <v>103</v>
      </c>
      <c r="E985" s="172" t="s">
        <v>54</v>
      </c>
      <c r="F985" s="172" t="s">
        <v>121</v>
      </c>
      <c r="G985" s="172" t="s">
        <v>85</v>
      </c>
      <c r="H985" s="177">
        <v>1</v>
      </c>
      <c r="I985" s="178">
        <v>1845</v>
      </c>
      <c r="J985" s="176">
        <v>46036</v>
      </c>
      <c r="K985" s="172" t="s">
        <v>94</v>
      </c>
      <c r="L985" s="172" t="s">
        <v>95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592</v>
      </c>
      <c r="B986" s="176">
        <v>46039</v>
      </c>
      <c r="C986" s="172" t="s">
        <v>101</v>
      </c>
      <c r="D986" s="172" t="s">
        <v>104</v>
      </c>
      <c r="E986" s="172" t="s">
        <v>54</v>
      </c>
      <c r="F986" s="172" t="s">
        <v>121</v>
      </c>
      <c r="G986" s="172" t="s">
        <v>85</v>
      </c>
      <c r="H986" s="177">
        <v>1</v>
      </c>
      <c r="I986" s="178">
        <v>1845</v>
      </c>
      <c r="J986" s="176">
        <v>46036</v>
      </c>
      <c r="K986" s="172" t="s">
        <v>94</v>
      </c>
      <c r="L986" s="172" t="s">
        <v>95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592</v>
      </c>
      <c r="B987" s="176">
        <v>46039</v>
      </c>
      <c r="C987" s="172" t="s">
        <v>105</v>
      </c>
      <c r="D987" s="172" t="s">
        <v>106</v>
      </c>
      <c r="E987" s="172" t="s">
        <v>54</v>
      </c>
      <c r="F987" s="172" t="s">
        <v>121</v>
      </c>
      <c r="G987" s="172" t="s">
        <v>85</v>
      </c>
      <c r="H987" s="177">
        <v>1</v>
      </c>
      <c r="I987" s="178">
        <v>1845</v>
      </c>
      <c r="J987" s="176">
        <v>46036</v>
      </c>
      <c r="K987" s="172" t="s">
        <v>94</v>
      </c>
      <c r="L987" s="172" t="s">
        <v>95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592</v>
      </c>
      <c r="B988" s="176">
        <v>46039</v>
      </c>
      <c r="C988" s="172" t="s">
        <v>82</v>
      </c>
      <c r="D988" s="172" t="s">
        <v>96</v>
      </c>
      <c r="E988" s="172" t="s">
        <v>54</v>
      </c>
      <c r="F988" s="172" t="s">
        <v>121</v>
      </c>
      <c r="G988" s="172" t="s">
        <v>85</v>
      </c>
      <c r="H988" s="177">
        <v>1</v>
      </c>
      <c r="I988" s="178">
        <v>1845</v>
      </c>
      <c r="J988" s="176">
        <v>46036</v>
      </c>
      <c r="K988" s="172" t="s">
        <v>94</v>
      </c>
      <c r="L988" s="172" t="s">
        <v>95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592</v>
      </c>
      <c r="B989" s="176">
        <v>46039</v>
      </c>
      <c r="C989" s="172" t="s">
        <v>82</v>
      </c>
      <c r="D989" s="172" t="s">
        <v>83</v>
      </c>
      <c r="E989" s="172" t="s">
        <v>54</v>
      </c>
      <c r="F989" s="172" t="s">
        <v>121</v>
      </c>
      <c r="G989" s="172" t="s">
        <v>85</v>
      </c>
      <c r="H989" s="177">
        <v>1</v>
      </c>
      <c r="I989" s="178">
        <v>0</v>
      </c>
      <c r="J989" s="176">
        <v>46036</v>
      </c>
      <c r="K989" s="172" t="s">
        <v>86</v>
      </c>
      <c r="L989" s="172" t="s">
        <v>86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593</v>
      </c>
      <c r="B990" s="176">
        <v>46039</v>
      </c>
      <c r="C990" s="172" t="s">
        <v>93</v>
      </c>
      <c r="D990" s="172" t="s">
        <v>24</v>
      </c>
      <c r="E990" s="172" t="s">
        <v>42</v>
      </c>
      <c r="F990" s="172" t="s">
        <v>84</v>
      </c>
      <c r="G990" s="172" t="s">
        <v>85</v>
      </c>
      <c r="H990" s="177">
        <v>1</v>
      </c>
      <c r="I990" s="178">
        <v>1750</v>
      </c>
      <c r="J990" s="176">
        <v>46035</v>
      </c>
      <c r="K990" s="172" t="s">
        <v>94</v>
      </c>
      <c r="L990" s="172" t="s">
        <v>95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593</v>
      </c>
      <c r="B991" s="176">
        <v>46039</v>
      </c>
      <c r="C991" s="172" t="s">
        <v>101</v>
      </c>
      <c r="D991" s="172" t="s">
        <v>102</v>
      </c>
      <c r="E991" s="172" t="s">
        <v>42</v>
      </c>
      <c r="F991" s="172" t="s">
        <v>84</v>
      </c>
      <c r="G991" s="172" t="s">
        <v>85</v>
      </c>
      <c r="H991" s="177">
        <v>1</v>
      </c>
      <c r="I991" s="178">
        <v>1750</v>
      </c>
      <c r="J991" s="176">
        <v>46035</v>
      </c>
      <c r="K991" s="172" t="s">
        <v>94</v>
      </c>
      <c r="L991" s="172" t="s">
        <v>95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593</v>
      </c>
      <c r="B992" s="176">
        <v>46039</v>
      </c>
      <c r="C992" s="172" t="s">
        <v>101</v>
      </c>
      <c r="D992" s="172" t="s">
        <v>103</v>
      </c>
      <c r="E992" s="172" t="s">
        <v>42</v>
      </c>
      <c r="F992" s="172" t="s">
        <v>84</v>
      </c>
      <c r="G992" s="172" t="s">
        <v>85</v>
      </c>
      <c r="H992" s="177">
        <v>1</v>
      </c>
      <c r="I992" s="178">
        <v>1750</v>
      </c>
      <c r="J992" s="176">
        <v>46035</v>
      </c>
      <c r="K992" s="172" t="s">
        <v>94</v>
      </c>
      <c r="L992" s="172" t="s">
        <v>95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593</v>
      </c>
      <c r="B993" s="176">
        <v>46039</v>
      </c>
      <c r="C993" s="172" t="s">
        <v>101</v>
      </c>
      <c r="D993" s="172" t="s">
        <v>104</v>
      </c>
      <c r="E993" s="172" t="s">
        <v>42</v>
      </c>
      <c r="F993" s="172" t="s">
        <v>84</v>
      </c>
      <c r="G993" s="172" t="s">
        <v>85</v>
      </c>
      <c r="H993" s="177">
        <v>1</v>
      </c>
      <c r="I993" s="178">
        <v>1750</v>
      </c>
      <c r="J993" s="176">
        <v>46035</v>
      </c>
      <c r="K993" s="172" t="s">
        <v>94</v>
      </c>
      <c r="L993" s="172" t="s">
        <v>95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593</v>
      </c>
      <c r="B994" s="176">
        <v>46039</v>
      </c>
      <c r="C994" s="172" t="s">
        <v>105</v>
      </c>
      <c r="D994" s="172" t="s">
        <v>106</v>
      </c>
      <c r="E994" s="172" t="s">
        <v>42</v>
      </c>
      <c r="F994" s="172" t="s">
        <v>84</v>
      </c>
      <c r="G994" s="172" t="s">
        <v>85</v>
      </c>
      <c r="H994" s="177">
        <v>1</v>
      </c>
      <c r="I994" s="178">
        <v>1750</v>
      </c>
      <c r="J994" s="176">
        <v>46035</v>
      </c>
      <c r="K994" s="172" t="s">
        <v>94</v>
      </c>
      <c r="L994" s="172" t="s">
        <v>95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593</v>
      </c>
      <c r="B995" s="176">
        <v>46039</v>
      </c>
      <c r="C995" s="172" t="s">
        <v>82</v>
      </c>
      <c r="D995" s="172" t="s">
        <v>96</v>
      </c>
      <c r="E995" s="172" t="s">
        <v>42</v>
      </c>
      <c r="F995" s="172" t="s">
        <v>84</v>
      </c>
      <c r="G995" s="172" t="s">
        <v>85</v>
      </c>
      <c r="H995" s="177">
        <v>1</v>
      </c>
      <c r="I995" s="178">
        <v>1750</v>
      </c>
      <c r="J995" s="176">
        <v>46035</v>
      </c>
      <c r="K995" s="172" t="s">
        <v>94</v>
      </c>
      <c r="L995" s="172" t="s">
        <v>95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594</v>
      </c>
      <c r="B996" s="176">
        <v>46039</v>
      </c>
      <c r="C996" s="172" t="s">
        <v>93</v>
      </c>
      <c r="D996" s="172" t="s">
        <v>24</v>
      </c>
      <c r="E996" s="172" t="s">
        <v>54</v>
      </c>
      <c r="F996" s="172" t="s">
        <v>121</v>
      </c>
      <c r="G996" s="172" t="s">
        <v>85</v>
      </c>
      <c r="H996" s="177">
        <v>1</v>
      </c>
      <c r="I996" s="178">
        <v>1845</v>
      </c>
      <c r="J996" s="176">
        <v>46035</v>
      </c>
      <c r="K996" s="172" t="s">
        <v>94</v>
      </c>
      <c r="L996" s="172" t="s">
        <v>95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594</v>
      </c>
      <c r="B997" s="176">
        <v>46039</v>
      </c>
      <c r="C997" s="172" t="s">
        <v>101</v>
      </c>
      <c r="D997" s="172" t="s">
        <v>102</v>
      </c>
      <c r="E997" s="172" t="s">
        <v>54</v>
      </c>
      <c r="F997" s="172" t="s">
        <v>121</v>
      </c>
      <c r="G997" s="172" t="s">
        <v>85</v>
      </c>
      <c r="H997" s="177">
        <v>1</v>
      </c>
      <c r="I997" s="178">
        <v>1845</v>
      </c>
      <c r="J997" s="176">
        <v>46035</v>
      </c>
      <c r="K997" s="172" t="s">
        <v>94</v>
      </c>
      <c r="L997" s="172" t="s">
        <v>95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594</v>
      </c>
      <c r="B998" s="176">
        <v>46039</v>
      </c>
      <c r="C998" s="172" t="s">
        <v>101</v>
      </c>
      <c r="D998" s="172" t="s">
        <v>103</v>
      </c>
      <c r="E998" s="172" t="s">
        <v>54</v>
      </c>
      <c r="F998" s="172" t="s">
        <v>121</v>
      </c>
      <c r="G998" s="172" t="s">
        <v>85</v>
      </c>
      <c r="H998" s="177">
        <v>1</v>
      </c>
      <c r="I998" s="178">
        <v>1845</v>
      </c>
      <c r="J998" s="176">
        <v>46035</v>
      </c>
      <c r="K998" s="172" t="s">
        <v>94</v>
      </c>
      <c r="L998" s="172" t="s">
        <v>95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594</v>
      </c>
      <c r="B999" s="176">
        <v>46039</v>
      </c>
      <c r="C999" s="172" t="s">
        <v>101</v>
      </c>
      <c r="D999" s="172" t="s">
        <v>104</v>
      </c>
      <c r="E999" s="172" t="s">
        <v>54</v>
      </c>
      <c r="F999" s="172" t="s">
        <v>121</v>
      </c>
      <c r="G999" s="172" t="s">
        <v>85</v>
      </c>
      <c r="H999" s="177">
        <v>1</v>
      </c>
      <c r="I999" s="178">
        <v>1845</v>
      </c>
      <c r="J999" s="176">
        <v>46035</v>
      </c>
      <c r="K999" s="172" t="s">
        <v>94</v>
      </c>
      <c r="L999" s="172" t="s">
        <v>95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594</v>
      </c>
      <c r="B1000" s="176">
        <v>46039</v>
      </c>
      <c r="C1000" s="172" t="s">
        <v>105</v>
      </c>
      <c r="D1000" s="172" t="s">
        <v>106</v>
      </c>
      <c r="E1000" s="172" t="s">
        <v>54</v>
      </c>
      <c r="F1000" s="172" t="s">
        <v>121</v>
      </c>
      <c r="G1000" s="172" t="s">
        <v>85</v>
      </c>
      <c r="H1000" s="177">
        <v>1</v>
      </c>
      <c r="I1000" s="178">
        <v>1845</v>
      </c>
      <c r="J1000" s="176">
        <v>46035</v>
      </c>
      <c r="K1000" s="172" t="s">
        <v>94</v>
      </c>
      <c r="L1000" s="172" t="s">
        <v>95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594</v>
      </c>
      <c r="B1001" s="176">
        <v>46039</v>
      </c>
      <c r="C1001" s="172" t="s">
        <v>82</v>
      </c>
      <c r="D1001" s="172" t="s">
        <v>96</v>
      </c>
      <c r="E1001" s="172" t="s">
        <v>54</v>
      </c>
      <c r="F1001" s="172" t="s">
        <v>121</v>
      </c>
      <c r="G1001" s="172" t="s">
        <v>85</v>
      </c>
      <c r="H1001" s="177">
        <v>1</v>
      </c>
      <c r="I1001" s="178">
        <v>1845</v>
      </c>
      <c r="J1001" s="176">
        <v>46035</v>
      </c>
      <c r="K1001" s="172" t="s">
        <v>94</v>
      </c>
      <c r="L1001" s="172" t="s">
        <v>95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595</v>
      </c>
      <c r="B1002" s="176">
        <v>46039</v>
      </c>
      <c r="C1002" s="172" t="s">
        <v>93</v>
      </c>
      <c r="D1002" s="172" t="s">
        <v>24</v>
      </c>
      <c r="E1002" s="172" t="s">
        <v>54</v>
      </c>
      <c r="F1002" s="172" t="s">
        <v>121</v>
      </c>
      <c r="G1002" s="172" t="s">
        <v>85</v>
      </c>
      <c r="H1002" s="177">
        <v>1</v>
      </c>
      <c r="I1002" s="178">
        <v>1845</v>
      </c>
      <c r="J1002" s="176">
        <v>46033</v>
      </c>
      <c r="K1002" s="172" t="s">
        <v>94</v>
      </c>
      <c r="L1002" s="172" t="s">
        <v>95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595</v>
      </c>
      <c r="B1003" s="176">
        <v>46039</v>
      </c>
      <c r="C1003" s="172" t="s">
        <v>101</v>
      </c>
      <c r="D1003" s="172" t="s">
        <v>102</v>
      </c>
      <c r="E1003" s="172" t="s">
        <v>54</v>
      </c>
      <c r="F1003" s="172" t="s">
        <v>121</v>
      </c>
      <c r="G1003" s="172" t="s">
        <v>85</v>
      </c>
      <c r="H1003" s="177">
        <v>1</v>
      </c>
      <c r="I1003" s="178">
        <v>1845</v>
      </c>
      <c r="J1003" s="176">
        <v>46033</v>
      </c>
      <c r="K1003" s="172" t="s">
        <v>94</v>
      </c>
      <c r="L1003" s="172" t="s">
        <v>95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595</v>
      </c>
      <c r="B1004" s="176">
        <v>46039</v>
      </c>
      <c r="C1004" s="172" t="s">
        <v>101</v>
      </c>
      <c r="D1004" s="172" t="s">
        <v>103</v>
      </c>
      <c r="E1004" s="172" t="s">
        <v>54</v>
      </c>
      <c r="F1004" s="172" t="s">
        <v>121</v>
      </c>
      <c r="G1004" s="172" t="s">
        <v>85</v>
      </c>
      <c r="H1004" s="177">
        <v>1</v>
      </c>
      <c r="I1004" s="178">
        <v>1845</v>
      </c>
      <c r="J1004" s="176">
        <v>46033</v>
      </c>
      <c r="K1004" s="172" t="s">
        <v>94</v>
      </c>
      <c r="L1004" s="172" t="s">
        <v>95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595</v>
      </c>
      <c r="B1005" s="176">
        <v>46039</v>
      </c>
      <c r="C1005" s="172" t="s">
        <v>101</v>
      </c>
      <c r="D1005" s="172" t="s">
        <v>104</v>
      </c>
      <c r="E1005" s="172" t="s">
        <v>54</v>
      </c>
      <c r="F1005" s="172" t="s">
        <v>121</v>
      </c>
      <c r="G1005" s="172" t="s">
        <v>85</v>
      </c>
      <c r="H1005" s="177">
        <v>1</v>
      </c>
      <c r="I1005" s="178">
        <v>1845</v>
      </c>
      <c r="J1005" s="176">
        <v>46033</v>
      </c>
      <c r="K1005" s="172" t="s">
        <v>94</v>
      </c>
      <c r="L1005" s="172" t="s">
        <v>95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595</v>
      </c>
      <c r="B1006" s="176">
        <v>46039</v>
      </c>
      <c r="C1006" s="172" t="s">
        <v>105</v>
      </c>
      <c r="D1006" s="172" t="s">
        <v>106</v>
      </c>
      <c r="E1006" s="172" t="s">
        <v>54</v>
      </c>
      <c r="F1006" s="172" t="s">
        <v>121</v>
      </c>
      <c r="G1006" s="172" t="s">
        <v>85</v>
      </c>
      <c r="H1006" s="177">
        <v>1</v>
      </c>
      <c r="I1006" s="178">
        <v>1845</v>
      </c>
      <c r="J1006" s="176">
        <v>46033</v>
      </c>
      <c r="K1006" s="172" t="s">
        <v>94</v>
      </c>
      <c r="L1006" s="172" t="s">
        <v>95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595</v>
      </c>
      <c r="B1007" s="176">
        <v>46039</v>
      </c>
      <c r="C1007" s="172" t="s">
        <v>82</v>
      </c>
      <c r="D1007" s="172" t="s">
        <v>96</v>
      </c>
      <c r="E1007" s="172" t="s">
        <v>54</v>
      </c>
      <c r="F1007" s="172" t="s">
        <v>121</v>
      </c>
      <c r="G1007" s="172" t="s">
        <v>85</v>
      </c>
      <c r="H1007" s="177">
        <v>1</v>
      </c>
      <c r="I1007" s="178">
        <v>1845</v>
      </c>
      <c r="J1007" s="176">
        <v>46033</v>
      </c>
      <c r="K1007" s="172" t="s">
        <v>94</v>
      </c>
      <c r="L1007" s="172" t="s">
        <v>95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593</v>
      </c>
      <c r="B1008" s="176">
        <v>46039</v>
      </c>
      <c r="C1008" s="172" t="s">
        <v>82</v>
      </c>
      <c r="D1008" s="172" t="s">
        <v>83</v>
      </c>
      <c r="E1008" s="172" t="s">
        <v>42</v>
      </c>
      <c r="F1008" s="172" t="s">
        <v>84</v>
      </c>
      <c r="G1008" s="172" t="s">
        <v>85</v>
      </c>
      <c r="H1008" s="177">
        <v>1</v>
      </c>
      <c r="I1008" s="178">
        <v>0</v>
      </c>
      <c r="J1008" s="176">
        <v>46035</v>
      </c>
      <c r="K1008" s="172" t="s">
        <v>86</v>
      </c>
      <c r="L1008" s="172" t="s">
        <v>86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594</v>
      </c>
      <c r="B1009" s="176">
        <v>46039</v>
      </c>
      <c r="C1009" s="172" t="s">
        <v>82</v>
      </c>
      <c r="D1009" s="172" t="s">
        <v>83</v>
      </c>
      <c r="E1009" s="172" t="s">
        <v>54</v>
      </c>
      <c r="F1009" s="172" t="s">
        <v>121</v>
      </c>
      <c r="G1009" s="172" t="s">
        <v>85</v>
      </c>
      <c r="H1009" s="177">
        <v>1</v>
      </c>
      <c r="I1009" s="178">
        <v>0</v>
      </c>
      <c r="J1009" s="176">
        <v>46035</v>
      </c>
      <c r="K1009" s="172" t="s">
        <v>86</v>
      </c>
      <c r="L1009" s="172" t="s">
        <v>86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596</v>
      </c>
      <c r="B1010" s="176">
        <v>46039</v>
      </c>
      <c r="C1010" s="172" t="s">
        <v>93</v>
      </c>
      <c r="D1010" s="172" t="s">
        <v>24</v>
      </c>
      <c r="E1010" s="172" t="s">
        <v>43</v>
      </c>
      <c r="F1010" s="172" t="s">
        <v>90</v>
      </c>
      <c r="G1010" s="172" t="s">
        <v>85</v>
      </c>
      <c r="H1010" s="177">
        <v>1</v>
      </c>
      <c r="I1010" s="178">
        <v>1600</v>
      </c>
      <c r="J1010" s="176">
        <v>46028</v>
      </c>
      <c r="K1010" s="172" t="s">
        <v>94</v>
      </c>
      <c r="L1010" s="172" t="s">
        <v>95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596</v>
      </c>
      <c r="B1011" s="176">
        <v>46039</v>
      </c>
      <c r="C1011" s="172" t="s">
        <v>101</v>
      </c>
      <c r="D1011" s="172" t="s">
        <v>102</v>
      </c>
      <c r="E1011" s="172" t="s">
        <v>43</v>
      </c>
      <c r="F1011" s="172" t="s">
        <v>90</v>
      </c>
      <c r="G1011" s="172" t="s">
        <v>85</v>
      </c>
      <c r="H1011" s="177">
        <v>1</v>
      </c>
      <c r="I1011" s="178">
        <v>1600</v>
      </c>
      <c r="J1011" s="176">
        <v>46028</v>
      </c>
      <c r="K1011" s="172" t="s">
        <v>94</v>
      </c>
      <c r="L1011" s="172" t="s">
        <v>95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596</v>
      </c>
      <c r="B1012" s="176">
        <v>46039</v>
      </c>
      <c r="C1012" s="172" t="s">
        <v>101</v>
      </c>
      <c r="D1012" s="172" t="s">
        <v>103</v>
      </c>
      <c r="E1012" s="172" t="s">
        <v>43</v>
      </c>
      <c r="F1012" s="172" t="s">
        <v>90</v>
      </c>
      <c r="G1012" s="172" t="s">
        <v>85</v>
      </c>
      <c r="H1012" s="177">
        <v>1</v>
      </c>
      <c r="I1012" s="178">
        <v>1600</v>
      </c>
      <c r="J1012" s="176">
        <v>46028</v>
      </c>
      <c r="K1012" s="172" t="s">
        <v>94</v>
      </c>
      <c r="L1012" s="172" t="s">
        <v>95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596</v>
      </c>
      <c r="B1013" s="176">
        <v>46039</v>
      </c>
      <c r="C1013" s="172" t="s">
        <v>101</v>
      </c>
      <c r="D1013" s="172" t="s">
        <v>104</v>
      </c>
      <c r="E1013" s="172" t="s">
        <v>43</v>
      </c>
      <c r="F1013" s="172" t="s">
        <v>90</v>
      </c>
      <c r="G1013" s="172" t="s">
        <v>85</v>
      </c>
      <c r="H1013" s="177">
        <v>1</v>
      </c>
      <c r="I1013" s="178">
        <v>1600</v>
      </c>
      <c r="J1013" s="176">
        <v>46028</v>
      </c>
      <c r="K1013" s="172" t="s">
        <v>94</v>
      </c>
      <c r="L1013" s="172" t="s">
        <v>95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596</v>
      </c>
      <c r="B1014" s="176">
        <v>46039</v>
      </c>
      <c r="C1014" s="172" t="s">
        <v>105</v>
      </c>
      <c r="D1014" s="172" t="s">
        <v>106</v>
      </c>
      <c r="E1014" s="172" t="s">
        <v>43</v>
      </c>
      <c r="F1014" s="172" t="s">
        <v>90</v>
      </c>
      <c r="G1014" s="172" t="s">
        <v>85</v>
      </c>
      <c r="H1014" s="177">
        <v>1</v>
      </c>
      <c r="I1014" s="178">
        <v>1600</v>
      </c>
      <c r="J1014" s="176">
        <v>46028</v>
      </c>
      <c r="K1014" s="172" t="s">
        <v>94</v>
      </c>
      <c r="L1014" s="172" t="s">
        <v>95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596</v>
      </c>
      <c r="B1015" s="176">
        <v>46039</v>
      </c>
      <c r="C1015" s="172" t="s">
        <v>82</v>
      </c>
      <c r="D1015" s="172" t="s">
        <v>96</v>
      </c>
      <c r="E1015" s="172" t="s">
        <v>43</v>
      </c>
      <c r="F1015" s="172" t="s">
        <v>90</v>
      </c>
      <c r="G1015" s="172" t="s">
        <v>85</v>
      </c>
      <c r="H1015" s="177">
        <v>1</v>
      </c>
      <c r="I1015" s="178">
        <v>1600</v>
      </c>
      <c r="J1015" s="176">
        <v>46028</v>
      </c>
      <c r="K1015" s="172" t="s">
        <v>94</v>
      </c>
      <c r="L1015" s="172" t="s">
        <v>95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597</v>
      </c>
      <c r="B1016" s="176">
        <v>46039</v>
      </c>
      <c r="C1016" s="172" t="s">
        <v>93</v>
      </c>
      <c r="D1016" s="172" t="s">
        <v>24</v>
      </c>
      <c r="E1016" s="172" t="s">
        <v>54</v>
      </c>
      <c r="F1016" s="172" t="s">
        <v>121</v>
      </c>
      <c r="G1016" s="172" t="s">
        <v>85</v>
      </c>
      <c r="H1016" s="177">
        <v>1</v>
      </c>
      <c r="I1016" s="178">
        <v>1845</v>
      </c>
      <c r="J1016" s="176">
        <v>46032</v>
      </c>
      <c r="K1016" s="172" t="s">
        <v>94</v>
      </c>
      <c r="L1016" s="172" t="s">
        <v>95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597</v>
      </c>
      <c r="B1017" s="176">
        <v>46039</v>
      </c>
      <c r="C1017" s="172" t="s">
        <v>101</v>
      </c>
      <c r="D1017" s="172" t="s">
        <v>102</v>
      </c>
      <c r="E1017" s="172" t="s">
        <v>54</v>
      </c>
      <c r="F1017" s="172" t="s">
        <v>121</v>
      </c>
      <c r="G1017" s="172" t="s">
        <v>85</v>
      </c>
      <c r="H1017" s="177">
        <v>1</v>
      </c>
      <c r="I1017" s="178">
        <v>1845</v>
      </c>
      <c r="J1017" s="176">
        <v>46032</v>
      </c>
      <c r="K1017" s="172" t="s">
        <v>94</v>
      </c>
      <c r="L1017" s="172" t="s">
        <v>95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597</v>
      </c>
      <c r="B1018" s="176">
        <v>46039</v>
      </c>
      <c r="C1018" s="172" t="s">
        <v>101</v>
      </c>
      <c r="D1018" s="172" t="s">
        <v>103</v>
      </c>
      <c r="E1018" s="172" t="s">
        <v>54</v>
      </c>
      <c r="F1018" s="172" t="s">
        <v>121</v>
      </c>
      <c r="G1018" s="172" t="s">
        <v>85</v>
      </c>
      <c r="H1018" s="177">
        <v>1</v>
      </c>
      <c r="I1018" s="178">
        <v>1845</v>
      </c>
      <c r="J1018" s="176">
        <v>46032</v>
      </c>
      <c r="K1018" s="172" t="s">
        <v>94</v>
      </c>
      <c r="L1018" s="172" t="s">
        <v>95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597</v>
      </c>
      <c r="B1019" s="176">
        <v>46039</v>
      </c>
      <c r="C1019" s="172" t="s">
        <v>101</v>
      </c>
      <c r="D1019" s="172" t="s">
        <v>104</v>
      </c>
      <c r="E1019" s="172" t="s">
        <v>54</v>
      </c>
      <c r="F1019" s="172" t="s">
        <v>121</v>
      </c>
      <c r="G1019" s="172" t="s">
        <v>85</v>
      </c>
      <c r="H1019" s="177">
        <v>1</v>
      </c>
      <c r="I1019" s="178">
        <v>1845</v>
      </c>
      <c r="J1019" s="176">
        <v>46032</v>
      </c>
      <c r="K1019" s="172" t="s">
        <v>94</v>
      </c>
      <c r="L1019" s="172" t="s">
        <v>95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597</v>
      </c>
      <c r="B1020" s="176">
        <v>46039</v>
      </c>
      <c r="C1020" s="172" t="s">
        <v>105</v>
      </c>
      <c r="D1020" s="172" t="s">
        <v>106</v>
      </c>
      <c r="E1020" s="172" t="s">
        <v>54</v>
      </c>
      <c r="F1020" s="172" t="s">
        <v>121</v>
      </c>
      <c r="G1020" s="172" t="s">
        <v>85</v>
      </c>
      <c r="H1020" s="177">
        <v>1</v>
      </c>
      <c r="I1020" s="178">
        <v>1845</v>
      </c>
      <c r="J1020" s="176">
        <v>46032</v>
      </c>
      <c r="K1020" s="172" t="s">
        <v>94</v>
      </c>
      <c r="L1020" s="172" t="s">
        <v>95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597</v>
      </c>
      <c r="B1021" s="176">
        <v>46039</v>
      </c>
      <c r="C1021" s="172" t="s">
        <v>82</v>
      </c>
      <c r="D1021" s="172" t="s">
        <v>96</v>
      </c>
      <c r="E1021" s="172" t="s">
        <v>54</v>
      </c>
      <c r="F1021" s="172" t="s">
        <v>121</v>
      </c>
      <c r="G1021" s="172" t="s">
        <v>85</v>
      </c>
      <c r="H1021" s="177">
        <v>1</v>
      </c>
      <c r="I1021" s="178">
        <v>1845</v>
      </c>
      <c r="J1021" s="176">
        <v>46032</v>
      </c>
      <c r="K1021" s="172" t="s">
        <v>94</v>
      </c>
      <c r="L1021" s="172" t="s">
        <v>95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598</v>
      </c>
      <c r="B1022" s="176">
        <v>46039</v>
      </c>
      <c r="C1022" s="172" t="s">
        <v>82</v>
      </c>
      <c r="D1022" s="172" t="s">
        <v>83</v>
      </c>
      <c r="E1022" s="172" t="s">
        <v>54</v>
      </c>
      <c r="F1022" s="172" t="s">
        <v>121</v>
      </c>
      <c r="G1022" s="172" t="s">
        <v>85</v>
      </c>
      <c r="H1022" s="177">
        <v>1</v>
      </c>
      <c r="I1022" s="178">
        <v>0</v>
      </c>
      <c r="J1022" s="176">
        <v>46032</v>
      </c>
      <c r="K1022" s="172" t="s">
        <v>86</v>
      </c>
      <c r="L1022" s="172" t="s">
        <v>86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597</v>
      </c>
      <c r="B1023" s="176">
        <v>46039</v>
      </c>
      <c r="C1023" s="172" t="s">
        <v>82</v>
      </c>
      <c r="D1023" s="172" t="s">
        <v>83</v>
      </c>
      <c r="E1023" s="172" t="s">
        <v>54</v>
      </c>
      <c r="F1023" s="172" t="s">
        <v>121</v>
      </c>
      <c r="G1023" s="172" t="s">
        <v>85</v>
      </c>
      <c r="H1023" s="177">
        <v>1</v>
      </c>
      <c r="I1023" s="178">
        <v>0</v>
      </c>
      <c r="J1023" s="176">
        <v>46032</v>
      </c>
      <c r="K1023" s="172" t="s">
        <v>86</v>
      </c>
      <c r="L1023" s="172" t="s">
        <v>86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599</v>
      </c>
      <c r="B1024" s="176">
        <v>46039</v>
      </c>
      <c r="C1024" s="172" t="s">
        <v>82</v>
      </c>
      <c r="D1024" s="172" t="s">
        <v>83</v>
      </c>
      <c r="E1024" s="172" t="s">
        <v>53</v>
      </c>
      <c r="F1024" s="172" t="s">
        <v>91</v>
      </c>
      <c r="G1024" s="172" t="s">
        <v>85</v>
      </c>
      <c r="H1024" s="177">
        <v>1</v>
      </c>
      <c r="I1024" s="178">
        <v>0</v>
      </c>
      <c r="J1024" s="176">
        <v>46039</v>
      </c>
      <c r="K1024" s="172" t="s">
        <v>86</v>
      </c>
      <c r="L1024" s="172" t="s">
        <v>86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600</v>
      </c>
      <c r="B1025" s="176">
        <v>46039</v>
      </c>
      <c r="C1025" s="172" t="s">
        <v>93</v>
      </c>
      <c r="D1025" s="172" t="s">
        <v>24</v>
      </c>
      <c r="E1025" s="172" t="s">
        <v>42</v>
      </c>
      <c r="F1025" s="172" t="s">
        <v>84</v>
      </c>
      <c r="G1025" s="172" t="s">
        <v>85</v>
      </c>
      <c r="H1025" s="177">
        <v>1</v>
      </c>
      <c r="I1025" s="178">
        <v>1750</v>
      </c>
      <c r="J1025" s="176">
        <v>46036</v>
      </c>
      <c r="K1025" s="172" t="s">
        <v>94</v>
      </c>
      <c r="L1025" s="172" t="s">
        <v>95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600</v>
      </c>
      <c r="B1026" s="176">
        <v>46039</v>
      </c>
      <c r="C1026" s="172" t="s">
        <v>101</v>
      </c>
      <c r="D1026" s="172" t="s">
        <v>102</v>
      </c>
      <c r="E1026" s="172" t="s">
        <v>42</v>
      </c>
      <c r="F1026" s="172" t="s">
        <v>84</v>
      </c>
      <c r="G1026" s="172" t="s">
        <v>85</v>
      </c>
      <c r="H1026" s="177">
        <v>1</v>
      </c>
      <c r="I1026" s="178">
        <v>1750</v>
      </c>
      <c r="J1026" s="176">
        <v>46036</v>
      </c>
      <c r="K1026" s="172" t="s">
        <v>94</v>
      </c>
      <c r="L1026" s="172" t="s">
        <v>95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600</v>
      </c>
      <c r="B1027" s="176">
        <v>46039</v>
      </c>
      <c r="C1027" s="172" t="s">
        <v>101</v>
      </c>
      <c r="D1027" s="172" t="s">
        <v>103</v>
      </c>
      <c r="E1027" s="172" t="s">
        <v>42</v>
      </c>
      <c r="F1027" s="172" t="s">
        <v>84</v>
      </c>
      <c r="G1027" s="172" t="s">
        <v>85</v>
      </c>
      <c r="H1027" s="177">
        <v>1</v>
      </c>
      <c r="I1027" s="178">
        <v>1750</v>
      </c>
      <c r="J1027" s="176">
        <v>46036</v>
      </c>
      <c r="K1027" s="172" t="s">
        <v>94</v>
      </c>
      <c r="L1027" s="172" t="s">
        <v>95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600</v>
      </c>
      <c r="B1028" s="176">
        <v>46039</v>
      </c>
      <c r="C1028" s="172" t="s">
        <v>101</v>
      </c>
      <c r="D1028" s="172" t="s">
        <v>104</v>
      </c>
      <c r="E1028" s="172" t="s">
        <v>42</v>
      </c>
      <c r="F1028" s="172" t="s">
        <v>84</v>
      </c>
      <c r="G1028" s="172" t="s">
        <v>85</v>
      </c>
      <c r="H1028" s="177">
        <v>1</v>
      </c>
      <c r="I1028" s="178">
        <v>1750</v>
      </c>
      <c r="J1028" s="176">
        <v>46036</v>
      </c>
      <c r="K1028" s="172" t="s">
        <v>94</v>
      </c>
      <c r="L1028" s="172" t="s">
        <v>95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600</v>
      </c>
      <c r="B1029" s="176">
        <v>46039</v>
      </c>
      <c r="C1029" s="172" t="s">
        <v>105</v>
      </c>
      <c r="D1029" s="172" t="s">
        <v>106</v>
      </c>
      <c r="E1029" s="172" t="s">
        <v>42</v>
      </c>
      <c r="F1029" s="172" t="s">
        <v>84</v>
      </c>
      <c r="G1029" s="172" t="s">
        <v>85</v>
      </c>
      <c r="H1029" s="177">
        <v>1</v>
      </c>
      <c r="I1029" s="178">
        <v>1750</v>
      </c>
      <c r="J1029" s="176">
        <v>46036</v>
      </c>
      <c r="K1029" s="172" t="s">
        <v>94</v>
      </c>
      <c r="L1029" s="172" t="s">
        <v>95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600</v>
      </c>
      <c r="B1030" s="176">
        <v>46039</v>
      </c>
      <c r="C1030" s="172" t="s">
        <v>82</v>
      </c>
      <c r="D1030" s="172" t="s">
        <v>96</v>
      </c>
      <c r="E1030" s="172" t="s">
        <v>42</v>
      </c>
      <c r="F1030" s="172" t="s">
        <v>84</v>
      </c>
      <c r="G1030" s="172" t="s">
        <v>85</v>
      </c>
      <c r="H1030" s="177">
        <v>1</v>
      </c>
      <c r="I1030" s="178">
        <v>1750</v>
      </c>
      <c r="J1030" s="176">
        <v>46036</v>
      </c>
      <c r="K1030" s="172" t="s">
        <v>94</v>
      </c>
      <c r="L1030" s="172" t="s">
        <v>95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601</v>
      </c>
      <c r="B1031" s="176">
        <v>46039</v>
      </c>
      <c r="C1031" s="172" t="s">
        <v>93</v>
      </c>
      <c r="D1031" s="172" t="s">
        <v>24</v>
      </c>
      <c r="E1031" s="172" t="s">
        <v>54</v>
      </c>
      <c r="F1031" s="172" t="s">
        <v>121</v>
      </c>
      <c r="G1031" s="172" t="s">
        <v>85</v>
      </c>
      <c r="H1031" s="177">
        <v>1</v>
      </c>
      <c r="I1031" s="178">
        <v>1845</v>
      </c>
      <c r="J1031" s="176">
        <v>46038</v>
      </c>
      <c r="K1031" s="172" t="s">
        <v>94</v>
      </c>
      <c r="L1031" s="172" t="s">
        <v>95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601</v>
      </c>
      <c r="B1032" s="176">
        <v>46039</v>
      </c>
      <c r="C1032" s="172" t="s">
        <v>101</v>
      </c>
      <c r="D1032" s="172" t="s">
        <v>102</v>
      </c>
      <c r="E1032" s="172" t="s">
        <v>54</v>
      </c>
      <c r="F1032" s="172" t="s">
        <v>121</v>
      </c>
      <c r="G1032" s="172" t="s">
        <v>85</v>
      </c>
      <c r="H1032" s="177">
        <v>1</v>
      </c>
      <c r="I1032" s="178">
        <v>1845</v>
      </c>
      <c r="J1032" s="176">
        <v>46038</v>
      </c>
      <c r="K1032" s="172" t="s">
        <v>94</v>
      </c>
      <c r="L1032" s="172" t="s">
        <v>95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601</v>
      </c>
      <c r="B1033" s="176">
        <v>46039</v>
      </c>
      <c r="C1033" s="172" t="s">
        <v>101</v>
      </c>
      <c r="D1033" s="172" t="s">
        <v>103</v>
      </c>
      <c r="E1033" s="172" t="s">
        <v>54</v>
      </c>
      <c r="F1033" s="172" t="s">
        <v>121</v>
      </c>
      <c r="G1033" s="172" t="s">
        <v>85</v>
      </c>
      <c r="H1033" s="177">
        <v>1</v>
      </c>
      <c r="I1033" s="178">
        <v>1845</v>
      </c>
      <c r="J1033" s="176">
        <v>46038</v>
      </c>
      <c r="K1033" s="172" t="s">
        <v>94</v>
      </c>
      <c r="L1033" s="172" t="s">
        <v>95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601</v>
      </c>
      <c r="B1034" s="176">
        <v>46039</v>
      </c>
      <c r="C1034" s="172" t="s">
        <v>101</v>
      </c>
      <c r="D1034" s="172" t="s">
        <v>104</v>
      </c>
      <c r="E1034" s="172" t="s">
        <v>54</v>
      </c>
      <c r="F1034" s="172" t="s">
        <v>121</v>
      </c>
      <c r="G1034" s="172" t="s">
        <v>85</v>
      </c>
      <c r="H1034" s="177">
        <v>1</v>
      </c>
      <c r="I1034" s="178">
        <v>1845</v>
      </c>
      <c r="J1034" s="176">
        <v>46038</v>
      </c>
      <c r="K1034" s="172" t="s">
        <v>94</v>
      </c>
      <c r="L1034" s="172" t="s">
        <v>95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601</v>
      </c>
      <c r="B1035" s="176">
        <v>46039</v>
      </c>
      <c r="C1035" s="172" t="s">
        <v>105</v>
      </c>
      <c r="D1035" s="172" t="s">
        <v>106</v>
      </c>
      <c r="E1035" s="172" t="s">
        <v>54</v>
      </c>
      <c r="F1035" s="172" t="s">
        <v>121</v>
      </c>
      <c r="G1035" s="172" t="s">
        <v>85</v>
      </c>
      <c r="H1035" s="177">
        <v>1</v>
      </c>
      <c r="I1035" s="178">
        <v>1845</v>
      </c>
      <c r="J1035" s="176">
        <v>46038</v>
      </c>
      <c r="K1035" s="172" t="s">
        <v>94</v>
      </c>
      <c r="L1035" s="172" t="s">
        <v>95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601</v>
      </c>
      <c r="B1036" s="176">
        <v>46039</v>
      </c>
      <c r="C1036" s="172" t="s">
        <v>82</v>
      </c>
      <c r="D1036" s="172" t="s">
        <v>96</v>
      </c>
      <c r="E1036" s="172" t="s">
        <v>54</v>
      </c>
      <c r="F1036" s="172" t="s">
        <v>121</v>
      </c>
      <c r="G1036" s="172" t="s">
        <v>85</v>
      </c>
      <c r="H1036" s="177">
        <v>1</v>
      </c>
      <c r="I1036" s="178">
        <v>1845</v>
      </c>
      <c r="J1036" s="176">
        <v>46038</v>
      </c>
      <c r="K1036" s="172" t="s">
        <v>94</v>
      </c>
      <c r="L1036" s="172" t="s">
        <v>95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602</v>
      </c>
      <c r="B1037" s="176">
        <v>46039</v>
      </c>
      <c r="C1037" s="172" t="s">
        <v>93</v>
      </c>
      <c r="D1037" s="172" t="s">
        <v>24</v>
      </c>
      <c r="E1037" s="172" t="s">
        <v>43</v>
      </c>
      <c r="F1037" s="172" t="s">
        <v>90</v>
      </c>
      <c r="G1037" s="172" t="s">
        <v>85</v>
      </c>
      <c r="H1037" s="177">
        <v>1</v>
      </c>
      <c r="I1037" s="178">
        <v>0</v>
      </c>
      <c r="J1037" s="176">
        <v>46032</v>
      </c>
      <c r="K1037" s="172" t="s">
        <v>94</v>
      </c>
      <c r="L1037" s="172" t="s">
        <v>95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602</v>
      </c>
      <c r="B1038" s="176">
        <v>46039</v>
      </c>
      <c r="C1038" s="172" t="s">
        <v>82</v>
      </c>
      <c r="D1038" s="172" t="s">
        <v>96</v>
      </c>
      <c r="E1038" s="172" t="s">
        <v>43</v>
      </c>
      <c r="F1038" s="172" t="s">
        <v>90</v>
      </c>
      <c r="G1038" s="172" t="s">
        <v>85</v>
      </c>
      <c r="H1038" s="177">
        <v>1</v>
      </c>
      <c r="I1038" s="178">
        <v>0</v>
      </c>
      <c r="J1038" s="176">
        <v>46032</v>
      </c>
      <c r="K1038" s="172" t="s">
        <v>94</v>
      </c>
      <c r="L1038" s="172" t="s">
        <v>95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603</v>
      </c>
      <c r="B1039" s="176">
        <v>46039</v>
      </c>
      <c r="C1039" s="172" t="s">
        <v>82</v>
      </c>
      <c r="D1039" s="172" t="s">
        <v>83</v>
      </c>
      <c r="E1039" s="172" t="s">
        <v>42</v>
      </c>
      <c r="F1039" s="172" t="s">
        <v>84</v>
      </c>
      <c r="G1039" s="172" t="s">
        <v>85</v>
      </c>
      <c r="H1039" s="177">
        <v>1</v>
      </c>
      <c r="I1039" s="178">
        <v>0</v>
      </c>
      <c r="J1039" s="176">
        <v>46039</v>
      </c>
      <c r="K1039" s="172" t="s">
        <v>86</v>
      </c>
      <c r="L1039" s="172" t="s">
        <v>86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600</v>
      </c>
      <c r="B1040" s="176">
        <v>46039</v>
      </c>
      <c r="C1040" s="172" t="s">
        <v>82</v>
      </c>
      <c r="D1040" s="172" t="s">
        <v>83</v>
      </c>
      <c r="E1040" s="172" t="s">
        <v>42</v>
      </c>
      <c r="F1040" s="172" t="s">
        <v>84</v>
      </c>
      <c r="G1040" s="172" t="s">
        <v>85</v>
      </c>
      <c r="H1040" s="177">
        <v>1</v>
      </c>
      <c r="I1040" s="178">
        <v>0</v>
      </c>
      <c r="J1040" s="176">
        <v>46036</v>
      </c>
      <c r="K1040" s="172" t="s">
        <v>86</v>
      </c>
      <c r="L1040" s="172" t="s">
        <v>86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602</v>
      </c>
      <c r="B1041" s="176">
        <v>46039</v>
      </c>
      <c r="C1041" s="172" t="s">
        <v>93</v>
      </c>
      <c r="D1041" s="172" t="s">
        <v>97</v>
      </c>
      <c r="E1041" s="172" t="s">
        <v>43</v>
      </c>
      <c r="F1041" s="172" t="s">
        <v>90</v>
      </c>
      <c r="G1041" s="172" t="s">
        <v>85</v>
      </c>
      <c r="H1041" s="177">
        <v>1</v>
      </c>
      <c r="I1041" s="178">
        <v>0</v>
      </c>
      <c r="J1041" s="176">
        <v>46032</v>
      </c>
      <c r="K1041" s="172" t="s">
        <v>94</v>
      </c>
      <c r="L1041" s="172" t="s">
        <v>95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602</v>
      </c>
      <c r="B1042" s="176">
        <v>46039</v>
      </c>
      <c r="C1042" s="172" t="s">
        <v>93</v>
      </c>
      <c r="D1042" s="172" t="s">
        <v>98</v>
      </c>
      <c r="E1042" s="172" t="s">
        <v>43</v>
      </c>
      <c r="F1042" s="172" t="s">
        <v>90</v>
      </c>
      <c r="G1042" s="172" t="s">
        <v>85</v>
      </c>
      <c r="H1042" s="177">
        <v>1</v>
      </c>
      <c r="I1042" s="178">
        <v>0</v>
      </c>
      <c r="J1042" s="176">
        <v>46032</v>
      </c>
      <c r="K1042" s="172" t="s">
        <v>94</v>
      </c>
      <c r="L1042" s="172" t="s">
        <v>95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602</v>
      </c>
      <c r="B1043" s="176">
        <v>46039</v>
      </c>
      <c r="C1043" s="172" t="s">
        <v>82</v>
      </c>
      <c r="D1043" s="172" t="s">
        <v>99</v>
      </c>
      <c r="E1043" s="172" t="s">
        <v>43</v>
      </c>
      <c r="F1043" s="172" t="s">
        <v>90</v>
      </c>
      <c r="G1043" s="172" t="s">
        <v>85</v>
      </c>
      <c r="H1043" s="177">
        <v>1</v>
      </c>
      <c r="I1043" s="178">
        <v>0</v>
      </c>
      <c r="J1043" s="176">
        <v>46032</v>
      </c>
      <c r="K1043" s="172" t="s">
        <v>94</v>
      </c>
      <c r="L1043" s="172" t="s">
        <v>95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604</v>
      </c>
      <c r="B1044" s="176">
        <v>46039</v>
      </c>
      <c r="C1044" s="172" t="s">
        <v>93</v>
      </c>
      <c r="D1044" s="172" t="s">
        <v>24</v>
      </c>
      <c r="E1044" s="172" t="s">
        <v>54</v>
      </c>
      <c r="F1044" s="172" t="s">
        <v>121</v>
      </c>
      <c r="G1044" s="172" t="s">
        <v>85</v>
      </c>
      <c r="H1044" s="177">
        <v>1</v>
      </c>
      <c r="I1044" s="178">
        <v>1845</v>
      </c>
      <c r="J1044" s="176">
        <v>46037</v>
      </c>
      <c r="K1044" s="172" t="s">
        <v>94</v>
      </c>
      <c r="L1044" s="172" t="s">
        <v>95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604</v>
      </c>
      <c r="B1045" s="176">
        <v>46039</v>
      </c>
      <c r="C1045" s="172" t="s">
        <v>101</v>
      </c>
      <c r="D1045" s="172" t="s">
        <v>102</v>
      </c>
      <c r="E1045" s="172" t="s">
        <v>54</v>
      </c>
      <c r="F1045" s="172" t="s">
        <v>121</v>
      </c>
      <c r="G1045" s="172" t="s">
        <v>85</v>
      </c>
      <c r="H1045" s="177">
        <v>1</v>
      </c>
      <c r="I1045" s="178">
        <v>1845</v>
      </c>
      <c r="J1045" s="176">
        <v>46037</v>
      </c>
      <c r="K1045" s="172" t="s">
        <v>94</v>
      </c>
      <c r="L1045" s="172" t="s">
        <v>95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604</v>
      </c>
      <c r="B1046" s="176">
        <v>46039</v>
      </c>
      <c r="C1046" s="172" t="s">
        <v>101</v>
      </c>
      <c r="D1046" s="172" t="s">
        <v>103</v>
      </c>
      <c r="E1046" s="172" t="s">
        <v>54</v>
      </c>
      <c r="F1046" s="172" t="s">
        <v>121</v>
      </c>
      <c r="G1046" s="172" t="s">
        <v>85</v>
      </c>
      <c r="H1046" s="177">
        <v>1</v>
      </c>
      <c r="I1046" s="178">
        <v>1845</v>
      </c>
      <c r="J1046" s="176">
        <v>46037</v>
      </c>
      <c r="K1046" s="172" t="s">
        <v>94</v>
      </c>
      <c r="L1046" s="172" t="s">
        <v>95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604</v>
      </c>
      <c r="B1047" s="176">
        <v>46039</v>
      </c>
      <c r="C1047" s="172" t="s">
        <v>101</v>
      </c>
      <c r="D1047" s="172" t="s">
        <v>104</v>
      </c>
      <c r="E1047" s="172" t="s">
        <v>54</v>
      </c>
      <c r="F1047" s="172" t="s">
        <v>121</v>
      </c>
      <c r="G1047" s="172" t="s">
        <v>85</v>
      </c>
      <c r="H1047" s="177">
        <v>1</v>
      </c>
      <c r="I1047" s="178">
        <v>1845</v>
      </c>
      <c r="J1047" s="176">
        <v>46037</v>
      </c>
      <c r="K1047" s="172" t="s">
        <v>94</v>
      </c>
      <c r="L1047" s="172" t="s">
        <v>95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604</v>
      </c>
      <c r="B1048" s="176">
        <v>46039</v>
      </c>
      <c r="C1048" s="172" t="s">
        <v>105</v>
      </c>
      <c r="D1048" s="172" t="s">
        <v>106</v>
      </c>
      <c r="E1048" s="172" t="s">
        <v>54</v>
      </c>
      <c r="F1048" s="172" t="s">
        <v>121</v>
      </c>
      <c r="G1048" s="172" t="s">
        <v>85</v>
      </c>
      <c r="H1048" s="177">
        <v>1</v>
      </c>
      <c r="I1048" s="178">
        <v>1845</v>
      </c>
      <c r="J1048" s="176">
        <v>46037</v>
      </c>
      <c r="K1048" s="172" t="s">
        <v>94</v>
      </c>
      <c r="L1048" s="172" t="s">
        <v>95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604</v>
      </c>
      <c r="B1049" s="176">
        <v>46039</v>
      </c>
      <c r="C1049" s="172" t="s">
        <v>82</v>
      </c>
      <c r="D1049" s="172" t="s">
        <v>96</v>
      </c>
      <c r="E1049" s="172" t="s">
        <v>54</v>
      </c>
      <c r="F1049" s="172" t="s">
        <v>121</v>
      </c>
      <c r="G1049" s="172" t="s">
        <v>85</v>
      </c>
      <c r="H1049" s="177">
        <v>1</v>
      </c>
      <c r="I1049" s="178">
        <v>1845</v>
      </c>
      <c r="J1049" s="176">
        <v>46037</v>
      </c>
      <c r="K1049" s="172" t="s">
        <v>94</v>
      </c>
      <c r="L1049" s="172" t="s">
        <v>95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604</v>
      </c>
      <c r="B1050" s="176">
        <v>46039</v>
      </c>
      <c r="C1050" s="172" t="s">
        <v>82</v>
      </c>
      <c r="D1050" s="172" t="s">
        <v>83</v>
      </c>
      <c r="E1050" s="172" t="s">
        <v>54</v>
      </c>
      <c r="F1050" s="172" t="s">
        <v>121</v>
      </c>
      <c r="G1050" s="172" t="s">
        <v>85</v>
      </c>
      <c r="H1050" s="177">
        <v>1</v>
      </c>
      <c r="I1050" s="178">
        <v>0</v>
      </c>
      <c r="J1050" s="176">
        <v>46037</v>
      </c>
      <c r="K1050" s="172" t="s">
        <v>86</v>
      </c>
      <c r="L1050" s="172" t="s">
        <v>86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605</v>
      </c>
      <c r="B1051" s="176">
        <v>46039</v>
      </c>
      <c r="C1051" s="172" t="s">
        <v>93</v>
      </c>
      <c r="D1051" s="172" t="s">
        <v>24</v>
      </c>
      <c r="E1051" s="172" t="s">
        <v>42</v>
      </c>
      <c r="F1051" s="172" t="s">
        <v>84</v>
      </c>
      <c r="G1051" s="172" t="s">
        <v>85</v>
      </c>
      <c r="H1051" s="177">
        <v>1</v>
      </c>
      <c r="I1051" s="178">
        <v>1600</v>
      </c>
      <c r="J1051" s="176">
        <v>46024</v>
      </c>
      <c r="K1051" s="172" t="s">
        <v>94</v>
      </c>
      <c r="L1051" s="172" t="s">
        <v>95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605</v>
      </c>
      <c r="B1052" s="176">
        <v>46039</v>
      </c>
      <c r="C1052" s="172" t="s">
        <v>101</v>
      </c>
      <c r="D1052" s="172" t="s">
        <v>102</v>
      </c>
      <c r="E1052" s="172" t="s">
        <v>42</v>
      </c>
      <c r="F1052" s="172" t="s">
        <v>84</v>
      </c>
      <c r="G1052" s="172" t="s">
        <v>85</v>
      </c>
      <c r="H1052" s="177">
        <v>1</v>
      </c>
      <c r="I1052" s="178">
        <v>1600</v>
      </c>
      <c r="J1052" s="176">
        <v>46024</v>
      </c>
      <c r="K1052" s="172" t="s">
        <v>94</v>
      </c>
      <c r="L1052" s="172" t="s">
        <v>95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605</v>
      </c>
      <c r="B1053" s="176">
        <v>46039</v>
      </c>
      <c r="C1053" s="172" t="s">
        <v>101</v>
      </c>
      <c r="D1053" s="172" t="s">
        <v>103</v>
      </c>
      <c r="E1053" s="172" t="s">
        <v>42</v>
      </c>
      <c r="F1053" s="172" t="s">
        <v>84</v>
      </c>
      <c r="G1053" s="172" t="s">
        <v>85</v>
      </c>
      <c r="H1053" s="177">
        <v>1</v>
      </c>
      <c r="I1053" s="178">
        <v>1600</v>
      </c>
      <c r="J1053" s="176">
        <v>46024</v>
      </c>
      <c r="K1053" s="172" t="s">
        <v>94</v>
      </c>
      <c r="L1053" s="172" t="s">
        <v>95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605</v>
      </c>
      <c r="B1054" s="176">
        <v>46039</v>
      </c>
      <c r="C1054" s="172" t="s">
        <v>101</v>
      </c>
      <c r="D1054" s="172" t="s">
        <v>104</v>
      </c>
      <c r="E1054" s="172" t="s">
        <v>42</v>
      </c>
      <c r="F1054" s="172" t="s">
        <v>84</v>
      </c>
      <c r="G1054" s="172" t="s">
        <v>85</v>
      </c>
      <c r="H1054" s="177">
        <v>1</v>
      </c>
      <c r="I1054" s="178">
        <v>1600</v>
      </c>
      <c r="J1054" s="176">
        <v>46024</v>
      </c>
      <c r="K1054" s="172" t="s">
        <v>94</v>
      </c>
      <c r="L1054" s="172" t="s">
        <v>95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605</v>
      </c>
      <c r="B1055" s="176">
        <v>46039</v>
      </c>
      <c r="C1055" s="172" t="s">
        <v>105</v>
      </c>
      <c r="D1055" s="172" t="s">
        <v>106</v>
      </c>
      <c r="E1055" s="172" t="s">
        <v>42</v>
      </c>
      <c r="F1055" s="172" t="s">
        <v>84</v>
      </c>
      <c r="G1055" s="172" t="s">
        <v>85</v>
      </c>
      <c r="H1055" s="177">
        <v>1</v>
      </c>
      <c r="I1055" s="178">
        <v>1600</v>
      </c>
      <c r="J1055" s="176">
        <v>46024</v>
      </c>
      <c r="K1055" s="172" t="s">
        <v>94</v>
      </c>
      <c r="L1055" s="172" t="s">
        <v>95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605</v>
      </c>
      <c r="B1056" s="176">
        <v>46039</v>
      </c>
      <c r="C1056" s="172" t="s">
        <v>82</v>
      </c>
      <c r="D1056" s="172" t="s">
        <v>96</v>
      </c>
      <c r="E1056" s="172" t="s">
        <v>42</v>
      </c>
      <c r="F1056" s="172" t="s">
        <v>84</v>
      </c>
      <c r="G1056" s="172" t="s">
        <v>85</v>
      </c>
      <c r="H1056" s="177">
        <v>1</v>
      </c>
      <c r="I1056" s="178">
        <v>1600</v>
      </c>
      <c r="J1056" s="176">
        <v>46024</v>
      </c>
      <c r="K1056" s="172" t="s">
        <v>94</v>
      </c>
      <c r="L1056" s="172" t="s">
        <v>95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606</v>
      </c>
      <c r="B1057" s="176">
        <v>46039</v>
      </c>
      <c r="C1057" s="172" t="s">
        <v>93</v>
      </c>
      <c r="D1057" s="172" t="s">
        <v>24</v>
      </c>
      <c r="E1057" s="172" t="s">
        <v>42</v>
      </c>
      <c r="F1057" s="172" t="s">
        <v>84</v>
      </c>
      <c r="G1057" s="172" t="s">
        <v>85</v>
      </c>
      <c r="H1057" s="177">
        <v>1</v>
      </c>
      <c r="I1057" s="178">
        <v>0</v>
      </c>
      <c r="J1057" s="176">
        <v>46028</v>
      </c>
      <c r="K1057" s="172" t="s">
        <v>94</v>
      </c>
      <c r="L1057" s="172" t="s">
        <v>95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606</v>
      </c>
      <c r="B1058" s="176">
        <v>46039</v>
      </c>
      <c r="C1058" s="172" t="s">
        <v>82</v>
      </c>
      <c r="D1058" s="172" t="s">
        <v>96</v>
      </c>
      <c r="E1058" s="172" t="s">
        <v>42</v>
      </c>
      <c r="F1058" s="172" t="s">
        <v>84</v>
      </c>
      <c r="G1058" s="172" t="s">
        <v>85</v>
      </c>
      <c r="H1058" s="177">
        <v>1</v>
      </c>
      <c r="I1058" s="178">
        <v>0</v>
      </c>
      <c r="J1058" s="176">
        <v>46028</v>
      </c>
      <c r="K1058" s="172" t="s">
        <v>94</v>
      </c>
      <c r="L1058" s="172" t="s">
        <v>95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606</v>
      </c>
      <c r="B1059" s="176">
        <v>46039</v>
      </c>
      <c r="C1059" s="172" t="s">
        <v>93</v>
      </c>
      <c r="D1059" s="172" t="s">
        <v>97</v>
      </c>
      <c r="E1059" s="172" t="s">
        <v>42</v>
      </c>
      <c r="F1059" s="172" t="s">
        <v>84</v>
      </c>
      <c r="G1059" s="172" t="s">
        <v>85</v>
      </c>
      <c r="H1059" s="177">
        <v>1</v>
      </c>
      <c r="I1059" s="178">
        <v>0</v>
      </c>
      <c r="J1059" s="176">
        <v>46028</v>
      </c>
      <c r="K1059" s="172" t="s">
        <v>94</v>
      </c>
      <c r="L1059" s="172" t="s">
        <v>95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606</v>
      </c>
      <c r="B1060" s="176">
        <v>46039</v>
      </c>
      <c r="C1060" s="172" t="s">
        <v>93</v>
      </c>
      <c r="D1060" s="172" t="s">
        <v>98</v>
      </c>
      <c r="E1060" s="172" t="s">
        <v>42</v>
      </c>
      <c r="F1060" s="172" t="s">
        <v>84</v>
      </c>
      <c r="G1060" s="172" t="s">
        <v>85</v>
      </c>
      <c r="H1060" s="177">
        <v>1</v>
      </c>
      <c r="I1060" s="178">
        <v>0</v>
      </c>
      <c r="J1060" s="176">
        <v>46028</v>
      </c>
      <c r="K1060" s="172" t="s">
        <v>94</v>
      </c>
      <c r="L1060" s="172" t="s">
        <v>95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606</v>
      </c>
      <c r="B1061" s="176">
        <v>46039</v>
      </c>
      <c r="C1061" s="172" t="s">
        <v>82</v>
      </c>
      <c r="D1061" s="172" t="s">
        <v>99</v>
      </c>
      <c r="E1061" s="172" t="s">
        <v>42</v>
      </c>
      <c r="F1061" s="172" t="s">
        <v>84</v>
      </c>
      <c r="G1061" s="172" t="s">
        <v>85</v>
      </c>
      <c r="H1061" s="177">
        <v>1</v>
      </c>
      <c r="I1061" s="178">
        <v>0</v>
      </c>
      <c r="J1061" s="176">
        <v>46028</v>
      </c>
      <c r="K1061" s="172" t="s">
        <v>94</v>
      </c>
      <c r="L1061" s="172" t="s">
        <v>95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607</v>
      </c>
      <c r="B1062" s="176">
        <v>46039</v>
      </c>
      <c r="C1062" s="172" t="s">
        <v>93</v>
      </c>
      <c r="D1062" s="172" t="s">
        <v>24</v>
      </c>
      <c r="E1062" s="172" t="s">
        <v>53</v>
      </c>
      <c r="F1062" s="172" t="s">
        <v>91</v>
      </c>
      <c r="G1062" s="172" t="s">
        <v>85</v>
      </c>
      <c r="H1062" s="177">
        <v>1</v>
      </c>
      <c r="I1062" s="178">
        <v>0</v>
      </c>
      <c r="J1062" s="176">
        <v>46028</v>
      </c>
      <c r="K1062" s="172" t="s">
        <v>94</v>
      </c>
      <c r="L1062" s="172" t="s">
        <v>95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607</v>
      </c>
      <c r="B1063" s="176">
        <v>46039</v>
      </c>
      <c r="C1063" s="172" t="s">
        <v>82</v>
      </c>
      <c r="D1063" s="172" t="s">
        <v>96</v>
      </c>
      <c r="E1063" s="172" t="s">
        <v>53</v>
      </c>
      <c r="F1063" s="172" t="s">
        <v>91</v>
      </c>
      <c r="G1063" s="172" t="s">
        <v>85</v>
      </c>
      <c r="H1063" s="177">
        <v>1</v>
      </c>
      <c r="I1063" s="178">
        <v>0</v>
      </c>
      <c r="J1063" s="176">
        <v>46028</v>
      </c>
      <c r="K1063" s="172" t="s">
        <v>94</v>
      </c>
      <c r="L1063" s="172" t="s">
        <v>95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607</v>
      </c>
      <c r="B1064" s="176">
        <v>46039</v>
      </c>
      <c r="C1064" s="172" t="s">
        <v>93</v>
      </c>
      <c r="D1064" s="172" t="s">
        <v>97</v>
      </c>
      <c r="E1064" s="172" t="s">
        <v>53</v>
      </c>
      <c r="F1064" s="172" t="s">
        <v>91</v>
      </c>
      <c r="G1064" s="172" t="s">
        <v>85</v>
      </c>
      <c r="H1064" s="177">
        <v>1</v>
      </c>
      <c r="I1064" s="178">
        <v>0</v>
      </c>
      <c r="J1064" s="176">
        <v>46028</v>
      </c>
      <c r="K1064" s="172" t="s">
        <v>94</v>
      </c>
      <c r="L1064" s="172" t="s">
        <v>95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607</v>
      </c>
      <c r="B1065" s="176">
        <v>46039</v>
      </c>
      <c r="C1065" s="172" t="s">
        <v>93</v>
      </c>
      <c r="D1065" s="172" t="s">
        <v>98</v>
      </c>
      <c r="E1065" s="172" t="s">
        <v>53</v>
      </c>
      <c r="F1065" s="172" t="s">
        <v>91</v>
      </c>
      <c r="G1065" s="172" t="s">
        <v>85</v>
      </c>
      <c r="H1065" s="177">
        <v>1</v>
      </c>
      <c r="I1065" s="178">
        <v>0</v>
      </c>
      <c r="J1065" s="176">
        <v>46028</v>
      </c>
      <c r="K1065" s="172" t="s">
        <v>94</v>
      </c>
      <c r="L1065" s="172" t="s">
        <v>95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607</v>
      </c>
      <c r="B1066" s="176">
        <v>46039</v>
      </c>
      <c r="C1066" s="172" t="s">
        <v>82</v>
      </c>
      <c r="D1066" s="172" t="s">
        <v>99</v>
      </c>
      <c r="E1066" s="172" t="s">
        <v>53</v>
      </c>
      <c r="F1066" s="172" t="s">
        <v>91</v>
      </c>
      <c r="G1066" s="172" t="s">
        <v>85</v>
      </c>
      <c r="H1066" s="177">
        <v>1</v>
      </c>
      <c r="I1066" s="178">
        <v>0</v>
      </c>
      <c r="J1066" s="176">
        <v>46028</v>
      </c>
      <c r="K1066" s="172" t="s">
        <v>94</v>
      </c>
      <c r="L1066" s="172" t="s">
        <v>95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608</v>
      </c>
      <c r="B1067" s="176">
        <v>46039</v>
      </c>
      <c r="C1067" s="172" t="s">
        <v>93</v>
      </c>
      <c r="D1067" s="172" t="s">
        <v>24</v>
      </c>
      <c r="E1067" s="172" t="s">
        <v>54</v>
      </c>
      <c r="F1067" s="172" t="s">
        <v>121</v>
      </c>
      <c r="G1067" s="172" t="s">
        <v>85</v>
      </c>
      <c r="H1067" s="177">
        <v>1</v>
      </c>
      <c r="I1067" s="178">
        <v>1845</v>
      </c>
      <c r="J1067" s="176">
        <v>46038</v>
      </c>
      <c r="K1067" s="172" t="s">
        <v>94</v>
      </c>
      <c r="L1067" s="172" t="s">
        <v>95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608</v>
      </c>
      <c r="B1068" s="176">
        <v>46039</v>
      </c>
      <c r="C1068" s="172" t="s">
        <v>101</v>
      </c>
      <c r="D1068" s="172" t="s">
        <v>102</v>
      </c>
      <c r="E1068" s="172" t="s">
        <v>54</v>
      </c>
      <c r="F1068" s="172" t="s">
        <v>121</v>
      </c>
      <c r="G1068" s="172" t="s">
        <v>85</v>
      </c>
      <c r="H1068" s="177">
        <v>1</v>
      </c>
      <c r="I1068" s="178">
        <v>1845</v>
      </c>
      <c r="J1068" s="176">
        <v>46038</v>
      </c>
      <c r="K1068" s="172" t="s">
        <v>94</v>
      </c>
      <c r="L1068" s="172" t="s">
        <v>95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608</v>
      </c>
      <c r="B1069" s="176">
        <v>46039</v>
      </c>
      <c r="C1069" s="172" t="s">
        <v>101</v>
      </c>
      <c r="D1069" s="172" t="s">
        <v>103</v>
      </c>
      <c r="E1069" s="172" t="s">
        <v>54</v>
      </c>
      <c r="F1069" s="172" t="s">
        <v>121</v>
      </c>
      <c r="G1069" s="172" t="s">
        <v>85</v>
      </c>
      <c r="H1069" s="177">
        <v>1</v>
      </c>
      <c r="I1069" s="178">
        <v>1845</v>
      </c>
      <c r="J1069" s="176">
        <v>46038</v>
      </c>
      <c r="K1069" s="172" t="s">
        <v>94</v>
      </c>
      <c r="L1069" s="172" t="s">
        <v>95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608</v>
      </c>
      <c r="B1070" s="176">
        <v>46039</v>
      </c>
      <c r="C1070" s="172" t="s">
        <v>101</v>
      </c>
      <c r="D1070" s="172" t="s">
        <v>104</v>
      </c>
      <c r="E1070" s="172" t="s">
        <v>54</v>
      </c>
      <c r="F1070" s="172" t="s">
        <v>121</v>
      </c>
      <c r="G1070" s="172" t="s">
        <v>85</v>
      </c>
      <c r="H1070" s="177">
        <v>1</v>
      </c>
      <c r="I1070" s="178">
        <v>1845</v>
      </c>
      <c r="J1070" s="176">
        <v>46038</v>
      </c>
      <c r="K1070" s="172" t="s">
        <v>94</v>
      </c>
      <c r="L1070" s="172" t="s">
        <v>95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608</v>
      </c>
      <c r="B1071" s="176">
        <v>46039</v>
      </c>
      <c r="C1071" s="172" t="s">
        <v>105</v>
      </c>
      <c r="D1071" s="172" t="s">
        <v>106</v>
      </c>
      <c r="E1071" s="172" t="s">
        <v>54</v>
      </c>
      <c r="F1071" s="172" t="s">
        <v>121</v>
      </c>
      <c r="G1071" s="172" t="s">
        <v>85</v>
      </c>
      <c r="H1071" s="177">
        <v>1</v>
      </c>
      <c r="I1071" s="178">
        <v>1845</v>
      </c>
      <c r="J1071" s="176">
        <v>46038</v>
      </c>
      <c r="K1071" s="172" t="s">
        <v>94</v>
      </c>
      <c r="L1071" s="172" t="s">
        <v>95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608</v>
      </c>
      <c r="B1072" s="176">
        <v>46039</v>
      </c>
      <c r="C1072" s="172" t="s">
        <v>82</v>
      </c>
      <c r="D1072" s="172" t="s">
        <v>96</v>
      </c>
      <c r="E1072" s="172" t="s">
        <v>54</v>
      </c>
      <c r="F1072" s="172" t="s">
        <v>121</v>
      </c>
      <c r="G1072" s="172" t="s">
        <v>85</v>
      </c>
      <c r="H1072" s="177">
        <v>1</v>
      </c>
      <c r="I1072" s="178">
        <v>1845</v>
      </c>
      <c r="J1072" s="176">
        <v>46038</v>
      </c>
      <c r="K1072" s="172" t="s">
        <v>94</v>
      </c>
      <c r="L1072" s="172" t="s">
        <v>95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145</v>
      </c>
      <c r="B1073" s="176">
        <v>46039</v>
      </c>
      <c r="C1073" s="172" t="s">
        <v>110</v>
      </c>
      <c r="D1073" s="172" t="s">
        <v>140</v>
      </c>
      <c r="E1073" s="172" t="s">
        <v>86</v>
      </c>
      <c r="F1073" s="172" t="s">
        <v>86</v>
      </c>
      <c r="G1073" s="172" t="s">
        <v>86</v>
      </c>
      <c r="H1073" s="177">
        <v>0</v>
      </c>
      <c r="I1073" s="178">
        <v>0</v>
      </c>
      <c r="J1073" s="176">
        <v>46039</v>
      </c>
      <c r="K1073" s="172" t="s">
        <v>86</v>
      </c>
      <c r="L1073" s="172" t="s">
        <v>86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139</v>
      </c>
      <c r="B1074" s="176">
        <v>46039</v>
      </c>
      <c r="C1074" s="172" t="s">
        <v>110</v>
      </c>
      <c r="D1074" s="172" t="s">
        <v>140</v>
      </c>
      <c r="E1074" s="172" t="s">
        <v>86</v>
      </c>
      <c r="F1074" s="172" t="s">
        <v>86</v>
      </c>
      <c r="G1074" s="172" t="s">
        <v>86</v>
      </c>
      <c r="H1074" s="177">
        <v>0</v>
      </c>
      <c r="I1074" s="178">
        <v>0</v>
      </c>
      <c r="J1074" s="176">
        <v>46039</v>
      </c>
      <c r="K1074" s="172" t="s">
        <v>86</v>
      </c>
      <c r="L1074" s="172" t="s">
        <v>86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147</v>
      </c>
      <c r="B1075" s="176">
        <v>46039</v>
      </c>
      <c r="C1075" s="172" t="s">
        <v>110</v>
      </c>
      <c r="D1075" s="172" t="s">
        <v>140</v>
      </c>
      <c r="E1075" s="172" t="s">
        <v>86</v>
      </c>
      <c r="F1075" s="172" t="s">
        <v>86</v>
      </c>
      <c r="G1075" s="172" t="s">
        <v>86</v>
      </c>
      <c r="H1075" s="177">
        <v>0</v>
      </c>
      <c r="I1075" s="178">
        <v>0</v>
      </c>
      <c r="J1075" s="176">
        <v>46039</v>
      </c>
      <c r="K1075" s="172" t="s">
        <v>86</v>
      </c>
      <c r="L1075" s="172" t="s">
        <v>86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143</v>
      </c>
      <c r="B1076" s="176">
        <v>46039</v>
      </c>
      <c r="C1076" s="172" t="s">
        <v>110</v>
      </c>
      <c r="D1076" s="172" t="s">
        <v>144</v>
      </c>
      <c r="E1076" s="172" t="s">
        <v>86</v>
      </c>
      <c r="F1076" s="172" t="s">
        <v>86</v>
      </c>
      <c r="G1076" s="172" t="s">
        <v>86</v>
      </c>
      <c r="H1076" s="177">
        <v>0</v>
      </c>
      <c r="I1076" s="178">
        <v>0</v>
      </c>
      <c r="J1076" s="176">
        <v>46039</v>
      </c>
      <c r="K1076" s="172" t="s">
        <v>86</v>
      </c>
      <c r="L1076" s="172" t="s">
        <v>86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146</v>
      </c>
      <c r="B1077" s="176">
        <v>46039</v>
      </c>
      <c r="C1077" s="172" t="s">
        <v>110</v>
      </c>
      <c r="D1077" s="172" t="s">
        <v>140</v>
      </c>
      <c r="E1077" s="172" t="s">
        <v>86</v>
      </c>
      <c r="F1077" s="172" t="s">
        <v>86</v>
      </c>
      <c r="G1077" s="172" t="s">
        <v>86</v>
      </c>
      <c r="H1077" s="177">
        <v>0</v>
      </c>
      <c r="I1077" s="178">
        <v>0</v>
      </c>
      <c r="J1077" s="176">
        <v>46039</v>
      </c>
      <c r="K1077" s="172" t="s">
        <v>86</v>
      </c>
      <c r="L1077" s="172" t="s">
        <v>86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141</v>
      </c>
      <c r="B1078" s="176">
        <v>46039</v>
      </c>
      <c r="C1078" s="172" t="s">
        <v>110</v>
      </c>
      <c r="D1078" s="172" t="s">
        <v>140</v>
      </c>
      <c r="E1078" s="172" t="s">
        <v>86</v>
      </c>
      <c r="F1078" s="172" t="s">
        <v>86</v>
      </c>
      <c r="G1078" s="172" t="s">
        <v>86</v>
      </c>
      <c r="H1078" s="177">
        <v>0</v>
      </c>
      <c r="I1078" s="178">
        <v>0</v>
      </c>
      <c r="J1078" s="176">
        <v>46039</v>
      </c>
      <c r="K1078" s="172" t="s">
        <v>86</v>
      </c>
      <c r="L1078" s="172" t="s">
        <v>86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609</v>
      </c>
      <c r="B1079" s="176">
        <v>46040</v>
      </c>
      <c r="C1079" s="172" t="s">
        <v>82</v>
      </c>
      <c r="D1079" s="172" t="s">
        <v>83</v>
      </c>
      <c r="E1079" s="172" t="s">
        <v>53</v>
      </c>
      <c r="F1079" s="172" t="s">
        <v>91</v>
      </c>
      <c r="G1079" s="172" t="s">
        <v>85</v>
      </c>
      <c r="H1079" s="177">
        <v>1</v>
      </c>
      <c r="I1079" s="178">
        <v>0</v>
      </c>
      <c r="J1079" s="176">
        <v>46040</v>
      </c>
      <c r="K1079" s="172" t="s">
        <v>86</v>
      </c>
      <c r="L1079" s="172" t="s">
        <v>86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610</v>
      </c>
      <c r="B1080" s="176">
        <v>46040</v>
      </c>
      <c r="C1080" s="172" t="s">
        <v>93</v>
      </c>
      <c r="D1080" s="172" t="s">
        <v>97</v>
      </c>
      <c r="E1080" s="172" t="s">
        <v>53</v>
      </c>
      <c r="F1080" s="172" t="s">
        <v>91</v>
      </c>
      <c r="G1080" s="172" t="s">
        <v>85</v>
      </c>
      <c r="H1080" s="177">
        <v>1</v>
      </c>
      <c r="I1080" s="178">
        <v>0</v>
      </c>
      <c r="J1080" s="176">
        <v>46019</v>
      </c>
      <c r="K1080" s="172" t="s">
        <v>94</v>
      </c>
      <c r="L1080" s="172" t="s">
        <v>95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610</v>
      </c>
      <c r="B1081" s="176">
        <v>46040</v>
      </c>
      <c r="C1081" s="172" t="s">
        <v>93</v>
      </c>
      <c r="D1081" s="172" t="s">
        <v>98</v>
      </c>
      <c r="E1081" s="172" t="s">
        <v>53</v>
      </c>
      <c r="F1081" s="172" t="s">
        <v>91</v>
      </c>
      <c r="G1081" s="172" t="s">
        <v>85</v>
      </c>
      <c r="H1081" s="177">
        <v>1</v>
      </c>
      <c r="I1081" s="178">
        <v>0</v>
      </c>
      <c r="J1081" s="176">
        <v>46019</v>
      </c>
      <c r="K1081" s="172" t="s">
        <v>94</v>
      </c>
      <c r="L1081" s="172" t="s">
        <v>95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611</v>
      </c>
      <c r="B1082" s="176">
        <v>46040</v>
      </c>
      <c r="C1082" s="172" t="s">
        <v>93</v>
      </c>
      <c r="D1082" s="172" t="s">
        <v>24</v>
      </c>
      <c r="E1082" s="172" t="s">
        <v>39</v>
      </c>
      <c r="F1082" s="172" t="s">
        <v>88</v>
      </c>
      <c r="G1082" s="172" t="s">
        <v>85</v>
      </c>
      <c r="H1082" s="177">
        <v>1</v>
      </c>
      <c r="I1082" s="178">
        <v>1650</v>
      </c>
      <c r="J1082" s="176">
        <v>46032</v>
      </c>
      <c r="K1082" s="172" t="s">
        <v>94</v>
      </c>
      <c r="L1082" s="172" t="s">
        <v>95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611</v>
      </c>
      <c r="B1083" s="176">
        <v>46040</v>
      </c>
      <c r="C1083" s="172" t="s">
        <v>101</v>
      </c>
      <c r="D1083" s="172" t="s">
        <v>102</v>
      </c>
      <c r="E1083" s="172" t="s">
        <v>39</v>
      </c>
      <c r="F1083" s="172" t="s">
        <v>88</v>
      </c>
      <c r="G1083" s="172" t="s">
        <v>85</v>
      </c>
      <c r="H1083" s="177">
        <v>1</v>
      </c>
      <c r="I1083" s="178">
        <v>1650</v>
      </c>
      <c r="J1083" s="176">
        <v>46032</v>
      </c>
      <c r="K1083" s="172" t="s">
        <v>94</v>
      </c>
      <c r="L1083" s="172" t="s">
        <v>95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611</v>
      </c>
      <c r="B1084" s="176">
        <v>46040</v>
      </c>
      <c r="C1084" s="172" t="s">
        <v>101</v>
      </c>
      <c r="D1084" s="172" t="s">
        <v>103</v>
      </c>
      <c r="E1084" s="172" t="s">
        <v>39</v>
      </c>
      <c r="F1084" s="172" t="s">
        <v>88</v>
      </c>
      <c r="G1084" s="172" t="s">
        <v>85</v>
      </c>
      <c r="H1084" s="177">
        <v>1</v>
      </c>
      <c r="I1084" s="178">
        <v>1650</v>
      </c>
      <c r="J1084" s="176">
        <v>46032</v>
      </c>
      <c r="K1084" s="172" t="s">
        <v>94</v>
      </c>
      <c r="L1084" s="172" t="s">
        <v>95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611</v>
      </c>
      <c r="B1085" s="176">
        <v>46040</v>
      </c>
      <c r="C1085" s="172" t="s">
        <v>101</v>
      </c>
      <c r="D1085" s="172" t="s">
        <v>104</v>
      </c>
      <c r="E1085" s="172" t="s">
        <v>39</v>
      </c>
      <c r="F1085" s="172" t="s">
        <v>88</v>
      </c>
      <c r="G1085" s="172" t="s">
        <v>85</v>
      </c>
      <c r="H1085" s="177">
        <v>1</v>
      </c>
      <c r="I1085" s="178">
        <v>1650</v>
      </c>
      <c r="J1085" s="176">
        <v>46032</v>
      </c>
      <c r="K1085" s="172" t="s">
        <v>94</v>
      </c>
      <c r="L1085" s="172" t="s">
        <v>95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611</v>
      </c>
      <c r="B1086" s="176">
        <v>46040</v>
      </c>
      <c r="C1086" s="172" t="s">
        <v>105</v>
      </c>
      <c r="D1086" s="172" t="s">
        <v>106</v>
      </c>
      <c r="E1086" s="172" t="s">
        <v>39</v>
      </c>
      <c r="F1086" s="172" t="s">
        <v>88</v>
      </c>
      <c r="G1086" s="172" t="s">
        <v>85</v>
      </c>
      <c r="H1086" s="177">
        <v>1</v>
      </c>
      <c r="I1086" s="178">
        <v>1650</v>
      </c>
      <c r="J1086" s="176">
        <v>46032</v>
      </c>
      <c r="K1086" s="172" t="s">
        <v>94</v>
      </c>
      <c r="L1086" s="172" t="s">
        <v>95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611</v>
      </c>
      <c r="B1087" s="176">
        <v>46040</v>
      </c>
      <c r="C1087" s="172" t="s">
        <v>82</v>
      </c>
      <c r="D1087" s="172" t="s">
        <v>96</v>
      </c>
      <c r="E1087" s="172" t="s">
        <v>39</v>
      </c>
      <c r="F1087" s="172" t="s">
        <v>88</v>
      </c>
      <c r="G1087" s="172" t="s">
        <v>85</v>
      </c>
      <c r="H1087" s="177">
        <v>1</v>
      </c>
      <c r="I1087" s="178">
        <v>1650</v>
      </c>
      <c r="J1087" s="176">
        <v>46032</v>
      </c>
      <c r="K1087" s="172" t="s">
        <v>94</v>
      </c>
      <c r="L1087" s="172" t="s">
        <v>95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610</v>
      </c>
      <c r="B1088" s="176">
        <v>46040</v>
      </c>
      <c r="C1088" s="172" t="s">
        <v>93</v>
      </c>
      <c r="D1088" s="172" t="s">
        <v>24</v>
      </c>
      <c r="E1088" s="172" t="s">
        <v>53</v>
      </c>
      <c r="F1088" s="172" t="s">
        <v>91</v>
      </c>
      <c r="G1088" s="172" t="s">
        <v>85</v>
      </c>
      <c r="H1088" s="177">
        <v>1</v>
      </c>
      <c r="I1088" s="178">
        <v>0</v>
      </c>
      <c r="J1088" s="176">
        <v>46019</v>
      </c>
      <c r="K1088" s="172" t="s">
        <v>94</v>
      </c>
      <c r="L1088" s="172" t="s">
        <v>95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610</v>
      </c>
      <c r="B1089" s="176">
        <v>46040</v>
      </c>
      <c r="C1089" s="172" t="s">
        <v>82</v>
      </c>
      <c r="D1089" s="172" t="s">
        <v>96</v>
      </c>
      <c r="E1089" s="172" t="s">
        <v>53</v>
      </c>
      <c r="F1089" s="172" t="s">
        <v>91</v>
      </c>
      <c r="G1089" s="172" t="s">
        <v>85</v>
      </c>
      <c r="H1089" s="177">
        <v>1</v>
      </c>
      <c r="I1089" s="178">
        <v>0</v>
      </c>
      <c r="J1089" s="176">
        <v>46019</v>
      </c>
      <c r="K1089" s="172" t="s">
        <v>94</v>
      </c>
      <c r="L1089" s="172" t="s">
        <v>95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612</v>
      </c>
      <c r="B1090" s="176">
        <v>46040</v>
      </c>
      <c r="C1090" s="172" t="s">
        <v>93</v>
      </c>
      <c r="D1090" s="172" t="s">
        <v>24</v>
      </c>
      <c r="E1090" s="172" t="s">
        <v>53</v>
      </c>
      <c r="F1090" s="172" t="s">
        <v>91</v>
      </c>
      <c r="G1090" s="172" t="s">
        <v>85</v>
      </c>
      <c r="H1090" s="177">
        <v>1</v>
      </c>
      <c r="I1090" s="178">
        <v>1621</v>
      </c>
      <c r="J1090" s="176">
        <v>46029</v>
      </c>
      <c r="K1090" s="172" t="s">
        <v>94</v>
      </c>
      <c r="L1090" s="172" t="s">
        <v>95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612</v>
      </c>
      <c r="B1091" s="176">
        <v>46040</v>
      </c>
      <c r="C1091" s="172" t="s">
        <v>101</v>
      </c>
      <c r="D1091" s="172" t="s">
        <v>102</v>
      </c>
      <c r="E1091" s="172" t="s">
        <v>53</v>
      </c>
      <c r="F1091" s="172" t="s">
        <v>91</v>
      </c>
      <c r="G1091" s="172" t="s">
        <v>85</v>
      </c>
      <c r="H1091" s="177">
        <v>1</v>
      </c>
      <c r="I1091" s="178">
        <v>1621</v>
      </c>
      <c r="J1091" s="176">
        <v>46029</v>
      </c>
      <c r="K1091" s="172" t="s">
        <v>94</v>
      </c>
      <c r="L1091" s="172" t="s">
        <v>95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612</v>
      </c>
      <c r="B1092" s="176">
        <v>46040</v>
      </c>
      <c r="C1092" s="172" t="s">
        <v>101</v>
      </c>
      <c r="D1092" s="172" t="s">
        <v>103</v>
      </c>
      <c r="E1092" s="172" t="s">
        <v>53</v>
      </c>
      <c r="F1092" s="172" t="s">
        <v>91</v>
      </c>
      <c r="G1092" s="172" t="s">
        <v>85</v>
      </c>
      <c r="H1092" s="177">
        <v>1</v>
      </c>
      <c r="I1092" s="178">
        <v>1621</v>
      </c>
      <c r="J1092" s="176">
        <v>46029</v>
      </c>
      <c r="K1092" s="172" t="s">
        <v>94</v>
      </c>
      <c r="L1092" s="172" t="s">
        <v>95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612</v>
      </c>
      <c r="B1093" s="176">
        <v>46040</v>
      </c>
      <c r="C1093" s="172" t="s">
        <v>101</v>
      </c>
      <c r="D1093" s="172" t="s">
        <v>104</v>
      </c>
      <c r="E1093" s="172" t="s">
        <v>53</v>
      </c>
      <c r="F1093" s="172" t="s">
        <v>91</v>
      </c>
      <c r="G1093" s="172" t="s">
        <v>85</v>
      </c>
      <c r="H1093" s="177">
        <v>1</v>
      </c>
      <c r="I1093" s="178">
        <v>1621</v>
      </c>
      <c r="J1093" s="176">
        <v>46029</v>
      </c>
      <c r="K1093" s="172" t="s">
        <v>94</v>
      </c>
      <c r="L1093" s="172" t="s">
        <v>95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612</v>
      </c>
      <c r="B1094" s="176">
        <v>46040</v>
      </c>
      <c r="C1094" s="172" t="s">
        <v>105</v>
      </c>
      <c r="D1094" s="172" t="s">
        <v>106</v>
      </c>
      <c r="E1094" s="172" t="s">
        <v>53</v>
      </c>
      <c r="F1094" s="172" t="s">
        <v>91</v>
      </c>
      <c r="G1094" s="172" t="s">
        <v>85</v>
      </c>
      <c r="H1094" s="177">
        <v>1</v>
      </c>
      <c r="I1094" s="178">
        <v>1621</v>
      </c>
      <c r="J1094" s="176">
        <v>46029</v>
      </c>
      <c r="K1094" s="172" t="s">
        <v>94</v>
      </c>
      <c r="L1094" s="172" t="s">
        <v>95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612</v>
      </c>
      <c r="B1095" s="176">
        <v>46040</v>
      </c>
      <c r="C1095" s="172" t="s">
        <v>82</v>
      </c>
      <c r="D1095" s="172" t="s">
        <v>96</v>
      </c>
      <c r="E1095" s="172" t="s">
        <v>53</v>
      </c>
      <c r="F1095" s="172" t="s">
        <v>91</v>
      </c>
      <c r="G1095" s="172" t="s">
        <v>85</v>
      </c>
      <c r="H1095" s="177">
        <v>1</v>
      </c>
      <c r="I1095" s="178">
        <v>1621</v>
      </c>
      <c r="J1095" s="176">
        <v>46029</v>
      </c>
      <c r="K1095" s="172" t="s">
        <v>94</v>
      </c>
      <c r="L1095" s="172" t="s">
        <v>95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613</v>
      </c>
      <c r="B1096" s="176">
        <v>46040</v>
      </c>
      <c r="C1096" s="172" t="s">
        <v>93</v>
      </c>
      <c r="D1096" s="172" t="s">
        <v>24</v>
      </c>
      <c r="E1096" s="172" t="s">
        <v>53</v>
      </c>
      <c r="F1096" s="172" t="s">
        <v>91</v>
      </c>
      <c r="G1096" s="172" t="s">
        <v>85</v>
      </c>
      <c r="H1096" s="177">
        <v>1</v>
      </c>
      <c r="I1096" s="178">
        <v>1621</v>
      </c>
      <c r="J1096" s="176">
        <v>46032</v>
      </c>
      <c r="K1096" s="172" t="s">
        <v>94</v>
      </c>
      <c r="L1096" s="172" t="s">
        <v>95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613</v>
      </c>
      <c r="B1097" s="176">
        <v>46040</v>
      </c>
      <c r="C1097" s="172" t="s">
        <v>101</v>
      </c>
      <c r="D1097" s="172" t="s">
        <v>102</v>
      </c>
      <c r="E1097" s="172" t="s">
        <v>53</v>
      </c>
      <c r="F1097" s="172" t="s">
        <v>91</v>
      </c>
      <c r="G1097" s="172" t="s">
        <v>85</v>
      </c>
      <c r="H1097" s="177">
        <v>1</v>
      </c>
      <c r="I1097" s="178">
        <v>1621</v>
      </c>
      <c r="J1097" s="176">
        <v>46032</v>
      </c>
      <c r="K1097" s="172" t="s">
        <v>94</v>
      </c>
      <c r="L1097" s="172" t="s">
        <v>95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613</v>
      </c>
      <c r="B1098" s="176">
        <v>46040</v>
      </c>
      <c r="C1098" s="172" t="s">
        <v>101</v>
      </c>
      <c r="D1098" s="172" t="s">
        <v>103</v>
      </c>
      <c r="E1098" s="172" t="s">
        <v>53</v>
      </c>
      <c r="F1098" s="172" t="s">
        <v>91</v>
      </c>
      <c r="G1098" s="172" t="s">
        <v>85</v>
      </c>
      <c r="H1098" s="177">
        <v>1</v>
      </c>
      <c r="I1098" s="178">
        <v>1621</v>
      </c>
      <c r="J1098" s="176">
        <v>46032</v>
      </c>
      <c r="K1098" s="172" t="s">
        <v>94</v>
      </c>
      <c r="L1098" s="172" t="s">
        <v>95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613</v>
      </c>
      <c r="B1099" s="176">
        <v>46040</v>
      </c>
      <c r="C1099" s="172" t="s">
        <v>101</v>
      </c>
      <c r="D1099" s="172" t="s">
        <v>104</v>
      </c>
      <c r="E1099" s="172" t="s">
        <v>53</v>
      </c>
      <c r="F1099" s="172" t="s">
        <v>91</v>
      </c>
      <c r="G1099" s="172" t="s">
        <v>85</v>
      </c>
      <c r="H1099" s="177">
        <v>1</v>
      </c>
      <c r="I1099" s="178">
        <v>1621</v>
      </c>
      <c r="J1099" s="176">
        <v>46032</v>
      </c>
      <c r="K1099" s="172" t="s">
        <v>94</v>
      </c>
      <c r="L1099" s="172" t="s">
        <v>95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613</v>
      </c>
      <c r="B1100" s="176">
        <v>46040</v>
      </c>
      <c r="C1100" s="172" t="s">
        <v>105</v>
      </c>
      <c r="D1100" s="172" t="s">
        <v>106</v>
      </c>
      <c r="E1100" s="172" t="s">
        <v>53</v>
      </c>
      <c r="F1100" s="172" t="s">
        <v>91</v>
      </c>
      <c r="G1100" s="172" t="s">
        <v>85</v>
      </c>
      <c r="H1100" s="177">
        <v>1</v>
      </c>
      <c r="I1100" s="178">
        <v>1621</v>
      </c>
      <c r="J1100" s="176">
        <v>46032</v>
      </c>
      <c r="K1100" s="172" t="s">
        <v>94</v>
      </c>
      <c r="L1100" s="172" t="s">
        <v>95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613</v>
      </c>
      <c r="B1101" s="176">
        <v>46040</v>
      </c>
      <c r="C1101" s="172" t="s">
        <v>82</v>
      </c>
      <c r="D1101" s="172" t="s">
        <v>96</v>
      </c>
      <c r="E1101" s="172" t="s">
        <v>53</v>
      </c>
      <c r="F1101" s="172" t="s">
        <v>91</v>
      </c>
      <c r="G1101" s="172" t="s">
        <v>85</v>
      </c>
      <c r="H1101" s="177">
        <v>1</v>
      </c>
      <c r="I1101" s="178">
        <v>1621</v>
      </c>
      <c r="J1101" s="176">
        <v>46032</v>
      </c>
      <c r="K1101" s="172" t="s">
        <v>94</v>
      </c>
      <c r="L1101" s="172" t="s">
        <v>95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613</v>
      </c>
      <c r="B1102" s="176">
        <v>46040</v>
      </c>
      <c r="C1102" s="172" t="s">
        <v>82</v>
      </c>
      <c r="D1102" s="172" t="s">
        <v>83</v>
      </c>
      <c r="E1102" s="172" t="s">
        <v>53</v>
      </c>
      <c r="F1102" s="172" t="s">
        <v>91</v>
      </c>
      <c r="G1102" s="172" t="s">
        <v>85</v>
      </c>
      <c r="H1102" s="177">
        <v>1</v>
      </c>
      <c r="I1102" s="178">
        <v>0</v>
      </c>
      <c r="J1102" s="176">
        <v>46032</v>
      </c>
      <c r="K1102" s="172" t="s">
        <v>86</v>
      </c>
      <c r="L1102" s="172" t="s">
        <v>86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614</v>
      </c>
      <c r="B1103" s="176">
        <v>46040</v>
      </c>
      <c r="C1103" s="172" t="s">
        <v>93</v>
      </c>
      <c r="D1103" s="172" t="s">
        <v>24</v>
      </c>
      <c r="E1103" s="172" t="s">
        <v>54</v>
      </c>
      <c r="F1103" s="172" t="s">
        <v>121</v>
      </c>
      <c r="G1103" s="172" t="s">
        <v>85</v>
      </c>
      <c r="H1103" s="177">
        <v>1</v>
      </c>
      <c r="I1103" s="178">
        <v>1845</v>
      </c>
      <c r="J1103" s="176">
        <v>46034</v>
      </c>
      <c r="K1103" s="172" t="s">
        <v>94</v>
      </c>
      <c r="L1103" s="172" t="s">
        <v>95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614</v>
      </c>
      <c r="B1104" s="176">
        <v>46040</v>
      </c>
      <c r="C1104" s="172" t="s">
        <v>101</v>
      </c>
      <c r="D1104" s="172" t="s">
        <v>102</v>
      </c>
      <c r="E1104" s="172" t="s">
        <v>54</v>
      </c>
      <c r="F1104" s="172" t="s">
        <v>121</v>
      </c>
      <c r="G1104" s="172" t="s">
        <v>85</v>
      </c>
      <c r="H1104" s="177">
        <v>1</v>
      </c>
      <c r="I1104" s="178">
        <v>1845</v>
      </c>
      <c r="J1104" s="176">
        <v>46034</v>
      </c>
      <c r="K1104" s="172" t="s">
        <v>94</v>
      </c>
      <c r="L1104" s="172" t="s">
        <v>95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614</v>
      </c>
      <c r="B1105" s="176">
        <v>46040</v>
      </c>
      <c r="C1105" s="172" t="s">
        <v>101</v>
      </c>
      <c r="D1105" s="172" t="s">
        <v>103</v>
      </c>
      <c r="E1105" s="172" t="s">
        <v>54</v>
      </c>
      <c r="F1105" s="172" t="s">
        <v>121</v>
      </c>
      <c r="G1105" s="172" t="s">
        <v>85</v>
      </c>
      <c r="H1105" s="177">
        <v>1</v>
      </c>
      <c r="I1105" s="178">
        <v>1845</v>
      </c>
      <c r="J1105" s="176">
        <v>46034</v>
      </c>
      <c r="K1105" s="172" t="s">
        <v>94</v>
      </c>
      <c r="L1105" s="172" t="s">
        <v>95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614</v>
      </c>
      <c r="B1106" s="176">
        <v>46040</v>
      </c>
      <c r="C1106" s="172" t="s">
        <v>101</v>
      </c>
      <c r="D1106" s="172" t="s">
        <v>104</v>
      </c>
      <c r="E1106" s="172" t="s">
        <v>54</v>
      </c>
      <c r="F1106" s="172" t="s">
        <v>121</v>
      </c>
      <c r="G1106" s="172" t="s">
        <v>85</v>
      </c>
      <c r="H1106" s="177">
        <v>1</v>
      </c>
      <c r="I1106" s="178">
        <v>1845</v>
      </c>
      <c r="J1106" s="176">
        <v>46034</v>
      </c>
      <c r="K1106" s="172" t="s">
        <v>94</v>
      </c>
      <c r="L1106" s="172" t="s">
        <v>95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614</v>
      </c>
      <c r="B1107" s="176">
        <v>46040</v>
      </c>
      <c r="C1107" s="172" t="s">
        <v>105</v>
      </c>
      <c r="D1107" s="172" t="s">
        <v>106</v>
      </c>
      <c r="E1107" s="172" t="s">
        <v>54</v>
      </c>
      <c r="F1107" s="172" t="s">
        <v>121</v>
      </c>
      <c r="G1107" s="172" t="s">
        <v>85</v>
      </c>
      <c r="H1107" s="177">
        <v>1</v>
      </c>
      <c r="I1107" s="178">
        <v>1845</v>
      </c>
      <c r="J1107" s="176">
        <v>46034</v>
      </c>
      <c r="K1107" s="172" t="s">
        <v>94</v>
      </c>
      <c r="L1107" s="172" t="s">
        <v>95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86</v>
      </c>
      <c r="B1108" s="176">
        <v>46040</v>
      </c>
      <c r="C1108" s="172" t="s">
        <v>110</v>
      </c>
      <c r="D1108" s="172" t="s">
        <v>111</v>
      </c>
      <c r="E1108" s="172" t="s">
        <v>86</v>
      </c>
      <c r="F1108" s="172" t="s">
        <v>86</v>
      </c>
      <c r="G1108" s="172" t="s">
        <v>615</v>
      </c>
      <c r="H1108" s="177">
        <v>0</v>
      </c>
      <c r="I1108" s="178">
        <v>0</v>
      </c>
      <c r="J1108" s="176">
        <v>46040</v>
      </c>
      <c r="K1108" s="172" t="s">
        <v>86</v>
      </c>
      <c r="L1108" s="172" t="s">
        <v>86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616</v>
      </c>
      <c r="B1109" s="176">
        <v>46040</v>
      </c>
      <c r="C1109" s="172" t="s">
        <v>82</v>
      </c>
      <c r="D1109" s="172" t="s">
        <v>83</v>
      </c>
      <c r="E1109" s="172" t="s">
        <v>53</v>
      </c>
      <c r="F1109" s="172" t="s">
        <v>91</v>
      </c>
      <c r="G1109" s="172" t="s">
        <v>85</v>
      </c>
      <c r="H1109" s="177">
        <v>1</v>
      </c>
      <c r="I1109" s="178">
        <v>0</v>
      </c>
      <c r="J1109" s="176">
        <v>46040</v>
      </c>
      <c r="K1109" s="172" t="s">
        <v>86</v>
      </c>
      <c r="L1109" s="172" t="s">
        <v>86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617</v>
      </c>
      <c r="B1110" s="176">
        <v>46040</v>
      </c>
      <c r="C1110" s="172" t="s">
        <v>93</v>
      </c>
      <c r="D1110" s="172" t="s">
        <v>24</v>
      </c>
      <c r="E1110" s="172" t="s">
        <v>41</v>
      </c>
      <c r="F1110" s="172" t="s">
        <v>198</v>
      </c>
      <c r="G1110" s="172" t="s">
        <v>85</v>
      </c>
      <c r="H1110" s="177">
        <v>1</v>
      </c>
      <c r="I1110" s="178">
        <v>1750</v>
      </c>
      <c r="J1110" s="176">
        <v>46039</v>
      </c>
      <c r="K1110" s="172" t="s">
        <v>94</v>
      </c>
      <c r="L1110" s="172" t="s">
        <v>95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617</v>
      </c>
      <c r="B1111" s="176">
        <v>46040</v>
      </c>
      <c r="C1111" s="172" t="s">
        <v>101</v>
      </c>
      <c r="D1111" s="172" t="s">
        <v>102</v>
      </c>
      <c r="E1111" s="172" t="s">
        <v>41</v>
      </c>
      <c r="F1111" s="172" t="s">
        <v>198</v>
      </c>
      <c r="G1111" s="172" t="s">
        <v>85</v>
      </c>
      <c r="H1111" s="177">
        <v>1</v>
      </c>
      <c r="I1111" s="178">
        <v>1750</v>
      </c>
      <c r="J1111" s="176">
        <v>46039</v>
      </c>
      <c r="K1111" s="172" t="s">
        <v>94</v>
      </c>
      <c r="L1111" s="172" t="s">
        <v>95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617</v>
      </c>
      <c r="B1112" s="176">
        <v>46040</v>
      </c>
      <c r="C1112" s="172" t="s">
        <v>101</v>
      </c>
      <c r="D1112" s="172" t="s">
        <v>103</v>
      </c>
      <c r="E1112" s="172" t="s">
        <v>41</v>
      </c>
      <c r="F1112" s="172" t="s">
        <v>198</v>
      </c>
      <c r="G1112" s="172" t="s">
        <v>85</v>
      </c>
      <c r="H1112" s="177">
        <v>1</v>
      </c>
      <c r="I1112" s="178">
        <v>1750</v>
      </c>
      <c r="J1112" s="176">
        <v>46039</v>
      </c>
      <c r="K1112" s="172" t="s">
        <v>94</v>
      </c>
      <c r="L1112" s="172" t="s">
        <v>95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617</v>
      </c>
      <c r="B1113" s="176">
        <v>46040</v>
      </c>
      <c r="C1113" s="172" t="s">
        <v>101</v>
      </c>
      <c r="D1113" s="172" t="s">
        <v>104</v>
      </c>
      <c r="E1113" s="172" t="s">
        <v>41</v>
      </c>
      <c r="F1113" s="172" t="s">
        <v>198</v>
      </c>
      <c r="G1113" s="172" t="s">
        <v>85</v>
      </c>
      <c r="H1113" s="177">
        <v>1</v>
      </c>
      <c r="I1113" s="178">
        <v>1750</v>
      </c>
      <c r="J1113" s="176">
        <v>46039</v>
      </c>
      <c r="K1113" s="172" t="s">
        <v>94</v>
      </c>
      <c r="L1113" s="172" t="s">
        <v>95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617</v>
      </c>
      <c r="B1114" s="176">
        <v>46040</v>
      </c>
      <c r="C1114" s="172" t="s">
        <v>105</v>
      </c>
      <c r="D1114" s="172" t="s">
        <v>106</v>
      </c>
      <c r="E1114" s="172" t="s">
        <v>41</v>
      </c>
      <c r="F1114" s="172" t="s">
        <v>198</v>
      </c>
      <c r="G1114" s="172" t="s">
        <v>85</v>
      </c>
      <c r="H1114" s="177">
        <v>1</v>
      </c>
      <c r="I1114" s="178">
        <v>1750</v>
      </c>
      <c r="J1114" s="176">
        <v>46039</v>
      </c>
      <c r="K1114" s="172" t="s">
        <v>94</v>
      </c>
      <c r="L1114" s="172" t="s">
        <v>95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617</v>
      </c>
      <c r="B1115" s="176">
        <v>46040</v>
      </c>
      <c r="C1115" s="172" t="s">
        <v>82</v>
      </c>
      <c r="D1115" s="172" t="s">
        <v>96</v>
      </c>
      <c r="E1115" s="172" t="s">
        <v>41</v>
      </c>
      <c r="F1115" s="172" t="s">
        <v>198</v>
      </c>
      <c r="G1115" s="172" t="s">
        <v>85</v>
      </c>
      <c r="H1115" s="177">
        <v>1</v>
      </c>
      <c r="I1115" s="178">
        <v>1750</v>
      </c>
      <c r="J1115" s="176">
        <v>46039</v>
      </c>
      <c r="K1115" s="172" t="s">
        <v>94</v>
      </c>
      <c r="L1115" s="172" t="s">
        <v>95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618</v>
      </c>
      <c r="B1116" s="176">
        <v>46040</v>
      </c>
      <c r="C1116" s="172" t="s">
        <v>93</v>
      </c>
      <c r="D1116" s="172" t="s">
        <v>24</v>
      </c>
      <c r="E1116" s="172" t="s">
        <v>54</v>
      </c>
      <c r="F1116" s="172" t="s">
        <v>121</v>
      </c>
      <c r="G1116" s="172" t="s">
        <v>85</v>
      </c>
      <c r="H1116" s="177">
        <v>1</v>
      </c>
      <c r="I1116" s="178">
        <v>0</v>
      </c>
      <c r="J1116" s="176">
        <v>46014</v>
      </c>
      <c r="K1116" s="172" t="s">
        <v>94</v>
      </c>
      <c r="L1116" s="172" t="s">
        <v>95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618</v>
      </c>
      <c r="B1117" s="176">
        <v>46040</v>
      </c>
      <c r="C1117" s="172" t="s">
        <v>82</v>
      </c>
      <c r="D1117" s="172" t="s">
        <v>96</v>
      </c>
      <c r="E1117" s="172" t="s">
        <v>54</v>
      </c>
      <c r="F1117" s="172" t="s">
        <v>121</v>
      </c>
      <c r="G1117" s="172" t="s">
        <v>85</v>
      </c>
      <c r="H1117" s="177">
        <v>1</v>
      </c>
      <c r="I1117" s="178">
        <v>0</v>
      </c>
      <c r="J1117" s="176">
        <v>46014</v>
      </c>
      <c r="K1117" s="172" t="s">
        <v>94</v>
      </c>
      <c r="L1117" s="172" t="s">
        <v>95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618</v>
      </c>
      <c r="B1118" s="176">
        <v>46040</v>
      </c>
      <c r="C1118" s="172" t="s">
        <v>93</v>
      </c>
      <c r="D1118" s="172" t="s">
        <v>97</v>
      </c>
      <c r="E1118" s="172" t="s">
        <v>54</v>
      </c>
      <c r="F1118" s="172" t="s">
        <v>121</v>
      </c>
      <c r="G1118" s="172" t="s">
        <v>85</v>
      </c>
      <c r="H1118" s="177">
        <v>1</v>
      </c>
      <c r="I1118" s="178">
        <v>0</v>
      </c>
      <c r="J1118" s="176">
        <v>46014</v>
      </c>
      <c r="K1118" s="172" t="s">
        <v>94</v>
      </c>
      <c r="L1118" s="172" t="s">
        <v>95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618</v>
      </c>
      <c r="B1119" s="176">
        <v>46040</v>
      </c>
      <c r="C1119" s="172" t="s">
        <v>93</v>
      </c>
      <c r="D1119" s="172" t="s">
        <v>98</v>
      </c>
      <c r="E1119" s="172" t="s">
        <v>54</v>
      </c>
      <c r="F1119" s="172" t="s">
        <v>121</v>
      </c>
      <c r="G1119" s="172" t="s">
        <v>85</v>
      </c>
      <c r="H1119" s="177">
        <v>1</v>
      </c>
      <c r="I1119" s="178">
        <v>0</v>
      </c>
      <c r="J1119" s="176">
        <v>46014</v>
      </c>
      <c r="K1119" s="172" t="s">
        <v>94</v>
      </c>
      <c r="L1119" s="172" t="s">
        <v>95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618</v>
      </c>
      <c r="B1120" s="176">
        <v>46040</v>
      </c>
      <c r="C1120" s="172" t="s">
        <v>82</v>
      </c>
      <c r="D1120" s="172" t="s">
        <v>99</v>
      </c>
      <c r="E1120" s="172" t="s">
        <v>54</v>
      </c>
      <c r="F1120" s="172" t="s">
        <v>121</v>
      </c>
      <c r="G1120" s="172" t="s">
        <v>85</v>
      </c>
      <c r="H1120" s="177">
        <v>1</v>
      </c>
      <c r="I1120" s="178">
        <v>0</v>
      </c>
      <c r="J1120" s="176">
        <v>46014</v>
      </c>
      <c r="K1120" s="172" t="s">
        <v>94</v>
      </c>
      <c r="L1120" s="172" t="s">
        <v>95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619</v>
      </c>
      <c r="B1121" s="176">
        <v>46040</v>
      </c>
      <c r="C1121" s="172" t="s">
        <v>93</v>
      </c>
      <c r="D1121" s="172" t="s">
        <v>24</v>
      </c>
      <c r="E1121" s="172" t="s">
        <v>42</v>
      </c>
      <c r="F1121" s="172" t="s">
        <v>84</v>
      </c>
      <c r="G1121" s="172" t="s">
        <v>85</v>
      </c>
      <c r="H1121" s="177">
        <v>1</v>
      </c>
      <c r="I1121" s="178">
        <v>0</v>
      </c>
      <c r="J1121" s="176">
        <v>46035</v>
      </c>
      <c r="K1121" s="172" t="s">
        <v>94</v>
      </c>
      <c r="L1121" s="172" t="s">
        <v>95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619</v>
      </c>
      <c r="B1122" s="176">
        <v>46040</v>
      </c>
      <c r="C1122" s="172" t="s">
        <v>82</v>
      </c>
      <c r="D1122" s="172" t="s">
        <v>96</v>
      </c>
      <c r="E1122" s="172" t="s">
        <v>42</v>
      </c>
      <c r="F1122" s="172" t="s">
        <v>84</v>
      </c>
      <c r="G1122" s="172" t="s">
        <v>85</v>
      </c>
      <c r="H1122" s="177">
        <v>1</v>
      </c>
      <c r="I1122" s="178">
        <v>0</v>
      </c>
      <c r="J1122" s="176">
        <v>46035</v>
      </c>
      <c r="K1122" s="172" t="s">
        <v>94</v>
      </c>
      <c r="L1122" s="172" t="s">
        <v>95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620</v>
      </c>
      <c r="B1123" s="176">
        <v>46040</v>
      </c>
      <c r="C1123" s="172" t="s">
        <v>82</v>
      </c>
      <c r="D1123" s="172" t="s">
        <v>83</v>
      </c>
      <c r="E1123" s="172" t="s">
        <v>39</v>
      </c>
      <c r="F1123" s="172" t="s">
        <v>88</v>
      </c>
      <c r="G1123" s="172" t="s">
        <v>85</v>
      </c>
      <c r="H1123" s="177">
        <v>1</v>
      </c>
      <c r="I1123" s="178">
        <v>0</v>
      </c>
      <c r="J1123" s="176">
        <v>46040</v>
      </c>
      <c r="K1123" s="172" t="s">
        <v>86</v>
      </c>
      <c r="L1123" s="172" t="s">
        <v>86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619</v>
      </c>
      <c r="B1124" s="176">
        <v>46040</v>
      </c>
      <c r="C1124" s="172" t="s">
        <v>93</v>
      </c>
      <c r="D1124" s="172" t="s">
        <v>97</v>
      </c>
      <c r="E1124" s="172" t="s">
        <v>42</v>
      </c>
      <c r="F1124" s="172" t="s">
        <v>84</v>
      </c>
      <c r="G1124" s="172" t="s">
        <v>85</v>
      </c>
      <c r="H1124" s="177">
        <v>1</v>
      </c>
      <c r="I1124" s="178">
        <v>0</v>
      </c>
      <c r="J1124" s="176">
        <v>46035</v>
      </c>
      <c r="K1124" s="172" t="s">
        <v>94</v>
      </c>
      <c r="L1124" s="172" t="s">
        <v>95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619</v>
      </c>
      <c r="B1125" s="176">
        <v>46040</v>
      </c>
      <c r="C1125" s="172" t="s">
        <v>93</v>
      </c>
      <c r="D1125" s="172" t="s">
        <v>98</v>
      </c>
      <c r="E1125" s="172" t="s">
        <v>42</v>
      </c>
      <c r="F1125" s="172" t="s">
        <v>84</v>
      </c>
      <c r="G1125" s="172" t="s">
        <v>85</v>
      </c>
      <c r="H1125" s="177">
        <v>1</v>
      </c>
      <c r="I1125" s="178">
        <v>0</v>
      </c>
      <c r="J1125" s="176">
        <v>46035</v>
      </c>
      <c r="K1125" s="172" t="s">
        <v>94</v>
      </c>
      <c r="L1125" s="172" t="s">
        <v>95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619</v>
      </c>
      <c r="B1126" s="176">
        <v>46040</v>
      </c>
      <c r="C1126" s="172" t="s">
        <v>82</v>
      </c>
      <c r="D1126" s="172" t="s">
        <v>99</v>
      </c>
      <c r="E1126" s="172" t="s">
        <v>42</v>
      </c>
      <c r="F1126" s="172" t="s">
        <v>84</v>
      </c>
      <c r="G1126" s="172" t="s">
        <v>85</v>
      </c>
      <c r="H1126" s="177">
        <v>1</v>
      </c>
      <c r="I1126" s="178">
        <v>0</v>
      </c>
      <c r="J1126" s="176">
        <v>46035</v>
      </c>
      <c r="K1126" s="172" t="s">
        <v>94</v>
      </c>
      <c r="L1126" s="172" t="s">
        <v>95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621</v>
      </c>
      <c r="B1127" s="176">
        <v>46040</v>
      </c>
      <c r="C1127" s="172" t="s">
        <v>93</v>
      </c>
      <c r="D1127" s="172" t="s">
        <v>24</v>
      </c>
      <c r="E1127" s="172" t="s">
        <v>41</v>
      </c>
      <c r="F1127" s="172" t="s">
        <v>198</v>
      </c>
      <c r="G1127" s="172" t="s">
        <v>85</v>
      </c>
      <c r="H1127" s="177">
        <v>1</v>
      </c>
      <c r="I1127" s="178">
        <v>1750</v>
      </c>
      <c r="J1127" s="176">
        <v>46036</v>
      </c>
      <c r="K1127" s="172" t="s">
        <v>94</v>
      </c>
      <c r="L1127" s="172" t="s">
        <v>95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621</v>
      </c>
      <c r="B1128" s="176">
        <v>46040</v>
      </c>
      <c r="C1128" s="172" t="s">
        <v>101</v>
      </c>
      <c r="D1128" s="172" t="s">
        <v>102</v>
      </c>
      <c r="E1128" s="172" t="s">
        <v>41</v>
      </c>
      <c r="F1128" s="172" t="s">
        <v>198</v>
      </c>
      <c r="G1128" s="172" t="s">
        <v>85</v>
      </c>
      <c r="H1128" s="177">
        <v>1</v>
      </c>
      <c r="I1128" s="178">
        <v>1750</v>
      </c>
      <c r="J1128" s="176">
        <v>46036</v>
      </c>
      <c r="K1128" s="172" t="s">
        <v>94</v>
      </c>
      <c r="L1128" s="172" t="s">
        <v>95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621</v>
      </c>
      <c r="B1129" s="176">
        <v>46040</v>
      </c>
      <c r="C1129" s="172" t="s">
        <v>101</v>
      </c>
      <c r="D1129" s="172" t="s">
        <v>103</v>
      </c>
      <c r="E1129" s="172" t="s">
        <v>41</v>
      </c>
      <c r="F1129" s="172" t="s">
        <v>198</v>
      </c>
      <c r="G1129" s="172" t="s">
        <v>85</v>
      </c>
      <c r="H1129" s="177">
        <v>1</v>
      </c>
      <c r="I1129" s="178">
        <v>1750</v>
      </c>
      <c r="J1129" s="176">
        <v>46036</v>
      </c>
      <c r="K1129" s="172" t="s">
        <v>94</v>
      </c>
      <c r="L1129" s="172" t="s">
        <v>95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621</v>
      </c>
      <c r="B1130" s="176">
        <v>46040</v>
      </c>
      <c r="C1130" s="172" t="s">
        <v>101</v>
      </c>
      <c r="D1130" s="172" t="s">
        <v>104</v>
      </c>
      <c r="E1130" s="172" t="s">
        <v>41</v>
      </c>
      <c r="F1130" s="172" t="s">
        <v>198</v>
      </c>
      <c r="G1130" s="172" t="s">
        <v>85</v>
      </c>
      <c r="H1130" s="177">
        <v>1</v>
      </c>
      <c r="I1130" s="178">
        <v>1750</v>
      </c>
      <c r="J1130" s="176">
        <v>46036</v>
      </c>
      <c r="K1130" s="172" t="s">
        <v>94</v>
      </c>
      <c r="L1130" s="172" t="s">
        <v>95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621</v>
      </c>
      <c r="B1131" s="176">
        <v>46040</v>
      </c>
      <c r="C1131" s="172" t="s">
        <v>105</v>
      </c>
      <c r="D1131" s="172" t="s">
        <v>106</v>
      </c>
      <c r="E1131" s="172" t="s">
        <v>41</v>
      </c>
      <c r="F1131" s="172" t="s">
        <v>198</v>
      </c>
      <c r="G1131" s="172" t="s">
        <v>85</v>
      </c>
      <c r="H1131" s="177">
        <v>1</v>
      </c>
      <c r="I1131" s="178">
        <v>1750</v>
      </c>
      <c r="J1131" s="176">
        <v>46036</v>
      </c>
      <c r="K1131" s="172" t="s">
        <v>94</v>
      </c>
      <c r="L1131" s="172" t="s">
        <v>95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621</v>
      </c>
      <c r="B1132" s="176">
        <v>46040</v>
      </c>
      <c r="C1132" s="172" t="s">
        <v>82</v>
      </c>
      <c r="D1132" s="172" t="s">
        <v>96</v>
      </c>
      <c r="E1132" s="172" t="s">
        <v>41</v>
      </c>
      <c r="F1132" s="172" t="s">
        <v>198</v>
      </c>
      <c r="G1132" s="172" t="s">
        <v>85</v>
      </c>
      <c r="H1132" s="177">
        <v>1</v>
      </c>
      <c r="I1132" s="178">
        <v>1750</v>
      </c>
      <c r="J1132" s="176">
        <v>46036</v>
      </c>
      <c r="K1132" s="172" t="s">
        <v>94</v>
      </c>
      <c r="L1132" s="172" t="s">
        <v>95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622</v>
      </c>
      <c r="B1133" s="176">
        <v>46040</v>
      </c>
      <c r="C1133" s="172" t="s">
        <v>93</v>
      </c>
      <c r="D1133" s="172" t="s">
        <v>24</v>
      </c>
      <c r="E1133" s="172" t="s">
        <v>54</v>
      </c>
      <c r="F1133" s="172" t="s">
        <v>121</v>
      </c>
      <c r="G1133" s="172" t="s">
        <v>85</v>
      </c>
      <c r="H1133" s="177">
        <v>1</v>
      </c>
      <c r="I1133" s="178">
        <v>1845</v>
      </c>
      <c r="J1133" s="176">
        <v>46031</v>
      </c>
      <c r="K1133" s="172" t="s">
        <v>94</v>
      </c>
      <c r="L1133" s="172" t="s">
        <v>95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622</v>
      </c>
      <c r="B1134" s="176">
        <v>46040</v>
      </c>
      <c r="C1134" s="172" t="s">
        <v>101</v>
      </c>
      <c r="D1134" s="172" t="s">
        <v>102</v>
      </c>
      <c r="E1134" s="172" t="s">
        <v>54</v>
      </c>
      <c r="F1134" s="172" t="s">
        <v>121</v>
      </c>
      <c r="G1134" s="172" t="s">
        <v>85</v>
      </c>
      <c r="H1134" s="177">
        <v>1</v>
      </c>
      <c r="I1134" s="178">
        <v>1845</v>
      </c>
      <c r="J1134" s="176">
        <v>46031</v>
      </c>
      <c r="K1134" s="172" t="s">
        <v>94</v>
      </c>
      <c r="L1134" s="172" t="s">
        <v>95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622</v>
      </c>
      <c r="B1135" s="176">
        <v>46040</v>
      </c>
      <c r="C1135" s="172" t="s">
        <v>101</v>
      </c>
      <c r="D1135" s="172" t="s">
        <v>103</v>
      </c>
      <c r="E1135" s="172" t="s">
        <v>54</v>
      </c>
      <c r="F1135" s="172" t="s">
        <v>121</v>
      </c>
      <c r="G1135" s="172" t="s">
        <v>85</v>
      </c>
      <c r="H1135" s="177">
        <v>1</v>
      </c>
      <c r="I1135" s="178">
        <v>1845</v>
      </c>
      <c r="J1135" s="176">
        <v>46031</v>
      </c>
      <c r="K1135" s="172" t="s">
        <v>94</v>
      </c>
      <c r="L1135" s="172" t="s">
        <v>95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622</v>
      </c>
      <c r="B1136" s="176">
        <v>46040</v>
      </c>
      <c r="C1136" s="172" t="s">
        <v>101</v>
      </c>
      <c r="D1136" s="172" t="s">
        <v>104</v>
      </c>
      <c r="E1136" s="172" t="s">
        <v>54</v>
      </c>
      <c r="F1136" s="172" t="s">
        <v>121</v>
      </c>
      <c r="G1136" s="172" t="s">
        <v>85</v>
      </c>
      <c r="H1136" s="177">
        <v>1</v>
      </c>
      <c r="I1136" s="178">
        <v>1845</v>
      </c>
      <c r="J1136" s="176">
        <v>46031</v>
      </c>
      <c r="K1136" s="172" t="s">
        <v>94</v>
      </c>
      <c r="L1136" s="172" t="s">
        <v>95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622</v>
      </c>
      <c r="B1137" s="176">
        <v>46040</v>
      </c>
      <c r="C1137" s="172" t="s">
        <v>105</v>
      </c>
      <c r="D1137" s="172" t="s">
        <v>106</v>
      </c>
      <c r="E1137" s="172" t="s">
        <v>54</v>
      </c>
      <c r="F1137" s="172" t="s">
        <v>121</v>
      </c>
      <c r="G1137" s="172" t="s">
        <v>85</v>
      </c>
      <c r="H1137" s="177">
        <v>1</v>
      </c>
      <c r="I1137" s="178">
        <v>1845</v>
      </c>
      <c r="J1137" s="176">
        <v>46031</v>
      </c>
      <c r="K1137" s="172" t="s">
        <v>94</v>
      </c>
      <c r="L1137" s="172" t="s">
        <v>95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622</v>
      </c>
      <c r="B1138" s="176">
        <v>46040</v>
      </c>
      <c r="C1138" s="172" t="s">
        <v>82</v>
      </c>
      <c r="D1138" s="172" t="s">
        <v>96</v>
      </c>
      <c r="E1138" s="172" t="s">
        <v>54</v>
      </c>
      <c r="F1138" s="172" t="s">
        <v>121</v>
      </c>
      <c r="G1138" s="172" t="s">
        <v>85</v>
      </c>
      <c r="H1138" s="177">
        <v>1</v>
      </c>
      <c r="I1138" s="178">
        <v>1845</v>
      </c>
      <c r="J1138" s="176">
        <v>46031</v>
      </c>
      <c r="K1138" s="172" t="s">
        <v>94</v>
      </c>
      <c r="L1138" s="172" t="s">
        <v>95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621</v>
      </c>
      <c r="B1139" s="176">
        <v>46040</v>
      </c>
      <c r="C1139" s="172" t="s">
        <v>82</v>
      </c>
      <c r="D1139" s="172" t="s">
        <v>83</v>
      </c>
      <c r="E1139" s="172" t="s">
        <v>41</v>
      </c>
      <c r="F1139" s="172" t="s">
        <v>198</v>
      </c>
      <c r="G1139" s="172" t="s">
        <v>85</v>
      </c>
      <c r="H1139" s="177">
        <v>1</v>
      </c>
      <c r="I1139" s="178">
        <v>0</v>
      </c>
      <c r="J1139" s="176">
        <v>46036</v>
      </c>
      <c r="K1139" s="172" t="s">
        <v>86</v>
      </c>
      <c r="L1139" s="172" t="s">
        <v>86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622</v>
      </c>
      <c r="B1140" s="176">
        <v>46040</v>
      </c>
      <c r="C1140" s="172" t="s">
        <v>82</v>
      </c>
      <c r="D1140" s="172" t="s">
        <v>83</v>
      </c>
      <c r="E1140" s="172" t="s">
        <v>54</v>
      </c>
      <c r="F1140" s="172" t="s">
        <v>121</v>
      </c>
      <c r="G1140" s="172" t="s">
        <v>85</v>
      </c>
      <c r="H1140" s="177">
        <v>1</v>
      </c>
      <c r="I1140" s="178">
        <v>0</v>
      </c>
      <c r="J1140" s="176">
        <v>46031</v>
      </c>
      <c r="K1140" s="172" t="s">
        <v>86</v>
      </c>
      <c r="L1140" s="172" t="s">
        <v>86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623</v>
      </c>
      <c r="B1141" s="176">
        <v>46040</v>
      </c>
      <c r="C1141" s="172" t="s">
        <v>93</v>
      </c>
      <c r="D1141" s="172" t="s">
        <v>24</v>
      </c>
      <c r="E1141" s="172" t="s">
        <v>43</v>
      </c>
      <c r="F1141" s="172" t="s">
        <v>90</v>
      </c>
      <c r="G1141" s="172" t="s">
        <v>85</v>
      </c>
      <c r="H1141" s="177">
        <v>1</v>
      </c>
      <c r="I1141" s="178">
        <v>1750</v>
      </c>
      <c r="J1141" s="176">
        <v>46037</v>
      </c>
      <c r="K1141" s="172" t="s">
        <v>94</v>
      </c>
      <c r="L1141" s="172" t="s">
        <v>95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623</v>
      </c>
      <c r="B1142" s="176">
        <v>46040</v>
      </c>
      <c r="C1142" s="172" t="s">
        <v>101</v>
      </c>
      <c r="D1142" s="172" t="s">
        <v>102</v>
      </c>
      <c r="E1142" s="172" t="s">
        <v>43</v>
      </c>
      <c r="F1142" s="172" t="s">
        <v>90</v>
      </c>
      <c r="G1142" s="172" t="s">
        <v>85</v>
      </c>
      <c r="H1142" s="177">
        <v>1</v>
      </c>
      <c r="I1142" s="178">
        <v>1750</v>
      </c>
      <c r="J1142" s="176">
        <v>46037</v>
      </c>
      <c r="K1142" s="172" t="s">
        <v>94</v>
      </c>
      <c r="L1142" s="172" t="s">
        <v>95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623</v>
      </c>
      <c r="B1143" s="176">
        <v>46040</v>
      </c>
      <c r="C1143" s="172" t="s">
        <v>101</v>
      </c>
      <c r="D1143" s="172" t="s">
        <v>103</v>
      </c>
      <c r="E1143" s="172" t="s">
        <v>43</v>
      </c>
      <c r="F1143" s="172" t="s">
        <v>90</v>
      </c>
      <c r="G1143" s="172" t="s">
        <v>85</v>
      </c>
      <c r="H1143" s="177">
        <v>1</v>
      </c>
      <c r="I1143" s="178">
        <v>1750</v>
      </c>
      <c r="J1143" s="176">
        <v>46037</v>
      </c>
      <c r="K1143" s="172" t="s">
        <v>94</v>
      </c>
      <c r="L1143" s="172" t="s">
        <v>95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623</v>
      </c>
      <c r="B1144" s="176">
        <v>46040</v>
      </c>
      <c r="C1144" s="172" t="s">
        <v>101</v>
      </c>
      <c r="D1144" s="172" t="s">
        <v>104</v>
      </c>
      <c r="E1144" s="172" t="s">
        <v>43</v>
      </c>
      <c r="F1144" s="172" t="s">
        <v>90</v>
      </c>
      <c r="G1144" s="172" t="s">
        <v>85</v>
      </c>
      <c r="H1144" s="177">
        <v>1</v>
      </c>
      <c r="I1144" s="178">
        <v>1750</v>
      </c>
      <c r="J1144" s="176">
        <v>46037</v>
      </c>
      <c r="K1144" s="172" t="s">
        <v>94</v>
      </c>
      <c r="L1144" s="172" t="s">
        <v>95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623</v>
      </c>
      <c r="B1145" s="176">
        <v>46040</v>
      </c>
      <c r="C1145" s="172" t="s">
        <v>105</v>
      </c>
      <c r="D1145" s="172" t="s">
        <v>106</v>
      </c>
      <c r="E1145" s="172" t="s">
        <v>43</v>
      </c>
      <c r="F1145" s="172" t="s">
        <v>90</v>
      </c>
      <c r="G1145" s="172" t="s">
        <v>85</v>
      </c>
      <c r="H1145" s="177">
        <v>1</v>
      </c>
      <c r="I1145" s="178">
        <v>1750</v>
      </c>
      <c r="J1145" s="176">
        <v>46037</v>
      </c>
      <c r="K1145" s="172" t="s">
        <v>94</v>
      </c>
      <c r="L1145" s="172" t="s">
        <v>95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623</v>
      </c>
      <c r="B1146" s="176">
        <v>46040</v>
      </c>
      <c r="C1146" s="172" t="s">
        <v>82</v>
      </c>
      <c r="D1146" s="172" t="s">
        <v>96</v>
      </c>
      <c r="E1146" s="172" t="s">
        <v>43</v>
      </c>
      <c r="F1146" s="172" t="s">
        <v>90</v>
      </c>
      <c r="G1146" s="172" t="s">
        <v>85</v>
      </c>
      <c r="H1146" s="177">
        <v>1</v>
      </c>
      <c r="I1146" s="178">
        <v>1750</v>
      </c>
      <c r="J1146" s="176">
        <v>46037</v>
      </c>
      <c r="K1146" s="172" t="s">
        <v>94</v>
      </c>
      <c r="L1146" s="172" t="s">
        <v>95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623</v>
      </c>
      <c r="B1147" s="176">
        <v>46040</v>
      </c>
      <c r="C1147" s="172" t="s">
        <v>82</v>
      </c>
      <c r="D1147" s="172" t="s">
        <v>83</v>
      </c>
      <c r="E1147" s="172" t="s">
        <v>43</v>
      </c>
      <c r="F1147" s="172" t="s">
        <v>90</v>
      </c>
      <c r="G1147" s="172" t="s">
        <v>85</v>
      </c>
      <c r="H1147" s="177">
        <v>1</v>
      </c>
      <c r="I1147" s="178">
        <v>0</v>
      </c>
      <c r="J1147" s="176">
        <v>46037</v>
      </c>
      <c r="K1147" s="172" t="s">
        <v>86</v>
      </c>
      <c r="L1147" s="172" t="s">
        <v>86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624</v>
      </c>
      <c r="B1148" s="176">
        <v>46040</v>
      </c>
      <c r="C1148" s="172" t="s">
        <v>93</v>
      </c>
      <c r="D1148" s="172" t="s">
        <v>24</v>
      </c>
      <c r="E1148" s="172" t="s">
        <v>42</v>
      </c>
      <c r="F1148" s="172" t="s">
        <v>84</v>
      </c>
      <c r="G1148" s="172" t="s">
        <v>85</v>
      </c>
      <c r="H1148" s="177">
        <v>1</v>
      </c>
      <c r="I1148" s="178">
        <v>1750</v>
      </c>
      <c r="J1148" s="176">
        <v>46038</v>
      </c>
      <c r="K1148" s="172" t="s">
        <v>94</v>
      </c>
      <c r="L1148" s="172" t="s">
        <v>95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624</v>
      </c>
      <c r="B1149" s="176">
        <v>46040</v>
      </c>
      <c r="C1149" s="172" t="s">
        <v>101</v>
      </c>
      <c r="D1149" s="172" t="s">
        <v>102</v>
      </c>
      <c r="E1149" s="172" t="s">
        <v>42</v>
      </c>
      <c r="F1149" s="172" t="s">
        <v>84</v>
      </c>
      <c r="G1149" s="172" t="s">
        <v>85</v>
      </c>
      <c r="H1149" s="177">
        <v>1</v>
      </c>
      <c r="I1149" s="178">
        <v>1750</v>
      </c>
      <c r="J1149" s="176">
        <v>46038</v>
      </c>
      <c r="K1149" s="172" t="s">
        <v>94</v>
      </c>
      <c r="L1149" s="172" t="s">
        <v>95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624</v>
      </c>
      <c r="B1150" s="176">
        <v>46040</v>
      </c>
      <c r="C1150" s="172" t="s">
        <v>101</v>
      </c>
      <c r="D1150" s="172" t="s">
        <v>103</v>
      </c>
      <c r="E1150" s="172" t="s">
        <v>42</v>
      </c>
      <c r="F1150" s="172" t="s">
        <v>84</v>
      </c>
      <c r="G1150" s="172" t="s">
        <v>85</v>
      </c>
      <c r="H1150" s="177">
        <v>1</v>
      </c>
      <c r="I1150" s="178">
        <v>1750</v>
      </c>
      <c r="J1150" s="176">
        <v>46038</v>
      </c>
      <c r="K1150" s="172" t="s">
        <v>94</v>
      </c>
      <c r="L1150" s="172" t="s">
        <v>95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624</v>
      </c>
      <c r="B1151" s="176">
        <v>46040</v>
      </c>
      <c r="C1151" s="172" t="s">
        <v>101</v>
      </c>
      <c r="D1151" s="172" t="s">
        <v>104</v>
      </c>
      <c r="E1151" s="172" t="s">
        <v>42</v>
      </c>
      <c r="F1151" s="172" t="s">
        <v>84</v>
      </c>
      <c r="G1151" s="172" t="s">
        <v>85</v>
      </c>
      <c r="H1151" s="177">
        <v>1</v>
      </c>
      <c r="I1151" s="178">
        <v>1750</v>
      </c>
      <c r="J1151" s="176">
        <v>46038</v>
      </c>
      <c r="K1151" s="172" t="s">
        <v>94</v>
      </c>
      <c r="L1151" s="172" t="s">
        <v>95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624</v>
      </c>
      <c r="B1152" s="176">
        <v>46040</v>
      </c>
      <c r="C1152" s="172" t="s">
        <v>105</v>
      </c>
      <c r="D1152" s="172" t="s">
        <v>106</v>
      </c>
      <c r="E1152" s="172" t="s">
        <v>42</v>
      </c>
      <c r="F1152" s="172" t="s">
        <v>84</v>
      </c>
      <c r="G1152" s="172" t="s">
        <v>85</v>
      </c>
      <c r="H1152" s="177">
        <v>1</v>
      </c>
      <c r="I1152" s="178">
        <v>1750</v>
      </c>
      <c r="J1152" s="176">
        <v>46038</v>
      </c>
      <c r="K1152" s="172" t="s">
        <v>94</v>
      </c>
      <c r="L1152" s="172" t="s">
        <v>95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624</v>
      </c>
      <c r="B1153" s="176">
        <v>46040</v>
      </c>
      <c r="C1153" s="172" t="s">
        <v>82</v>
      </c>
      <c r="D1153" s="172" t="s">
        <v>96</v>
      </c>
      <c r="E1153" s="172" t="s">
        <v>42</v>
      </c>
      <c r="F1153" s="172" t="s">
        <v>84</v>
      </c>
      <c r="G1153" s="172" t="s">
        <v>85</v>
      </c>
      <c r="H1153" s="177">
        <v>1</v>
      </c>
      <c r="I1153" s="178">
        <v>1750</v>
      </c>
      <c r="J1153" s="176">
        <v>46038</v>
      </c>
      <c r="K1153" s="172" t="s">
        <v>94</v>
      </c>
      <c r="L1153" s="172" t="s">
        <v>95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625</v>
      </c>
      <c r="B1154" s="176">
        <v>46040</v>
      </c>
      <c r="C1154" s="172" t="s">
        <v>82</v>
      </c>
      <c r="D1154" s="172" t="s">
        <v>83</v>
      </c>
      <c r="E1154" s="172" t="s">
        <v>42</v>
      </c>
      <c r="F1154" s="172" t="s">
        <v>84</v>
      </c>
      <c r="G1154" s="172" t="s">
        <v>85</v>
      </c>
      <c r="H1154" s="177">
        <v>1</v>
      </c>
      <c r="I1154" s="178">
        <v>0</v>
      </c>
      <c r="J1154" s="176">
        <v>46040</v>
      </c>
      <c r="K1154" s="172" t="s">
        <v>86</v>
      </c>
      <c r="L1154" s="172" t="s">
        <v>86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626</v>
      </c>
      <c r="B1155" s="176">
        <v>46040</v>
      </c>
      <c r="C1155" s="172" t="s">
        <v>93</v>
      </c>
      <c r="D1155" s="172" t="s">
        <v>24</v>
      </c>
      <c r="E1155" s="172" t="s">
        <v>54</v>
      </c>
      <c r="F1155" s="172" t="s">
        <v>121</v>
      </c>
      <c r="G1155" s="172" t="s">
        <v>85</v>
      </c>
      <c r="H1155" s="177">
        <v>1</v>
      </c>
      <c r="I1155" s="178">
        <v>0</v>
      </c>
      <c r="J1155" s="176">
        <v>46024</v>
      </c>
      <c r="K1155" s="172" t="s">
        <v>94</v>
      </c>
      <c r="L1155" s="172" t="s">
        <v>95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627</v>
      </c>
      <c r="B1156" s="176">
        <v>46040</v>
      </c>
      <c r="C1156" s="172" t="s">
        <v>93</v>
      </c>
      <c r="D1156" s="172" t="s">
        <v>24</v>
      </c>
      <c r="E1156" s="172" t="s">
        <v>42</v>
      </c>
      <c r="F1156" s="172" t="s">
        <v>84</v>
      </c>
      <c r="G1156" s="172" t="s">
        <v>85</v>
      </c>
      <c r="H1156" s="177">
        <v>1</v>
      </c>
      <c r="I1156" s="178">
        <v>0</v>
      </c>
      <c r="J1156" s="176">
        <v>46024</v>
      </c>
      <c r="K1156" s="172" t="s">
        <v>94</v>
      </c>
      <c r="L1156" s="172" t="s">
        <v>95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626</v>
      </c>
      <c r="B1157" s="176">
        <v>46040</v>
      </c>
      <c r="C1157" s="172" t="s">
        <v>93</v>
      </c>
      <c r="D1157" s="172" t="s">
        <v>97</v>
      </c>
      <c r="E1157" s="172" t="s">
        <v>54</v>
      </c>
      <c r="F1157" s="172" t="s">
        <v>121</v>
      </c>
      <c r="G1157" s="172" t="s">
        <v>85</v>
      </c>
      <c r="H1157" s="177">
        <v>1</v>
      </c>
      <c r="I1157" s="178">
        <v>0</v>
      </c>
      <c r="J1157" s="176">
        <v>46024</v>
      </c>
      <c r="K1157" s="172" t="s">
        <v>94</v>
      </c>
      <c r="L1157" s="172" t="s">
        <v>95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626</v>
      </c>
      <c r="B1158" s="176">
        <v>46040</v>
      </c>
      <c r="C1158" s="172" t="s">
        <v>93</v>
      </c>
      <c r="D1158" s="172" t="s">
        <v>98</v>
      </c>
      <c r="E1158" s="172" t="s">
        <v>54</v>
      </c>
      <c r="F1158" s="172" t="s">
        <v>121</v>
      </c>
      <c r="G1158" s="172" t="s">
        <v>85</v>
      </c>
      <c r="H1158" s="177">
        <v>1</v>
      </c>
      <c r="I1158" s="178">
        <v>0</v>
      </c>
      <c r="J1158" s="176">
        <v>46024</v>
      </c>
      <c r="K1158" s="172" t="s">
        <v>94</v>
      </c>
      <c r="L1158" s="172" t="s">
        <v>95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626</v>
      </c>
      <c r="B1159" s="176">
        <v>46040</v>
      </c>
      <c r="C1159" s="172" t="s">
        <v>82</v>
      </c>
      <c r="D1159" s="172" t="s">
        <v>99</v>
      </c>
      <c r="E1159" s="172" t="s">
        <v>54</v>
      </c>
      <c r="F1159" s="172" t="s">
        <v>121</v>
      </c>
      <c r="G1159" s="172" t="s">
        <v>85</v>
      </c>
      <c r="H1159" s="177">
        <v>1</v>
      </c>
      <c r="I1159" s="178">
        <v>0</v>
      </c>
      <c r="J1159" s="176">
        <v>46024</v>
      </c>
      <c r="K1159" s="172" t="s">
        <v>94</v>
      </c>
      <c r="L1159" s="172" t="s">
        <v>95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627</v>
      </c>
      <c r="B1160" s="176">
        <v>46040</v>
      </c>
      <c r="C1160" s="172" t="s">
        <v>93</v>
      </c>
      <c r="D1160" s="172" t="s">
        <v>97</v>
      </c>
      <c r="E1160" s="172" t="s">
        <v>42</v>
      </c>
      <c r="F1160" s="172" t="s">
        <v>84</v>
      </c>
      <c r="G1160" s="172" t="s">
        <v>85</v>
      </c>
      <c r="H1160" s="177">
        <v>1</v>
      </c>
      <c r="I1160" s="178">
        <v>0</v>
      </c>
      <c r="J1160" s="176">
        <v>46024</v>
      </c>
      <c r="K1160" s="172" t="s">
        <v>94</v>
      </c>
      <c r="L1160" s="172" t="s">
        <v>95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627</v>
      </c>
      <c r="B1161" s="176">
        <v>46040</v>
      </c>
      <c r="C1161" s="172" t="s">
        <v>93</v>
      </c>
      <c r="D1161" s="172" t="s">
        <v>98</v>
      </c>
      <c r="E1161" s="172" t="s">
        <v>42</v>
      </c>
      <c r="F1161" s="172" t="s">
        <v>84</v>
      </c>
      <c r="G1161" s="172" t="s">
        <v>85</v>
      </c>
      <c r="H1161" s="177">
        <v>1</v>
      </c>
      <c r="I1161" s="178">
        <v>0</v>
      </c>
      <c r="J1161" s="176">
        <v>46024</v>
      </c>
      <c r="K1161" s="172" t="s">
        <v>94</v>
      </c>
      <c r="L1161" s="172" t="s">
        <v>95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627</v>
      </c>
      <c r="B1162" s="176">
        <v>46040</v>
      </c>
      <c r="C1162" s="172" t="s">
        <v>82</v>
      </c>
      <c r="D1162" s="172" t="s">
        <v>99</v>
      </c>
      <c r="E1162" s="172" t="s">
        <v>42</v>
      </c>
      <c r="F1162" s="172" t="s">
        <v>84</v>
      </c>
      <c r="G1162" s="172" t="s">
        <v>85</v>
      </c>
      <c r="H1162" s="177">
        <v>1</v>
      </c>
      <c r="I1162" s="178">
        <v>0</v>
      </c>
      <c r="J1162" s="176">
        <v>46024</v>
      </c>
      <c r="K1162" s="172" t="s">
        <v>94</v>
      </c>
      <c r="L1162" s="172" t="s">
        <v>95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628</v>
      </c>
      <c r="B1163" s="176">
        <v>46040</v>
      </c>
      <c r="C1163" s="172" t="s">
        <v>93</v>
      </c>
      <c r="D1163" s="172" t="s">
        <v>24</v>
      </c>
      <c r="E1163" s="172" t="s">
        <v>53</v>
      </c>
      <c r="F1163" s="172" t="s">
        <v>91</v>
      </c>
      <c r="G1163" s="172" t="s">
        <v>85</v>
      </c>
      <c r="H1163" s="177">
        <v>1</v>
      </c>
      <c r="I1163" s="178">
        <v>1885</v>
      </c>
      <c r="J1163" s="176">
        <v>46038</v>
      </c>
      <c r="K1163" s="172" t="s">
        <v>94</v>
      </c>
      <c r="L1163" s="172" t="s">
        <v>95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628</v>
      </c>
      <c r="B1164" s="176">
        <v>46040</v>
      </c>
      <c r="C1164" s="172" t="s">
        <v>101</v>
      </c>
      <c r="D1164" s="172" t="s">
        <v>102</v>
      </c>
      <c r="E1164" s="172" t="s">
        <v>53</v>
      </c>
      <c r="F1164" s="172" t="s">
        <v>91</v>
      </c>
      <c r="G1164" s="172" t="s">
        <v>85</v>
      </c>
      <c r="H1164" s="177">
        <v>1</v>
      </c>
      <c r="I1164" s="178">
        <v>1885</v>
      </c>
      <c r="J1164" s="176">
        <v>46038</v>
      </c>
      <c r="K1164" s="172" t="s">
        <v>94</v>
      </c>
      <c r="L1164" s="172" t="s">
        <v>95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628</v>
      </c>
      <c r="B1165" s="176">
        <v>46040</v>
      </c>
      <c r="C1165" s="172" t="s">
        <v>101</v>
      </c>
      <c r="D1165" s="172" t="s">
        <v>103</v>
      </c>
      <c r="E1165" s="172" t="s">
        <v>53</v>
      </c>
      <c r="F1165" s="172" t="s">
        <v>91</v>
      </c>
      <c r="G1165" s="172" t="s">
        <v>85</v>
      </c>
      <c r="H1165" s="177">
        <v>1</v>
      </c>
      <c r="I1165" s="178">
        <v>1885</v>
      </c>
      <c r="J1165" s="176">
        <v>46038</v>
      </c>
      <c r="K1165" s="172" t="s">
        <v>94</v>
      </c>
      <c r="L1165" s="172" t="s">
        <v>95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628</v>
      </c>
      <c r="B1166" s="176">
        <v>46040</v>
      </c>
      <c r="C1166" s="172" t="s">
        <v>101</v>
      </c>
      <c r="D1166" s="172" t="s">
        <v>104</v>
      </c>
      <c r="E1166" s="172" t="s">
        <v>53</v>
      </c>
      <c r="F1166" s="172" t="s">
        <v>91</v>
      </c>
      <c r="G1166" s="172" t="s">
        <v>85</v>
      </c>
      <c r="H1166" s="177">
        <v>1</v>
      </c>
      <c r="I1166" s="178">
        <v>1885</v>
      </c>
      <c r="J1166" s="176">
        <v>46038</v>
      </c>
      <c r="K1166" s="172" t="s">
        <v>94</v>
      </c>
      <c r="L1166" s="172" t="s">
        <v>95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628</v>
      </c>
      <c r="B1167" s="176">
        <v>46040</v>
      </c>
      <c r="C1167" s="172" t="s">
        <v>105</v>
      </c>
      <c r="D1167" s="172" t="s">
        <v>106</v>
      </c>
      <c r="E1167" s="172" t="s">
        <v>53</v>
      </c>
      <c r="F1167" s="172" t="s">
        <v>91</v>
      </c>
      <c r="G1167" s="172" t="s">
        <v>85</v>
      </c>
      <c r="H1167" s="177">
        <v>1</v>
      </c>
      <c r="I1167" s="178">
        <v>1885</v>
      </c>
      <c r="J1167" s="176">
        <v>46038</v>
      </c>
      <c r="K1167" s="172" t="s">
        <v>94</v>
      </c>
      <c r="L1167" s="172" t="s">
        <v>95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628</v>
      </c>
      <c r="B1168" s="176">
        <v>46040</v>
      </c>
      <c r="C1168" s="172" t="s">
        <v>82</v>
      </c>
      <c r="D1168" s="172" t="s">
        <v>96</v>
      </c>
      <c r="E1168" s="172" t="s">
        <v>53</v>
      </c>
      <c r="F1168" s="172" t="s">
        <v>91</v>
      </c>
      <c r="G1168" s="172" t="s">
        <v>85</v>
      </c>
      <c r="H1168" s="177">
        <v>1</v>
      </c>
      <c r="I1168" s="178">
        <v>1885</v>
      </c>
      <c r="J1168" s="176">
        <v>46038</v>
      </c>
      <c r="K1168" s="172" t="s">
        <v>94</v>
      </c>
      <c r="L1168" s="172" t="s">
        <v>95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629</v>
      </c>
      <c r="B1169" s="176">
        <v>46040</v>
      </c>
      <c r="C1169" s="172" t="s">
        <v>93</v>
      </c>
      <c r="D1169" s="172" t="s">
        <v>24</v>
      </c>
      <c r="E1169" s="172" t="s">
        <v>53</v>
      </c>
      <c r="F1169" s="172" t="s">
        <v>91</v>
      </c>
      <c r="G1169" s="172" t="s">
        <v>85</v>
      </c>
      <c r="H1169" s="177">
        <v>1</v>
      </c>
      <c r="I1169" s="178">
        <v>2027</v>
      </c>
      <c r="J1169" s="176">
        <v>46037</v>
      </c>
      <c r="K1169" s="172" t="s">
        <v>94</v>
      </c>
      <c r="L1169" s="172" t="s">
        <v>95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629</v>
      </c>
      <c r="B1170" s="176">
        <v>46040</v>
      </c>
      <c r="C1170" s="172" t="s">
        <v>101</v>
      </c>
      <c r="D1170" s="172" t="s">
        <v>102</v>
      </c>
      <c r="E1170" s="172" t="s">
        <v>53</v>
      </c>
      <c r="F1170" s="172" t="s">
        <v>91</v>
      </c>
      <c r="G1170" s="172" t="s">
        <v>85</v>
      </c>
      <c r="H1170" s="177">
        <v>1</v>
      </c>
      <c r="I1170" s="178">
        <v>2027</v>
      </c>
      <c r="J1170" s="176">
        <v>46037</v>
      </c>
      <c r="K1170" s="172" t="s">
        <v>94</v>
      </c>
      <c r="L1170" s="172" t="s">
        <v>95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629</v>
      </c>
      <c r="B1171" s="176">
        <v>46040</v>
      </c>
      <c r="C1171" s="172" t="s">
        <v>101</v>
      </c>
      <c r="D1171" s="172" t="s">
        <v>103</v>
      </c>
      <c r="E1171" s="172" t="s">
        <v>53</v>
      </c>
      <c r="F1171" s="172" t="s">
        <v>91</v>
      </c>
      <c r="G1171" s="172" t="s">
        <v>85</v>
      </c>
      <c r="H1171" s="177">
        <v>1</v>
      </c>
      <c r="I1171" s="178">
        <v>2027</v>
      </c>
      <c r="J1171" s="176">
        <v>46037</v>
      </c>
      <c r="K1171" s="172" t="s">
        <v>94</v>
      </c>
      <c r="L1171" s="172" t="s">
        <v>95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629</v>
      </c>
      <c r="B1172" s="176">
        <v>46040</v>
      </c>
      <c r="C1172" s="172" t="s">
        <v>101</v>
      </c>
      <c r="D1172" s="172" t="s">
        <v>104</v>
      </c>
      <c r="E1172" s="172" t="s">
        <v>53</v>
      </c>
      <c r="F1172" s="172" t="s">
        <v>91</v>
      </c>
      <c r="G1172" s="172" t="s">
        <v>85</v>
      </c>
      <c r="H1172" s="177">
        <v>1</v>
      </c>
      <c r="I1172" s="178">
        <v>2027</v>
      </c>
      <c r="J1172" s="176">
        <v>46037</v>
      </c>
      <c r="K1172" s="172" t="s">
        <v>94</v>
      </c>
      <c r="L1172" s="172" t="s">
        <v>95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629</v>
      </c>
      <c r="B1173" s="176">
        <v>46040</v>
      </c>
      <c r="C1173" s="172" t="s">
        <v>105</v>
      </c>
      <c r="D1173" s="172" t="s">
        <v>106</v>
      </c>
      <c r="E1173" s="172" t="s">
        <v>53</v>
      </c>
      <c r="F1173" s="172" t="s">
        <v>91</v>
      </c>
      <c r="G1173" s="172" t="s">
        <v>85</v>
      </c>
      <c r="H1173" s="177">
        <v>1</v>
      </c>
      <c r="I1173" s="178">
        <v>2027</v>
      </c>
      <c r="J1173" s="176">
        <v>46037</v>
      </c>
      <c r="K1173" s="172" t="s">
        <v>94</v>
      </c>
      <c r="L1173" s="172" t="s">
        <v>95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629</v>
      </c>
      <c r="B1174" s="176">
        <v>46040</v>
      </c>
      <c r="C1174" s="172" t="s">
        <v>82</v>
      </c>
      <c r="D1174" s="172" t="s">
        <v>96</v>
      </c>
      <c r="E1174" s="172" t="s">
        <v>53</v>
      </c>
      <c r="F1174" s="172" t="s">
        <v>91</v>
      </c>
      <c r="G1174" s="172" t="s">
        <v>85</v>
      </c>
      <c r="H1174" s="177">
        <v>1</v>
      </c>
      <c r="I1174" s="178">
        <v>2027</v>
      </c>
      <c r="J1174" s="176">
        <v>46037</v>
      </c>
      <c r="K1174" s="172" t="s">
        <v>94</v>
      </c>
      <c r="L1174" s="172" t="s">
        <v>95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166</v>
      </c>
      <c r="B1175" s="176">
        <v>46040</v>
      </c>
      <c r="C1175" s="172" t="s">
        <v>93</v>
      </c>
      <c r="D1175" s="172" t="s">
        <v>24</v>
      </c>
      <c r="E1175" s="172" t="s">
        <v>53</v>
      </c>
      <c r="F1175" s="172" t="s">
        <v>91</v>
      </c>
      <c r="G1175" s="172" t="s">
        <v>85</v>
      </c>
      <c r="H1175" s="177">
        <v>1</v>
      </c>
      <c r="I1175" s="178">
        <v>2027</v>
      </c>
      <c r="J1175" s="176">
        <v>46036</v>
      </c>
      <c r="K1175" s="172" t="s">
        <v>94</v>
      </c>
      <c r="L1175" s="172" t="s">
        <v>95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166</v>
      </c>
      <c r="B1176" s="176">
        <v>46040</v>
      </c>
      <c r="C1176" s="172" t="s">
        <v>101</v>
      </c>
      <c r="D1176" s="172" t="s">
        <v>102</v>
      </c>
      <c r="E1176" s="172" t="s">
        <v>53</v>
      </c>
      <c r="F1176" s="172" t="s">
        <v>91</v>
      </c>
      <c r="G1176" s="172" t="s">
        <v>85</v>
      </c>
      <c r="H1176" s="177">
        <v>1</v>
      </c>
      <c r="I1176" s="178">
        <v>2027</v>
      </c>
      <c r="J1176" s="176">
        <v>46036</v>
      </c>
      <c r="K1176" s="172" t="s">
        <v>94</v>
      </c>
      <c r="L1176" s="172" t="s">
        <v>95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166</v>
      </c>
      <c r="B1177" s="176">
        <v>46040</v>
      </c>
      <c r="C1177" s="172" t="s">
        <v>101</v>
      </c>
      <c r="D1177" s="172" t="s">
        <v>103</v>
      </c>
      <c r="E1177" s="172" t="s">
        <v>53</v>
      </c>
      <c r="F1177" s="172" t="s">
        <v>91</v>
      </c>
      <c r="G1177" s="172" t="s">
        <v>85</v>
      </c>
      <c r="H1177" s="177">
        <v>1</v>
      </c>
      <c r="I1177" s="178">
        <v>2027</v>
      </c>
      <c r="J1177" s="176">
        <v>46036</v>
      </c>
      <c r="K1177" s="172" t="s">
        <v>94</v>
      </c>
      <c r="L1177" s="172" t="s">
        <v>95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166</v>
      </c>
      <c r="B1178" s="176">
        <v>46040</v>
      </c>
      <c r="C1178" s="172" t="s">
        <v>101</v>
      </c>
      <c r="D1178" s="172" t="s">
        <v>104</v>
      </c>
      <c r="E1178" s="172" t="s">
        <v>53</v>
      </c>
      <c r="F1178" s="172" t="s">
        <v>91</v>
      </c>
      <c r="G1178" s="172" t="s">
        <v>85</v>
      </c>
      <c r="H1178" s="177">
        <v>1</v>
      </c>
      <c r="I1178" s="178">
        <v>2027</v>
      </c>
      <c r="J1178" s="176">
        <v>46036</v>
      </c>
      <c r="K1178" s="172" t="s">
        <v>94</v>
      </c>
      <c r="L1178" s="172" t="s">
        <v>95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166</v>
      </c>
      <c r="B1179" s="176">
        <v>46040</v>
      </c>
      <c r="C1179" s="172" t="s">
        <v>105</v>
      </c>
      <c r="D1179" s="172" t="s">
        <v>106</v>
      </c>
      <c r="E1179" s="172" t="s">
        <v>53</v>
      </c>
      <c r="F1179" s="172" t="s">
        <v>91</v>
      </c>
      <c r="G1179" s="172" t="s">
        <v>85</v>
      </c>
      <c r="H1179" s="177">
        <v>1</v>
      </c>
      <c r="I1179" s="178">
        <v>2027</v>
      </c>
      <c r="J1179" s="176">
        <v>46036</v>
      </c>
      <c r="K1179" s="172" t="s">
        <v>94</v>
      </c>
      <c r="L1179" s="172" t="s">
        <v>95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166</v>
      </c>
      <c r="B1180" s="176">
        <v>46040</v>
      </c>
      <c r="C1180" s="172" t="s">
        <v>82</v>
      </c>
      <c r="D1180" s="172" t="s">
        <v>96</v>
      </c>
      <c r="E1180" s="172" t="s">
        <v>53</v>
      </c>
      <c r="F1180" s="172" t="s">
        <v>91</v>
      </c>
      <c r="G1180" s="172" t="s">
        <v>85</v>
      </c>
      <c r="H1180" s="177">
        <v>1</v>
      </c>
      <c r="I1180" s="178">
        <v>2027</v>
      </c>
      <c r="J1180" s="176">
        <v>46036</v>
      </c>
      <c r="K1180" s="172" t="s">
        <v>94</v>
      </c>
      <c r="L1180" s="172" t="s">
        <v>95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166</v>
      </c>
      <c r="B1181" s="176">
        <v>46040</v>
      </c>
      <c r="C1181" s="172" t="s">
        <v>82</v>
      </c>
      <c r="D1181" s="172" t="s">
        <v>83</v>
      </c>
      <c r="E1181" s="172" t="s">
        <v>53</v>
      </c>
      <c r="F1181" s="172" t="s">
        <v>91</v>
      </c>
      <c r="G1181" s="172" t="s">
        <v>85</v>
      </c>
      <c r="H1181" s="177">
        <v>1</v>
      </c>
      <c r="I1181" s="178">
        <v>0</v>
      </c>
      <c r="J1181" s="176">
        <v>46036</v>
      </c>
      <c r="K1181" s="172" t="s">
        <v>86</v>
      </c>
      <c r="L1181" s="172" t="s">
        <v>86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630</v>
      </c>
      <c r="B1182" s="176">
        <v>46040</v>
      </c>
      <c r="C1182" s="172" t="s">
        <v>82</v>
      </c>
      <c r="D1182" s="172" t="s">
        <v>83</v>
      </c>
      <c r="E1182" s="172" t="s">
        <v>40</v>
      </c>
      <c r="F1182" s="172" t="s">
        <v>118</v>
      </c>
      <c r="G1182" s="172" t="s">
        <v>85</v>
      </c>
      <c r="H1182" s="177">
        <v>1</v>
      </c>
      <c r="I1182" s="178">
        <v>0</v>
      </c>
      <c r="J1182" s="176">
        <v>46040</v>
      </c>
      <c r="K1182" s="172" t="s">
        <v>86</v>
      </c>
      <c r="L1182" s="172" t="s">
        <v>86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631</v>
      </c>
      <c r="B1183" s="176">
        <v>46040</v>
      </c>
      <c r="C1183" s="172" t="s">
        <v>93</v>
      </c>
      <c r="D1183" s="172" t="s">
        <v>24</v>
      </c>
      <c r="E1183" s="172" t="s">
        <v>53</v>
      </c>
      <c r="F1183" s="172" t="s">
        <v>91</v>
      </c>
      <c r="G1183" s="172" t="s">
        <v>85</v>
      </c>
      <c r="H1183" s="177">
        <v>1</v>
      </c>
      <c r="I1183" s="178">
        <v>1885</v>
      </c>
      <c r="J1183" s="176">
        <v>46039</v>
      </c>
      <c r="K1183" s="172" t="s">
        <v>94</v>
      </c>
      <c r="L1183" s="172" t="s">
        <v>95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631</v>
      </c>
      <c r="B1184" s="176">
        <v>46040</v>
      </c>
      <c r="C1184" s="172" t="s">
        <v>101</v>
      </c>
      <c r="D1184" s="172" t="s">
        <v>102</v>
      </c>
      <c r="E1184" s="172" t="s">
        <v>53</v>
      </c>
      <c r="F1184" s="172" t="s">
        <v>91</v>
      </c>
      <c r="G1184" s="172" t="s">
        <v>85</v>
      </c>
      <c r="H1184" s="177">
        <v>1</v>
      </c>
      <c r="I1184" s="178">
        <v>1885</v>
      </c>
      <c r="J1184" s="176">
        <v>46039</v>
      </c>
      <c r="K1184" s="172" t="s">
        <v>94</v>
      </c>
      <c r="L1184" s="172" t="s">
        <v>95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631</v>
      </c>
      <c r="B1185" s="176">
        <v>46040</v>
      </c>
      <c r="C1185" s="172" t="s">
        <v>101</v>
      </c>
      <c r="D1185" s="172" t="s">
        <v>103</v>
      </c>
      <c r="E1185" s="172" t="s">
        <v>53</v>
      </c>
      <c r="F1185" s="172" t="s">
        <v>91</v>
      </c>
      <c r="G1185" s="172" t="s">
        <v>85</v>
      </c>
      <c r="H1185" s="177">
        <v>1</v>
      </c>
      <c r="I1185" s="178">
        <v>1885</v>
      </c>
      <c r="J1185" s="176">
        <v>46039</v>
      </c>
      <c r="K1185" s="172" t="s">
        <v>94</v>
      </c>
      <c r="L1185" s="172" t="s">
        <v>95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631</v>
      </c>
      <c r="B1186" s="176">
        <v>46040</v>
      </c>
      <c r="C1186" s="172" t="s">
        <v>101</v>
      </c>
      <c r="D1186" s="172" t="s">
        <v>104</v>
      </c>
      <c r="E1186" s="172" t="s">
        <v>53</v>
      </c>
      <c r="F1186" s="172" t="s">
        <v>91</v>
      </c>
      <c r="G1186" s="172" t="s">
        <v>85</v>
      </c>
      <c r="H1186" s="177">
        <v>1</v>
      </c>
      <c r="I1186" s="178">
        <v>1885</v>
      </c>
      <c r="J1186" s="176">
        <v>46039</v>
      </c>
      <c r="K1186" s="172" t="s">
        <v>94</v>
      </c>
      <c r="L1186" s="172" t="s">
        <v>95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631</v>
      </c>
      <c r="B1187" s="176">
        <v>46040</v>
      </c>
      <c r="C1187" s="172" t="s">
        <v>105</v>
      </c>
      <c r="D1187" s="172" t="s">
        <v>106</v>
      </c>
      <c r="E1187" s="172" t="s">
        <v>53</v>
      </c>
      <c r="F1187" s="172" t="s">
        <v>91</v>
      </c>
      <c r="G1187" s="172" t="s">
        <v>85</v>
      </c>
      <c r="H1187" s="177">
        <v>1</v>
      </c>
      <c r="I1187" s="178">
        <v>1885</v>
      </c>
      <c r="J1187" s="176">
        <v>46039</v>
      </c>
      <c r="K1187" s="172" t="s">
        <v>94</v>
      </c>
      <c r="L1187" s="172" t="s">
        <v>95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631</v>
      </c>
      <c r="B1188" s="176">
        <v>46040</v>
      </c>
      <c r="C1188" s="172" t="s">
        <v>82</v>
      </c>
      <c r="D1188" s="172" t="s">
        <v>96</v>
      </c>
      <c r="E1188" s="172" t="s">
        <v>53</v>
      </c>
      <c r="F1188" s="172" t="s">
        <v>91</v>
      </c>
      <c r="G1188" s="172" t="s">
        <v>85</v>
      </c>
      <c r="H1188" s="177">
        <v>1</v>
      </c>
      <c r="I1188" s="178">
        <v>1885</v>
      </c>
      <c r="J1188" s="176">
        <v>46039</v>
      </c>
      <c r="K1188" s="172" t="s">
        <v>94</v>
      </c>
      <c r="L1188" s="172" t="s">
        <v>95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632</v>
      </c>
      <c r="B1189" s="176">
        <v>46040</v>
      </c>
      <c r="C1189" s="172" t="s">
        <v>93</v>
      </c>
      <c r="D1189" s="172" t="s">
        <v>24</v>
      </c>
      <c r="E1189" s="172" t="s">
        <v>53</v>
      </c>
      <c r="F1189" s="172" t="s">
        <v>91</v>
      </c>
      <c r="G1189" s="172" t="s">
        <v>85</v>
      </c>
      <c r="H1189" s="177">
        <v>1</v>
      </c>
      <c r="I1189" s="178">
        <v>1621</v>
      </c>
      <c r="J1189" s="176">
        <v>46036</v>
      </c>
      <c r="K1189" s="172" t="s">
        <v>94</v>
      </c>
      <c r="L1189" s="172" t="s">
        <v>95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632</v>
      </c>
      <c r="B1190" s="176">
        <v>46040</v>
      </c>
      <c r="C1190" s="172" t="s">
        <v>101</v>
      </c>
      <c r="D1190" s="172" t="s">
        <v>102</v>
      </c>
      <c r="E1190" s="172" t="s">
        <v>53</v>
      </c>
      <c r="F1190" s="172" t="s">
        <v>91</v>
      </c>
      <c r="G1190" s="172" t="s">
        <v>85</v>
      </c>
      <c r="H1190" s="177">
        <v>1</v>
      </c>
      <c r="I1190" s="178">
        <v>1621</v>
      </c>
      <c r="J1190" s="176">
        <v>46036</v>
      </c>
      <c r="K1190" s="172" t="s">
        <v>94</v>
      </c>
      <c r="L1190" s="172" t="s">
        <v>95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632</v>
      </c>
      <c r="B1191" s="176">
        <v>46040</v>
      </c>
      <c r="C1191" s="172" t="s">
        <v>101</v>
      </c>
      <c r="D1191" s="172" t="s">
        <v>103</v>
      </c>
      <c r="E1191" s="172" t="s">
        <v>53</v>
      </c>
      <c r="F1191" s="172" t="s">
        <v>91</v>
      </c>
      <c r="G1191" s="172" t="s">
        <v>85</v>
      </c>
      <c r="H1191" s="177">
        <v>1</v>
      </c>
      <c r="I1191" s="178">
        <v>1621</v>
      </c>
      <c r="J1191" s="176">
        <v>46036</v>
      </c>
      <c r="K1191" s="172" t="s">
        <v>94</v>
      </c>
      <c r="L1191" s="172" t="s">
        <v>95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632</v>
      </c>
      <c r="B1192" s="176">
        <v>46040</v>
      </c>
      <c r="C1192" s="172" t="s">
        <v>101</v>
      </c>
      <c r="D1192" s="172" t="s">
        <v>104</v>
      </c>
      <c r="E1192" s="172" t="s">
        <v>53</v>
      </c>
      <c r="F1192" s="172" t="s">
        <v>91</v>
      </c>
      <c r="G1192" s="172" t="s">
        <v>85</v>
      </c>
      <c r="H1192" s="177">
        <v>1</v>
      </c>
      <c r="I1192" s="178">
        <v>1621</v>
      </c>
      <c r="J1192" s="176">
        <v>46036</v>
      </c>
      <c r="K1192" s="172" t="s">
        <v>94</v>
      </c>
      <c r="L1192" s="172" t="s">
        <v>95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632</v>
      </c>
      <c r="B1193" s="176">
        <v>46040</v>
      </c>
      <c r="C1193" s="172" t="s">
        <v>105</v>
      </c>
      <c r="D1193" s="172" t="s">
        <v>106</v>
      </c>
      <c r="E1193" s="172" t="s">
        <v>53</v>
      </c>
      <c r="F1193" s="172" t="s">
        <v>91</v>
      </c>
      <c r="G1193" s="172" t="s">
        <v>85</v>
      </c>
      <c r="H1193" s="177">
        <v>1</v>
      </c>
      <c r="I1193" s="178">
        <v>1621</v>
      </c>
      <c r="J1193" s="176">
        <v>46036</v>
      </c>
      <c r="K1193" s="172" t="s">
        <v>94</v>
      </c>
      <c r="L1193" s="172" t="s">
        <v>95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632</v>
      </c>
      <c r="B1194" s="176">
        <v>46040</v>
      </c>
      <c r="C1194" s="172" t="s">
        <v>82</v>
      </c>
      <c r="D1194" s="172" t="s">
        <v>96</v>
      </c>
      <c r="E1194" s="172" t="s">
        <v>53</v>
      </c>
      <c r="F1194" s="172" t="s">
        <v>91</v>
      </c>
      <c r="G1194" s="172" t="s">
        <v>85</v>
      </c>
      <c r="H1194" s="177">
        <v>1</v>
      </c>
      <c r="I1194" s="178">
        <v>1621</v>
      </c>
      <c r="J1194" s="176">
        <v>46036</v>
      </c>
      <c r="K1194" s="172" t="s">
        <v>94</v>
      </c>
      <c r="L1194" s="172" t="s">
        <v>95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632</v>
      </c>
      <c r="B1195" s="176">
        <v>46040</v>
      </c>
      <c r="C1195" s="172" t="s">
        <v>82</v>
      </c>
      <c r="D1195" s="172" t="s">
        <v>83</v>
      </c>
      <c r="E1195" s="172" t="s">
        <v>53</v>
      </c>
      <c r="F1195" s="172" t="s">
        <v>91</v>
      </c>
      <c r="G1195" s="172" t="s">
        <v>85</v>
      </c>
      <c r="H1195" s="177">
        <v>1</v>
      </c>
      <c r="I1195" s="178">
        <v>0</v>
      </c>
      <c r="J1195" s="176">
        <v>46036</v>
      </c>
      <c r="K1195" s="172" t="s">
        <v>86</v>
      </c>
      <c r="L1195" s="172" t="s">
        <v>86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633</v>
      </c>
      <c r="B1196" s="176">
        <v>46040</v>
      </c>
      <c r="C1196" s="172" t="s">
        <v>82</v>
      </c>
      <c r="D1196" s="172" t="s">
        <v>83</v>
      </c>
      <c r="E1196" s="172" t="s">
        <v>40</v>
      </c>
      <c r="F1196" s="172" t="s">
        <v>118</v>
      </c>
      <c r="G1196" s="172" t="s">
        <v>85</v>
      </c>
      <c r="H1196" s="177">
        <v>1</v>
      </c>
      <c r="I1196" s="178">
        <v>0</v>
      </c>
      <c r="J1196" s="176">
        <v>46040</v>
      </c>
      <c r="K1196" s="172" t="s">
        <v>86</v>
      </c>
      <c r="L1196" s="172" t="s">
        <v>86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634</v>
      </c>
      <c r="B1197" s="176">
        <v>46040</v>
      </c>
      <c r="C1197" s="172" t="s">
        <v>93</v>
      </c>
      <c r="D1197" s="172" t="s">
        <v>24</v>
      </c>
      <c r="E1197" s="172" t="s">
        <v>42</v>
      </c>
      <c r="F1197" s="172" t="s">
        <v>84</v>
      </c>
      <c r="G1197" s="172" t="s">
        <v>85</v>
      </c>
      <c r="H1197" s="177">
        <v>1</v>
      </c>
      <c r="I1197" s="178">
        <v>1750</v>
      </c>
      <c r="J1197" s="176">
        <v>46036</v>
      </c>
      <c r="K1197" s="172" t="s">
        <v>94</v>
      </c>
      <c r="L1197" s="172" t="s">
        <v>95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634</v>
      </c>
      <c r="B1198" s="176">
        <v>46040</v>
      </c>
      <c r="C1198" s="172" t="s">
        <v>101</v>
      </c>
      <c r="D1198" s="172" t="s">
        <v>102</v>
      </c>
      <c r="E1198" s="172" t="s">
        <v>42</v>
      </c>
      <c r="F1198" s="172" t="s">
        <v>84</v>
      </c>
      <c r="G1198" s="172" t="s">
        <v>85</v>
      </c>
      <c r="H1198" s="177">
        <v>1</v>
      </c>
      <c r="I1198" s="178">
        <v>1750</v>
      </c>
      <c r="J1198" s="176">
        <v>46036</v>
      </c>
      <c r="K1198" s="172" t="s">
        <v>94</v>
      </c>
      <c r="L1198" s="172" t="s">
        <v>95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634</v>
      </c>
      <c r="B1199" s="176">
        <v>46040</v>
      </c>
      <c r="C1199" s="172" t="s">
        <v>101</v>
      </c>
      <c r="D1199" s="172" t="s">
        <v>103</v>
      </c>
      <c r="E1199" s="172" t="s">
        <v>42</v>
      </c>
      <c r="F1199" s="172" t="s">
        <v>84</v>
      </c>
      <c r="G1199" s="172" t="s">
        <v>85</v>
      </c>
      <c r="H1199" s="177">
        <v>1</v>
      </c>
      <c r="I1199" s="178">
        <v>1750</v>
      </c>
      <c r="J1199" s="176">
        <v>46036</v>
      </c>
      <c r="K1199" s="172" t="s">
        <v>94</v>
      </c>
      <c r="L1199" s="172" t="s">
        <v>95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634</v>
      </c>
      <c r="B1200" s="176">
        <v>46040</v>
      </c>
      <c r="C1200" s="172" t="s">
        <v>101</v>
      </c>
      <c r="D1200" s="172" t="s">
        <v>104</v>
      </c>
      <c r="E1200" s="172" t="s">
        <v>42</v>
      </c>
      <c r="F1200" s="172" t="s">
        <v>84</v>
      </c>
      <c r="G1200" s="172" t="s">
        <v>85</v>
      </c>
      <c r="H1200" s="177">
        <v>1</v>
      </c>
      <c r="I1200" s="178">
        <v>1750</v>
      </c>
      <c r="J1200" s="176">
        <v>46036</v>
      </c>
      <c r="K1200" s="172" t="s">
        <v>94</v>
      </c>
      <c r="L1200" s="172" t="s">
        <v>95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634</v>
      </c>
      <c r="B1201" s="176">
        <v>46040</v>
      </c>
      <c r="C1201" s="172" t="s">
        <v>105</v>
      </c>
      <c r="D1201" s="172" t="s">
        <v>106</v>
      </c>
      <c r="E1201" s="172" t="s">
        <v>42</v>
      </c>
      <c r="F1201" s="172" t="s">
        <v>84</v>
      </c>
      <c r="G1201" s="172" t="s">
        <v>85</v>
      </c>
      <c r="H1201" s="177">
        <v>1</v>
      </c>
      <c r="I1201" s="178">
        <v>1750</v>
      </c>
      <c r="J1201" s="176">
        <v>46036</v>
      </c>
      <c r="K1201" s="172" t="s">
        <v>94</v>
      </c>
      <c r="L1201" s="172" t="s">
        <v>95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634</v>
      </c>
      <c r="B1202" s="176">
        <v>46040</v>
      </c>
      <c r="C1202" s="172" t="s">
        <v>82</v>
      </c>
      <c r="D1202" s="172" t="s">
        <v>96</v>
      </c>
      <c r="E1202" s="172" t="s">
        <v>42</v>
      </c>
      <c r="F1202" s="172" t="s">
        <v>84</v>
      </c>
      <c r="G1202" s="172" t="s">
        <v>85</v>
      </c>
      <c r="H1202" s="177">
        <v>1</v>
      </c>
      <c r="I1202" s="178">
        <v>1750</v>
      </c>
      <c r="J1202" s="176">
        <v>46036</v>
      </c>
      <c r="K1202" s="172" t="s">
        <v>94</v>
      </c>
      <c r="L1202" s="172" t="s">
        <v>95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635</v>
      </c>
      <c r="B1203" s="176">
        <v>46040</v>
      </c>
      <c r="C1203" s="172" t="s">
        <v>93</v>
      </c>
      <c r="D1203" s="172" t="s">
        <v>24</v>
      </c>
      <c r="E1203" s="172" t="s">
        <v>53</v>
      </c>
      <c r="F1203" s="172" t="s">
        <v>91</v>
      </c>
      <c r="G1203" s="172" t="s">
        <v>85</v>
      </c>
      <c r="H1203" s="177">
        <v>1</v>
      </c>
      <c r="I1203" s="178">
        <v>1621</v>
      </c>
      <c r="J1203" s="176">
        <v>46035</v>
      </c>
      <c r="K1203" s="172" t="s">
        <v>94</v>
      </c>
      <c r="L1203" s="172" t="s">
        <v>95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635</v>
      </c>
      <c r="B1204" s="176">
        <v>46040</v>
      </c>
      <c r="C1204" s="172" t="s">
        <v>101</v>
      </c>
      <c r="D1204" s="172" t="s">
        <v>102</v>
      </c>
      <c r="E1204" s="172" t="s">
        <v>53</v>
      </c>
      <c r="F1204" s="172" t="s">
        <v>91</v>
      </c>
      <c r="G1204" s="172" t="s">
        <v>85</v>
      </c>
      <c r="H1204" s="177">
        <v>1</v>
      </c>
      <c r="I1204" s="178">
        <v>1621</v>
      </c>
      <c r="J1204" s="176">
        <v>46035</v>
      </c>
      <c r="K1204" s="172" t="s">
        <v>94</v>
      </c>
      <c r="L1204" s="172" t="s">
        <v>95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635</v>
      </c>
      <c r="B1205" s="176">
        <v>46040</v>
      </c>
      <c r="C1205" s="172" t="s">
        <v>101</v>
      </c>
      <c r="D1205" s="172" t="s">
        <v>103</v>
      </c>
      <c r="E1205" s="172" t="s">
        <v>53</v>
      </c>
      <c r="F1205" s="172" t="s">
        <v>91</v>
      </c>
      <c r="G1205" s="172" t="s">
        <v>85</v>
      </c>
      <c r="H1205" s="177">
        <v>1</v>
      </c>
      <c r="I1205" s="178">
        <v>1621</v>
      </c>
      <c r="J1205" s="176">
        <v>46035</v>
      </c>
      <c r="K1205" s="172" t="s">
        <v>94</v>
      </c>
      <c r="L1205" s="172" t="s">
        <v>95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635</v>
      </c>
      <c r="B1206" s="176">
        <v>46040</v>
      </c>
      <c r="C1206" s="172" t="s">
        <v>101</v>
      </c>
      <c r="D1206" s="172" t="s">
        <v>104</v>
      </c>
      <c r="E1206" s="172" t="s">
        <v>53</v>
      </c>
      <c r="F1206" s="172" t="s">
        <v>91</v>
      </c>
      <c r="G1206" s="172" t="s">
        <v>85</v>
      </c>
      <c r="H1206" s="177">
        <v>1</v>
      </c>
      <c r="I1206" s="178">
        <v>1621</v>
      </c>
      <c r="J1206" s="176">
        <v>46035</v>
      </c>
      <c r="K1206" s="172" t="s">
        <v>94</v>
      </c>
      <c r="L1206" s="172" t="s">
        <v>95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635</v>
      </c>
      <c r="B1207" s="176">
        <v>46040</v>
      </c>
      <c r="C1207" s="172" t="s">
        <v>105</v>
      </c>
      <c r="D1207" s="172" t="s">
        <v>106</v>
      </c>
      <c r="E1207" s="172" t="s">
        <v>53</v>
      </c>
      <c r="F1207" s="172" t="s">
        <v>91</v>
      </c>
      <c r="G1207" s="172" t="s">
        <v>85</v>
      </c>
      <c r="H1207" s="177">
        <v>1</v>
      </c>
      <c r="I1207" s="178">
        <v>1621</v>
      </c>
      <c r="J1207" s="176">
        <v>46035</v>
      </c>
      <c r="K1207" s="172" t="s">
        <v>94</v>
      </c>
      <c r="L1207" s="172" t="s">
        <v>95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635</v>
      </c>
      <c r="B1208" s="176">
        <v>46040</v>
      </c>
      <c r="C1208" s="172" t="s">
        <v>82</v>
      </c>
      <c r="D1208" s="172" t="s">
        <v>96</v>
      </c>
      <c r="E1208" s="172" t="s">
        <v>53</v>
      </c>
      <c r="F1208" s="172" t="s">
        <v>91</v>
      </c>
      <c r="G1208" s="172" t="s">
        <v>85</v>
      </c>
      <c r="H1208" s="177">
        <v>1</v>
      </c>
      <c r="I1208" s="178">
        <v>1621</v>
      </c>
      <c r="J1208" s="176">
        <v>46035</v>
      </c>
      <c r="K1208" s="172" t="s">
        <v>94</v>
      </c>
      <c r="L1208" s="172" t="s">
        <v>95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634</v>
      </c>
      <c r="B1209" s="176">
        <v>46040</v>
      </c>
      <c r="C1209" s="172" t="s">
        <v>82</v>
      </c>
      <c r="D1209" s="172" t="s">
        <v>83</v>
      </c>
      <c r="E1209" s="172" t="s">
        <v>42</v>
      </c>
      <c r="F1209" s="172" t="s">
        <v>84</v>
      </c>
      <c r="G1209" s="172" t="s">
        <v>85</v>
      </c>
      <c r="H1209" s="177">
        <v>1</v>
      </c>
      <c r="I1209" s="178">
        <v>0</v>
      </c>
      <c r="J1209" s="176">
        <v>46036</v>
      </c>
      <c r="K1209" s="172" t="s">
        <v>86</v>
      </c>
      <c r="L1209" s="172" t="s">
        <v>86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636</v>
      </c>
      <c r="B1210" s="176">
        <v>46040</v>
      </c>
      <c r="C1210" s="172" t="s">
        <v>93</v>
      </c>
      <c r="D1210" s="172" t="s">
        <v>24</v>
      </c>
      <c r="E1210" s="172" t="s">
        <v>54</v>
      </c>
      <c r="F1210" s="172" t="s">
        <v>121</v>
      </c>
      <c r="G1210" s="172" t="s">
        <v>85</v>
      </c>
      <c r="H1210" s="177">
        <v>1</v>
      </c>
      <c r="I1210" s="178">
        <v>0</v>
      </c>
      <c r="J1210" s="176">
        <v>46033</v>
      </c>
      <c r="K1210" s="172" t="s">
        <v>94</v>
      </c>
      <c r="L1210" s="172" t="s">
        <v>95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636</v>
      </c>
      <c r="B1211" s="176">
        <v>46040</v>
      </c>
      <c r="C1211" s="172" t="s">
        <v>82</v>
      </c>
      <c r="D1211" s="172" t="s">
        <v>96</v>
      </c>
      <c r="E1211" s="172" t="s">
        <v>54</v>
      </c>
      <c r="F1211" s="172" t="s">
        <v>121</v>
      </c>
      <c r="G1211" s="172" t="s">
        <v>85</v>
      </c>
      <c r="H1211" s="177">
        <v>1</v>
      </c>
      <c r="I1211" s="178">
        <v>0</v>
      </c>
      <c r="J1211" s="176">
        <v>46033</v>
      </c>
      <c r="K1211" s="172" t="s">
        <v>94</v>
      </c>
      <c r="L1211" s="172" t="s">
        <v>95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636</v>
      </c>
      <c r="B1212" s="176">
        <v>46040</v>
      </c>
      <c r="C1212" s="172" t="s">
        <v>93</v>
      </c>
      <c r="D1212" s="172" t="s">
        <v>97</v>
      </c>
      <c r="E1212" s="172" t="s">
        <v>54</v>
      </c>
      <c r="F1212" s="172" t="s">
        <v>121</v>
      </c>
      <c r="G1212" s="172" t="s">
        <v>85</v>
      </c>
      <c r="H1212" s="177">
        <v>1</v>
      </c>
      <c r="I1212" s="178">
        <v>0</v>
      </c>
      <c r="J1212" s="176">
        <v>46033</v>
      </c>
      <c r="K1212" s="172" t="s">
        <v>94</v>
      </c>
      <c r="L1212" s="172" t="s">
        <v>95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636</v>
      </c>
      <c r="B1213" s="176">
        <v>46040</v>
      </c>
      <c r="C1213" s="172" t="s">
        <v>93</v>
      </c>
      <c r="D1213" s="172" t="s">
        <v>98</v>
      </c>
      <c r="E1213" s="172" t="s">
        <v>54</v>
      </c>
      <c r="F1213" s="172" t="s">
        <v>121</v>
      </c>
      <c r="G1213" s="172" t="s">
        <v>85</v>
      </c>
      <c r="H1213" s="177">
        <v>1</v>
      </c>
      <c r="I1213" s="178">
        <v>0</v>
      </c>
      <c r="J1213" s="176">
        <v>46033</v>
      </c>
      <c r="K1213" s="172" t="s">
        <v>94</v>
      </c>
      <c r="L1213" s="172" t="s">
        <v>95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636</v>
      </c>
      <c r="B1214" s="176">
        <v>46040</v>
      </c>
      <c r="C1214" s="172" t="s">
        <v>82</v>
      </c>
      <c r="D1214" s="172" t="s">
        <v>99</v>
      </c>
      <c r="E1214" s="172" t="s">
        <v>54</v>
      </c>
      <c r="F1214" s="172" t="s">
        <v>121</v>
      </c>
      <c r="G1214" s="172" t="s">
        <v>85</v>
      </c>
      <c r="H1214" s="177">
        <v>1</v>
      </c>
      <c r="I1214" s="178">
        <v>0</v>
      </c>
      <c r="J1214" s="176">
        <v>46033</v>
      </c>
      <c r="K1214" s="172" t="s">
        <v>94</v>
      </c>
      <c r="L1214" s="172" t="s">
        <v>95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635</v>
      </c>
      <c r="B1215" s="176">
        <v>46040</v>
      </c>
      <c r="C1215" s="172" t="s">
        <v>82</v>
      </c>
      <c r="D1215" s="172" t="s">
        <v>83</v>
      </c>
      <c r="E1215" s="172" t="s">
        <v>53</v>
      </c>
      <c r="F1215" s="172" t="s">
        <v>91</v>
      </c>
      <c r="G1215" s="172" t="s">
        <v>85</v>
      </c>
      <c r="H1215" s="177">
        <v>1</v>
      </c>
      <c r="I1215" s="178">
        <v>0</v>
      </c>
      <c r="J1215" s="176">
        <v>46035</v>
      </c>
      <c r="K1215" s="172" t="s">
        <v>86</v>
      </c>
      <c r="L1215" s="172" t="s">
        <v>86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147</v>
      </c>
      <c r="B1216" s="176">
        <v>46040</v>
      </c>
      <c r="C1216" s="172" t="s">
        <v>110</v>
      </c>
      <c r="D1216" s="172" t="s">
        <v>140</v>
      </c>
      <c r="E1216" s="172" t="s">
        <v>86</v>
      </c>
      <c r="F1216" s="172" t="s">
        <v>86</v>
      </c>
      <c r="G1216" s="172" t="s">
        <v>86</v>
      </c>
      <c r="H1216" s="177">
        <v>0</v>
      </c>
      <c r="I1216" s="178">
        <v>0</v>
      </c>
      <c r="J1216" s="176">
        <v>46040</v>
      </c>
      <c r="K1216" s="172" t="s">
        <v>86</v>
      </c>
      <c r="L1216" s="172" t="s">
        <v>86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146</v>
      </c>
      <c r="B1217" s="176">
        <v>46040</v>
      </c>
      <c r="C1217" s="172" t="s">
        <v>110</v>
      </c>
      <c r="D1217" s="172" t="s">
        <v>140</v>
      </c>
      <c r="E1217" s="172" t="s">
        <v>86</v>
      </c>
      <c r="F1217" s="172" t="s">
        <v>86</v>
      </c>
      <c r="G1217" s="172" t="s">
        <v>86</v>
      </c>
      <c r="H1217" s="177">
        <v>0</v>
      </c>
      <c r="I1217" s="178">
        <v>0</v>
      </c>
      <c r="J1217" s="176">
        <v>46040</v>
      </c>
      <c r="K1217" s="172" t="s">
        <v>86</v>
      </c>
      <c r="L1217" s="172" t="s">
        <v>86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141</v>
      </c>
      <c r="B1218" s="176">
        <v>46040</v>
      </c>
      <c r="C1218" s="172" t="s">
        <v>110</v>
      </c>
      <c r="D1218" s="172" t="s">
        <v>140</v>
      </c>
      <c r="E1218" s="172" t="s">
        <v>86</v>
      </c>
      <c r="F1218" s="172" t="s">
        <v>86</v>
      </c>
      <c r="G1218" s="172" t="s">
        <v>86</v>
      </c>
      <c r="H1218" s="177">
        <v>0</v>
      </c>
      <c r="I1218" s="178">
        <v>0</v>
      </c>
      <c r="J1218" s="176">
        <v>46040</v>
      </c>
      <c r="K1218" s="172" t="s">
        <v>86</v>
      </c>
      <c r="L1218" s="172" t="s">
        <v>86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139</v>
      </c>
      <c r="B1219" s="176">
        <v>46040</v>
      </c>
      <c r="C1219" s="172" t="s">
        <v>110</v>
      </c>
      <c r="D1219" s="172" t="s">
        <v>140</v>
      </c>
      <c r="E1219" s="172" t="s">
        <v>86</v>
      </c>
      <c r="F1219" s="172" t="s">
        <v>86</v>
      </c>
      <c r="G1219" s="172" t="s">
        <v>86</v>
      </c>
      <c r="H1219" s="177">
        <v>0</v>
      </c>
      <c r="I1219" s="178">
        <v>0</v>
      </c>
      <c r="J1219" s="176">
        <v>46040</v>
      </c>
      <c r="K1219" s="172" t="s">
        <v>86</v>
      </c>
      <c r="L1219" s="172" t="s">
        <v>86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145</v>
      </c>
      <c r="B1220" s="176">
        <v>46040</v>
      </c>
      <c r="C1220" s="172" t="s">
        <v>110</v>
      </c>
      <c r="D1220" s="172" t="s">
        <v>140</v>
      </c>
      <c r="E1220" s="172" t="s">
        <v>86</v>
      </c>
      <c r="F1220" s="172" t="s">
        <v>86</v>
      </c>
      <c r="G1220" s="172" t="s">
        <v>86</v>
      </c>
      <c r="H1220" s="177">
        <v>0</v>
      </c>
      <c r="I1220" s="178">
        <v>0</v>
      </c>
      <c r="J1220" s="176">
        <v>46040</v>
      </c>
      <c r="K1220" s="172" t="s">
        <v>86</v>
      </c>
      <c r="L1220" s="172" t="s">
        <v>86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143</v>
      </c>
      <c r="B1221" s="176">
        <v>46040</v>
      </c>
      <c r="C1221" s="172" t="s">
        <v>110</v>
      </c>
      <c r="D1221" s="172" t="s">
        <v>144</v>
      </c>
      <c r="E1221" s="172" t="s">
        <v>86</v>
      </c>
      <c r="F1221" s="172" t="s">
        <v>86</v>
      </c>
      <c r="G1221" s="172" t="s">
        <v>86</v>
      </c>
      <c r="H1221" s="177">
        <v>0</v>
      </c>
      <c r="I1221" s="178">
        <v>0</v>
      </c>
      <c r="J1221" s="176">
        <v>46040</v>
      </c>
      <c r="K1221" s="172" t="s">
        <v>86</v>
      </c>
      <c r="L1221" s="172" t="s">
        <v>86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774</v>
      </c>
    </row>
    <row r="2" spans="1:16" ht="78.75" customHeight="1">
      <c r="A2" s="174" t="s">
        <v>65</v>
      </c>
      <c r="B2" s="174" t="s">
        <v>66</v>
      </c>
      <c r="C2" s="174" t="s">
        <v>67</v>
      </c>
      <c r="D2" s="174" t="s">
        <v>68</v>
      </c>
      <c r="E2" s="174" t="s">
        <v>69</v>
      </c>
      <c r="F2" s="174" t="s">
        <v>70</v>
      </c>
      <c r="G2" s="174" t="s">
        <v>71</v>
      </c>
      <c r="H2" s="174" t="s">
        <v>72</v>
      </c>
      <c r="I2" s="174" t="s">
        <v>73</v>
      </c>
      <c r="J2" s="174" t="s">
        <v>74</v>
      </c>
      <c r="K2" s="174" t="s">
        <v>75</v>
      </c>
      <c r="L2" s="174" t="s">
        <v>76</v>
      </c>
      <c r="M2" s="174" t="s">
        <v>77</v>
      </c>
      <c r="N2" s="174" t="s">
        <v>78</v>
      </c>
      <c r="O2" s="174" t="s">
        <v>79</v>
      </c>
      <c r="P2" s="175" t="s">
        <v>80</v>
      </c>
    </row>
    <row r="3" spans="1:16" ht="19.5" customHeight="1">
      <c r="A3" s="172" t="s">
        <v>775</v>
      </c>
      <c r="B3" s="176">
        <v>46027</v>
      </c>
      <c r="C3" s="172" t="s">
        <v>82</v>
      </c>
      <c r="D3" s="172" t="s">
        <v>83</v>
      </c>
      <c r="E3" s="172" t="s">
        <v>53</v>
      </c>
      <c r="F3" s="172" t="s">
        <v>91</v>
      </c>
      <c r="G3" s="172" t="s">
        <v>85</v>
      </c>
      <c r="H3" s="177">
        <v>1</v>
      </c>
      <c r="I3" s="178">
        <v>0</v>
      </c>
      <c r="J3" s="176">
        <v>46027</v>
      </c>
      <c r="K3" s="172" t="s">
        <v>86</v>
      </c>
      <c r="L3" s="172" t="s">
        <v>86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776</v>
      </c>
      <c r="B4" s="176">
        <v>46027</v>
      </c>
      <c r="C4" s="172" t="s">
        <v>93</v>
      </c>
      <c r="D4" s="172" t="s">
        <v>97</v>
      </c>
      <c r="E4" s="172" t="s">
        <v>53</v>
      </c>
      <c r="F4" s="172" t="s">
        <v>91</v>
      </c>
      <c r="G4" s="172" t="s">
        <v>85</v>
      </c>
      <c r="H4" s="177">
        <v>1</v>
      </c>
      <c r="I4" s="178">
        <v>0</v>
      </c>
      <c r="J4" s="176">
        <v>46018</v>
      </c>
      <c r="K4" s="172" t="s">
        <v>94</v>
      </c>
      <c r="L4" s="172" t="s">
        <v>95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776</v>
      </c>
      <c r="B5" s="176">
        <v>46027</v>
      </c>
      <c r="C5" s="172" t="s">
        <v>93</v>
      </c>
      <c r="D5" s="172" t="s">
        <v>98</v>
      </c>
      <c r="E5" s="172" t="s">
        <v>53</v>
      </c>
      <c r="F5" s="172" t="s">
        <v>91</v>
      </c>
      <c r="G5" s="172" t="s">
        <v>85</v>
      </c>
      <c r="H5" s="177">
        <v>1</v>
      </c>
      <c r="I5" s="178">
        <v>0</v>
      </c>
      <c r="J5" s="176">
        <v>46018</v>
      </c>
      <c r="K5" s="172" t="s">
        <v>94</v>
      </c>
      <c r="L5" s="172" t="s">
        <v>95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776</v>
      </c>
      <c r="B6" s="176">
        <v>46027</v>
      </c>
      <c r="C6" s="172" t="s">
        <v>82</v>
      </c>
      <c r="D6" s="172" t="s">
        <v>99</v>
      </c>
      <c r="E6" s="172" t="s">
        <v>53</v>
      </c>
      <c r="F6" s="172" t="s">
        <v>91</v>
      </c>
      <c r="G6" s="172" t="s">
        <v>85</v>
      </c>
      <c r="H6" s="177">
        <v>1</v>
      </c>
      <c r="I6" s="178">
        <v>0</v>
      </c>
      <c r="J6" s="176">
        <v>46018</v>
      </c>
      <c r="K6" s="172" t="s">
        <v>94</v>
      </c>
      <c r="L6" s="172" t="s">
        <v>95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776</v>
      </c>
      <c r="B7" s="176">
        <v>46027</v>
      </c>
      <c r="C7" s="172" t="s">
        <v>93</v>
      </c>
      <c r="D7" s="172" t="s">
        <v>24</v>
      </c>
      <c r="E7" s="172" t="s">
        <v>53</v>
      </c>
      <c r="F7" s="172" t="s">
        <v>91</v>
      </c>
      <c r="G7" s="172" t="s">
        <v>85</v>
      </c>
      <c r="H7" s="177">
        <v>1</v>
      </c>
      <c r="I7" s="178">
        <v>0</v>
      </c>
      <c r="J7" s="176">
        <v>46018</v>
      </c>
      <c r="K7" s="172" t="s">
        <v>94</v>
      </c>
      <c r="L7" s="172" t="s">
        <v>95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776</v>
      </c>
      <c r="B8" s="176">
        <v>46027</v>
      </c>
      <c r="C8" s="172" t="s">
        <v>82</v>
      </c>
      <c r="D8" s="172" t="s">
        <v>96</v>
      </c>
      <c r="E8" s="172" t="s">
        <v>53</v>
      </c>
      <c r="F8" s="172" t="s">
        <v>91</v>
      </c>
      <c r="G8" s="172" t="s">
        <v>85</v>
      </c>
      <c r="H8" s="177">
        <v>1</v>
      </c>
      <c r="I8" s="178">
        <v>0</v>
      </c>
      <c r="J8" s="176">
        <v>46018</v>
      </c>
      <c r="K8" s="172" t="s">
        <v>94</v>
      </c>
      <c r="L8" s="172" t="s">
        <v>95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777</v>
      </c>
      <c r="B9" s="176">
        <v>46027</v>
      </c>
      <c r="C9" s="172" t="s">
        <v>93</v>
      </c>
      <c r="D9" s="172" t="s">
        <v>24</v>
      </c>
      <c r="E9" s="172" t="s">
        <v>42</v>
      </c>
      <c r="F9" s="172" t="s">
        <v>84</v>
      </c>
      <c r="G9" s="172" t="s">
        <v>85</v>
      </c>
      <c r="H9" s="177">
        <v>1</v>
      </c>
      <c r="I9" s="178">
        <v>1600</v>
      </c>
      <c r="J9" s="176">
        <v>46002</v>
      </c>
      <c r="K9" s="172" t="s">
        <v>94</v>
      </c>
      <c r="L9" s="172" t="s">
        <v>95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777</v>
      </c>
      <c r="B10" s="176">
        <v>46027</v>
      </c>
      <c r="C10" s="172" t="s">
        <v>101</v>
      </c>
      <c r="D10" s="172" t="s">
        <v>102</v>
      </c>
      <c r="E10" s="172" t="s">
        <v>42</v>
      </c>
      <c r="F10" s="172" t="s">
        <v>84</v>
      </c>
      <c r="G10" s="172" t="s">
        <v>85</v>
      </c>
      <c r="H10" s="177">
        <v>1</v>
      </c>
      <c r="I10" s="178">
        <v>1600</v>
      </c>
      <c r="J10" s="176">
        <v>46002</v>
      </c>
      <c r="K10" s="172" t="s">
        <v>94</v>
      </c>
      <c r="L10" s="172" t="s">
        <v>95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777</v>
      </c>
      <c r="B11" s="176">
        <v>46027</v>
      </c>
      <c r="C11" s="172" t="s">
        <v>101</v>
      </c>
      <c r="D11" s="172" t="s">
        <v>103</v>
      </c>
      <c r="E11" s="172" t="s">
        <v>42</v>
      </c>
      <c r="F11" s="172" t="s">
        <v>84</v>
      </c>
      <c r="G11" s="172" t="s">
        <v>85</v>
      </c>
      <c r="H11" s="177">
        <v>1</v>
      </c>
      <c r="I11" s="178">
        <v>1600</v>
      </c>
      <c r="J11" s="176">
        <v>46002</v>
      </c>
      <c r="K11" s="172" t="s">
        <v>94</v>
      </c>
      <c r="L11" s="172" t="s">
        <v>95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777</v>
      </c>
      <c r="B12" s="176">
        <v>46027</v>
      </c>
      <c r="C12" s="172" t="s">
        <v>101</v>
      </c>
      <c r="D12" s="172" t="s">
        <v>104</v>
      </c>
      <c r="E12" s="172" t="s">
        <v>42</v>
      </c>
      <c r="F12" s="172" t="s">
        <v>84</v>
      </c>
      <c r="G12" s="172" t="s">
        <v>85</v>
      </c>
      <c r="H12" s="177">
        <v>1</v>
      </c>
      <c r="I12" s="178">
        <v>1600</v>
      </c>
      <c r="J12" s="176">
        <v>46002</v>
      </c>
      <c r="K12" s="172" t="s">
        <v>94</v>
      </c>
      <c r="L12" s="172" t="s">
        <v>95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777</v>
      </c>
      <c r="B13" s="176">
        <v>46027</v>
      </c>
      <c r="C13" s="172" t="s">
        <v>105</v>
      </c>
      <c r="D13" s="172" t="s">
        <v>106</v>
      </c>
      <c r="E13" s="172" t="s">
        <v>42</v>
      </c>
      <c r="F13" s="172" t="s">
        <v>84</v>
      </c>
      <c r="G13" s="172" t="s">
        <v>85</v>
      </c>
      <c r="H13" s="177">
        <v>1</v>
      </c>
      <c r="I13" s="178">
        <v>1600</v>
      </c>
      <c r="J13" s="176">
        <v>46002</v>
      </c>
      <c r="K13" s="172" t="s">
        <v>94</v>
      </c>
      <c r="L13" s="172" t="s">
        <v>95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778</v>
      </c>
      <c r="B14" s="176">
        <v>46027</v>
      </c>
      <c r="C14" s="172" t="s">
        <v>93</v>
      </c>
      <c r="D14" s="172" t="s">
        <v>24</v>
      </c>
      <c r="E14" s="172" t="s">
        <v>54</v>
      </c>
      <c r="F14" s="172" t="s">
        <v>121</v>
      </c>
      <c r="G14" s="172" t="s">
        <v>85</v>
      </c>
      <c r="H14" s="177">
        <v>1</v>
      </c>
      <c r="I14" s="178">
        <v>1845</v>
      </c>
      <c r="J14" s="176">
        <v>46025</v>
      </c>
      <c r="K14" s="172" t="s">
        <v>94</v>
      </c>
      <c r="L14" s="172" t="s">
        <v>95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778</v>
      </c>
      <c r="B15" s="176">
        <v>46027</v>
      </c>
      <c r="C15" s="172" t="s">
        <v>101</v>
      </c>
      <c r="D15" s="172" t="s">
        <v>102</v>
      </c>
      <c r="E15" s="172" t="s">
        <v>54</v>
      </c>
      <c r="F15" s="172" t="s">
        <v>121</v>
      </c>
      <c r="G15" s="172" t="s">
        <v>85</v>
      </c>
      <c r="H15" s="177">
        <v>1</v>
      </c>
      <c r="I15" s="178">
        <v>1845</v>
      </c>
      <c r="J15" s="176">
        <v>46025</v>
      </c>
      <c r="K15" s="172" t="s">
        <v>94</v>
      </c>
      <c r="L15" s="172" t="s">
        <v>95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778</v>
      </c>
      <c r="B16" s="176">
        <v>46027</v>
      </c>
      <c r="C16" s="172" t="s">
        <v>101</v>
      </c>
      <c r="D16" s="172" t="s">
        <v>103</v>
      </c>
      <c r="E16" s="172" t="s">
        <v>54</v>
      </c>
      <c r="F16" s="172" t="s">
        <v>121</v>
      </c>
      <c r="G16" s="172" t="s">
        <v>85</v>
      </c>
      <c r="H16" s="177">
        <v>1</v>
      </c>
      <c r="I16" s="178">
        <v>1845</v>
      </c>
      <c r="J16" s="176">
        <v>46025</v>
      </c>
      <c r="K16" s="172" t="s">
        <v>94</v>
      </c>
      <c r="L16" s="172" t="s">
        <v>95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778</v>
      </c>
      <c r="B17" s="176">
        <v>46027</v>
      </c>
      <c r="C17" s="172" t="s">
        <v>101</v>
      </c>
      <c r="D17" s="172" t="s">
        <v>104</v>
      </c>
      <c r="E17" s="172" t="s">
        <v>54</v>
      </c>
      <c r="F17" s="172" t="s">
        <v>121</v>
      </c>
      <c r="G17" s="172" t="s">
        <v>85</v>
      </c>
      <c r="H17" s="177">
        <v>1</v>
      </c>
      <c r="I17" s="178">
        <v>1845</v>
      </c>
      <c r="J17" s="176">
        <v>46025</v>
      </c>
      <c r="K17" s="172" t="s">
        <v>94</v>
      </c>
      <c r="L17" s="172" t="s">
        <v>95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778</v>
      </c>
      <c r="B18" s="176">
        <v>46027</v>
      </c>
      <c r="C18" s="172" t="s">
        <v>105</v>
      </c>
      <c r="D18" s="172" t="s">
        <v>106</v>
      </c>
      <c r="E18" s="172" t="s">
        <v>54</v>
      </c>
      <c r="F18" s="172" t="s">
        <v>121</v>
      </c>
      <c r="G18" s="172" t="s">
        <v>85</v>
      </c>
      <c r="H18" s="177">
        <v>1</v>
      </c>
      <c r="I18" s="178">
        <v>1845</v>
      </c>
      <c r="J18" s="176">
        <v>46025</v>
      </c>
      <c r="K18" s="172" t="s">
        <v>94</v>
      </c>
      <c r="L18" s="172" t="s">
        <v>95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778</v>
      </c>
      <c r="B19" s="176">
        <v>46027</v>
      </c>
      <c r="C19" s="172" t="s">
        <v>82</v>
      </c>
      <c r="D19" s="172" t="s">
        <v>96</v>
      </c>
      <c r="E19" s="172" t="s">
        <v>54</v>
      </c>
      <c r="F19" s="172" t="s">
        <v>121</v>
      </c>
      <c r="G19" s="172" t="s">
        <v>85</v>
      </c>
      <c r="H19" s="177">
        <v>1</v>
      </c>
      <c r="I19" s="178">
        <v>1845</v>
      </c>
      <c r="J19" s="176">
        <v>46025</v>
      </c>
      <c r="K19" s="172" t="s">
        <v>94</v>
      </c>
      <c r="L19" s="172" t="s">
        <v>95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86</v>
      </c>
      <c r="B20" s="176">
        <v>46027</v>
      </c>
      <c r="C20" s="172" t="s">
        <v>110</v>
      </c>
      <c r="D20" s="172" t="s">
        <v>111</v>
      </c>
      <c r="E20" s="172" t="s">
        <v>86</v>
      </c>
      <c r="F20" s="172" t="s">
        <v>86</v>
      </c>
      <c r="G20" s="172" t="s">
        <v>779</v>
      </c>
      <c r="H20" s="177">
        <v>0</v>
      </c>
      <c r="I20" s="178">
        <v>0</v>
      </c>
      <c r="J20" s="176">
        <v>46027</v>
      </c>
      <c r="K20" s="172" t="s">
        <v>86</v>
      </c>
      <c r="L20" s="172" t="s">
        <v>86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780</v>
      </c>
      <c r="B21" s="176">
        <v>46027</v>
      </c>
      <c r="C21" s="172" t="s">
        <v>93</v>
      </c>
      <c r="D21" s="172" t="s">
        <v>24</v>
      </c>
      <c r="E21" s="172" t="s">
        <v>54</v>
      </c>
      <c r="F21" s="172" t="s">
        <v>121</v>
      </c>
      <c r="G21" s="172" t="s">
        <v>85</v>
      </c>
      <c r="H21" s="177">
        <v>1</v>
      </c>
      <c r="I21" s="178">
        <v>1621</v>
      </c>
      <c r="J21" s="176">
        <v>46005</v>
      </c>
      <c r="K21" s="172" t="s">
        <v>94</v>
      </c>
      <c r="L21" s="172" t="s">
        <v>95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780</v>
      </c>
      <c r="B22" s="176">
        <v>46027</v>
      </c>
      <c r="C22" s="172" t="s">
        <v>101</v>
      </c>
      <c r="D22" s="172" t="s">
        <v>102</v>
      </c>
      <c r="E22" s="172" t="s">
        <v>54</v>
      </c>
      <c r="F22" s="172" t="s">
        <v>121</v>
      </c>
      <c r="G22" s="172" t="s">
        <v>85</v>
      </c>
      <c r="H22" s="177">
        <v>1</v>
      </c>
      <c r="I22" s="178">
        <v>1621</v>
      </c>
      <c r="J22" s="176">
        <v>46005</v>
      </c>
      <c r="K22" s="172" t="s">
        <v>94</v>
      </c>
      <c r="L22" s="172" t="s">
        <v>95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780</v>
      </c>
      <c r="B23" s="176">
        <v>46027</v>
      </c>
      <c r="C23" s="172" t="s">
        <v>101</v>
      </c>
      <c r="D23" s="172" t="s">
        <v>103</v>
      </c>
      <c r="E23" s="172" t="s">
        <v>54</v>
      </c>
      <c r="F23" s="172" t="s">
        <v>121</v>
      </c>
      <c r="G23" s="172" t="s">
        <v>85</v>
      </c>
      <c r="H23" s="177">
        <v>1</v>
      </c>
      <c r="I23" s="178">
        <v>1621</v>
      </c>
      <c r="J23" s="176">
        <v>46005</v>
      </c>
      <c r="K23" s="172" t="s">
        <v>94</v>
      </c>
      <c r="L23" s="172" t="s">
        <v>95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780</v>
      </c>
      <c r="B24" s="176">
        <v>46027</v>
      </c>
      <c r="C24" s="172" t="s">
        <v>101</v>
      </c>
      <c r="D24" s="172" t="s">
        <v>104</v>
      </c>
      <c r="E24" s="172" t="s">
        <v>54</v>
      </c>
      <c r="F24" s="172" t="s">
        <v>121</v>
      </c>
      <c r="G24" s="172" t="s">
        <v>85</v>
      </c>
      <c r="H24" s="177">
        <v>1</v>
      </c>
      <c r="I24" s="178">
        <v>1621</v>
      </c>
      <c r="J24" s="176">
        <v>46005</v>
      </c>
      <c r="K24" s="172" t="s">
        <v>94</v>
      </c>
      <c r="L24" s="172" t="s">
        <v>95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780</v>
      </c>
      <c r="B25" s="176">
        <v>46027</v>
      </c>
      <c r="C25" s="172" t="s">
        <v>105</v>
      </c>
      <c r="D25" s="172" t="s">
        <v>106</v>
      </c>
      <c r="E25" s="172" t="s">
        <v>54</v>
      </c>
      <c r="F25" s="172" t="s">
        <v>121</v>
      </c>
      <c r="G25" s="172" t="s">
        <v>85</v>
      </c>
      <c r="H25" s="177">
        <v>1</v>
      </c>
      <c r="I25" s="178">
        <v>1621</v>
      </c>
      <c r="J25" s="176">
        <v>46005</v>
      </c>
      <c r="K25" s="172" t="s">
        <v>94</v>
      </c>
      <c r="L25" s="172" t="s">
        <v>95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780</v>
      </c>
      <c r="B26" s="176">
        <v>46027</v>
      </c>
      <c r="C26" s="172" t="s">
        <v>82</v>
      </c>
      <c r="D26" s="172" t="s">
        <v>96</v>
      </c>
      <c r="E26" s="172" t="s">
        <v>54</v>
      </c>
      <c r="F26" s="172" t="s">
        <v>121</v>
      </c>
      <c r="G26" s="172" t="s">
        <v>85</v>
      </c>
      <c r="H26" s="177">
        <v>1</v>
      </c>
      <c r="I26" s="178">
        <v>1621</v>
      </c>
      <c r="J26" s="176">
        <v>46005</v>
      </c>
      <c r="K26" s="172" t="s">
        <v>94</v>
      </c>
      <c r="L26" s="172" t="s">
        <v>95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780</v>
      </c>
      <c r="B27" s="176">
        <v>46027</v>
      </c>
      <c r="C27" s="172" t="s">
        <v>82</v>
      </c>
      <c r="D27" s="172" t="s">
        <v>83</v>
      </c>
      <c r="E27" s="172" t="s">
        <v>54</v>
      </c>
      <c r="F27" s="172" t="s">
        <v>121</v>
      </c>
      <c r="G27" s="172" t="s">
        <v>85</v>
      </c>
      <c r="H27" s="177">
        <v>1</v>
      </c>
      <c r="I27" s="178">
        <v>0</v>
      </c>
      <c r="J27" s="176">
        <v>46005</v>
      </c>
      <c r="K27" s="172" t="s">
        <v>86</v>
      </c>
      <c r="L27" s="172" t="s">
        <v>86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781</v>
      </c>
      <c r="B28" s="176">
        <v>46027</v>
      </c>
      <c r="C28" s="172" t="s">
        <v>93</v>
      </c>
      <c r="D28" s="172" t="s">
        <v>24</v>
      </c>
      <c r="E28" s="172" t="s">
        <v>41</v>
      </c>
      <c r="F28" s="172" t="s">
        <v>198</v>
      </c>
      <c r="G28" s="172" t="s">
        <v>85</v>
      </c>
      <c r="H28" s="177">
        <v>1</v>
      </c>
      <c r="I28" s="178">
        <v>1650</v>
      </c>
      <c r="J28" s="176">
        <v>46024</v>
      </c>
      <c r="K28" s="172" t="s">
        <v>94</v>
      </c>
      <c r="L28" s="172" t="s">
        <v>95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781</v>
      </c>
      <c r="B29" s="176">
        <v>46027</v>
      </c>
      <c r="C29" s="172" t="s">
        <v>101</v>
      </c>
      <c r="D29" s="172" t="s">
        <v>102</v>
      </c>
      <c r="E29" s="172" t="s">
        <v>41</v>
      </c>
      <c r="F29" s="172" t="s">
        <v>198</v>
      </c>
      <c r="G29" s="172" t="s">
        <v>85</v>
      </c>
      <c r="H29" s="177">
        <v>1</v>
      </c>
      <c r="I29" s="178">
        <v>1650</v>
      </c>
      <c r="J29" s="176">
        <v>46024</v>
      </c>
      <c r="K29" s="172" t="s">
        <v>94</v>
      </c>
      <c r="L29" s="172" t="s">
        <v>95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781</v>
      </c>
      <c r="B30" s="176">
        <v>46027</v>
      </c>
      <c r="C30" s="172" t="s">
        <v>101</v>
      </c>
      <c r="D30" s="172" t="s">
        <v>103</v>
      </c>
      <c r="E30" s="172" t="s">
        <v>41</v>
      </c>
      <c r="F30" s="172" t="s">
        <v>198</v>
      </c>
      <c r="G30" s="172" t="s">
        <v>85</v>
      </c>
      <c r="H30" s="177">
        <v>1</v>
      </c>
      <c r="I30" s="178">
        <v>1650</v>
      </c>
      <c r="J30" s="176">
        <v>46024</v>
      </c>
      <c r="K30" s="172" t="s">
        <v>94</v>
      </c>
      <c r="L30" s="172" t="s">
        <v>95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781</v>
      </c>
      <c r="B31" s="176">
        <v>46027</v>
      </c>
      <c r="C31" s="172" t="s">
        <v>101</v>
      </c>
      <c r="D31" s="172" t="s">
        <v>104</v>
      </c>
      <c r="E31" s="172" t="s">
        <v>41</v>
      </c>
      <c r="F31" s="172" t="s">
        <v>198</v>
      </c>
      <c r="G31" s="172" t="s">
        <v>85</v>
      </c>
      <c r="H31" s="177">
        <v>1</v>
      </c>
      <c r="I31" s="178">
        <v>1650</v>
      </c>
      <c r="J31" s="176">
        <v>46024</v>
      </c>
      <c r="K31" s="172" t="s">
        <v>94</v>
      </c>
      <c r="L31" s="172" t="s">
        <v>95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781</v>
      </c>
      <c r="B32" s="176">
        <v>46027</v>
      </c>
      <c r="C32" s="172" t="s">
        <v>105</v>
      </c>
      <c r="D32" s="172" t="s">
        <v>106</v>
      </c>
      <c r="E32" s="172" t="s">
        <v>41</v>
      </c>
      <c r="F32" s="172" t="s">
        <v>198</v>
      </c>
      <c r="G32" s="172" t="s">
        <v>85</v>
      </c>
      <c r="H32" s="177">
        <v>1</v>
      </c>
      <c r="I32" s="178">
        <v>1650</v>
      </c>
      <c r="J32" s="176">
        <v>46024</v>
      </c>
      <c r="K32" s="172" t="s">
        <v>94</v>
      </c>
      <c r="L32" s="172" t="s">
        <v>95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781</v>
      </c>
      <c r="B33" s="176">
        <v>46027</v>
      </c>
      <c r="C33" s="172" t="s">
        <v>82</v>
      </c>
      <c r="D33" s="172" t="s">
        <v>96</v>
      </c>
      <c r="E33" s="172" t="s">
        <v>41</v>
      </c>
      <c r="F33" s="172" t="s">
        <v>198</v>
      </c>
      <c r="G33" s="172" t="s">
        <v>85</v>
      </c>
      <c r="H33" s="177">
        <v>1</v>
      </c>
      <c r="I33" s="178">
        <v>1650</v>
      </c>
      <c r="J33" s="176">
        <v>46024</v>
      </c>
      <c r="K33" s="172" t="s">
        <v>94</v>
      </c>
      <c r="L33" s="172" t="s">
        <v>95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782</v>
      </c>
      <c r="B34" s="176">
        <v>46027</v>
      </c>
      <c r="C34" s="172" t="s">
        <v>93</v>
      </c>
      <c r="D34" s="172" t="s">
        <v>24</v>
      </c>
      <c r="E34" s="172" t="s">
        <v>53</v>
      </c>
      <c r="F34" s="172" t="s">
        <v>91</v>
      </c>
      <c r="G34" s="172" t="s">
        <v>85</v>
      </c>
      <c r="H34" s="177">
        <v>1</v>
      </c>
      <c r="I34" s="178">
        <v>1621</v>
      </c>
      <c r="J34" s="176">
        <v>46023</v>
      </c>
      <c r="K34" s="172" t="s">
        <v>94</v>
      </c>
      <c r="L34" s="172" t="s">
        <v>95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782</v>
      </c>
      <c r="B35" s="176">
        <v>46027</v>
      </c>
      <c r="C35" s="172" t="s">
        <v>101</v>
      </c>
      <c r="D35" s="172" t="s">
        <v>102</v>
      </c>
      <c r="E35" s="172" t="s">
        <v>53</v>
      </c>
      <c r="F35" s="172" t="s">
        <v>91</v>
      </c>
      <c r="G35" s="172" t="s">
        <v>85</v>
      </c>
      <c r="H35" s="177">
        <v>1</v>
      </c>
      <c r="I35" s="178">
        <v>1621</v>
      </c>
      <c r="J35" s="176">
        <v>46023</v>
      </c>
      <c r="K35" s="172" t="s">
        <v>94</v>
      </c>
      <c r="L35" s="172" t="s">
        <v>95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782</v>
      </c>
      <c r="B36" s="176">
        <v>46027</v>
      </c>
      <c r="C36" s="172" t="s">
        <v>101</v>
      </c>
      <c r="D36" s="172" t="s">
        <v>103</v>
      </c>
      <c r="E36" s="172" t="s">
        <v>53</v>
      </c>
      <c r="F36" s="172" t="s">
        <v>91</v>
      </c>
      <c r="G36" s="172" t="s">
        <v>85</v>
      </c>
      <c r="H36" s="177">
        <v>1</v>
      </c>
      <c r="I36" s="178">
        <v>1621</v>
      </c>
      <c r="J36" s="176">
        <v>46023</v>
      </c>
      <c r="K36" s="172" t="s">
        <v>94</v>
      </c>
      <c r="L36" s="172" t="s">
        <v>95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782</v>
      </c>
      <c r="B37" s="176">
        <v>46027</v>
      </c>
      <c r="C37" s="172" t="s">
        <v>101</v>
      </c>
      <c r="D37" s="172" t="s">
        <v>104</v>
      </c>
      <c r="E37" s="172" t="s">
        <v>53</v>
      </c>
      <c r="F37" s="172" t="s">
        <v>91</v>
      </c>
      <c r="G37" s="172" t="s">
        <v>85</v>
      </c>
      <c r="H37" s="177">
        <v>1</v>
      </c>
      <c r="I37" s="178">
        <v>1621</v>
      </c>
      <c r="J37" s="176">
        <v>46023</v>
      </c>
      <c r="K37" s="172" t="s">
        <v>94</v>
      </c>
      <c r="L37" s="172" t="s">
        <v>95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782</v>
      </c>
      <c r="B38" s="176">
        <v>46027</v>
      </c>
      <c r="C38" s="172" t="s">
        <v>105</v>
      </c>
      <c r="D38" s="172" t="s">
        <v>106</v>
      </c>
      <c r="E38" s="172" t="s">
        <v>53</v>
      </c>
      <c r="F38" s="172" t="s">
        <v>91</v>
      </c>
      <c r="G38" s="172" t="s">
        <v>85</v>
      </c>
      <c r="H38" s="177">
        <v>1</v>
      </c>
      <c r="I38" s="178">
        <v>1621</v>
      </c>
      <c r="J38" s="176">
        <v>46023</v>
      </c>
      <c r="K38" s="172" t="s">
        <v>94</v>
      </c>
      <c r="L38" s="172" t="s">
        <v>95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782</v>
      </c>
      <c r="B39" s="176">
        <v>46027</v>
      </c>
      <c r="C39" s="172" t="s">
        <v>82</v>
      </c>
      <c r="D39" s="172" t="s">
        <v>96</v>
      </c>
      <c r="E39" s="172" t="s">
        <v>53</v>
      </c>
      <c r="F39" s="172" t="s">
        <v>91</v>
      </c>
      <c r="G39" s="172" t="s">
        <v>85</v>
      </c>
      <c r="H39" s="177">
        <v>1</v>
      </c>
      <c r="I39" s="178">
        <v>1621</v>
      </c>
      <c r="J39" s="176">
        <v>46023</v>
      </c>
      <c r="K39" s="172" t="s">
        <v>94</v>
      </c>
      <c r="L39" s="172" t="s">
        <v>95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781</v>
      </c>
      <c r="B40" s="176">
        <v>46027</v>
      </c>
      <c r="C40" s="172" t="s">
        <v>82</v>
      </c>
      <c r="D40" s="172" t="s">
        <v>83</v>
      </c>
      <c r="E40" s="172" t="s">
        <v>41</v>
      </c>
      <c r="F40" s="172" t="s">
        <v>198</v>
      </c>
      <c r="G40" s="172" t="s">
        <v>85</v>
      </c>
      <c r="H40" s="177">
        <v>1</v>
      </c>
      <c r="I40" s="178">
        <v>0</v>
      </c>
      <c r="J40" s="176">
        <v>46024</v>
      </c>
      <c r="K40" s="172" t="s">
        <v>86</v>
      </c>
      <c r="L40" s="172" t="s">
        <v>86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783</v>
      </c>
      <c r="B41" s="176">
        <v>46027</v>
      </c>
      <c r="C41" s="172" t="s">
        <v>93</v>
      </c>
      <c r="D41" s="172" t="s">
        <v>24</v>
      </c>
      <c r="E41" s="172" t="s">
        <v>42</v>
      </c>
      <c r="F41" s="172" t="s">
        <v>84</v>
      </c>
      <c r="G41" s="172" t="s">
        <v>85</v>
      </c>
      <c r="H41" s="177">
        <v>1</v>
      </c>
      <c r="I41" s="178">
        <v>1600</v>
      </c>
      <c r="J41" s="176">
        <v>46020</v>
      </c>
      <c r="K41" s="172" t="s">
        <v>94</v>
      </c>
      <c r="L41" s="172" t="s">
        <v>95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783</v>
      </c>
      <c r="B42" s="176">
        <v>46027</v>
      </c>
      <c r="C42" s="172" t="s">
        <v>101</v>
      </c>
      <c r="D42" s="172" t="s">
        <v>102</v>
      </c>
      <c r="E42" s="172" t="s">
        <v>42</v>
      </c>
      <c r="F42" s="172" t="s">
        <v>84</v>
      </c>
      <c r="G42" s="172" t="s">
        <v>85</v>
      </c>
      <c r="H42" s="177">
        <v>1</v>
      </c>
      <c r="I42" s="178">
        <v>1600</v>
      </c>
      <c r="J42" s="176">
        <v>46020</v>
      </c>
      <c r="K42" s="172" t="s">
        <v>94</v>
      </c>
      <c r="L42" s="172" t="s">
        <v>95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783</v>
      </c>
      <c r="B43" s="176">
        <v>46027</v>
      </c>
      <c r="C43" s="172" t="s">
        <v>101</v>
      </c>
      <c r="D43" s="172" t="s">
        <v>103</v>
      </c>
      <c r="E43" s="172" t="s">
        <v>42</v>
      </c>
      <c r="F43" s="172" t="s">
        <v>84</v>
      </c>
      <c r="G43" s="172" t="s">
        <v>85</v>
      </c>
      <c r="H43" s="177">
        <v>1</v>
      </c>
      <c r="I43" s="178">
        <v>1600</v>
      </c>
      <c r="J43" s="176">
        <v>46020</v>
      </c>
      <c r="K43" s="172" t="s">
        <v>94</v>
      </c>
      <c r="L43" s="172" t="s">
        <v>95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783</v>
      </c>
      <c r="B44" s="176">
        <v>46027</v>
      </c>
      <c r="C44" s="172" t="s">
        <v>101</v>
      </c>
      <c r="D44" s="172" t="s">
        <v>104</v>
      </c>
      <c r="E44" s="172" t="s">
        <v>42</v>
      </c>
      <c r="F44" s="172" t="s">
        <v>84</v>
      </c>
      <c r="G44" s="172" t="s">
        <v>85</v>
      </c>
      <c r="H44" s="177">
        <v>1</v>
      </c>
      <c r="I44" s="178">
        <v>1600</v>
      </c>
      <c r="J44" s="176">
        <v>46020</v>
      </c>
      <c r="K44" s="172" t="s">
        <v>94</v>
      </c>
      <c r="L44" s="172" t="s">
        <v>95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783</v>
      </c>
      <c r="B45" s="176">
        <v>46027</v>
      </c>
      <c r="C45" s="172" t="s">
        <v>105</v>
      </c>
      <c r="D45" s="172" t="s">
        <v>106</v>
      </c>
      <c r="E45" s="172" t="s">
        <v>42</v>
      </c>
      <c r="F45" s="172" t="s">
        <v>84</v>
      </c>
      <c r="G45" s="172" t="s">
        <v>85</v>
      </c>
      <c r="H45" s="177">
        <v>1</v>
      </c>
      <c r="I45" s="178">
        <v>1600</v>
      </c>
      <c r="J45" s="176">
        <v>46020</v>
      </c>
      <c r="K45" s="172" t="s">
        <v>94</v>
      </c>
      <c r="L45" s="172" t="s">
        <v>95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783</v>
      </c>
      <c r="B46" s="176">
        <v>46027</v>
      </c>
      <c r="C46" s="172" t="s">
        <v>82</v>
      </c>
      <c r="D46" s="172" t="s">
        <v>96</v>
      </c>
      <c r="E46" s="172" t="s">
        <v>42</v>
      </c>
      <c r="F46" s="172" t="s">
        <v>84</v>
      </c>
      <c r="G46" s="172" t="s">
        <v>85</v>
      </c>
      <c r="H46" s="177">
        <v>1</v>
      </c>
      <c r="I46" s="178">
        <v>1600</v>
      </c>
      <c r="J46" s="176">
        <v>46020</v>
      </c>
      <c r="K46" s="172" t="s">
        <v>94</v>
      </c>
      <c r="L46" s="172" t="s">
        <v>95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783</v>
      </c>
      <c r="B47" s="176">
        <v>46027</v>
      </c>
      <c r="C47" s="172" t="s">
        <v>82</v>
      </c>
      <c r="D47" s="172" t="s">
        <v>83</v>
      </c>
      <c r="E47" s="172" t="s">
        <v>42</v>
      </c>
      <c r="F47" s="172" t="s">
        <v>84</v>
      </c>
      <c r="G47" s="172" t="s">
        <v>85</v>
      </c>
      <c r="H47" s="177">
        <v>1</v>
      </c>
      <c r="I47" s="178">
        <v>0</v>
      </c>
      <c r="J47" s="176">
        <v>46020</v>
      </c>
      <c r="K47" s="172" t="s">
        <v>86</v>
      </c>
      <c r="L47" s="172" t="s">
        <v>86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784</v>
      </c>
      <c r="B48" s="176">
        <v>46027</v>
      </c>
      <c r="C48" s="172" t="s">
        <v>82</v>
      </c>
      <c r="D48" s="172" t="s">
        <v>83</v>
      </c>
      <c r="E48" s="172" t="s">
        <v>42</v>
      </c>
      <c r="F48" s="172" t="s">
        <v>84</v>
      </c>
      <c r="G48" s="172" t="s">
        <v>85</v>
      </c>
      <c r="H48" s="177">
        <v>1</v>
      </c>
      <c r="I48" s="178">
        <v>0</v>
      </c>
      <c r="J48" s="176">
        <v>46027</v>
      </c>
      <c r="K48" s="172" t="s">
        <v>86</v>
      </c>
      <c r="L48" s="172" t="s">
        <v>86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785</v>
      </c>
      <c r="B49" s="176">
        <v>46027</v>
      </c>
      <c r="C49" s="172" t="s">
        <v>82</v>
      </c>
      <c r="D49" s="172" t="s">
        <v>83</v>
      </c>
      <c r="E49" s="172" t="s">
        <v>53</v>
      </c>
      <c r="F49" s="172" t="s">
        <v>91</v>
      </c>
      <c r="G49" s="172" t="s">
        <v>85</v>
      </c>
      <c r="H49" s="177">
        <v>1</v>
      </c>
      <c r="I49" s="178">
        <v>0</v>
      </c>
      <c r="J49" s="176">
        <v>46027</v>
      </c>
      <c r="K49" s="172" t="s">
        <v>86</v>
      </c>
      <c r="L49" s="172" t="s">
        <v>86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786</v>
      </c>
      <c r="B50" s="176">
        <v>46027</v>
      </c>
      <c r="C50" s="172" t="s">
        <v>93</v>
      </c>
      <c r="D50" s="172" t="s">
        <v>24</v>
      </c>
      <c r="E50" s="172" t="s">
        <v>54</v>
      </c>
      <c r="F50" s="172" t="s">
        <v>121</v>
      </c>
      <c r="G50" s="172" t="s">
        <v>85</v>
      </c>
      <c r="H50" s="177">
        <v>1</v>
      </c>
      <c r="I50" s="178">
        <v>0</v>
      </c>
      <c r="J50" s="176">
        <v>46014</v>
      </c>
      <c r="K50" s="172" t="s">
        <v>94</v>
      </c>
      <c r="L50" s="172" t="s">
        <v>95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786</v>
      </c>
      <c r="B51" s="176">
        <v>46027</v>
      </c>
      <c r="C51" s="172" t="s">
        <v>82</v>
      </c>
      <c r="D51" s="172" t="s">
        <v>96</v>
      </c>
      <c r="E51" s="172" t="s">
        <v>54</v>
      </c>
      <c r="F51" s="172" t="s">
        <v>121</v>
      </c>
      <c r="G51" s="172" t="s">
        <v>85</v>
      </c>
      <c r="H51" s="177">
        <v>1</v>
      </c>
      <c r="I51" s="178">
        <v>0</v>
      </c>
      <c r="J51" s="176">
        <v>46014</v>
      </c>
      <c r="K51" s="172" t="s">
        <v>94</v>
      </c>
      <c r="L51" s="172" t="s">
        <v>95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786</v>
      </c>
      <c r="B52" s="176">
        <v>46027</v>
      </c>
      <c r="C52" s="172" t="s">
        <v>93</v>
      </c>
      <c r="D52" s="172" t="s">
        <v>97</v>
      </c>
      <c r="E52" s="172" t="s">
        <v>54</v>
      </c>
      <c r="F52" s="172" t="s">
        <v>121</v>
      </c>
      <c r="G52" s="172" t="s">
        <v>85</v>
      </c>
      <c r="H52" s="177">
        <v>1</v>
      </c>
      <c r="I52" s="178">
        <v>0</v>
      </c>
      <c r="J52" s="176">
        <v>46014</v>
      </c>
      <c r="K52" s="172" t="s">
        <v>94</v>
      </c>
      <c r="L52" s="172" t="s">
        <v>95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786</v>
      </c>
      <c r="B53" s="176">
        <v>46027</v>
      </c>
      <c r="C53" s="172" t="s">
        <v>93</v>
      </c>
      <c r="D53" s="172" t="s">
        <v>98</v>
      </c>
      <c r="E53" s="172" t="s">
        <v>54</v>
      </c>
      <c r="F53" s="172" t="s">
        <v>121</v>
      </c>
      <c r="G53" s="172" t="s">
        <v>85</v>
      </c>
      <c r="H53" s="177">
        <v>1</v>
      </c>
      <c r="I53" s="178">
        <v>0</v>
      </c>
      <c r="J53" s="176">
        <v>46014</v>
      </c>
      <c r="K53" s="172" t="s">
        <v>94</v>
      </c>
      <c r="L53" s="172" t="s">
        <v>95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786</v>
      </c>
      <c r="B54" s="176">
        <v>46027</v>
      </c>
      <c r="C54" s="172" t="s">
        <v>82</v>
      </c>
      <c r="D54" s="172" t="s">
        <v>99</v>
      </c>
      <c r="E54" s="172" t="s">
        <v>54</v>
      </c>
      <c r="F54" s="172" t="s">
        <v>121</v>
      </c>
      <c r="G54" s="172" t="s">
        <v>85</v>
      </c>
      <c r="H54" s="177">
        <v>1</v>
      </c>
      <c r="I54" s="178">
        <v>0</v>
      </c>
      <c r="J54" s="176">
        <v>46014</v>
      </c>
      <c r="K54" s="172" t="s">
        <v>94</v>
      </c>
      <c r="L54" s="172" t="s">
        <v>95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787</v>
      </c>
      <c r="B55" s="176">
        <v>46027</v>
      </c>
      <c r="C55" s="172" t="s">
        <v>82</v>
      </c>
      <c r="D55" s="172" t="s">
        <v>83</v>
      </c>
      <c r="E55" s="172" t="s">
        <v>53</v>
      </c>
      <c r="F55" s="172" t="s">
        <v>91</v>
      </c>
      <c r="G55" s="172" t="s">
        <v>85</v>
      </c>
      <c r="H55" s="177">
        <v>1</v>
      </c>
      <c r="I55" s="178">
        <v>0</v>
      </c>
      <c r="J55" s="176">
        <v>46027</v>
      </c>
      <c r="K55" s="172" t="s">
        <v>86</v>
      </c>
      <c r="L55" s="172" t="s">
        <v>86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788</v>
      </c>
      <c r="B56" s="176">
        <v>46027</v>
      </c>
      <c r="C56" s="172" t="s">
        <v>82</v>
      </c>
      <c r="D56" s="172" t="s">
        <v>83</v>
      </c>
      <c r="E56" s="172" t="s">
        <v>42</v>
      </c>
      <c r="F56" s="172" t="s">
        <v>84</v>
      </c>
      <c r="G56" s="172" t="s">
        <v>85</v>
      </c>
      <c r="H56" s="177">
        <v>1</v>
      </c>
      <c r="I56" s="178">
        <v>0</v>
      </c>
      <c r="J56" s="176">
        <v>46027</v>
      </c>
      <c r="K56" s="172" t="s">
        <v>86</v>
      </c>
      <c r="L56" s="172" t="s">
        <v>86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789</v>
      </c>
      <c r="B57" s="176">
        <v>46027</v>
      </c>
      <c r="C57" s="172" t="s">
        <v>93</v>
      </c>
      <c r="D57" s="172" t="s">
        <v>24</v>
      </c>
      <c r="E57" s="172" t="s">
        <v>39</v>
      </c>
      <c r="F57" s="172" t="s">
        <v>88</v>
      </c>
      <c r="G57" s="172" t="s">
        <v>85</v>
      </c>
      <c r="H57" s="177">
        <v>1</v>
      </c>
      <c r="I57" s="178">
        <v>1650</v>
      </c>
      <c r="J57" s="176">
        <v>46025</v>
      </c>
      <c r="K57" s="172" t="s">
        <v>94</v>
      </c>
      <c r="L57" s="172" t="s">
        <v>95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789</v>
      </c>
      <c r="B58" s="176">
        <v>46027</v>
      </c>
      <c r="C58" s="172" t="s">
        <v>101</v>
      </c>
      <c r="D58" s="172" t="s">
        <v>102</v>
      </c>
      <c r="E58" s="172" t="s">
        <v>39</v>
      </c>
      <c r="F58" s="172" t="s">
        <v>88</v>
      </c>
      <c r="G58" s="172" t="s">
        <v>85</v>
      </c>
      <c r="H58" s="177">
        <v>1</v>
      </c>
      <c r="I58" s="178">
        <v>1650</v>
      </c>
      <c r="J58" s="176">
        <v>46025</v>
      </c>
      <c r="K58" s="172" t="s">
        <v>94</v>
      </c>
      <c r="L58" s="172" t="s">
        <v>95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789</v>
      </c>
      <c r="B59" s="176">
        <v>46027</v>
      </c>
      <c r="C59" s="172" t="s">
        <v>101</v>
      </c>
      <c r="D59" s="172" t="s">
        <v>103</v>
      </c>
      <c r="E59" s="172" t="s">
        <v>39</v>
      </c>
      <c r="F59" s="172" t="s">
        <v>88</v>
      </c>
      <c r="G59" s="172" t="s">
        <v>85</v>
      </c>
      <c r="H59" s="177">
        <v>1</v>
      </c>
      <c r="I59" s="178">
        <v>1650</v>
      </c>
      <c r="J59" s="176">
        <v>46025</v>
      </c>
      <c r="K59" s="172" t="s">
        <v>94</v>
      </c>
      <c r="L59" s="172" t="s">
        <v>95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789</v>
      </c>
      <c r="B60" s="176">
        <v>46027</v>
      </c>
      <c r="C60" s="172" t="s">
        <v>101</v>
      </c>
      <c r="D60" s="172" t="s">
        <v>104</v>
      </c>
      <c r="E60" s="172" t="s">
        <v>39</v>
      </c>
      <c r="F60" s="172" t="s">
        <v>88</v>
      </c>
      <c r="G60" s="172" t="s">
        <v>85</v>
      </c>
      <c r="H60" s="177">
        <v>1</v>
      </c>
      <c r="I60" s="178">
        <v>1650</v>
      </c>
      <c r="J60" s="176">
        <v>46025</v>
      </c>
      <c r="K60" s="172" t="s">
        <v>94</v>
      </c>
      <c r="L60" s="172" t="s">
        <v>95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789</v>
      </c>
      <c r="B61" s="176">
        <v>46027</v>
      </c>
      <c r="C61" s="172" t="s">
        <v>105</v>
      </c>
      <c r="D61" s="172" t="s">
        <v>106</v>
      </c>
      <c r="E61" s="172" t="s">
        <v>39</v>
      </c>
      <c r="F61" s="172" t="s">
        <v>88</v>
      </c>
      <c r="G61" s="172" t="s">
        <v>85</v>
      </c>
      <c r="H61" s="177">
        <v>1</v>
      </c>
      <c r="I61" s="178">
        <v>1650</v>
      </c>
      <c r="J61" s="176">
        <v>46025</v>
      </c>
      <c r="K61" s="172" t="s">
        <v>94</v>
      </c>
      <c r="L61" s="172" t="s">
        <v>95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789</v>
      </c>
      <c r="B62" s="176">
        <v>46027</v>
      </c>
      <c r="C62" s="172" t="s">
        <v>82</v>
      </c>
      <c r="D62" s="172" t="s">
        <v>96</v>
      </c>
      <c r="E62" s="172" t="s">
        <v>39</v>
      </c>
      <c r="F62" s="172" t="s">
        <v>88</v>
      </c>
      <c r="G62" s="172" t="s">
        <v>85</v>
      </c>
      <c r="H62" s="177">
        <v>1</v>
      </c>
      <c r="I62" s="178">
        <v>1650</v>
      </c>
      <c r="J62" s="176">
        <v>46025</v>
      </c>
      <c r="K62" s="172" t="s">
        <v>94</v>
      </c>
      <c r="L62" s="172" t="s">
        <v>95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790</v>
      </c>
      <c r="B63" s="176">
        <v>46027</v>
      </c>
      <c r="C63" s="172" t="s">
        <v>93</v>
      </c>
      <c r="D63" s="172" t="s">
        <v>24</v>
      </c>
      <c r="E63" s="172" t="s">
        <v>42</v>
      </c>
      <c r="F63" s="172" t="s">
        <v>84</v>
      </c>
      <c r="G63" s="172" t="s">
        <v>85</v>
      </c>
      <c r="H63" s="177">
        <v>1</v>
      </c>
      <c r="I63" s="178">
        <v>0</v>
      </c>
      <c r="J63" s="176">
        <v>46012</v>
      </c>
      <c r="K63" s="172" t="s">
        <v>94</v>
      </c>
      <c r="L63" s="172" t="s">
        <v>95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790</v>
      </c>
      <c r="B64" s="176">
        <v>46027</v>
      </c>
      <c r="C64" s="172" t="s">
        <v>82</v>
      </c>
      <c r="D64" s="172" t="s">
        <v>96</v>
      </c>
      <c r="E64" s="172" t="s">
        <v>42</v>
      </c>
      <c r="F64" s="172" t="s">
        <v>84</v>
      </c>
      <c r="G64" s="172" t="s">
        <v>85</v>
      </c>
      <c r="H64" s="177">
        <v>1</v>
      </c>
      <c r="I64" s="178">
        <v>0</v>
      </c>
      <c r="J64" s="176">
        <v>46012</v>
      </c>
      <c r="K64" s="172" t="s">
        <v>94</v>
      </c>
      <c r="L64" s="172" t="s">
        <v>95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789</v>
      </c>
      <c r="B65" s="176">
        <v>46027</v>
      </c>
      <c r="C65" s="172" t="s">
        <v>82</v>
      </c>
      <c r="D65" s="172" t="s">
        <v>83</v>
      </c>
      <c r="E65" s="172" t="s">
        <v>39</v>
      </c>
      <c r="F65" s="172" t="s">
        <v>88</v>
      </c>
      <c r="G65" s="172" t="s">
        <v>85</v>
      </c>
      <c r="H65" s="177">
        <v>1</v>
      </c>
      <c r="I65" s="178">
        <v>0</v>
      </c>
      <c r="J65" s="176">
        <v>46025</v>
      </c>
      <c r="K65" s="172" t="s">
        <v>86</v>
      </c>
      <c r="L65" s="172" t="s">
        <v>86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790</v>
      </c>
      <c r="B66" s="176">
        <v>46027</v>
      </c>
      <c r="C66" s="172" t="s">
        <v>93</v>
      </c>
      <c r="D66" s="172" t="s">
        <v>97</v>
      </c>
      <c r="E66" s="172" t="s">
        <v>42</v>
      </c>
      <c r="F66" s="172" t="s">
        <v>84</v>
      </c>
      <c r="G66" s="172" t="s">
        <v>85</v>
      </c>
      <c r="H66" s="177">
        <v>1</v>
      </c>
      <c r="I66" s="178">
        <v>0</v>
      </c>
      <c r="J66" s="176">
        <v>46012</v>
      </c>
      <c r="K66" s="172" t="s">
        <v>94</v>
      </c>
      <c r="L66" s="172" t="s">
        <v>95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790</v>
      </c>
      <c r="B67" s="176">
        <v>46027</v>
      </c>
      <c r="C67" s="172" t="s">
        <v>93</v>
      </c>
      <c r="D67" s="172" t="s">
        <v>98</v>
      </c>
      <c r="E67" s="172" t="s">
        <v>42</v>
      </c>
      <c r="F67" s="172" t="s">
        <v>84</v>
      </c>
      <c r="G67" s="172" t="s">
        <v>85</v>
      </c>
      <c r="H67" s="177">
        <v>1</v>
      </c>
      <c r="I67" s="178">
        <v>0</v>
      </c>
      <c r="J67" s="176">
        <v>46012</v>
      </c>
      <c r="K67" s="172" t="s">
        <v>94</v>
      </c>
      <c r="L67" s="172" t="s">
        <v>95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790</v>
      </c>
      <c r="B68" s="176">
        <v>46027</v>
      </c>
      <c r="C68" s="172" t="s">
        <v>82</v>
      </c>
      <c r="D68" s="172" t="s">
        <v>99</v>
      </c>
      <c r="E68" s="172" t="s">
        <v>42</v>
      </c>
      <c r="F68" s="172" t="s">
        <v>84</v>
      </c>
      <c r="G68" s="172" t="s">
        <v>85</v>
      </c>
      <c r="H68" s="177">
        <v>1</v>
      </c>
      <c r="I68" s="178">
        <v>0</v>
      </c>
      <c r="J68" s="176">
        <v>46012</v>
      </c>
      <c r="K68" s="172" t="s">
        <v>94</v>
      </c>
      <c r="L68" s="172" t="s">
        <v>95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791</v>
      </c>
      <c r="B69" s="176">
        <v>46027</v>
      </c>
      <c r="C69" s="172" t="s">
        <v>93</v>
      </c>
      <c r="D69" s="172" t="s">
        <v>24</v>
      </c>
      <c r="E69" s="172" t="s">
        <v>40</v>
      </c>
      <c r="F69" s="172" t="s">
        <v>118</v>
      </c>
      <c r="G69" s="172" t="s">
        <v>85</v>
      </c>
      <c r="H69" s="177">
        <v>1</v>
      </c>
      <c r="I69" s="178">
        <v>1650</v>
      </c>
      <c r="J69" s="176">
        <v>46024</v>
      </c>
      <c r="K69" s="172" t="s">
        <v>94</v>
      </c>
      <c r="L69" s="172" t="s">
        <v>95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791</v>
      </c>
      <c r="B70" s="176">
        <v>46027</v>
      </c>
      <c r="C70" s="172" t="s">
        <v>101</v>
      </c>
      <c r="D70" s="172" t="s">
        <v>102</v>
      </c>
      <c r="E70" s="172" t="s">
        <v>40</v>
      </c>
      <c r="F70" s="172" t="s">
        <v>118</v>
      </c>
      <c r="G70" s="172" t="s">
        <v>85</v>
      </c>
      <c r="H70" s="177">
        <v>1</v>
      </c>
      <c r="I70" s="178">
        <v>1650</v>
      </c>
      <c r="J70" s="176">
        <v>46024</v>
      </c>
      <c r="K70" s="172" t="s">
        <v>94</v>
      </c>
      <c r="L70" s="172" t="s">
        <v>95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791</v>
      </c>
      <c r="B71" s="176">
        <v>46027</v>
      </c>
      <c r="C71" s="172" t="s">
        <v>101</v>
      </c>
      <c r="D71" s="172" t="s">
        <v>103</v>
      </c>
      <c r="E71" s="172" t="s">
        <v>40</v>
      </c>
      <c r="F71" s="172" t="s">
        <v>118</v>
      </c>
      <c r="G71" s="172" t="s">
        <v>85</v>
      </c>
      <c r="H71" s="177">
        <v>1</v>
      </c>
      <c r="I71" s="178">
        <v>1650</v>
      </c>
      <c r="J71" s="176">
        <v>46024</v>
      </c>
      <c r="K71" s="172" t="s">
        <v>94</v>
      </c>
      <c r="L71" s="172" t="s">
        <v>95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791</v>
      </c>
      <c r="B72" s="176">
        <v>46027</v>
      </c>
      <c r="C72" s="172" t="s">
        <v>101</v>
      </c>
      <c r="D72" s="172" t="s">
        <v>104</v>
      </c>
      <c r="E72" s="172" t="s">
        <v>40</v>
      </c>
      <c r="F72" s="172" t="s">
        <v>118</v>
      </c>
      <c r="G72" s="172" t="s">
        <v>85</v>
      </c>
      <c r="H72" s="177">
        <v>1</v>
      </c>
      <c r="I72" s="178">
        <v>1650</v>
      </c>
      <c r="J72" s="176">
        <v>46024</v>
      </c>
      <c r="K72" s="172" t="s">
        <v>94</v>
      </c>
      <c r="L72" s="172" t="s">
        <v>95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791</v>
      </c>
      <c r="B73" s="176">
        <v>46027</v>
      </c>
      <c r="C73" s="172" t="s">
        <v>105</v>
      </c>
      <c r="D73" s="172" t="s">
        <v>106</v>
      </c>
      <c r="E73" s="172" t="s">
        <v>40</v>
      </c>
      <c r="F73" s="172" t="s">
        <v>118</v>
      </c>
      <c r="G73" s="172" t="s">
        <v>85</v>
      </c>
      <c r="H73" s="177">
        <v>1</v>
      </c>
      <c r="I73" s="178">
        <v>1650</v>
      </c>
      <c r="J73" s="176">
        <v>46024</v>
      </c>
      <c r="K73" s="172" t="s">
        <v>94</v>
      </c>
      <c r="L73" s="172" t="s">
        <v>95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791</v>
      </c>
      <c r="B74" s="176">
        <v>46027</v>
      </c>
      <c r="C74" s="172" t="s">
        <v>82</v>
      </c>
      <c r="D74" s="172" t="s">
        <v>96</v>
      </c>
      <c r="E74" s="172" t="s">
        <v>40</v>
      </c>
      <c r="F74" s="172" t="s">
        <v>118</v>
      </c>
      <c r="G74" s="172" t="s">
        <v>85</v>
      </c>
      <c r="H74" s="177">
        <v>1</v>
      </c>
      <c r="I74" s="178">
        <v>1650</v>
      </c>
      <c r="J74" s="176">
        <v>46024</v>
      </c>
      <c r="K74" s="172" t="s">
        <v>94</v>
      </c>
      <c r="L74" s="172" t="s">
        <v>95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792</v>
      </c>
      <c r="B75" s="176">
        <v>46027</v>
      </c>
      <c r="C75" s="172" t="s">
        <v>93</v>
      </c>
      <c r="D75" s="172" t="s">
        <v>24</v>
      </c>
      <c r="E75" s="172" t="s">
        <v>54</v>
      </c>
      <c r="F75" s="172" t="s">
        <v>121</v>
      </c>
      <c r="G75" s="172" t="s">
        <v>85</v>
      </c>
      <c r="H75" s="177">
        <v>1</v>
      </c>
      <c r="I75" s="178">
        <v>1845</v>
      </c>
      <c r="J75" s="176">
        <v>46020</v>
      </c>
      <c r="K75" s="172" t="s">
        <v>94</v>
      </c>
      <c r="L75" s="172" t="s">
        <v>95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792</v>
      </c>
      <c r="B76" s="176">
        <v>46027</v>
      </c>
      <c r="C76" s="172" t="s">
        <v>101</v>
      </c>
      <c r="D76" s="172" t="s">
        <v>102</v>
      </c>
      <c r="E76" s="172" t="s">
        <v>54</v>
      </c>
      <c r="F76" s="172" t="s">
        <v>121</v>
      </c>
      <c r="G76" s="172" t="s">
        <v>85</v>
      </c>
      <c r="H76" s="177">
        <v>1</v>
      </c>
      <c r="I76" s="178">
        <v>1845</v>
      </c>
      <c r="J76" s="176">
        <v>46020</v>
      </c>
      <c r="K76" s="172" t="s">
        <v>94</v>
      </c>
      <c r="L76" s="172" t="s">
        <v>95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792</v>
      </c>
      <c r="B77" s="176">
        <v>46027</v>
      </c>
      <c r="C77" s="172" t="s">
        <v>101</v>
      </c>
      <c r="D77" s="172" t="s">
        <v>103</v>
      </c>
      <c r="E77" s="172" t="s">
        <v>54</v>
      </c>
      <c r="F77" s="172" t="s">
        <v>121</v>
      </c>
      <c r="G77" s="172" t="s">
        <v>85</v>
      </c>
      <c r="H77" s="177">
        <v>1</v>
      </c>
      <c r="I77" s="178">
        <v>1845</v>
      </c>
      <c r="J77" s="176">
        <v>46020</v>
      </c>
      <c r="K77" s="172" t="s">
        <v>94</v>
      </c>
      <c r="L77" s="172" t="s">
        <v>95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792</v>
      </c>
      <c r="B78" s="176">
        <v>46027</v>
      </c>
      <c r="C78" s="172" t="s">
        <v>101</v>
      </c>
      <c r="D78" s="172" t="s">
        <v>104</v>
      </c>
      <c r="E78" s="172" t="s">
        <v>54</v>
      </c>
      <c r="F78" s="172" t="s">
        <v>121</v>
      </c>
      <c r="G78" s="172" t="s">
        <v>85</v>
      </c>
      <c r="H78" s="177">
        <v>1</v>
      </c>
      <c r="I78" s="178">
        <v>1845</v>
      </c>
      <c r="J78" s="176">
        <v>46020</v>
      </c>
      <c r="K78" s="172" t="s">
        <v>94</v>
      </c>
      <c r="L78" s="172" t="s">
        <v>95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792</v>
      </c>
      <c r="B79" s="176">
        <v>46027</v>
      </c>
      <c r="C79" s="172" t="s">
        <v>105</v>
      </c>
      <c r="D79" s="172" t="s">
        <v>106</v>
      </c>
      <c r="E79" s="172" t="s">
        <v>54</v>
      </c>
      <c r="F79" s="172" t="s">
        <v>121</v>
      </c>
      <c r="G79" s="172" t="s">
        <v>85</v>
      </c>
      <c r="H79" s="177">
        <v>1</v>
      </c>
      <c r="I79" s="178">
        <v>1845</v>
      </c>
      <c r="J79" s="176">
        <v>46020</v>
      </c>
      <c r="K79" s="172" t="s">
        <v>94</v>
      </c>
      <c r="L79" s="172" t="s">
        <v>95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792</v>
      </c>
      <c r="B80" s="176">
        <v>46027</v>
      </c>
      <c r="C80" s="172" t="s">
        <v>82</v>
      </c>
      <c r="D80" s="172" t="s">
        <v>96</v>
      </c>
      <c r="E80" s="172" t="s">
        <v>54</v>
      </c>
      <c r="F80" s="172" t="s">
        <v>121</v>
      </c>
      <c r="G80" s="172" t="s">
        <v>85</v>
      </c>
      <c r="H80" s="177">
        <v>1</v>
      </c>
      <c r="I80" s="178">
        <v>1845</v>
      </c>
      <c r="J80" s="176">
        <v>46020</v>
      </c>
      <c r="K80" s="172" t="s">
        <v>94</v>
      </c>
      <c r="L80" s="172" t="s">
        <v>95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792</v>
      </c>
      <c r="B81" s="176">
        <v>46027</v>
      </c>
      <c r="C81" s="172" t="s">
        <v>82</v>
      </c>
      <c r="D81" s="172" t="s">
        <v>83</v>
      </c>
      <c r="E81" s="172" t="s">
        <v>54</v>
      </c>
      <c r="F81" s="172" t="s">
        <v>121</v>
      </c>
      <c r="G81" s="172" t="s">
        <v>85</v>
      </c>
      <c r="H81" s="177">
        <v>1</v>
      </c>
      <c r="I81" s="178">
        <v>0</v>
      </c>
      <c r="J81" s="176">
        <v>46020</v>
      </c>
      <c r="K81" s="172" t="s">
        <v>86</v>
      </c>
      <c r="L81" s="172" t="s">
        <v>86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793</v>
      </c>
      <c r="B82" s="176">
        <v>46027</v>
      </c>
      <c r="C82" s="172" t="s">
        <v>93</v>
      </c>
      <c r="D82" s="172" t="s">
        <v>24</v>
      </c>
      <c r="E82" s="172" t="s">
        <v>53</v>
      </c>
      <c r="F82" s="172" t="s">
        <v>91</v>
      </c>
      <c r="G82" s="172" t="s">
        <v>85</v>
      </c>
      <c r="H82" s="177">
        <v>1</v>
      </c>
      <c r="I82" s="178">
        <v>1621</v>
      </c>
      <c r="J82" s="176">
        <v>46025</v>
      </c>
      <c r="K82" s="172" t="s">
        <v>94</v>
      </c>
      <c r="L82" s="172" t="s">
        <v>95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793</v>
      </c>
      <c r="B83" s="176">
        <v>46027</v>
      </c>
      <c r="C83" s="172" t="s">
        <v>101</v>
      </c>
      <c r="D83" s="172" t="s">
        <v>102</v>
      </c>
      <c r="E83" s="172" t="s">
        <v>53</v>
      </c>
      <c r="F83" s="172" t="s">
        <v>91</v>
      </c>
      <c r="G83" s="172" t="s">
        <v>85</v>
      </c>
      <c r="H83" s="177">
        <v>1</v>
      </c>
      <c r="I83" s="178">
        <v>1621</v>
      </c>
      <c r="J83" s="176">
        <v>46025</v>
      </c>
      <c r="K83" s="172" t="s">
        <v>94</v>
      </c>
      <c r="L83" s="172" t="s">
        <v>95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793</v>
      </c>
      <c r="B84" s="176">
        <v>46027</v>
      </c>
      <c r="C84" s="172" t="s">
        <v>101</v>
      </c>
      <c r="D84" s="172" t="s">
        <v>103</v>
      </c>
      <c r="E84" s="172" t="s">
        <v>53</v>
      </c>
      <c r="F84" s="172" t="s">
        <v>91</v>
      </c>
      <c r="G84" s="172" t="s">
        <v>85</v>
      </c>
      <c r="H84" s="177">
        <v>1</v>
      </c>
      <c r="I84" s="178">
        <v>1621</v>
      </c>
      <c r="J84" s="176">
        <v>46025</v>
      </c>
      <c r="K84" s="172" t="s">
        <v>94</v>
      </c>
      <c r="L84" s="172" t="s">
        <v>95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793</v>
      </c>
      <c r="B85" s="176">
        <v>46027</v>
      </c>
      <c r="C85" s="172" t="s">
        <v>101</v>
      </c>
      <c r="D85" s="172" t="s">
        <v>104</v>
      </c>
      <c r="E85" s="172" t="s">
        <v>53</v>
      </c>
      <c r="F85" s="172" t="s">
        <v>91</v>
      </c>
      <c r="G85" s="172" t="s">
        <v>85</v>
      </c>
      <c r="H85" s="177">
        <v>1</v>
      </c>
      <c r="I85" s="178">
        <v>1621</v>
      </c>
      <c r="J85" s="176">
        <v>46025</v>
      </c>
      <c r="K85" s="172" t="s">
        <v>94</v>
      </c>
      <c r="L85" s="172" t="s">
        <v>95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793</v>
      </c>
      <c r="B86" s="176">
        <v>46027</v>
      </c>
      <c r="C86" s="172" t="s">
        <v>105</v>
      </c>
      <c r="D86" s="172" t="s">
        <v>106</v>
      </c>
      <c r="E86" s="172" t="s">
        <v>53</v>
      </c>
      <c r="F86" s="172" t="s">
        <v>91</v>
      </c>
      <c r="G86" s="172" t="s">
        <v>85</v>
      </c>
      <c r="H86" s="177">
        <v>1</v>
      </c>
      <c r="I86" s="178">
        <v>1621</v>
      </c>
      <c r="J86" s="176">
        <v>46025</v>
      </c>
      <c r="K86" s="172" t="s">
        <v>94</v>
      </c>
      <c r="L86" s="172" t="s">
        <v>95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793</v>
      </c>
      <c r="B87" s="176">
        <v>46027</v>
      </c>
      <c r="C87" s="172" t="s">
        <v>82</v>
      </c>
      <c r="D87" s="172" t="s">
        <v>96</v>
      </c>
      <c r="E87" s="172" t="s">
        <v>53</v>
      </c>
      <c r="F87" s="172" t="s">
        <v>91</v>
      </c>
      <c r="G87" s="172" t="s">
        <v>85</v>
      </c>
      <c r="H87" s="177">
        <v>1</v>
      </c>
      <c r="I87" s="178">
        <v>1621</v>
      </c>
      <c r="J87" s="176">
        <v>46025</v>
      </c>
      <c r="K87" s="172" t="s">
        <v>94</v>
      </c>
      <c r="L87" s="172" t="s">
        <v>95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794</v>
      </c>
      <c r="B88" s="176">
        <v>46027</v>
      </c>
      <c r="C88" s="172" t="s">
        <v>93</v>
      </c>
      <c r="D88" s="172" t="s">
        <v>24</v>
      </c>
      <c r="E88" s="172" t="s">
        <v>54</v>
      </c>
      <c r="F88" s="172" t="s">
        <v>121</v>
      </c>
      <c r="G88" s="172" t="s">
        <v>85</v>
      </c>
      <c r="H88" s="177">
        <v>1</v>
      </c>
      <c r="I88" s="178">
        <v>1845</v>
      </c>
      <c r="J88" s="176">
        <v>46024</v>
      </c>
      <c r="K88" s="172" t="s">
        <v>94</v>
      </c>
      <c r="L88" s="172" t="s">
        <v>95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794</v>
      </c>
      <c r="B89" s="176">
        <v>46027</v>
      </c>
      <c r="C89" s="172" t="s">
        <v>101</v>
      </c>
      <c r="D89" s="172" t="s">
        <v>102</v>
      </c>
      <c r="E89" s="172" t="s">
        <v>54</v>
      </c>
      <c r="F89" s="172" t="s">
        <v>121</v>
      </c>
      <c r="G89" s="172" t="s">
        <v>85</v>
      </c>
      <c r="H89" s="177">
        <v>1</v>
      </c>
      <c r="I89" s="178">
        <v>1845</v>
      </c>
      <c r="J89" s="176">
        <v>46024</v>
      </c>
      <c r="K89" s="172" t="s">
        <v>94</v>
      </c>
      <c r="L89" s="172" t="s">
        <v>95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794</v>
      </c>
      <c r="B90" s="176">
        <v>46027</v>
      </c>
      <c r="C90" s="172" t="s">
        <v>101</v>
      </c>
      <c r="D90" s="172" t="s">
        <v>103</v>
      </c>
      <c r="E90" s="172" t="s">
        <v>54</v>
      </c>
      <c r="F90" s="172" t="s">
        <v>121</v>
      </c>
      <c r="G90" s="172" t="s">
        <v>85</v>
      </c>
      <c r="H90" s="177">
        <v>1</v>
      </c>
      <c r="I90" s="178">
        <v>1845</v>
      </c>
      <c r="J90" s="176">
        <v>46024</v>
      </c>
      <c r="K90" s="172" t="s">
        <v>94</v>
      </c>
      <c r="L90" s="172" t="s">
        <v>95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794</v>
      </c>
      <c r="B91" s="176">
        <v>46027</v>
      </c>
      <c r="C91" s="172" t="s">
        <v>101</v>
      </c>
      <c r="D91" s="172" t="s">
        <v>104</v>
      </c>
      <c r="E91" s="172" t="s">
        <v>54</v>
      </c>
      <c r="F91" s="172" t="s">
        <v>121</v>
      </c>
      <c r="G91" s="172" t="s">
        <v>85</v>
      </c>
      <c r="H91" s="177">
        <v>1</v>
      </c>
      <c r="I91" s="178">
        <v>1845</v>
      </c>
      <c r="J91" s="176">
        <v>46024</v>
      </c>
      <c r="K91" s="172" t="s">
        <v>94</v>
      </c>
      <c r="L91" s="172" t="s">
        <v>95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794</v>
      </c>
      <c r="B92" s="176">
        <v>46027</v>
      </c>
      <c r="C92" s="172" t="s">
        <v>105</v>
      </c>
      <c r="D92" s="172" t="s">
        <v>106</v>
      </c>
      <c r="E92" s="172" t="s">
        <v>54</v>
      </c>
      <c r="F92" s="172" t="s">
        <v>121</v>
      </c>
      <c r="G92" s="172" t="s">
        <v>85</v>
      </c>
      <c r="H92" s="177">
        <v>1</v>
      </c>
      <c r="I92" s="178">
        <v>1845</v>
      </c>
      <c r="J92" s="176">
        <v>46024</v>
      </c>
      <c r="K92" s="172" t="s">
        <v>94</v>
      </c>
      <c r="L92" s="172" t="s">
        <v>95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757</v>
      </c>
      <c r="B93" s="176">
        <v>46027</v>
      </c>
      <c r="C93" s="172" t="s">
        <v>167</v>
      </c>
      <c r="D93" s="172" t="s">
        <v>168</v>
      </c>
      <c r="E93" s="172" t="s">
        <v>54</v>
      </c>
      <c r="F93" s="172" t="s">
        <v>121</v>
      </c>
      <c r="G93" s="172" t="s">
        <v>85</v>
      </c>
      <c r="H93" s="177">
        <v>1</v>
      </c>
      <c r="I93" s="178">
        <v>-1845</v>
      </c>
      <c r="J93" s="176">
        <v>46023</v>
      </c>
      <c r="K93" s="172" t="s">
        <v>94</v>
      </c>
      <c r="L93" s="172" t="s">
        <v>95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757</v>
      </c>
      <c r="B94" s="176">
        <v>46027</v>
      </c>
      <c r="C94" s="172" t="s">
        <v>167</v>
      </c>
      <c r="D94" s="172" t="s">
        <v>103</v>
      </c>
      <c r="E94" s="172" t="s">
        <v>54</v>
      </c>
      <c r="F94" s="172" t="s">
        <v>121</v>
      </c>
      <c r="G94" s="172" t="s">
        <v>85</v>
      </c>
      <c r="H94" s="177">
        <v>1</v>
      </c>
      <c r="I94" s="178">
        <v>-1845</v>
      </c>
      <c r="J94" s="176">
        <v>46023</v>
      </c>
      <c r="K94" s="172" t="s">
        <v>94</v>
      </c>
      <c r="L94" s="172" t="s">
        <v>95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757</v>
      </c>
      <c r="B95" s="176">
        <v>46027</v>
      </c>
      <c r="C95" s="172" t="s">
        <v>167</v>
      </c>
      <c r="D95" s="172" t="s">
        <v>104</v>
      </c>
      <c r="E95" s="172" t="s">
        <v>54</v>
      </c>
      <c r="F95" s="172" t="s">
        <v>121</v>
      </c>
      <c r="G95" s="172" t="s">
        <v>85</v>
      </c>
      <c r="H95" s="177">
        <v>1</v>
      </c>
      <c r="I95" s="178">
        <v>-1845</v>
      </c>
      <c r="J95" s="176">
        <v>46023</v>
      </c>
      <c r="K95" s="172" t="s">
        <v>94</v>
      </c>
      <c r="L95" s="172" t="s">
        <v>95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757</v>
      </c>
      <c r="B96" s="176">
        <v>46027</v>
      </c>
      <c r="C96" s="172" t="s">
        <v>105</v>
      </c>
      <c r="D96" s="172" t="s">
        <v>169</v>
      </c>
      <c r="E96" s="172" t="s">
        <v>54</v>
      </c>
      <c r="F96" s="172" t="s">
        <v>121</v>
      </c>
      <c r="G96" s="172" t="s">
        <v>85</v>
      </c>
      <c r="H96" s="177">
        <v>1</v>
      </c>
      <c r="I96" s="178">
        <v>-1845</v>
      </c>
      <c r="J96" s="176">
        <v>46023</v>
      </c>
      <c r="K96" s="172" t="s">
        <v>94</v>
      </c>
      <c r="L96" s="172" t="s">
        <v>95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757</v>
      </c>
      <c r="B97" s="176">
        <v>46027</v>
      </c>
      <c r="C97" s="172" t="s">
        <v>82</v>
      </c>
      <c r="D97" s="172" t="s">
        <v>83</v>
      </c>
      <c r="E97" s="172" t="s">
        <v>54</v>
      </c>
      <c r="F97" s="172" t="s">
        <v>121</v>
      </c>
      <c r="G97" s="172" t="s">
        <v>85</v>
      </c>
      <c r="H97" s="177">
        <v>1</v>
      </c>
      <c r="I97" s="178">
        <v>0</v>
      </c>
      <c r="J97" s="176">
        <v>46023</v>
      </c>
      <c r="K97" s="172" t="s">
        <v>86</v>
      </c>
      <c r="L97" s="172" t="s">
        <v>86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795</v>
      </c>
      <c r="B98" s="176">
        <v>46027</v>
      </c>
      <c r="C98" s="172" t="s">
        <v>93</v>
      </c>
      <c r="D98" s="172" t="s">
        <v>24</v>
      </c>
      <c r="E98" s="172" t="s">
        <v>54</v>
      </c>
      <c r="F98" s="172" t="s">
        <v>121</v>
      </c>
      <c r="G98" s="172" t="s">
        <v>85</v>
      </c>
      <c r="H98" s="177">
        <v>1</v>
      </c>
      <c r="I98" s="178">
        <v>0</v>
      </c>
      <c r="J98" s="176">
        <v>46020</v>
      </c>
      <c r="K98" s="172" t="s">
        <v>94</v>
      </c>
      <c r="L98" s="172" t="s">
        <v>95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795</v>
      </c>
      <c r="B99" s="176">
        <v>46027</v>
      </c>
      <c r="C99" s="172" t="s">
        <v>82</v>
      </c>
      <c r="D99" s="172" t="s">
        <v>96</v>
      </c>
      <c r="E99" s="172" t="s">
        <v>54</v>
      </c>
      <c r="F99" s="172" t="s">
        <v>121</v>
      </c>
      <c r="G99" s="172" t="s">
        <v>85</v>
      </c>
      <c r="H99" s="177">
        <v>1</v>
      </c>
      <c r="I99" s="178">
        <v>0</v>
      </c>
      <c r="J99" s="176">
        <v>46020</v>
      </c>
      <c r="K99" s="172" t="s">
        <v>94</v>
      </c>
      <c r="L99" s="172" t="s">
        <v>95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795</v>
      </c>
      <c r="B100" s="176">
        <v>46027</v>
      </c>
      <c r="C100" s="172" t="s">
        <v>93</v>
      </c>
      <c r="D100" s="172" t="s">
        <v>97</v>
      </c>
      <c r="E100" s="172" t="s">
        <v>54</v>
      </c>
      <c r="F100" s="172" t="s">
        <v>121</v>
      </c>
      <c r="G100" s="172" t="s">
        <v>85</v>
      </c>
      <c r="H100" s="177">
        <v>1</v>
      </c>
      <c r="I100" s="178">
        <v>0</v>
      </c>
      <c r="J100" s="176">
        <v>46020</v>
      </c>
      <c r="K100" s="172" t="s">
        <v>94</v>
      </c>
      <c r="L100" s="172" t="s">
        <v>95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795</v>
      </c>
      <c r="B101" s="176">
        <v>46027</v>
      </c>
      <c r="C101" s="172" t="s">
        <v>93</v>
      </c>
      <c r="D101" s="172" t="s">
        <v>98</v>
      </c>
      <c r="E101" s="172" t="s">
        <v>54</v>
      </c>
      <c r="F101" s="172" t="s">
        <v>121</v>
      </c>
      <c r="G101" s="172" t="s">
        <v>85</v>
      </c>
      <c r="H101" s="177">
        <v>1</v>
      </c>
      <c r="I101" s="178">
        <v>0</v>
      </c>
      <c r="J101" s="176">
        <v>46020</v>
      </c>
      <c r="K101" s="172" t="s">
        <v>94</v>
      </c>
      <c r="L101" s="172" t="s">
        <v>95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795</v>
      </c>
      <c r="B102" s="176">
        <v>46027</v>
      </c>
      <c r="C102" s="172" t="s">
        <v>82</v>
      </c>
      <c r="D102" s="172" t="s">
        <v>99</v>
      </c>
      <c r="E102" s="172" t="s">
        <v>54</v>
      </c>
      <c r="F102" s="172" t="s">
        <v>121</v>
      </c>
      <c r="G102" s="172" t="s">
        <v>85</v>
      </c>
      <c r="H102" s="177">
        <v>1</v>
      </c>
      <c r="I102" s="178">
        <v>0</v>
      </c>
      <c r="J102" s="176">
        <v>46020</v>
      </c>
      <c r="K102" s="172" t="s">
        <v>94</v>
      </c>
      <c r="L102" s="172" t="s">
        <v>95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796</v>
      </c>
      <c r="B103" s="176">
        <v>46027</v>
      </c>
      <c r="C103" s="172" t="s">
        <v>82</v>
      </c>
      <c r="D103" s="172" t="s">
        <v>83</v>
      </c>
      <c r="E103" s="172" t="s">
        <v>53</v>
      </c>
      <c r="F103" s="172" t="s">
        <v>91</v>
      </c>
      <c r="G103" s="172" t="s">
        <v>85</v>
      </c>
      <c r="H103" s="177">
        <v>1</v>
      </c>
      <c r="I103" s="178">
        <v>0</v>
      </c>
      <c r="J103" s="176">
        <v>46027</v>
      </c>
      <c r="K103" s="172" t="s">
        <v>86</v>
      </c>
      <c r="L103" s="172" t="s">
        <v>86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797</v>
      </c>
      <c r="B104" s="176">
        <v>46027</v>
      </c>
      <c r="C104" s="172" t="s">
        <v>93</v>
      </c>
      <c r="D104" s="172" t="s">
        <v>24</v>
      </c>
      <c r="E104" s="172" t="s">
        <v>53</v>
      </c>
      <c r="F104" s="172" t="s">
        <v>91</v>
      </c>
      <c r="G104" s="172" t="s">
        <v>85</v>
      </c>
      <c r="H104" s="177">
        <v>1</v>
      </c>
      <c r="I104" s="178">
        <v>1621</v>
      </c>
      <c r="J104" s="176">
        <v>46025</v>
      </c>
      <c r="K104" s="172" t="s">
        <v>94</v>
      </c>
      <c r="L104" s="172" t="s">
        <v>95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797</v>
      </c>
      <c r="B105" s="176">
        <v>46027</v>
      </c>
      <c r="C105" s="172" t="s">
        <v>101</v>
      </c>
      <c r="D105" s="172" t="s">
        <v>102</v>
      </c>
      <c r="E105" s="172" t="s">
        <v>53</v>
      </c>
      <c r="F105" s="172" t="s">
        <v>91</v>
      </c>
      <c r="G105" s="172" t="s">
        <v>85</v>
      </c>
      <c r="H105" s="177">
        <v>1</v>
      </c>
      <c r="I105" s="178">
        <v>1621</v>
      </c>
      <c r="J105" s="176">
        <v>46025</v>
      </c>
      <c r="K105" s="172" t="s">
        <v>94</v>
      </c>
      <c r="L105" s="172" t="s">
        <v>95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797</v>
      </c>
      <c r="B106" s="176">
        <v>46027</v>
      </c>
      <c r="C106" s="172" t="s">
        <v>101</v>
      </c>
      <c r="D106" s="172" t="s">
        <v>103</v>
      </c>
      <c r="E106" s="172" t="s">
        <v>53</v>
      </c>
      <c r="F106" s="172" t="s">
        <v>91</v>
      </c>
      <c r="G106" s="172" t="s">
        <v>85</v>
      </c>
      <c r="H106" s="177">
        <v>1</v>
      </c>
      <c r="I106" s="178">
        <v>1621</v>
      </c>
      <c r="J106" s="176">
        <v>46025</v>
      </c>
      <c r="K106" s="172" t="s">
        <v>94</v>
      </c>
      <c r="L106" s="172" t="s">
        <v>95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797</v>
      </c>
      <c r="B107" s="176">
        <v>46027</v>
      </c>
      <c r="C107" s="172" t="s">
        <v>101</v>
      </c>
      <c r="D107" s="172" t="s">
        <v>104</v>
      </c>
      <c r="E107" s="172" t="s">
        <v>53</v>
      </c>
      <c r="F107" s="172" t="s">
        <v>91</v>
      </c>
      <c r="G107" s="172" t="s">
        <v>85</v>
      </c>
      <c r="H107" s="177">
        <v>1</v>
      </c>
      <c r="I107" s="178">
        <v>1621</v>
      </c>
      <c r="J107" s="176">
        <v>46025</v>
      </c>
      <c r="K107" s="172" t="s">
        <v>94</v>
      </c>
      <c r="L107" s="172" t="s">
        <v>95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797</v>
      </c>
      <c r="B108" s="176">
        <v>46027</v>
      </c>
      <c r="C108" s="172" t="s">
        <v>105</v>
      </c>
      <c r="D108" s="172" t="s">
        <v>106</v>
      </c>
      <c r="E108" s="172" t="s">
        <v>53</v>
      </c>
      <c r="F108" s="172" t="s">
        <v>91</v>
      </c>
      <c r="G108" s="172" t="s">
        <v>85</v>
      </c>
      <c r="H108" s="177">
        <v>1</v>
      </c>
      <c r="I108" s="178">
        <v>1621</v>
      </c>
      <c r="J108" s="176">
        <v>46025</v>
      </c>
      <c r="K108" s="172" t="s">
        <v>94</v>
      </c>
      <c r="L108" s="172" t="s">
        <v>95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797</v>
      </c>
      <c r="B109" s="176">
        <v>46027</v>
      </c>
      <c r="C109" s="172" t="s">
        <v>82</v>
      </c>
      <c r="D109" s="172" t="s">
        <v>96</v>
      </c>
      <c r="E109" s="172" t="s">
        <v>53</v>
      </c>
      <c r="F109" s="172" t="s">
        <v>91</v>
      </c>
      <c r="G109" s="172" t="s">
        <v>85</v>
      </c>
      <c r="H109" s="177">
        <v>1</v>
      </c>
      <c r="I109" s="178">
        <v>1621</v>
      </c>
      <c r="J109" s="176">
        <v>46025</v>
      </c>
      <c r="K109" s="172" t="s">
        <v>94</v>
      </c>
      <c r="L109" s="172" t="s">
        <v>95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797</v>
      </c>
      <c r="B110" s="176">
        <v>46027</v>
      </c>
      <c r="C110" s="172" t="s">
        <v>82</v>
      </c>
      <c r="D110" s="172" t="s">
        <v>83</v>
      </c>
      <c r="E110" s="172" t="s">
        <v>53</v>
      </c>
      <c r="F110" s="172" t="s">
        <v>91</v>
      </c>
      <c r="G110" s="172" t="s">
        <v>85</v>
      </c>
      <c r="H110" s="177">
        <v>1</v>
      </c>
      <c r="I110" s="178">
        <v>0</v>
      </c>
      <c r="J110" s="176">
        <v>46025</v>
      </c>
      <c r="K110" s="172" t="s">
        <v>86</v>
      </c>
      <c r="L110" s="172" t="s">
        <v>86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798</v>
      </c>
      <c r="B111" s="176">
        <v>46027</v>
      </c>
      <c r="C111" s="172" t="s">
        <v>93</v>
      </c>
      <c r="D111" s="172" t="s">
        <v>24</v>
      </c>
      <c r="E111" s="172" t="s">
        <v>54</v>
      </c>
      <c r="F111" s="172" t="s">
        <v>121</v>
      </c>
      <c r="G111" s="172" t="s">
        <v>85</v>
      </c>
      <c r="H111" s="177">
        <v>1</v>
      </c>
      <c r="I111" s="178">
        <v>1845</v>
      </c>
      <c r="J111" s="176">
        <v>46024</v>
      </c>
      <c r="K111" s="172" t="s">
        <v>94</v>
      </c>
      <c r="L111" s="172" t="s">
        <v>95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798</v>
      </c>
      <c r="B112" s="176">
        <v>46027</v>
      </c>
      <c r="C112" s="172" t="s">
        <v>101</v>
      </c>
      <c r="D112" s="172" t="s">
        <v>102</v>
      </c>
      <c r="E112" s="172" t="s">
        <v>54</v>
      </c>
      <c r="F112" s="172" t="s">
        <v>121</v>
      </c>
      <c r="G112" s="172" t="s">
        <v>85</v>
      </c>
      <c r="H112" s="177">
        <v>1</v>
      </c>
      <c r="I112" s="178">
        <v>1845</v>
      </c>
      <c r="J112" s="176">
        <v>46024</v>
      </c>
      <c r="K112" s="172" t="s">
        <v>94</v>
      </c>
      <c r="L112" s="172" t="s">
        <v>95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798</v>
      </c>
      <c r="B113" s="176">
        <v>46027</v>
      </c>
      <c r="C113" s="172" t="s">
        <v>101</v>
      </c>
      <c r="D113" s="172" t="s">
        <v>103</v>
      </c>
      <c r="E113" s="172" t="s">
        <v>54</v>
      </c>
      <c r="F113" s="172" t="s">
        <v>121</v>
      </c>
      <c r="G113" s="172" t="s">
        <v>85</v>
      </c>
      <c r="H113" s="177">
        <v>1</v>
      </c>
      <c r="I113" s="178">
        <v>1845</v>
      </c>
      <c r="J113" s="176">
        <v>46024</v>
      </c>
      <c r="K113" s="172" t="s">
        <v>94</v>
      </c>
      <c r="L113" s="172" t="s">
        <v>95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798</v>
      </c>
      <c r="B114" s="176">
        <v>46027</v>
      </c>
      <c r="C114" s="172" t="s">
        <v>101</v>
      </c>
      <c r="D114" s="172" t="s">
        <v>104</v>
      </c>
      <c r="E114" s="172" t="s">
        <v>54</v>
      </c>
      <c r="F114" s="172" t="s">
        <v>121</v>
      </c>
      <c r="G114" s="172" t="s">
        <v>85</v>
      </c>
      <c r="H114" s="177">
        <v>1</v>
      </c>
      <c r="I114" s="178">
        <v>1845</v>
      </c>
      <c r="J114" s="176">
        <v>46024</v>
      </c>
      <c r="K114" s="172" t="s">
        <v>94</v>
      </c>
      <c r="L114" s="172" t="s">
        <v>95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798</v>
      </c>
      <c r="B115" s="176">
        <v>46027</v>
      </c>
      <c r="C115" s="172" t="s">
        <v>105</v>
      </c>
      <c r="D115" s="172" t="s">
        <v>106</v>
      </c>
      <c r="E115" s="172" t="s">
        <v>54</v>
      </c>
      <c r="F115" s="172" t="s">
        <v>121</v>
      </c>
      <c r="G115" s="172" t="s">
        <v>85</v>
      </c>
      <c r="H115" s="177">
        <v>1</v>
      </c>
      <c r="I115" s="178">
        <v>1845</v>
      </c>
      <c r="J115" s="176">
        <v>46024</v>
      </c>
      <c r="K115" s="172" t="s">
        <v>94</v>
      </c>
      <c r="L115" s="172" t="s">
        <v>95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798</v>
      </c>
      <c r="B116" s="176">
        <v>46027</v>
      </c>
      <c r="C116" s="172" t="s">
        <v>82</v>
      </c>
      <c r="D116" s="172" t="s">
        <v>96</v>
      </c>
      <c r="E116" s="172" t="s">
        <v>54</v>
      </c>
      <c r="F116" s="172" t="s">
        <v>121</v>
      </c>
      <c r="G116" s="172" t="s">
        <v>85</v>
      </c>
      <c r="H116" s="177">
        <v>1</v>
      </c>
      <c r="I116" s="178">
        <v>1845</v>
      </c>
      <c r="J116" s="176">
        <v>46024</v>
      </c>
      <c r="K116" s="172" t="s">
        <v>94</v>
      </c>
      <c r="L116" s="172" t="s">
        <v>95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799</v>
      </c>
      <c r="B117" s="176">
        <v>46027</v>
      </c>
      <c r="C117" s="172" t="s">
        <v>82</v>
      </c>
      <c r="D117" s="172" t="s">
        <v>83</v>
      </c>
      <c r="E117" s="172" t="s">
        <v>53</v>
      </c>
      <c r="F117" s="172" t="s">
        <v>91</v>
      </c>
      <c r="G117" s="172" t="s">
        <v>85</v>
      </c>
      <c r="H117" s="177">
        <v>1</v>
      </c>
      <c r="I117" s="178">
        <v>0</v>
      </c>
      <c r="J117" s="176">
        <v>46027</v>
      </c>
      <c r="K117" s="172" t="s">
        <v>86</v>
      </c>
      <c r="L117" s="172" t="s">
        <v>86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800</v>
      </c>
      <c r="B118" s="176">
        <v>46027</v>
      </c>
      <c r="C118" s="172" t="s">
        <v>82</v>
      </c>
      <c r="D118" s="172" t="s">
        <v>83</v>
      </c>
      <c r="E118" s="172" t="s">
        <v>53</v>
      </c>
      <c r="F118" s="172" t="s">
        <v>91</v>
      </c>
      <c r="G118" s="172" t="s">
        <v>85</v>
      </c>
      <c r="H118" s="177">
        <v>1</v>
      </c>
      <c r="I118" s="178">
        <v>0</v>
      </c>
      <c r="J118" s="176">
        <v>46027</v>
      </c>
      <c r="K118" s="172" t="s">
        <v>86</v>
      </c>
      <c r="L118" s="172" t="s">
        <v>86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801</v>
      </c>
      <c r="B119" s="176">
        <v>46027</v>
      </c>
      <c r="C119" s="172" t="s">
        <v>93</v>
      </c>
      <c r="D119" s="172" t="s">
        <v>24</v>
      </c>
      <c r="E119" s="172" t="s">
        <v>53</v>
      </c>
      <c r="F119" s="172" t="s">
        <v>91</v>
      </c>
      <c r="G119" s="172" t="s">
        <v>85</v>
      </c>
      <c r="H119" s="177">
        <v>1</v>
      </c>
      <c r="I119" s="178">
        <v>1621</v>
      </c>
      <c r="J119" s="176">
        <v>46026</v>
      </c>
      <c r="K119" s="172" t="s">
        <v>94</v>
      </c>
      <c r="L119" s="172" t="s">
        <v>95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801</v>
      </c>
      <c r="B120" s="176">
        <v>46027</v>
      </c>
      <c r="C120" s="172" t="s">
        <v>101</v>
      </c>
      <c r="D120" s="172" t="s">
        <v>102</v>
      </c>
      <c r="E120" s="172" t="s">
        <v>53</v>
      </c>
      <c r="F120" s="172" t="s">
        <v>91</v>
      </c>
      <c r="G120" s="172" t="s">
        <v>85</v>
      </c>
      <c r="H120" s="177">
        <v>1</v>
      </c>
      <c r="I120" s="178">
        <v>1621</v>
      </c>
      <c r="J120" s="176">
        <v>46026</v>
      </c>
      <c r="K120" s="172" t="s">
        <v>94</v>
      </c>
      <c r="L120" s="172" t="s">
        <v>95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801</v>
      </c>
      <c r="B121" s="176">
        <v>46027</v>
      </c>
      <c r="C121" s="172" t="s">
        <v>101</v>
      </c>
      <c r="D121" s="172" t="s">
        <v>103</v>
      </c>
      <c r="E121" s="172" t="s">
        <v>53</v>
      </c>
      <c r="F121" s="172" t="s">
        <v>91</v>
      </c>
      <c r="G121" s="172" t="s">
        <v>85</v>
      </c>
      <c r="H121" s="177">
        <v>1</v>
      </c>
      <c r="I121" s="178">
        <v>1621</v>
      </c>
      <c r="J121" s="176">
        <v>46026</v>
      </c>
      <c r="K121" s="172" t="s">
        <v>94</v>
      </c>
      <c r="L121" s="172" t="s">
        <v>95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801</v>
      </c>
      <c r="B122" s="176">
        <v>46027</v>
      </c>
      <c r="C122" s="172" t="s">
        <v>101</v>
      </c>
      <c r="D122" s="172" t="s">
        <v>104</v>
      </c>
      <c r="E122" s="172" t="s">
        <v>53</v>
      </c>
      <c r="F122" s="172" t="s">
        <v>91</v>
      </c>
      <c r="G122" s="172" t="s">
        <v>85</v>
      </c>
      <c r="H122" s="177">
        <v>1</v>
      </c>
      <c r="I122" s="178">
        <v>1621</v>
      </c>
      <c r="J122" s="176">
        <v>46026</v>
      </c>
      <c r="K122" s="172" t="s">
        <v>94</v>
      </c>
      <c r="L122" s="172" t="s">
        <v>95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801</v>
      </c>
      <c r="B123" s="176">
        <v>46027</v>
      </c>
      <c r="C123" s="172" t="s">
        <v>105</v>
      </c>
      <c r="D123" s="172" t="s">
        <v>106</v>
      </c>
      <c r="E123" s="172" t="s">
        <v>53</v>
      </c>
      <c r="F123" s="172" t="s">
        <v>91</v>
      </c>
      <c r="G123" s="172" t="s">
        <v>85</v>
      </c>
      <c r="H123" s="177">
        <v>1</v>
      </c>
      <c r="I123" s="178">
        <v>1621</v>
      </c>
      <c r="J123" s="176">
        <v>46026</v>
      </c>
      <c r="K123" s="172" t="s">
        <v>94</v>
      </c>
      <c r="L123" s="172" t="s">
        <v>95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801</v>
      </c>
      <c r="B124" s="176">
        <v>46027</v>
      </c>
      <c r="C124" s="172" t="s">
        <v>82</v>
      </c>
      <c r="D124" s="172" t="s">
        <v>96</v>
      </c>
      <c r="E124" s="172" t="s">
        <v>53</v>
      </c>
      <c r="F124" s="172" t="s">
        <v>91</v>
      </c>
      <c r="G124" s="172" t="s">
        <v>85</v>
      </c>
      <c r="H124" s="177">
        <v>1</v>
      </c>
      <c r="I124" s="178">
        <v>1621</v>
      </c>
      <c r="J124" s="176">
        <v>46026</v>
      </c>
      <c r="K124" s="172" t="s">
        <v>94</v>
      </c>
      <c r="L124" s="172" t="s">
        <v>95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802</v>
      </c>
      <c r="B125" s="176">
        <v>46027</v>
      </c>
      <c r="C125" s="172" t="s">
        <v>93</v>
      </c>
      <c r="D125" s="172" t="s">
        <v>24</v>
      </c>
      <c r="E125" s="172" t="s">
        <v>54</v>
      </c>
      <c r="F125" s="172" t="s">
        <v>121</v>
      </c>
      <c r="G125" s="172" t="s">
        <v>85</v>
      </c>
      <c r="H125" s="177">
        <v>1</v>
      </c>
      <c r="I125" s="178">
        <v>1845</v>
      </c>
      <c r="J125" s="176">
        <v>46019</v>
      </c>
      <c r="K125" s="172" t="s">
        <v>94</v>
      </c>
      <c r="L125" s="172" t="s">
        <v>95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802</v>
      </c>
      <c r="B126" s="176">
        <v>46027</v>
      </c>
      <c r="C126" s="172" t="s">
        <v>101</v>
      </c>
      <c r="D126" s="172" t="s">
        <v>102</v>
      </c>
      <c r="E126" s="172" t="s">
        <v>54</v>
      </c>
      <c r="F126" s="172" t="s">
        <v>121</v>
      </c>
      <c r="G126" s="172" t="s">
        <v>85</v>
      </c>
      <c r="H126" s="177">
        <v>1</v>
      </c>
      <c r="I126" s="178">
        <v>1845</v>
      </c>
      <c r="J126" s="176">
        <v>46019</v>
      </c>
      <c r="K126" s="172" t="s">
        <v>94</v>
      </c>
      <c r="L126" s="172" t="s">
        <v>95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802</v>
      </c>
      <c r="B127" s="176">
        <v>46027</v>
      </c>
      <c r="C127" s="172" t="s">
        <v>101</v>
      </c>
      <c r="D127" s="172" t="s">
        <v>103</v>
      </c>
      <c r="E127" s="172" t="s">
        <v>54</v>
      </c>
      <c r="F127" s="172" t="s">
        <v>121</v>
      </c>
      <c r="G127" s="172" t="s">
        <v>85</v>
      </c>
      <c r="H127" s="177">
        <v>1</v>
      </c>
      <c r="I127" s="178">
        <v>1845</v>
      </c>
      <c r="J127" s="176">
        <v>46019</v>
      </c>
      <c r="K127" s="172" t="s">
        <v>94</v>
      </c>
      <c r="L127" s="172" t="s">
        <v>95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802</v>
      </c>
      <c r="B128" s="176">
        <v>46027</v>
      </c>
      <c r="C128" s="172" t="s">
        <v>101</v>
      </c>
      <c r="D128" s="172" t="s">
        <v>104</v>
      </c>
      <c r="E128" s="172" t="s">
        <v>54</v>
      </c>
      <c r="F128" s="172" t="s">
        <v>121</v>
      </c>
      <c r="G128" s="172" t="s">
        <v>85</v>
      </c>
      <c r="H128" s="177">
        <v>1</v>
      </c>
      <c r="I128" s="178">
        <v>1845</v>
      </c>
      <c r="J128" s="176">
        <v>46019</v>
      </c>
      <c r="K128" s="172" t="s">
        <v>94</v>
      </c>
      <c r="L128" s="172" t="s">
        <v>95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802</v>
      </c>
      <c r="B129" s="176">
        <v>46027</v>
      </c>
      <c r="C129" s="172" t="s">
        <v>105</v>
      </c>
      <c r="D129" s="172" t="s">
        <v>106</v>
      </c>
      <c r="E129" s="172" t="s">
        <v>54</v>
      </c>
      <c r="F129" s="172" t="s">
        <v>121</v>
      </c>
      <c r="G129" s="172" t="s">
        <v>85</v>
      </c>
      <c r="H129" s="177">
        <v>1</v>
      </c>
      <c r="I129" s="178">
        <v>1845</v>
      </c>
      <c r="J129" s="176">
        <v>46019</v>
      </c>
      <c r="K129" s="172" t="s">
        <v>94</v>
      </c>
      <c r="L129" s="172" t="s">
        <v>95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802</v>
      </c>
      <c r="B130" s="176">
        <v>46027</v>
      </c>
      <c r="C130" s="172" t="s">
        <v>82</v>
      </c>
      <c r="D130" s="172" t="s">
        <v>96</v>
      </c>
      <c r="E130" s="172" t="s">
        <v>54</v>
      </c>
      <c r="F130" s="172" t="s">
        <v>121</v>
      </c>
      <c r="G130" s="172" t="s">
        <v>85</v>
      </c>
      <c r="H130" s="177">
        <v>1</v>
      </c>
      <c r="I130" s="178">
        <v>1845</v>
      </c>
      <c r="J130" s="176">
        <v>46019</v>
      </c>
      <c r="K130" s="172" t="s">
        <v>94</v>
      </c>
      <c r="L130" s="172" t="s">
        <v>95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768</v>
      </c>
      <c r="B131" s="176">
        <v>46027</v>
      </c>
      <c r="C131" s="172" t="s">
        <v>167</v>
      </c>
      <c r="D131" s="172" t="s">
        <v>168</v>
      </c>
      <c r="E131" s="172" t="s">
        <v>42</v>
      </c>
      <c r="F131" s="172" t="s">
        <v>84</v>
      </c>
      <c r="G131" s="172" t="s">
        <v>85</v>
      </c>
      <c r="H131" s="177">
        <v>1</v>
      </c>
      <c r="I131" s="178">
        <v>-1600</v>
      </c>
      <c r="J131" s="176">
        <v>46020</v>
      </c>
      <c r="K131" s="172" t="s">
        <v>94</v>
      </c>
      <c r="L131" s="172" t="s">
        <v>95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768</v>
      </c>
      <c r="B132" s="176">
        <v>46027</v>
      </c>
      <c r="C132" s="172" t="s">
        <v>167</v>
      </c>
      <c r="D132" s="172" t="s">
        <v>103</v>
      </c>
      <c r="E132" s="172" t="s">
        <v>42</v>
      </c>
      <c r="F132" s="172" t="s">
        <v>84</v>
      </c>
      <c r="G132" s="172" t="s">
        <v>85</v>
      </c>
      <c r="H132" s="177">
        <v>1</v>
      </c>
      <c r="I132" s="178">
        <v>-1600</v>
      </c>
      <c r="J132" s="176">
        <v>46020</v>
      </c>
      <c r="K132" s="172" t="s">
        <v>94</v>
      </c>
      <c r="L132" s="172" t="s">
        <v>95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768</v>
      </c>
      <c r="B133" s="176">
        <v>46027</v>
      </c>
      <c r="C133" s="172" t="s">
        <v>167</v>
      </c>
      <c r="D133" s="172" t="s">
        <v>104</v>
      </c>
      <c r="E133" s="172" t="s">
        <v>42</v>
      </c>
      <c r="F133" s="172" t="s">
        <v>84</v>
      </c>
      <c r="G133" s="172" t="s">
        <v>85</v>
      </c>
      <c r="H133" s="177">
        <v>1</v>
      </c>
      <c r="I133" s="178">
        <v>-1600</v>
      </c>
      <c r="J133" s="176">
        <v>46020</v>
      </c>
      <c r="K133" s="172" t="s">
        <v>94</v>
      </c>
      <c r="L133" s="172" t="s">
        <v>95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768</v>
      </c>
      <c r="B134" s="176">
        <v>46027</v>
      </c>
      <c r="C134" s="172" t="s">
        <v>105</v>
      </c>
      <c r="D134" s="172" t="s">
        <v>169</v>
      </c>
      <c r="E134" s="172" t="s">
        <v>42</v>
      </c>
      <c r="F134" s="172" t="s">
        <v>84</v>
      </c>
      <c r="G134" s="172" t="s">
        <v>85</v>
      </c>
      <c r="H134" s="177">
        <v>1</v>
      </c>
      <c r="I134" s="178">
        <v>-1600</v>
      </c>
      <c r="J134" s="176">
        <v>46020</v>
      </c>
      <c r="K134" s="172" t="s">
        <v>94</v>
      </c>
      <c r="L134" s="172" t="s">
        <v>95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803</v>
      </c>
      <c r="B135" s="176">
        <v>46027</v>
      </c>
      <c r="C135" s="172" t="s">
        <v>82</v>
      </c>
      <c r="D135" s="172" t="s">
        <v>83</v>
      </c>
      <c r="E135" s="172" t="s">
        <v>42</v>
      </c>
      <c r="F135" s="172" t="s">
        <v>84</v>
      </c>
      <c r="G135" s="172" t="s">
        <v>85</v>
      </c>
      <c r="H135" s="177">
        <v>1</v>
      </c>
      <c r="I135" s="178">
        <v>0</v>
      </c>
      <c r="J135" s="176">
        <v>46027</v>
      </c>
      <c r="K135" s="172" t="s">
        <v>86</v>
      </c>
      <c r="L135" s="172" t="s">
        <v>86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801</v>
      </c>
      <c r="B136" s="176">
        <v>46027</v>
      </c>
      <c r="C136" s="172" t="s">
        <v>82</v>
      </c>
      <c r="D136" s="172" t="s">
        <v>83</v>
      </c>
      <c r="E136" s="172" t="s">
        <v>53</v>
      </c>
      <c r="F136" s="172" t="s">
        <v>91</v>
      </c>
      <c r="G136" s="172" t="s">
        <v>85</v>
      </c>
      <c r="H136" s="177">
        <v>1</v>
      </c>
      <c r="I136" s="178">
        <v>0</v>
      </c>
      <c r="J136" s="176">
        <v>46026</v>
      </c>
      <c r="K136" s="172" t="s">
        <v>86</v>
      </c>
      <c r="L136" s="172" t="s">
        <v>86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768</v>
      </c>
      <c r="B137" s="176">
        <v>46027</v>
      </c>
      <c r="C137" s="172" t="s">
        <v>82</v>
      </c>
      <c r="D137" s="172" t="s">
        <v>83</v>
      </c>
      <c r="E137" s="172" t="s">
        <v>42</v>
      </c>
      <c r="F137" s="172" t="s">
        <v>84</v>
      </c>
      <c r="G137" s="172" t="s">
        <v>85</v>
      </c>
      <c r="H137" s="177">
        <v>1</v>
      </c>
      <c r="I137" s="178">
        <v>0</v>
      </c>
      <c r="J137" s="176">
        <v>46020</v>
      </c>
      <c r="K137" s="172" t="s">
        <v>86</v>
      </c>
      <c r="L137" s="172" t="s">
        <v>86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804</v>
      </c>
      <c r="B138" s="176">
        <v>46027</v>
      </c>
      <c r="C138" s="172" t="s">
        <v>93</v>
      </c>
      <c r="D138" s="172" t="s">
        <v>24</v>
      </c>
      <c r="E138" s="172" t="s">
        <v>53</v>
      </c>
      <c r="F138" s="172" t="s">
        <v>91</v>
      </c>
      <c r="G138" s="172" t="s">
        <v>85</v>
      </c>
      <c r="H138" s="177">
        <v>1</v>
      </c>
      <c r="I138" s="178">
        <v>1621</v>
      </c>
      <c r="J138" s="176">
        <v>46024</v>
      </c>
      <c r="K138" s="172" t="s">
        <v>94</v>
      </c>
      <c r="L138" s="172" t="s">
        <v>95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804</v>
      </c>
      <c r="B139" s="176">
        <v>46027</v>
      </c>
      <c r="C139" s="172" t="s">
        <v>101</v>
      </c>
      <c r="D139" s="172" t="s">
        <v>102</v>
      </c>
      <c r="E139" s="172" t="s">
        <v>53</v>
      </c>
      <c r="F139" s="172" t="s">
        <v>91</v>
      </c>
      <c r="G139" s="172" t="s">
        <v>85</v>
      </c>
      <c r="H139" s="177">
        <v>1</v>
      </c>
      <c r="I139" s="178">
        <v>1621</v>
      </c>
      <c r="J139" s="176">
        <v>46024</v>
      </c>
      <c r="K139" s="172" t="s">
        <v>94</v>
      </c>
      <c r="L139" s="172" t="s">
        <v>95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804</v>
      </c>
      <c r="B140" s="176">
        <v>46027</v>
      </c>
      <c r="C140" s="172" t="s">
        <v>101</v>
      </c>
      <c r="D140" s="172" t="s">
        <v>103</v>
      </c>
      <c r="E140" s="172" t="s">
        <v>53</v>
      </c>
      <c r="F140" s="172" t="s">
        <v>91</v>
      </c>
      <c r="G140" s="172" t="s">
        <v>85</v>
      </c>
      <c r="H140" s="177">
        <v>1</v>
      </c>
      <c r="I140" s="178">
        <v>1621</v>
      </c>
      <c r="J140" s="176">
        <v>46024</v>
      </c>
      <c r="K140" s="172" t="s">
        <v>94</v>
      </c>
      <c r="L140" s="172" t="s">
        <v>95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804</v>
      </c>
      <c r="B141" s="176">
        <v>46027</v>
      </c>
      <c r="C141" s="172" t="s">
        <v>101</v>
      </c>
      <c r="D141" s="172" t="s">
        <v>104</v>
      </c>
      <c r="E141" s="172" t="s">
        <v>53</v>
      </c>
      <c r="F141" s="172" t="s">
        <v>91</v>
      </c>
      <c r="G141" s="172" t="s">
        <v>85</v>
      </c>
      <c r="H141" s="177">
        <v>1</v>
      </c>
      <c r="I141" s="178">
        <v>1621</v>
      </c>
      <c r="J141" s="176">
        <v>46024</v>
      </c>
      <c r="K141" s="172" t="s">
        <v>94</v>
      </c>
      <c r="L141" s="172" t="s">
        <v>95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804</v>
      </c>
      <c r="B142" s="176">
        <v>46027</v>
      </c>
      <c r="C142" s="172" t="s">
        <v>105</v>
      </c>
      <c r="D142" s="172" t="s">
        <v>106</v>
      </c>
      <c r="E142" s="172" t="s">
        <v>53</v>
      </c>
      <c r="F142" s="172" t="s">
        <v>91</v>
      </c>
      <c r="G142" s="172" t="s">
        <v>85</v>
      </c>
      <c r="H142" s="177">
        <v>1</v>
      </c>
      <c r="I142" s="178">
        <v>1621</v>
      </c>
      <c r="J142" s="176">
        <v>46024</v>
      </c>
      <c r="K142" s="172" t="s">
        <v>94</v>
      </c>
      <c r="L142" s="172" t="s">
        <v>95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804</v>
      </c>
      <c r="B143" s="176">
        <v>46027</v>
      </c>
      <c r="C143" s="172" t="s">
        <v>82</v>
      </c>
      <c r="D143" s="172" t="s">
        <v>96</v>
      </c>
      <c r="E143" s="172" t="s">
        <v>53</v>
      </c>
      <c r="F143" s="172" t="s">
        <v>91</v>
      </c>
      <c r="G143" s="172" t="s">
        <v>85</v>
      </c>
      <c r="H143" s="177">
        <v>1</v>
      </c>
      <c r="I143" s="178">
        <v>1621</v>
      </c>
      <c r="J143" s="176">
        <v>46024</v>
      </c>
      <c r="K143" s="172" t="s">
        <v>94</v>
      </c>
      <c r="L143" s="172" t="s">
        <v>95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805</v>
      </c>
      <c r="B144" s="176">
        <v>46027</v>
      </c>
      <c r="C144" s="172" t="s">
        <v>82</v>
      </c>
      <c r="D144" s="172" t="s">
        <v>83</v>
      </c>
      <c r="E144" s="172" t="s">
        <v>42</v>
      </c>
      <c r="F144" s="172" t="s">
        <v>84</v>
      </c>
      <c r="G144" s="172" t="s">
        <v>85</v>
      </c>
      <c r="H144" s="177">
        <v>1</v>
      </c>
      <c r="I144" s="178">
        <v>0</v>
      </c>
      <c r="J144" s="176">
        <v>46027</v>
      </c>
      <c r="K144" s="172" t="s">
        <v>86</v>
      </c>
      <c r="L144" s="172" t="s">
        <v>86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806</v>
      </c>
      <c r="B145" s="176">
        <v>46027</v>
      </c>
      <c r="C145" s="172" t="s">
        <v>82</v>
      </c>
      <c r="D145" s="172" t="s">
        <v>83</v>
      </c>
      <c r="E145" s="172" t="s">
        <v>42</v>
      </c>
      <c r="F145" s="172" t="s">
        <v>84</v>
      </c>
      <c r="G145" s="172" t="s">
        <v>85</v>
      </c>
      <c r="H145" s="177">
        <v>2</v>
      </c>
      <c r="I145" s="178">
        <v>0</v>
      </c>
      <c r="J145" s="176">
        <v>46027</v>
      </c>
      <c r="K145" s="172" t="s">
        <v>86</v>
      </c>
      <c r="L145" s="172" t="s">
        <v>86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807</v>
      </c>
      <c r="B146" s="176">
        <v>46027</v>
      </c>
      <c r="C146" s="172" t="s">
        <v>82</v>
      </c>
      <c r="D146" s="172" t="s">
        <v>83</v>
      </c>
      <c r="E146" s="172" t="s">
        <v>54</v>
      </c>
      <c r="F146" s="172" t="s">
        <v>121</v>
      </c>
      <c r="G146" s="172" t="s">
        <v>85</v>
      </c>
      <c r="H146" s="177">
        <v>1</v>
      </c>
      <c r="I146" s="178">
        <v>0</v>
      </c>
      <c r="J146" s="176">
        <v>46027</v>
      </c>
      <c r="K146" s="172" t="s">
        <v>86</v>
      </c>
      <c r="L146" s="172" t="s">
        <v>86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808</v>
      </c>
      <c r="B147" s="176">
        <v>46027</v>
      </c>
      <c r="C147" s="172" t="s">
        <v>93</v>
      </c>
      <c r="D147" s="172" t="s">
        <v>97</v>
      </c>
      <c r="E147" s="172" t="s">
        <v>54</v>
      </c>
      <c r="F147" s="172" t="s">
        <v>121</v>
      </c>
      <c r="G147" s="172" t="s">
        <v>85</v>
      </c>
      <c r="H147" s="177">
        <v>1</v>
      </c>
      <c r="I147" s="178">
        <v>0</v>
      </c>
      <c r="J147" s="176">
        <v>46014</v>
      </c>
      <c r="K147" s="172" t="s">
        <v>94</v>
      </c>
      <c r="L147" s="172" t="s">
        <v>95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808</v>
      </c>
      <c r="B148" s="176">
        <v>46027</v>
      </c>
      <c r="C148" s="172" t="s">
        <v>93</v>
      </c>
      <c r="D148" s="172" t="s">
        <v>98</v>
      </c>
      <c r="E148" s="172" t="s">
        <v>54</v>
      </c>
      <c r="F148" s="172" t="s">
        <v>121</v>
      </c>
      <c r="G148" s="172" t="s">
        <v>85</v>
      </c>
      <c r="H148" s="177">
        <v>1</v>
      </c>
      <c r="I148" s="178">
        <v>0</v>
      </c>
      <c r="J148" s="176">
        <v>46014</v>
      </c>
      <c r="K148" s="172" t="s">
        <v>94</v>
      </c>
      <c r="L148" s="172" t="s">
        <v>95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808</v>
      </c>
      <c r="B149" s="176">
        <v>46027</v>
      </c>
      <c r="C149" s="172" t="s">
        <v>82</v>
      </c>
      <c r="D149" s="172" t="s">
        <v>99</v>
      </c>
      <c r="E149" s="172" t="s">
        <v>54</v>
      </c>
      <c r="F149" s="172" t="s">
        <v>121</v>
      </c>
      <c r="G149" s="172" t="s">
        <v>85</v>
      </c>
      <c r="H149" s="177">
        <v>1</v>
      </c>
      <c r="I149" s="178">
        <v>0</v>
      </c>
      <c r="J149" s="176">
        <v>46014</v>
      </c>
      <c r="K149" s="172" t="s">
        <v>94</v>
      </c>
      <c r="L149" s="172" t="s">
        <v>95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808</v>
      </c>
      <c r="B150" s="176">
        <v>46027</v>
      </c>
      <c r="C150" s="172" t="s">
        <v>93</v>
      </c>
      <c r="D150" s="172" t="s">
        <v>24</v>
      </c>
      <c r="E150" s="172" t="s">
        <v>54</v>
      </c>
      <c r="F150" s="172" t="s">
        <v>121</v>
      </c>
      <c r="G150" s="172" t="s">
        <v>85</v>
      </c>
      <c r="H150" s="177">
        <v>1</v>
      </c>
      <c r="I150" s="178">
        <v>0</v>
      </c>
      <c r="J150" s="176">
        <v>46014</v>
      </c>
      <c r="K150" s="172" t="s">
        <v>94</v>
      </c>
      <c r="L150" s="172" t="s">
        <v>95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808</v>
      </c>
      <c r="B151" s="176">
        <v>46027</v>
      </c>
      <c r="C151" s="172" t="s">
        <v>82</v>
      </c>
      <c r="D151" s="172" t="s">
        <v>96</v>
      </c>
      <c r="E151" s="172" t="s">
        <v>54</v>
      </c>
      <c r="F151" s="172" t="s">
        <v>121</v>
      </c>
      <c r="G151" s="172" t="s">
        <v>85</v>
      </c>
      <c r="H151" s="177">
        <v>1</v>
      </c>
      <c r="I151" s="178">
        <v>0</v>
      </c>
      <c r="J151" s="176">
        <v>46014</v>
      </c>
      <c r="K151" s="172" t="s">
        <v>94</v>
      </c>
      <c r="L151" s="172" t="s">
        <v>95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766</v>
      </c>
      <c r="B152" s="176">
        <v>46027</v>
      </c>
      <c r="C152" s="172" t="s">
        <v>82</v>
      </c>
      <c r="D152" s="172" t="s">
        <v>83</v>
      </c>
      <c r="E152" s="172" t="s">
        <v>42</v>
      </c>
      <c r="F152" s="172" t="s">
        <v>84</v>
      </c>
      <c r="G152" s="172" t="s">
        <v>85</v>
      </c>
      <c r="H152" s="177">
        <v>1</v>
      </c>
      <c r="I152" s="178">
        <v>0</v>
      </c>
      <c r="J152" s="176">
        <v>46026</v>
      </c>
      <c r="K152" s="172" t="s">
        <v>86</v>
      </c>
      <c r="L152" s="172" t="s">
        <v>86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809</v>
      </c>
      <c r="B153" s="176">
        <v>46027</v>
      </c>
      <c r="C153" s="172" t="s">
        <v>82</v>
      </c>
      <c r="D153" s="172" t="s">
        <v>83</v>
      </c>
      <c r="E153" s="172" t="s">
        <v>53</v>
      </c>
      <c r="F153" s="172" t="s">
        <v>91</v>
      </c>
      <c r="G153" s="172" t="s">
        <v>85</v>
      </c>
      <c r="H153" s="177">
        <v>1</v>
      </c>
      <c r="I153" s="178">
        <v>0</v>
      </c>
      <c r="J153" s="176">
        <v>46027</v>
      </c>
      <c r="K153" s="172" t="s">
        <v>86</v>
      </c>
      <c r="L153" s="172" t="s">
        <v>86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810</v>
      </c>
      <c r="B154" s="176">
        <v>46027</v>
      </c>
      <c r="C154" s="172" t="s">
        <v>93</v>
      </c>
      <c r="D154" s="172" t="s">
        <v>24</v>
      </c>
      <c r="E154" s="172" t="s">
        <v>39</v>
      </c>
      <c r="F154" s="172" t="s">
        <v>88</v>
      </c>
      <c r="G154" s="172" t="s">
        <v>85</v>
      </c>
      <c r="H154" s="177">
        <v>1</v>
      </c>
      <c r="I154" s="178">
        <v>0</v>
      </c>
      <c r="J154" s="176">
        <v>46014</v>
      </c>
      <c r="K154" s="172" t="s">
        <v>94</v>
      </c>
      <c r="L154" s="172" t="s">
        <v>95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810</v>
      </c>
      <c r="B155" s="176">
        <v>46027</v>
      </c>
      <c r="C155" s="172" t="s">
        <v>82</v>
      </c>
      <c r="D155" s="172" t="s">
        <v>96</v>
      </c>
      <c r="E155" s="172" t="s">
        <v>39</v>
      </c>
      <c r="F155" s="172" t="s">
        <v>88</v>
      </c>
      <c r="G155" s="172" t="s">
        <v>85</v>
      </c>
      <c r="H155" s="177">
        <v>1</v>
      </c>
      <c r="I155" s="178">
        <v>0</v>
      </c>
      <c r="J155" s="176">
        <v>46014</v>
      </c>
      <c r="K155" s="172" t="s">
        <v>94</v>
      </c>
      <c r="L155" s="172" t="s">
        <v>95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811</v>
      </c>
      <c r="B156" s="176">
        <v>46027</v>
      </c>
      <c r="C156" s="172" t="s">
        <v>82</v>
      </c>
      <c r="D156" s="172" t="s">
        <v>83</v>
      </c>
      <c r="E156" s="172" t="s">
        <v>53</v>
      </c>
      <c r="F156" s="172" t="s">
        <v>91</v>
      </c>
      <c r="G156" s="172" t="s">
        <v>85</v>
      </c>
      <c r="H156" s="177">
        <v>1</v>
      </c>
      <c r="I156" s="178">
        <v>0</v>
      </c>
      <c r="J156" s="176">
        <v>46027</v>
      </c>
      <c r="K156" s="172" t="s">
        <v>86</v>
      </c>
      <c r="L156" s="172" t="s">
        <v>86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810</v>
      </c>
      <c r="B157" s="176">
        <v>46027</v>
      </c>
      <c r="C157" s="172" t="s">
        <v>93</v>
      </c>
      <c r="D157" s="172" t="s">
        <v>97</v>
      </c>
      <c r="E157" s="172" t="s">
        <v>39</v>
      </c>
      <c r="F157" s="172" t="s">
        <v>88</v>
      </c>
      <c r="G157" s="172" t="s">
        <v>85</v>
      </c>
      <c r="H157" s="177">
        <v>1</v>
      </c>
      <c r="I157" s="178">
        <v>0</v>
      </c>
      <c r="J157" s="176">
        <v>46014</v>
      </c>
      <c r="K157" s="172" t="s">
        <v>94</v>
      </c>
      <c r="L157" s="172" t="s">
        <v>95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810</v>
      </c>
      <c r="B158" s="176">
        <v>46027</v>
      </c>
      <c r="C158" s="172" t="s">
        <v>93</v>
      </c>
      <c r="D158" s="172" t="s">
        <v>98</v>
      </c>
      <c r="E158" s="172" t="s">
        <v>39</v>
      </c>
      <c r="F158" s="172" t="s">
        <v>88</v>
      </c>
      <c r="G158" s="172" t="s">
        <v>85</v>
      </c>
      <c r="H158" s="177">
        <v>1</v>
      </c>
      <c r="I158" s="178">
        <v>0</v>
      </c>
      <c r="J158" s="176">
        <v>46014</v>
      </c>
      <c r="K158" s="172" t="s">
        <v>94</v>
      </c>
      <c r="L158" s="172" t="s">
        <v>95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810</v>
      </c>
      <c r="B159" s="176">
        <v>46027</v>
      </c>
      <c r="C159" s="172" t="s">
        <v>82</v>
      </c>
      <c r="D159" s="172" t="s">
        <v>99</v>
      </c>
      <c r="E159" s="172" t="s">
        <v>39</v>
      </c>
      <c r="F159" s="172" t="s">
        <v>88</v>
      </c>
      <c r="G159" s="172" t="s">
        <v>85</v>
      </c>
      <c r="H159" s="177">
        <v>1</v>
      </c>
      <c r="I159" s="178">
        <v>0</v>
      </c>
      <c r="J159" s="176">
        <v>46014</v>
      </c>
      <c r="K159" s="172" t="s">
        <v>94</v>
      </c>
      <c r="L159" s="172" t="s">
        <v>95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812</v>
      </c>
      <c r="B160" s="176">
        <v>46027</v>
      </c>
      <c r="C160" s="172" t="s">
        <v>93</v>
      </c>
      <c r="D160" s="172" t="s">
        <v>24</v>
      </c>
      <c r="E160" s="172" t="s">
        <v>53</v>
      </c>
      <c r="F160" s="172" t="s">
        <v>91</v>
      </c>
      <c r="G160" s="172" t="s">
        <v>85</v>
      </c>
      <c r="H160" s="177">
        <v>1</v>
      </c>
      <c r="I160" s="178">
        <v>0</v>
      </c>
      <c r="J160" s="176">
        <v>46019</v>
      </c>
      <c r="K160" s="172" t="s">
        <v>94</v>
      </c>
      <c r="L160" s="172" t="s">
        <v>95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812</v>
      </c>
      <c r="B161" s="176">
        <v>46027</v>
      </c>
      <c r="C161" s="172" t="s">
        <v>82</v>
      </c>
      <c r="D161" s="172" t="s">
        <v>96</v>
      </c>
      <c r="E161" s="172" t="s">
        <v>53</v>
      </c>
      <c r="F161" s="172" t="s">
        <v>91</v>
      </c>
      <c r="G161" s="172" t="s">
        <v>85</v>
      </c>
      <c r="H161" s="177">
        <v>1</v>
      </c>
      <c r="I161" s="178">
        <v>0</v>
      </c>
      <c r="J161" s="176">
        <v>46019</v>
      </c>
      <c r="K161" s="172" t="s">
        <v>94</v>
      </c>
      <c r="L161" s="172" t="s">
        <v>95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812</v>
      </c>
      <c r="B162" s="176">
        <v>46027</v>
      </c>
      <c r="C162" s="172" t="s">
        <v>93</v>
      </c>
      <c r="D162" s="172" t="s">
        <v>97</v>
      </c>
      <c r="E162" s="172" t="s">
        <v>53</v>
      </c>
      <c r="F162" s="172" t="s">
        <v>91</v>
      </c>
      <c r="G162" s="172" t="s">
        <v>85</v>
      </c>
      <c r="H162" s="177">
        <v>1</v>
      </c>
      <c r="I162" s="178">
        <v>0</v>
      </c>
      <c r="J162" s="176">
        <v>46019</v>
      </c>
      <c r="K162" s="172" t="s">
        <v>94</v>
      </c>
      <c r="L162" s="172" t="s">
        <v>95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812</v>
      </c>
      <c r="B163" s="176">
        <v>46027</v>
      </c>
      <c r="C163" s="172" t="s">
        <v>93</v>
      </c>
      <c r="D163" s="172" t="s">
        <v>98</v>
      </c>
      <c r="E163" s="172" t="s">
        <v>53</v>
      </c>
      <c r="F163" s="172" t="s">
        <v>91</v>
      </c>
      <c r="G163" s="172" t="s">
        <v>85</v>
      </c>
      <c r="H163" s="177">
        <v>1</v>
      </c>
      <c r="I163" s="178">
        <v>0</v>
      </c>
      <c r="J163" s="176">
        <v>46019</v>
      </c>
      <c r="K163" s="172" t="s">
        <v>94</v>
      </c>
      <c r="L163" s="172" t="s">
        <v>95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812</v>
      </c>
      <c r="B164" s="176">
        <v>46027</v>
      </c>
      <c r="C164" s="172" t="s">
        <v>82</v>
      </c>
      <c r="D164" s="172" t="s">
        <v>99</v>
      </c>
      <c r="E164" s="172" t="s">
        <v>53</v>
      </c>
      <c r="F164" s="172" t="s">
        <v>91</v>
      </c>
      <c r="G164" s="172" t="s">
        <v>85</v>
      </c>
      <c r="H164" s="177">
        <v>1</v>
      </c>
      <c r="I164" s="178">
        <v>0</v>
      </c>
      <c r="J164" s="176">
        <v>46019</v>
      </c>
      <c r="K164" s="172" t="s">
        <v>94</v>
      </c>
      <c r="L164" s="172" t="s">
        <v>95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143</v>
      </c>
      <c r="B165" s="176">
        <v>46027</v>
      </c>
      <c r="C165" s="172" t="s">
        <v>110</v>
      </c>
      <c r="D165" s="172" t="s">
        <v>144</v>
      </c>
      <c r="E165" s="172" t="s">
        <v>86</v>
      </c>
      <c r="F165" s="172" t="s">
        <v>86</v>
      </c>
      <c r="G165" s="172" t="s">
        <v>86</v>
      </c>
      <c r="H165" s="177">
        <v>0</v>
      </c>
      <c r="I165" s="178">
        <v>0</v>
      </c>
      <c r="J165" s="176">
        <v>46027</v>
      </c>
      <c r="K165" s="172" t="s">
        <v>86</v>
      </c>
      <c r="L165" s="172" t="s">
        <v>86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145</v>
      </c>
      <c r="B166" s="176">
        <v>46027</v>
      </c>
      <c r="C166" s="172" t="s">
        <v>110</v>
      </c>
      <c r="D166" s="172" t="s">
        <v>140</v>
      </c>
      <c r="E166" s="172" t="s">
        <v>86</v>
      </c>
      <c r="F166" s="172" t="s">
        <v>86</v>
      </c>
      <c r="G166" s="172" t="s">
        <v>86</v>
      </c>
      <c r="H166" s="177">
        <v>0</v>
      </c>
      <c r="I166" s="178">
        <v>0</v>
      </c>
      <c r="J166" s="176">
        <v>46027</v>
      </c>
      <c r="K166" s="172" t="s">
        <v>86</v>
      </c>
      <c r="L166" s="172" t="s">
        <v>86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414</v>
      </c>
      <c r="B167" s="176">
        <v>46027</v>
      </c>
      <c r="C167" s="172" t="s">
        <v>110</v>
      </c>
      <c r="D167" s="172" t="s">
        <v>140</v>
      </c>
      <c r="E167" s="172" t="s">
        <v>86</v>
      </c>
      <c r="F167" s="172" t="s">
        <v>86</v>
      </c>
      <c r="G167" s="172" t="s">
        <v>86</v>
      </c>
      <c r="H167" s="177">
        <v>0</v>
      </c>
      <c r="I167" s="178">
        <v>0</v>
      </c>
      <c r="J167" s="176">
        <v>46027</v>
      </c>
      <c r="K167" s="172" t="s">
        <v>86</v>
      </c>
      <c r="L167" s="172" t="s">
        <v>86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139</v>
      </c>
      <c r="B168" s="176">
        <v>46027</v>
      </c>
      <c r="C168" s="172" t="s">
        <v>110</v>
      </c>
      <c r="D168" s="172" t="s">
        <v>140</v>
      </c>
      <c r="E168" s="172" t="s">
        <v>86</v>
      </c>
      <c r="F168" s="172" t="s">
        <v>86</v>
      </c>
      <c r="G168" s="172" t="s">
        <v>86</v>
      </c>
      <c r="H168" s="177">
        <v>0</v>
      </c>
      <c r="I168" s="178">
        <v>0</v>
      </c>
      <c r="J168" s="176">
        <v>46027</v>
      </c>
      <c r="K168" s="172" t="s">
        <v>86</v>
      </c>
      <c r="L168" s="172" t="s">
        <v>86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813</v>
      </c>
      <c r="B169" s="176">
        <v>46028</v>
      </c>
      <c r="C169" s="172" t="s">
        <v>82</v>
      </c>
      <c r="D169" s="172" t="s">
        <v>83</v>
      </c>
      <c r="E169" s="172" t="s">
        <v>53</v>
      </c>
      <c r="F169" s="172" t="s">
        <v>91</v>
      </c>
      <c r="G169" s="172" t="s">
        <v>85</v>
      </c>
      <c r="H169" s="177">
        <v>1</v>
      </c>
      <c r="I169" s="178">
        <v>0</v>
      </c>
      <c r="J169" s="176">
        <v>46027</v>
      </c>
      <c r="K169" s="172" t="s">
        <v>86</v>
      </c>
      <c r="L169" s="172" t="s">
        <v>86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814</v>
      </c>
      <c r="B170" s="176">
        <v>46028</v>
      </c>
      <c r="C170" s="172" t="s">
        <v>356</v>
      </c>
      <c r="D170" s="172" t="s">
        <v>471</v>
      </c>
      <c r="E170" s="172" t="s">
        <v>86</v>
      </c>
      <c r="F170" s="172" t="s">
        <v>86</v>
      </c>
      <c r="G170" s="172" t="s">
        <v>86</v>
      </c>
      <c r="H170" s="177">
        <v>0</v>
      </c>
      <c r="I170" s="178">
        <v>0</v>
      </c>
      <c r="J170" s="176">
        <v>46028</v>
      </c>
      <c r="K170" s="172" t="s">
        <v>86</v>
      </c>
      <c r="L170" s="172" t="s">
        <v>86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815</v>
      </c>
      <c r="B171" s="176">
        <v>46028</v>
      </c>
      <c r="C171" s="172" t="s">
        <v>82</v>
      </c>
      <c r="D171" s="172" t="s">
        <v>83</v>
      </c>
      <c r="E171" s="172" t="s">
        <v>54</v>
      </c>
      <c r="F171" s="172" t="s">
        <v>121</v>
      </c>
      <c r="G171" s="172" t="s">
        <v>85</v>
      </c>
      <c r="H171" s="177">
        <v>1</v>
      </c>
      <c r="I171" s="178">
        <v>0</v>
      </c>
      <c r="J171" s="176">
        <v>46011</v>
      </c>
      <c r="K171" s="172" t="s">
        <v>86</v>
      </c>
      <c r="L171" s="172" t="s">
        <v>86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816</v>
      </c>
      <c r="B172" s="176">
        <v>46028</v>
      </c>
      <c r="C172" s="172" t="s">
        <v>93</v>
      </c>
      <c r="D172" s="172" t="s">
        <v>24</v>
      </c>
      <c r="E172" s="172" t="s">
        <v>54</v>
      </c>
      <c r="F172" s="172" t="s">
        <v>121</v>
      </c>
      <c r="G172" s="172" t="s">
        <v>85</v>
      </c>
      <c r="H172" s="177">
        <v>1</v>
      </c>
      <c r="I172" s="178">
        <v>0</v>
      </c>
      <c r="J172" s="176">
        <v>46013</v>
      </c>
      <c r="K172" s="172" t="s">
        <v>94</v>
      </c>
      <c r="L172" s="172" t="s">
        <v>95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816</v>
      </c>
      <c r="B173" s="176">
        <v>46028</v>
      </c>
      <c r="C173" s="172" t="s">
        <v>82</v>
      </c>
      <c r="D173" s="172" t="s">
        <v>96</v>
      </c>
      <c r="E173" s="172" t="s">
        <v>54</v>
      </c>
      <c r="F173" s="172" t="s">
        <v>121</v>
      </c>
      <c r="G173" s="172" t="s">
        <v>85</v>
      </c>
      <c r="H173" s="177">
        <v>1</v>
      </c>
      <c r="I173" s="178">
        <v>0</v>
      </c>
      <c r="J173" s="176">
        <v>46013</v>
      </c>
      <c r="K173" s="172" t="s">
        <v>94</v>
      </c>
      <c r="L173" s="172" t="s">
        <v>95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816</v>
      </c>
      <c r="B174" s="176">
        <v>46028</v>
      </c>
      <c r="C174" s="172" t="s">
        <v>93</v>
      </c>
      <c r="D174" s="172" t="s">
        <v>97</v>
      </c>
      <c r="E174" s="172" t="s">
        <v>54</v>
      </c>
      <c r="F174" s="172" t="s">
        <v>121</v>
      </c>
      <c r="G174" s="172" t="s">
        <v>85</v>
      </c>
      <c r="H174" s="177">
        <v>1</v>
      </c>
      <c r="I174" s="178">
        <v>0</v>
      </c>
      <c r="J174" s="176">
        <v>46013</v>
      </c>
      <c r="K174" s="172" t="s">
        <v>94</v>
      </c>
      <c r="L174" s="172" t="s">
        <v>95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816</v>
      </c>
      <c r="B175" s="176">
        <v>46028</v>
      </c>
      <c r="C175" s="172" t="s">
        <v>93</v>
      </c>
      <c r="D175" s="172" t="s">
        <v>98</v>
      </c>
      <c r="E175" s="172" t="s">
        <v>54</v>
      </c>
      <c r="F175" s="172" t="s">
        <v>121</v>
      </c>
      <c r="G175" s="172" t="s">
        <v>85</v>
      </c>
      <c r="H175" s="177">
        <v>1</v>
      </c>
      <c r="I175" s="178">
        <v>0</v>
      </c>
      <c r="J175" s="176">
        <v>46013</v>
      </c>
      <c r="K175" s="172" t="s">
        <v>94</v>
      </c>
      <c r="L175" s="172" t="s">
        <v>95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816</v>
      </c>
      <c r="B176" s="176">
        <v>46028</v>
      </c>
      <c r="C176" s="172" t="s">
        <v>82</v>
      </c>
      <c r="D176" s="172" t="s">
        <v>99</v>
      </c>
      <c r="E176" s="172" t="s">
        <v>54</v>
      </c>
      <c r="F176" s="172" t="s">
        <v>121</v>
      </c>
      <c r="G176" s="172" t="s">
        <v>85</v>
      </c>
      <c r="H176" s="177">
        <v>1</v>
      </c>
      <c r="I176" s="178">
        <v>0</v>
      </c>
      <c r="J176" s="176">
        <v>46013</v>
      </c>
      <c r="K176" s="172" t="s">
        <v>94</v>
      </c>
      <c r="L176" s="172" t="s">
        <v>95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817</v>
      </c>
      <c r="B177" s="176">
        <v>46028</v>
      </c>
      <c r="C177" s="172" t="s">
        <v>93</v>
      </c>
      <c r="D177" s="172" t="s">
        <v>97</v>
      </c>
      <c r="E177" s="172" t="s">
        <v>42</v>
      </c>
      <c r="F177" s="172" t="s">
        <v>84</v>
      </c>
      <c r="G177" s="172" t="s">
        <v>85</v>
      </c>
      <c r="H177" s="177">
        <v>1</v>
      </c>
      <c r="I177" s="178">
        <v>0</v>
      </c>
      <c r="J177" s="176">
        <v>46019</v>
      </c>
      <c r="K177" s="172" t="s">
        <v>94</v>
      </c>
      <c r="L177" s="172" t="s">
        <v>95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817</v>
      </c>
      <c r="B178" s="176">
        <v>46028</v>
      </c>
      <c r="C178" s="172" t="s">
        <v>93</v>
      </c>
      <c r="D178" s="172" t="s">
        <v>98</v>
      </c>
      <c r="E178" s="172" t="s">
        <v>42</v>
      </c>
      <c r="F178" s="172" t="s">
        <v>84</v>
      </c>
      <c r="G178" s="172" t="s">
        <v>85</v>
      </c>
      <c r="H178" s="177">
        <v>1</v>
      </c>
      <c r="I178" s="178">
        <v>0</v>
      </c>
      <c r="J178" s="176">
        <v>46019</v>
      </c>
      <c r="K178" s="172" t="s">
        <v>94</v>
      </c>
      <c r="L178" s="172" t="s">
        <v>95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817</v>
      </c>
      <c r="B179" s="176">
        <v>46028</v>
      </c>
      <c r="C179" s="172" t="s">
        <v>82</v>
      </c>
      <c r="D179" s="172" t="s">
        <v>99</v>
      </c>
      <c r="E179" s="172" t="s">
        <v>42</v>
      </c>
      <c r="F179" s="172" t="s">
        <v>84</v>
      </c>
      <c r="G179" s="172" t="s">
        <v>85</v>
      </c>
      <c r="H179" s="177">
        <v>1</v>
      </c>
      <c r="I179" s="178">
        <v>0</v>
      </c>
      <c r="J179" s="176">
        <v>46019</v>
      </c>
      <c r="K179" s="172" t="s">
        <v>94</v>
      </c>
      <c r="L179" s="172" t="s">
        <v>95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817</v>
      </c>
      <c r="B180" s="176">
        <v>46028</v>
      </c>
      <c r="C180" s="172" t="s">
        <v>93</v>
      </c>
      <c r="D180" s="172" t="s">
        <v>24</v>
      </c>
      <c r="E180" s="172" t="s">
        <v>42</v>
      </c>
      <c r="F180" s="172" t="s">
        <v>84</v>
      </c>
      <c r="G180" s="172" t="s">
        <v>85</v>
      </c>
      <c r="H180" s="177">
        <v>1</v>
      </c>
      <c r="I180" s="178">
        <v>0</v>
      </c>
      <c r="J180" s="176">
        <v>46019</v>
      </c>
      <c r="K180" s="172" t="s">
        <v>94</v>
      </c>
      <c r="L180" s="172" t="s">
        <v>95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817</v>
      </c>
      <c r="B181" s="176">
        <v>46028</v>
      </c>
      <c r="C181" s="172" t="s">
        <v>82</v>
      </c>
      <c r="D181" s="172" t="s">
        <v>96</v>
      </c>
      <c r="E181" s="172" t="s">
        <v>42</v>
      </c>
      <c r="F181" s="172" t="s">
        <v>84</v>
      </c>
      <c r="G181" s="172" t="s">
        <v>85</v>
      </c>
      <c r="H181" s="177">
        <v>1</v>
      </c>
      <c r="I181" s="178">
        <v>0</v>
      </c>
      <c r="J181" s="176">
        <v>46019</v>
      </c>
      <c r="K181" s="172" t="s">
        <v>94</v>
      </c>
      <c r="L181" s="172" t="s">
        <v>95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818</v>
      </c>
      <c r="B182" s="176">
        <v>46028</v>
      </c>
      <c r="C182" s="172" t="s">
        <v>82</v>
      </c>
      <c r="D182" s="172" t="s">
        <v>83</v>
      </c>
      <c r="E182" s="172" t="s">
        <v>43</v>
      </c>
      <c r="F182" s="172" t="s">
        <v>90</v>
      </c>
      <c r="G182" s="172" t="s">
        <v>85</v>
      </c>
      <c r="H182" s="177">
        <v>1</v>
      </c>
      <c r="I182" s="178">
        <v>0</v>
      </c>
      <c r="J182" s="176">
        <v>46028</v>
      </c>
      <c r="K182" s="172" t="s">
        <v>86</v>
      </c>
      <c r="L182" s="172" t="s">
        <v>86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819</v>
      </c>
      <c r="B183" s="176">
        <v>46028</v>
      </c>
      <c r="C183" s="172" t="s">
        <v>93</v>
      </c>
      <c r="D183" s="172" t="s">
        <v>24</v>
      </c>
      <c r="E183" s="172" t="s">
        <v>54</v>
      </c>
      <c r="F183" s="172" t="s">
        <v>121</v>
      </c>
      <c r="G183" s="172" t="s">
        <v>85</v>
      </c>
      <c r="H183" s="177">
        <v>1</v>
      </c>
      <c r="I183" s="178">
        <v>1845</v>
      </c>
      <c r="J183" s="176">
        <v>46019</v>
      </c>
      <c r="K183" s="172" t="s">
        <v>94</v>
      </c>
      <c r="L183" s="172" t="s">
        <v>95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819</v>
      </c>
      <c r="B184" s="176">
        <v>46028</v>
      </c>
      <c r="C184" s="172" t="s">
        <v>101</v>
      </c>
      <c r="D184" s="172" t="s">
        <v>102</v>
      </c>
      <c r="E184" s="172" t="s">
        <v>54</v>
      </c>
      <c r="F184" s="172" t="s">
        <v>121</v>
      </c>
      <c r="G184" s="172" t="s">
        <v>85</v>
      </c>
      <c r="H184" s="177">
        <v>1</v>
      </c>
      <c r="I184" s="178">
        <v>1845</v>
      </c>
      <c r="J184" s="176">
        <v>46019</v>
      </c>
      <c r="K184" s="172" t="s">
        <v>94</v>
      </c>
      <c r="L184" s="172" t="s">
        <v>95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819</v>
      </c>
      <c r="B185" s="176">
        <v>46028</v>
      </c>
      <c r="C185" s="172" t="s">
        <v>101</v>
      </c>
      <c r="D185" s="172" t="s">
        <v>103</v>
      </c>
      <c r="E185" s="172" t="s">
        <v>54</v>
      </c>
      <c r="F185" s="172" t="s">
        <v>121</v>
      </c>
      <c r="G185" s="172" t="s">
        <v>85</v>
      </c>
      <c r="H185" s="177">
        <v>1</v>
      </c>
      <c r="I185" s="178">
        <v>1845</v>
      </c>
      <c r="J185" s="176">
        <v>46019</v>
      </c>
      <c r="K185" s="172" t="s">
        <v>94</v>
      </c>
      <c r="L185" s="172" t="s">
        <v>95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819</v>
      </c>
      <c r="B186" s="176">
        <v>46028</v>
      </c>
      <c r="C186" s="172" t="s">
        <v>101</v>
      </c>
      <c r="D186" s="172" t="s">
        <v>104</v>
      </c>
      <c r="E186" s="172" t="s">
        <v>54</v>
      </c>
      <c r="F186" s="172" t="s">
        <v>121</v>
      </c>
      <c r="G186" s="172" t="s">
        <v>85</v>
      </c>
      <c r="H186" s="177">
        <v>1</v>
      </c>
      <c r="I186" s="178">
        <v>1845</v>
      </c>
      <c r="J186" s="176">
        <v>46019</v>
      </c>
      <c r="K186" s="172" t="s">
        <v>94</v>
      </c>
      <c r="L186" s="172" t="s">
        <v>95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819</v>
      </c>
      <c r="B187" s="176">
        <v>46028</v>
      </c>
      <c r="C187" s="172" t="s">
        <v>105</v>
      </c>
      <c r="D187" s="172" t="s">
        <v>106</v>
      </c>
      <c r="E187" s="172" t="s">
        <v>54</v>
      </c>
      <c r="F187" s="172" t="s">
        <v>121</v>
      </c>
      <c r="G187" s="172" t="s">
        <v>85</v>
      </c>
      <c r="H187" s="177">
        <v>1</v>
      </c>
      <c r="I187" s="178">
        <v>1845</v>
      </c>
      <c r="J187" s="176">
        <v>46019</v>
      </c>
      <c r="K187" s="172" t="s">
        <v>94</v>
      </c>
      <c r="L187" s="172" t="s">
        <v>95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819</v>
      </c>
      <c r="B188" s="176">
        <v>46028</v>
      </c>
      <c r="C188" s="172" t="s">
        <v>82</v>
      </c>
      <c r="D188" s="172" t="s">
        <v>96</v>
      </c>
      <c r="E188" s="172" t="s">
        <v>54</v>
      </c>
      <c r="F188" s="172" t="s">
        <v>121</v>
      </c>
      <c r="G188" s="172" t="s">
        <v>85</v>
      </c>
      <c r="H188" s="177">
        <v>1</v>
      </c>
      <c r="I188" s="178">
        <v>1845</v>
      </c>
      <c r="J188" s="176">
        <v>46019</v>
      </c>
      <c r="K188" s="172" t="s">
        <v>94</v>
      </c>
      <c r="L188" s="172" t="s">
        <v>95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820</v>
      </c>
      <c r="B189" s="176">
        <v>46028</v>
      </c>
      <c r="C189" s="172" t="s">
        <v>93</v>
      </c>
      <c r="D189" s="172" t="s">
        <v>24</v>
      </c>
      <c r="E189" s="172" t="s">
        <v>43</v>
      </c>
      <c r="F189" s="172" t="s">
        <v>90</v>
      </c>
      <c r="G189" s="172" t="s">
        <v>85</v>
      </c>
      <c r="H189" s="177">
        <v>1</v>
      </c>
      <c r="I189" s="178">
        <v>1600</v>
      </c>
      <c r="J189" s="176">
        <v>46009</v>
      </c>
      <c r="K189" s="172" t="s">
        <v>94</v>
      </c>
      <c r="L189" s="172" t="s">
        <v>95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820</v>
      </c>
      <c r="B190" s="176">
        <v>46028</v>
      </c>
      <c r="C190" s="172" t="s">
        <v>101</v>
      </c>
      <c r="D190" s="172" t="s">
        <v>102</v>
      </c>
      <c r="E190" s="172" t="s">
        <v>43</v>
      </c>
      <c r="F190" s="172" t="s">
        <v>90</v>
      </c>
      <c r="G190" s="172" t="s">
        <v>85</v>
      </c>
      <c r="H190" s="177">
        <v>1</v>
      </c>
      <c r="I190" s="178">
        <v>1600</v>
      </c>
      <c r="J190" s="176">
        <v>46009</v>
      </c>
      <c r="K190" s="172" t="s">
        <v>94</v>
      </c>
      <c r="L190" s="172" t="s">
        <v>95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820</v>
      </c>
      <c r="B191" s="176">
        <v>46028</v>
      </c>
      <c r="C191" s="172" t="s">
        <v>101</v>
      </c>
      <c r="D191" s="172" t="s">
        <v>103</v>
      </c>
      <c r="E191" s="172" t="s">
        <v>43</v>
      </c>
      <c r="F191" s="172" t="s">
        <v>90</v>
      </c>
      <c r="G191" s="172" t="s">
        <v>85</v>
      </c>
      <c r="H191" s="177">
        <v>1</v>
      </c>
      <c r="I191" s="178">
        <v>1600</v>
      </c>
      <c r="J191" s="176">
        <v>46009</v>
      </c>
      <c r="K191" s="172" t="s">
        <v>94</v>
      </c>
      <c r="L191" s="172" t="s">
        <v>95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820</v>
      </c>
      <c r="B192" s="176">
        <v>46028</v>
      </c>
      <c r="C192" s="172" t="s">
        <v>101</v>
      </c>
      <c r="D192" s="172" t="s">
        <v>104</v>
      </c>
      <c r="E192" s="172" t="s">
        <v>43</v>
      </c>
      <c r="F192" s="172" t="s">
        <v>90</v>
      </c>
      <c r="G192" s="172" t="s">
        <v>85</v>
      </c>
      <c r="H192" s="177">
        <v>1</v>
      </c>
      <c r="I192" s="178">
        <v>1600</v>
      </c>
      <c r="J192" s="176">
        <v>46009</v>
      </c>
      <c r="K192" s="172" t="s">
        <v>94</v>
      </c>
      <c r="L192" s="172" t="s">
        <v>95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820</v>
      </c>
      <c r="B193" s="176">
        <v>46028</v>
      </c>
      <c r="C193" s="172" t="s">
        <v>105</v>
      </c>
      <c r="D193" s="172" t="s">
        <v>106</v>
      </c>
      <c r="E193" s="172" t="s">
        <v>43</v>
      </c>
      <c r="F193" s="172" t="s">
        <v>90</v>
      </c>
      <c r="G193" s="172" t="s">
        <v>85</v>
      </c>
      <c r="H193" s="177">
        <v>1</v>
      </c>
      <c r="I193" s="178">
        <v>1600</v>
      </c>
      <c r="J193" s="176">
        <v>46009</v>
      </c>
      <c r="K193" s="172" t="s">
        <v>94</v>
      </c>
      <c r="L193" s="172" t="s">
        <v>95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820</v>
      </c>
      <c r="B194" s="176">
        <v>46028</v>
      </c>
      <c r="C194" s="172" t="s">
        <v>82</v>
      </c>
      <c r="D194" s="172" t="s">
        <v>96</v>
      </c>
      <c r="E194" s="172" t="s">
        <v>43</v>
      </c>
      <c r="F194" s="172" t="s">
        <v>90</v>
      </c>
      <c r="G194" s="172" t="s">
        <v>85</v>
      </c>
      <c r="H194" s="177">
        <v>1</v>
      </c>
      <c r="I194" s="178">
        <v>1600</v>
      </c>
      <c r="J194" s="176">
        <v>46009</v>
      </c>
      <c r="K194" s="172" t="s">
        <v>94</v>
      </c>
      <c r="L194" s="172" t="s">
        <v>95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821</v>
      </c>
      <c r="B195" s="176">
        <v>46028</v>
      </c>
      <c r="C195" s="172" t="s">
        <v>93</v>
      </c>
      <c r="D195" s="172" t="s">
        <v>24</v>
      </c>
      <c r="E195" s="172" t="s">
        <v>53</v>
      </c>
      <c r="F195" s="172" t="s">
        <v>91</v>
      </c>
      <c r="G195" s="172" t="s">
        <v>85</v>
      </c>
      <c r="H195" s="177">
        <v>1</v>
      </c>
      <c r="I195" s="178">
        <v>1621</v>
      </c>
      <c r="J195" s="176">
        <v>46010</v>
      </c>
      <c r="K195" s="172" t="s">
        <v>94</v>
      </c>
      <c r="L195" s="172" t="s">
        <v>95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821</v>
      </c>
      <c r="B196" s="176">
        <v>46028</v>
      </c>
      <c r="C196" s="172" t="s">
        <v>101</v>
      </c>
      <c r="D196" s="172" t="s">
        <v>102</v>
      </c>
      <c r="E196" s="172" t="s">
        <v>53</v>
      </c>
      <c r="F196" s="172" t="s">
        <v>91</v>
      </c>
      <c r="G196" s="172" t="s">
        <v>85</v>
      </c>
      <c r="H196" s="177">
        <v>1</v>
      </c>
      <c r="I196" s="178">
        <v>1621</v>
      </c>
      <c r="J196" s="176">
        <v>46010</v>
      </c>
      <c r="K196" s="172" t="s">
        <v>94</v>
      </c>
      <c r="L196" s="172" t="s">
        <v>95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821</v>
      </c>
      <c r="B197" s="176">
        <v>46028</v>
      </c>
      <c r="C197" s="172" t="s">
        <v>101</v>
      </c>
      <c r="D197" s="172" t="s">
        <v>103</v>
      </c>
      <c r="E197" s="172" t="s">
        <v>53</v>
      </c>
      <c r="F197" s="172" t="s">
        <v>91</v>
      </c>
      <c r="G197" s="172" t="s">
        <v>85</v>
      </c>
      <c r="H197" s="177">
        <v>1</v>
      </c>
      <c r="I197" s="178">
        <v>1621</v>
      </c>
      <c r="J197" s="176">
        <v>46010</v>
      </c>
      <c r="K197" s="172" t="s">
        <v>94</v>
      </c>
      <c r="L197" s="172" t="s">
        <v>95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821</v>
      </c>
      <c r="B198" s="176">
        <v>46028</v>
      </c>
      <c r="C198" s="172" t="s">
        <v>101</v>
      </c>
      <c r="D198" s="172" t="s">
        <v>104</v>
      </c>
      <c r="E198" s="172" t="s">
        <v>53</v>
      </c>
      <c r="F198" s="172" t="s">
        <v>91</v>
      </c>
      <c r="G198" s="172" t="s">
        <v>85</v>
      </c>
      <c r="H198" s="177">
        <v>1</v>
      </c>
      <c r="I198" s="178">
        <v>1621</v>
      </c>
      <c r="J198" s="176">
        <v>46010</v>
      </c>
      <c r="K198" s="172" t="s">
        <v>94</v>
      </c>
      <c r="L198" s="172" t="s">
        <v>95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821</v>
      </c>
      <c r="B199" s="176">
        <v>46028</v>
      </c>
      <c r="C199" s="172" t="s">
        <v>105</v>
      </c>
      <c r="D199" s="172" t="s">
        <v>106</v>
      </c>
      <c r="E199" s="172" t="s">
        <v>53</v>
      </c>
      <c r="F199" s="172" t="s">
        <v>91</v>
      </c>
      <c r="G199" s="172" t="s">
        <v>85</v>
      </c>
      <c r="H199" s="177">
        <v>1</v>
      </c>
      <c r="I199" s="178">
        <v>1621</v>
      </c>
      <c r="J199" s="176">
        <v>46010</v>
      </c>
      <c r="K199" s="172" t="s">
        <v>94</v>
      </c>
      <c r="L199" s="172" t="s">
        <v>95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820</v>
      </c>
      <c r="B200" s="176">
        <v>46028</v>
      </c>
      <c r="C200" s="172" t="s">
        <v>82</v>
      </c>
      <c r="D200" s="172" t="s">
        <v>83</v>
      </c>
      <c r="E200" s="172" t="s">
        <v>43</v>
      </c>
      <c r="F200" s="172" t="s">
        <v>90</v>
      </c>
      <c r="G200" s="172" t="s">
        <v>85</v>
      </c>
      <c r="H200" s="177">
        <v>1</v>
      </c>
      <c r="I200" s="178">
        <v>0</v>
      </c>
      <c r="J200" s="176">
        <v>46009</v>
      </c>
      <c r="K200" s="172" t="s">
        <v>86</v>
      </c>
      <c r="L200" s="172" t="s">
        <v>86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86</v>
      </c>
      <c r="B201" s="176">
        <v>46028</v>
      </c>
      <c r="C201" s="172" t="s">
        <v>110</v>
      </c>
      <c r="D201" s="172" t="s">
        <v>111</v>
      </c>
      <c r="E201" s="172" t="s">
        <v>86</v>
      </c>
      <c r="F201" s="172" t="s">
        <v>86</v>
      </c>
      <c r="G201" s="172" t="s">
        <v>822</v>
      </c>
      <c r="H201" s="177">
        <v>0</v>
      </c>
      <c r="I201" s="178">
        <v>0</v>
      </c>
      <c r="J201" s="176">
        <v>46028</v>
      </c>
      <c r="K201" s="172" t="s">
        <v>86</v>
      </c>
      <c r="L201" s="172" t="s">
        <v>86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823</v>
      </c>
      <c r="B202" s="176">
        <v>46028</v>
      </c>
      <c r="C202" s="172" t="s">
        <v>93</v>
      </c>
      <c r="D202" s="172" t="s">
        <v>24</v>
      </c>
      <c r="E202" s="172" t="s">
        <v>54</v>
      </c>
      <c r="F202" s="172" t="s">
        <v>121</v>
      </c>
      <c r="G202" s="172" t="s">
        <v>85</v>
      </c>
      <c r="H202" s="177">
        <v>1</v>
      </c>
      <c r="I202" s="178">
        <v>1845</v>
      </c>
      <c r="J202" s="176">
        <v>46026</v>
      </c>
      <c r="K202" s="172" t="s">
        <v>94</v>
      </c>
      <c r="L202" s="172" t="s">
        <v>95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823</v>
      </c>
      <c r="B203" s="176">
        <v>46028</v>
      </c>
      <c r="C203" s="172" t="s">
        <v>101</v>
      </c>
      <c r="D203" s="172" t="s">
        <v>102</v>
      </c>
      <c r="E203" s="172" t="s">
        <v>54</v>
      </c>
      <c r="F203" s="172" t="s">
        <v>121</v>
      </c>
      <c r="G203" s="172" t="s">
        <v>85</v>
      </c>
      <c r="H203" s="177">
        <v>1</v>
      </c>
      <c r="I203" s="178">
        <v>1845</v>
      </c>
      <c r="J203" s="176">
        <v>46026</v>
      </c>
      <c r="K203" s="172" t="s">
        <v>94</v>
      </c>
      <c r="L203" s="172" t="s">
        <v>95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823</v>
      </c>
      <c r="B204" s="176">
        <v>46028</v>
      </c>
      <c r="C204" s="172" t="s">
        <v>101</v>
      </c>
      <c r="D204" s="172" t="s">
        <v>103</v>
      </c>
      <c r="E204" s="172" t="s">
        <v>54</v>
      </c>
      <c r="F204" s="172" t="s">
        <v>121</v>
      </c>
      <c r="G204" s="172" t="s">
        <v>85</v>
      </c>
      <c r="H204" s="177">
        <v>1</v>
      </c>
      <c r="I204" s="178">
        <v>1845</v>
      </c>
      <c r="J204" s="176">
        <v>46026</v>
      </c>
      <c r="K204" s="172" t="s">
        <v>94</v>
      </c>
      <c r="L204" s="172" t="s">
        <v>95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823</v>
      </c>
      <c r="B205" s="176">
        <v>46028</v>
      </c>
      <c r="C205" s="172" t="s">
        <v>101</v>
      </c>
      <c r="D205" s="172" t="s">
        <v>104</v>
      </c>
      <c r="E205" s="172" t="s">
        <v>54</v>
      </c>
      <c r="F205" s="172" t="s">
        <v>121</v>
      </c>
      <c r="G205" s="172" t="s">
        <v>85</v>
      </c>
      <c r="H205" s="177">
        <v>1</v>
      </c>
      <c r="I205" s="178">
        <v>1845</v>
      </c>
      <c r="J205" s="176">
        <v>46026</v>
      </c>
      <c r="K205" s="172" t="s">
        <v>94</v>
      </c>
      <c r="L205" s="172" t="s">
        <v>95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823</v>
      </c>
      <c r="B206" s="176">
        <v>46028</v>
      </c>
      <c r="C206" s="172" t="s">
        <v>105</v>
      </c>
      <c r="D206" s="172" t="s">
        <v>106</v>
      </c>
      <c r="E206" s="172" t="s">
        <v>54</v>
      </c>
      <c r="F206" s="172" t="s">
        <v>121</v>
      </c>
      <c r="G206" s="172" t="s">
        <v>85</v>
      </c>
      <c r="H206" s="177">
        <v>1</v>
      </c>
      <c r="I206" s="178">
        <v>1845</v>
      </c>
      <c r="J206" s="176">
        <v>46026</v>
      </c>
      <c r="K206" s="172" t="s">
        <v>94</v>
      </c>
      <c r="L206" s="172" t="s">
        <v>95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823</v>
      </c>
      <c r="B207" s="176">
        <v>46028</v>
      </c>
      <c r="C207" s="172" t="s">
        <v>82</v>
      </c>
      <c r="D207" s="172" t="s">
        <v>96</v>
      </c>
      <c r="E207" s="172" t="s">
        <v>54</v>
      </c>
      <c r="F207" s="172" t="s">
        <v>121</v>
      </c>
      <c r="G207" s="172" t="s">
        <v>85</v>
      </c>
      <c r="H207" s="177">
        <v>1</v>
      </c>
      <c r="I207" s="178">
        <v>1845</v>
      </c>
      <c r="J207" s="176">
        <v>46026</v>
      </c>
      <c r="K207" s="172" t="s">
        <v>94</v>
      </c>
      <c r="L207" s="172" t="s">
        <v>95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824</v>
      </c>
      <c r="B208" s="176">
        <v>46028</v>
      </c>
      <c r="C208" s="172" t="s">
        <v>82</v>
      </c>
      <c r="D208" s="172" t="s">
        <v>83</v>
      </c>
      <c r="E208" s="172" t="s">
        <v>42</v>
      </c>
      <c r="F208" s="172" t="s">
        <v>84</v>
      </c>
      <c r="G208" s="172" t="s">
        <v>85</v>
      </c>
      <c r="H208" s="177">
        <v>1</v>
      </c>
      <c r="I208" s="178">
        <v>0</v>
      </c>
      <c r="J208" s="176">
        <v>46028</v>
      </c>
      <c r="K208" s="172" t="s">
        <v>86</v>
      </c>
      <c r="L208" s="172" t="s">
        <v>86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825</v>
      </c>
      <c r="B209" s="176">
        <v>46028</v>
      </c>
      <c r="C209" s="172" t="s">
        <v>93</v>
      </c>
      <c r="D209" s="172" t="s">
        <v>24</v>
      </c>
      <c r="E209" s="172" t="s">
        <v>54</v>
      </c>
      <c r="F209" s="172" t="s">
        <v>121</v>
      </c>
      <c r="G209" s="172" t="s">
        <v>85</v>
      </c>
      <c r="H209" s="177">
        <v>1</v>
      </c>
      <c r="I209" s="178">
        <v>1845</v>
      </c>
      <c r="J209" s="176">
        <v>46022</v>
      </c>
      <c r="K209" s="172" t="s">
        <v>94</v>
      </c>
      <c r="L209" s="172" t="s">
        <v>95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825</v>
      </c>
      <c r="B210" s="176">
        <v>46028</v>
      </c>
      <c r="C210" s="172" t="s">
        <v>101</v>
      </c>
      <c r="D210" s="172" t="s">
        <v>102</v>
      </c>
      <c r="E210" s="172" t="s">
        <v>54</v>
      </c>
      <c r="F210" s="172" t="s">
        <v>121</v>
      </c>
      <c r="G210" s="172" t="s">
        <v>85</v>
      </c>
      <c r="H210" s="177">
        <v>1</v>
      </c>
      <c r="I210" s="178">
        <v>1845</v>
      </c>
      <c r="J210" s="176">
        <v>46022</v>
      </c>
      <c r="K210" s="172" t="s">
        <v>94</v>
      </c>
      <c r="L210" s="172" t="s">
        <v>95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825</v>
      </c>
      <c r="B211" s="176">
        <v>46028</v>
      </c>
      <c r="C211" s="172" t="s">
        <v>101</v>
      </c>
      <c r="D211" s="172" t="s">
        <v>103</v>
      </c>
      <c r="E211" s="172" t="s">
        <v>54</v>
      </c>
      <c r="F211" s="172" t="s">
        <v>121</v>
      </c>
      <c r="G211" s="172" t="s">
        <v>85</v>
      </c>
      <c r="H211" s="177">
        <v>1</v>
      </c>
      <c r="I211" s="178">
        <v>1845</v>
      </c>
      <c r="J211" s="176">
        <v>46022</v>
      </c>
      <c r="K211" s="172" t="s">
        <v>94</v>
      </c>
      <c r="L211" s="172" t="s">
        <v>95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825</v>
      </c>
      <c r="B212" s="176">
        <v>46028</v>
      </c>
      <c r="C212" s="172" t="s">
        <v>101</v>
      </c>
      <c r="D212" s="172" t="s">
        <v>104</v>
      </c>
      <c r="E212" s="172" t="s">
        <v>54</v>
      </c>
      <c r="F212" s="172" t="s">
        <v>121</v>
      </c>
      <c r="G212" s="172" t="s">
        <v>85</v>
      </c>
      <c r="H212" s="177">
        <v>1</v>
      </c>
      <c r="I212" s="178">
        <v>1845</v>
      </c>
      <c r="J212" s="176">
        <v>46022</v>
      </c>
      <c r="K212" s="172" t="s">
        <v>94</v>
      </c>
      <c r="L212" s="172" t="s">
        <v>95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825</v>
      </c>
      <c r="B213" s="176">
        <v>46028</v>
      </c>
      <c r="C213" s="172" t="s">
        <v>105</v>
      </c>
      <c r="D213" s="172" t="s">
        <v>106</v>
      </c>
      <c r="E213" s="172" t="s">
        <v>54</v>
      </c>
      <c r="F213" s="172" t="s">
        <v>121</v>
      </c>
      <c r="G213" s="172" t="s">
        <v>85</v>
      </c>
      <c r="H213" s="177">
        <v>1</v>
      </c>
      <c r="I213" s="178">
        <v>1845</v>
      </c>
      <c r="J213" s="176">
        <v>46022</v>
      </c>
      <c r="K213" s="172" t="s">
        <v>94</v>
      </c>
      <c r="L213" s="172" t="s">
        <v>95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825</v>
      </c>
      <c r="B214" s="176">
        <v>46028</v>
      </c>
      <c r="C214" s="172" t="s">
        <v>82</v>
      </c>
      <c r="D214" s="172" t="s">
        <v>96</v>
      </c>
      <c r="E214" s="172" t="s">
        <v>54</v>
      </c>
      <c r="F214" s="172" t="s">
        <v>121</v>
      </c>
      <c r="G214" s="172" t="s">
        <v>85</v>
      </c>
      <c r="H214" s="177">
        <v>1</v>
      </c>
      <c r="I214" s="178">
        <v>1845</v>
      </c>
      <c r="J214" s="176">
        <v>46022</v>
      </c>
      <c r="K214" s="172" t="s">
        <v>94</v>
      </c>
      <c r="L214" s="172" t="s">
        <v>95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825</v>
      </c>
      <c r="B215" s="176">
        <v>46028</v>
      </c>
      <c r="C215" s="172" t="s">
        <v>82</v>
      </c>
      <c r="D215" s="172" t="s">
        <v>83</v>
      </c>
      <c r="E215" s="172" t="s">
        <v>54</v>
      </c>
      <c r="F215" s="172" t="s">
        <v>121</v>
      </c>
      <c r="G215" s="172" t="s">
        <v>85</v>
      </c>
      <c r="H215" s="177">
        <v>1</v>
      </c>
      <c r="I215" s="178">
        <v>0</v>
      </c>
      <c r="J215" s="176">
        <v>46022</v>
      </c>
      <c r="K215" s="172" t="s">
        <v>86</v>
      </c>
      <c r="L215" s="172" t="s">
        <v>86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826</v>
      </c>
      <c r="B216" s="176">
        <v>46028</v>
      </c>
      <c r="C216" s="172" t="s">
        <v>82</v>
      </c>
      <c r="D216" s="172" t="s">
        <v>83</v>
      </c>
      <c r="E216" s="172" t="s">
        <v>53</v>
      </c>
      <c r="F216" s="172" t="s">
        <v>91</v>
      </c>
      <c r="G216" s="172" t="s">
        <v>85</v>
      </c>
      <c r="H216" s="177">
        <v>1</v>
      </c>
      <c r="I216" s="178">
        <v>0</v>
      </c>
      <c r="J216" s="176">
        <v>46028</v>
      </c>
      <c r="K216" s="172" t="s">
        <v>86</v>
      </c>
      <c r="L216" s="172" t="s">
        <v>86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827</v>
      </c>
      <c r="B217" s="176">
        <v>46028</v>
      </c>
      <c r="C217" s="172" t="s">
        <v>93</v>
      </c>
      <c r="D217" s="172" t="s">
        <v>24</v>
      </c>
      <c r="E217" s="172" t="s">
        <v>53</v>
      </c>
      <c r="F217" s="172" t="s">
        <v>91</v>
      </c>
      <c r="G217" s="172" t="s">
        <v>85</v>
      </c>
      <c r="H217" s="177">
        <v>1</v>
      </c>
      <c r="I217" s="178">
        <v>1621</v>
      </c>
      <c r="J217" s="176">
        <v>46024</v>
      </c>
      <c r="K217" s="172" t="s">
        <v>94</v>
      </c>
      <c r="L217" s="172" t="s">
        <v>95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827</v>
      </c>
      <c r="B218" s="176">
        <v>46028</v>
      </c>
      <c r="C218" s="172" t="s">
        <v>101</v>
      </c>
      <c r="D218" s="172" t="s">
        <v>102</v>
      </c>
      <c r="E218" s="172" t="s">
        <v>53</v>
      </c>
      <c r="F218" s="172" t="s">
        <v>91</v>
      </c>
      <c r="G218" s="172" t="s">
        <v>85</v>
      </c>
      <c r="H218" s="177">
        <v>1</v>
      </c>
      <c r="I218" s="178">
        <v>1621</v>
      </c>
      <c r="J218" s="176">
        <v>46024</v>
      </c>
      <c r="K218" s="172" t="s">
        <v>94</v>
      </c>
      <c r="L218" s="172" t="s">
        <v>95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827</v>
      </c>
      <c r="B219" s="176">
        <v>46028</v>
      </c>
      <c r="C219" s="172" t="s">
        <v>101</v>
      </c>
      <c r="D219" s="172" t="s">
        <v>103</v>
      </c>
      <c r="E219" s="172" t="s">
        <v>53</v>
      </c>
      <c r="F219" s="172" t="s">
        <v>91</v>
      </c>
      <c r="G219" s="172" t="s">
        <v>85</v>
      </c>
      <c r="H219" s="177">
        <v>1</v>
      </c>
      <c r="I219" s="178">
        <v>1621</v>
      </c>
      <c r="J219" s="176">
        <v>46024</v>
      </c>
      <c r="K219" s="172" t="s">
        <v>94</v>
      </c>
      <c r="L219" s="172" t="s">
        <v>95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827</v>
      </c>
      <c r="B220" s="176">
        <v>46028</v>
      </c>
      <c r="C220" s="172" t="s">
        <v>101</v>
      </c>
      <c r="D220" s="172" t="s">
        <v>104</v>
      </c>
      <c r="E220" s="172" t="s">
        <v>53</v>
      </c>
      <c r="F220" s="172" t="s">
        <v>91</v>
      </c>
      <c r="G220" s="172" t="s">
        <v>85</v>
      </c>
      <c r="H220" s="177">
        <v>1</v>
      </c>
      <c r="I220" s="178">
        <v>1621</v>
      </c>
      <c r="J220" s="176">
        <v>46024</v>
      </c>
      <c r="K220" s="172" t="s">
        <v>94</v>
      </c>
      <c r="L220" s="172" t="s">
        <v>95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827</v>
      </c>
      <c r="B221" s="176">
        <v>46028</v>
      </c>
      <c r="C221" s="172" t="s">
        <v>105</v>
      </c>
      <c r="D221" s="172" t="s">
        <v>106</v>
      </c>
      <c r="E221" s="172" t="s">
        <v>53</v>
      </c>
      <c r="F221" s="172" t="s">
        <v>91</v>
      </c>
      <c r="G221" s="172" t="s">
        <v>85</v>
      </c>
      <c r="H221" s="177">
        <v>1</v>
      </c>
      <c r="I221" s="178">
        <v>1621</v>
      </c>
      <c r="J221" s="176">
        <v>46024</v>
      </c>
      <c r="K221" s="172" t="s">
        <v>94</v>
      </c>
      <c r="L221" s="172" t="s">
        <v>95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827</v>
      </c>
      <c r="B222" s="176">
        <v>46028</v>
      </c>
      <c r="C222" s="172" t="s">
        <v>82</v>
      </c>
      <c r="D222" s="172" t="s">
        <v>96</v>
      </c>
      <c r="E222" s="172" t="s">
        <v>53</v>
      </c>
      <c r="F222" s="172" t="s">
        <v>91</v>
      </c>
      <c r="G222" s="172" t="s">
        <v>85</v>
      </c>
      <c r="H222" s="177">
        <v>1</v>
      </c>
      <c r="I222" s="178">
        <v>1621</v>
      </c>
      <c r="J222" s="176">
        <v>46024</v>
      </c>
      <c r="K222" s="172" t="s">
        <v>94</v>
      </c>
      <c r="L222" s="172" t="s">
        <v>95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828</v>
      </c>
      <c r="B223" s="176">
        <v>46028</v>
      </c>
      <c r="C223" s="172" t="s">
        <v>93</v>
      </c>
      <c r="D223" s="172" t="s">
        <v>24</v>
      </c>
      <c r="E223" s="172" t="s">
        <v>43</v>
      </c>
      <c r="F223" s="172" t="s">
        <v>90</v>
      </c>
      <c r="G223" s="172" t="s">
        <v>85</v>
      </c>
      <c r="H223" s="177">
        <v>1</v>
      </c>
      <c r="I223" s="178">
        <v>0</v>
      </c>
      <c r="J223" s="176">
        <v>46021</v>
      </c>
      <c r="K223" s="172" t="s">
        <v>94</v>
      </c>
      <c r="L223" s="172" t="s">
        <v>95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828</v>
      </c>
      <c r="B224" s="176">
        <v>46028</v>
      </c>
      <c r="C224" s="172" t="s">
        <v>82</v>
      </c>
      <c r="D224" s="172" t="s">
        <v>96</v>
      </c>
      <c r="E224" s="172" t="s">
        <v>43</v>
      </c>
      <c r="F224" s="172" t="s">
        <v>90</v>
      </c>
      <c r="G224" s="172" t="s">
        <v>85</v>
      </c>
      <c r="H224" s="177">
        <v>1</v>
      </c>
      <c r="I224" s="178">
        <v>0</v>
      </c>
      <c r="J224" s="176">
        <v>46021</v>
      </c>
      <c r="K224" s="172" t="s">
        <v>94</v>
      </c>
      <c r="L224" s="172" t="s">
        <v>95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829</v>
      </c>
      <c r="B225" s="176">
        <v>46028</v>
      </c>
      <c r="C225" s="172" t="s">
        <v>82</v>
      </c>
      <c r="D225" s="172" t="s">
        <v>83</v>
      </c>
      <c r="E225" s="172" t="s">
        <v>42</v>
      </c>
      <c r="F225" s="172" t="s">
        <v>84</v>
      </c>
      <c r="G225" s="172" t="s">
        <v>85</v>
      </c>
      <c r="H225" s="177">
        <v>1</v>
      </c>
      <c r="I225" s="178">
        <v>0</v>
      </c>
      <c r="J225" s="176">
        <v>46028</v>
      </c>
      <c r="K225" s="172" t="s">
        <v>86</v>
      </c>
      <c r="L225" s="172" t="s">
        <v>86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828</v>
      </c>
      <c r="B226" s="176">
        <v>46028</v>
      </c>
      <c r="C226" s="172" t="s">
        <v>93</v>
      </c>
      <c r="D226" s="172" t="s">
        <v>97</v>
      </c>
      <c r="E226" s="172" t="s">
        <v>43</v>
      </c>
      <c r="F226" s="172" t="s">
        <v>90</v>
      </c>
      <c r="G226" s="172" t="s">
        <v>85</v>
      </c>
      <c r="H226" s="177">
        <v>1</v>
      </c>
      <c r="I226" s="178">
        <v>0</v>
      </c>
      <c r="J226" s="176">
        <v>46021</v>
      </c>
      <c r="K226" s="172" t="s">
        <v>94</v>
      </c>
      <c r="L226" s="172" t="s">
        <v>95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828</v>
      </c>
      <c r="B227" s="176">
        <v>46028</v>
      </c>
      <c r="C227" s="172" t="s">
        <v>93</v>
      </c>
      <c r="D227" s="172" t="s">
        <v>98</v>
      </c>
      <c r="E227" s="172" t="s">
        <v>43</v>
      </c>
      <c r="F227" s="172" t="s">
        <v>90</v>
      </c>
      <c r="G227" s="172" t="s">
        <v>85</v>
      </c>
      <c r="H227" s="177">
        <v>1</v>
      </c>
      <c r="I227" s="178">
        <v>0</v>
      </c>
      <c r="J227" s="176">
        <v>46021</v>
      </c>
      <c r="K227" s="172" t="s">
        <v>94</v>
      </c>
      <c r="L227" s="172" t="s">
        <v>95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828</v>
      </c>
      <c r="B228" s="176">
        <v>46028</v>
      </c>
      <c r="C228" s="172" t="s">
        <v>82</v>
      </c>
      <c r="D228" s="172" t="s">
        <v>99</v>
      </c>
      <c r="E228" s="172" t="s">
        <v>43</v>
      </c>
      <c r="F228" s="172" t="s">
        <v>90</v>
      </c>
      <c r="G228" s="172" t="s">
        <v>85</v>
      </c>
      <c r="H228" s="177">
        <v>1</v>
      </c>
      <c r="I228" s="178">
        <v>0</v>
      </c>
      <c r="J228" s="176">
        <v>46021</v>
      </c>
      <c r="K228" s="172" t="s">
        <v>94</v>
      </c>
      <c r="L228" s="172" t="s">
        <v>95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830</v>
      </c>
      <c r="B229" s="176">
        <v>46028</v>
      </c>
      <c r="C229" s="172" t="s">
        <v>93</v>
      </c>
      <c r="D229" s="172" t="s">
        <v>24</v>
      </c>
      <c r="E229" s="172" t="s">
        <v>53</v>
      </c>
      <c r="F229" s="172" t="s">
        <v>91</v>
      </c>
      <c r="G229" s="172" t="s">
        <v>85</v>
      </c>
      <c r="H229" s="177">
        <v>1</v>
      </c>
      <c r="I229" s="178">
        <v>1621</v>
      </c>
      <c r="J229" s="176">
        <v>46026</v>
      </c>
      <c r="K229" s="172" t="s">
        <v>94</v>
      </c>
      <c r="L229" s="172" t="s">
        <v>95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830</v>
      </c>
      <c r="B230" s="176">
        <v>46028</v>
      </c>
      <c r="C230" s="172" t="s">
        <v>101</v>
      </c>
      <c r="D230" s="172" t="s">
        <v>102</v>
      </c>
      <c r="E230" s="172" t="s">
        <v>53</v>
      </c>
      <c r="F230" s="172" t="s">
        <v>91</v>
      </c>
      <c r="G230" s="172" t="s">
        <v>85</v>
      </c>
      <c r="H230" s="177">
        <v>1</v>
      </c>
      <c r="I230" s="178">
        <v>1621</v>
      </c>
      <c r="J230" s="176">
        <v>46026</v>
      </c>
      <c r="K230" s="172" t="s">
        <v>94</v>
      </c>
      <c r="L230" s="172" t="s">
        <v>95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830</v>
      </c>
      <c r="B231" s="176">
        <v>46028</v>
      </c>
      <c r="C231" s="172" t="s">
        <v>101</v>
      </c>
      <c r="D231" s="172" t="s">
        <v>103</v>
      </c>
      <c r="E231" s="172" t="s">
        <v>53</v>
      </c>
      <c r="F231" s="172" t="s">
        <v>91</v>
      </c>
      <c r="G231" s="172" t="s">
        <v>85</v>
      </c>
      <c r="H231" s="177">
        <v>1</v>
      </c>
      <c r="I231" s="178">
        <v>1621</v>
      </c>
      <c r="J231" s="176">
        <v>46026</v>
      </c>
      <c r="K231" s="172" t="s">
        <v>94</v>
      </c>
      <c r="L231" s="172" t="s">
        <v>95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830</v>
      </c>
      <c r="B232" s="176">
        <v>46028</v>
      </c>
      <c r="C232" s="172" t="s">
        <v>101</v>
      </c>
      <c r="D232" s="172" t="s">
        <v>104</v>
      </c>
      <c r="E232" s="172" t="s">
        <v>53</v>
      </c>
      <c r="F232" s="172" t="s">
        <v>91</v>
      </c>
      <c r="G232" s="172" t="s">
        <v>85</v>
      </c>
      <c r="H232" s="177">
        <v>1</v>
      </c>
      <c r="I232" s="178">
        <v>1621</v>
      </c>
      <c r="J232" s="176">
        <v>46026</v>
      </c>
      <c r="K232" s="172" t="s">
        <v>94</v>
      </c>
      <c r="L232" s="172" t="s">
        <v>95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830</v>
      </c>
      <c r="B233" s="176">
        <v>46028</v>
      </c>
      <c r="C233" s="172" t="s">
        <v>105</v>
      </c>
      <c r="D233" s="172" t="s">
        <v>106</v>
      </c>
      <c r="E233" s="172" t="s">
        <v>53</v>
      </c>
      <c r="F233" s="172" t="s">
        <v>91</v>
      </c>
      <c r="G233" s="172" t="s">
        <v>85</v>
      </c>
      <c r="H233" s="177">
        <v>1</v>
      </c>
      <c r="I233" s="178">
        <v>1621</v>
      </c>
      <c r="J233" s="176">
        <v>46026</v>
      </c>
      <c r="K233" s="172" t="s">
        <v>94</v>
      </c>
      <c r="L233" s="172" t="s">
        <v>95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830</v>
      </c>
      <c r="B234" s="176">
        <v>46028</v>
      </c>
      <c r="C234" s="172" t="s">
        <v>82</v>
      </c>
      <c r="D234" s="172" t="s">
        <v>96</v>
      </c>
      <c r="E234" s="172" t="s">
        <v>53</v>
      </c>
      <c r="F234" s="172" t="s">
        <v>91</v>
      </c>
      <c r="G234" s="172" t="s">
        <v>85</v>
      </c>
      <c r="H234" s="177">
        <v>1</v>
      </c>
      <c r="I234" s="178">
        <v>1621</v>
      </c>
      <c r="J234" s="176">
        <v>46026</v>
      </c>
      <c r="K234" s="172" t="s">
        <v>94</v>
      </c>
      <c r="L234" s="172" t="s">
        <v>95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830</v>
      </c>
      <c r="B235" s="176">
        <v>46028</v>
      </c>
      <c r="C235" s="172" t="s">
        <v>82</v>
      </c>
      <c r="D235" s="172" t="s">
        <v>83</v>
      </c>
      <c r="E235" s="172" t="s">
        <v>53</v>
      </c>
      <c r="F235" s="172" t="s">
        <v>91</v>
      </c>
      <c r="G235" s="172" t="s">
        <v>85</v>
      </c>
      <c r="H235" s="177">
        <v>1</v>
      </c>
      <c r="I235" s="178">
        <v>0</v>
      </c>
      <c r="J235" s="176">
        <v>46026</v>
      </c>
      <c r="K235" s="172" t="s">
        <v>86</v>
      </c>
      <c r="L235" s="172" t="s">
        <v>86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831</v>
      </c>
      <c r="B236" s="176">
        <v>46028</v>
      </c>
      <c r="C236" s="172" t="s">
        <v>93</v>
      </c>
      <c r="D236" s="172" t="s">
        <v>24</v>
      </c>
      <c r="E236" s="172" t="s">
        <v>53</v>
      </c>
      <c r="F236" s="172" t="s">
        <v>91</v>
      </c>
      <c r="G236" s="172" t="s">
        <v>85</v>
      </c>
      <c r="H236" s="177">
        <v>1</v>
      </c>
      <c r="I236" s="178">
        <v>1621</v>
      </c>
      <c r="J236" s="176">
        <v>46026</v>
      </c>
      <c r="K236" s="172" t="s">
        <v>94</v>
      </c>
      <c r="L236" s="172" t="s">
        <v>95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831</v>
      </c>
      <c r="B237" s="176">
        <v>46028</v>
      </c>
      <c r="C237" s="172" t="s">
        <v>101</v>
      </c>
      <c r="D237" s="172" t="s">
        <v>102</v>
      </c>
      <c r="E237" s="172" t="s">
        <v>53</v>
      </c>
      <c r="F237" s="172" t="s">
        <v>91</v>
      </c>
      <c r="G237" s="172" t="s">
        <v>85</v>
      </c>
      <c r="H237" s="177">
        <v>1</v>
      </c>
      <c r="I237" s="178">
        <v>1621</v>
      </c>
      <c r="J237" s="176">
        <v>46026</v>
      </c>
      <c r="K237" s="172" t="s">
        <v>94</v>
      </c>
      <c r="L237" s="172" t="s">
        <v>95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831</v>
      </c>
      <c r="B238" s="176">
        <v>46028</v>
      </c>
      <c r="C238" s="172" t="s">
        <v>101</v>
      </c>
      <c r="D238" s="172" t="s">
        <v>103</v>
      </c>
      <c r="E238" s="172" t="s">
        <v>53</v>
      </c>
      <c r="F238" s="172" t="s">
        <v>91</v>
      </c>
      <c r="G238" s="172" t="s">
        <v>85</v>
      </c>
      <c r="H238" s="177">
        <v>1</v>
      </c>
      <c r="I238" s="178">
        <v>1621</v>
      </c>
      <c r="J238" s="176">
        <v>46026</v>
      </c>
      <c r="K238" s="172" t="s">
        <v>94</v>
      </c>
      <c r="L238" s="172" t="s">
        <v>95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831</v>
      </c>
      <c r="B239" s="176">
        <v>46028</v>
      </c>
      <c r="C239" s="172" t="s">
        <v>101</v>
      </c>
      <c r="D239" s="172" t="s">
        <v>104</v>
      </c>
      <c r="E239" s="172" t="s">
        <v>53</v>
      </c>
      <c r="F239" s="172" t="s">
        <v>91</v>
      </c>
      <c r="G239" s="172" t="s">
        <v>85</v>
      </c>
      <c r="H239" s="177">
        <v>1</v>
      </c>
      <c r="I239" s="178">
        <v>1621</v>
      </c>
      <c r="J239" s="176">
        <v>46026</v>
      </c>
      <c r="K239" s="172" t="s">
        <v>94</v>
      </c>
      <c r="L239" s="172" t="s">
        <v>95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831</v>
      </c>
      <c r="B240" s="176">
        <v>46028</v>
      </c>
      <c r="C240" s="172" t="s">
        <v>105</v>
      </c>
      <c r="D240" s="172" t="s">
        <v>106</v>
      </c>
      <c r="E240" s="172" t="s">
        <v>53</v>
      </c>
      <c r="F240" s="172" t="s">
        <v>91</v>
      </c>
      <c r="G240" s="172" t="s">
        <v>85</v>
      </c>
      <c r="H240" s="177">
        <v>1</v>
      </c>
      <c r="I240" s="178">
        <v>1621</v>
      </c>
      <c r="J240" s="176">
        <v>46026</v>
      </c>
      <c r="K240" s="172" t="s">
        <v>94</v>
      </c>
      <c r="L240" s="172" t="s">
        <v>95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831</v>
      </c>
      <c r="B241" s="176">
        <v>46028</v>
      </c>
      <c r="C241" s="172" t="s">
        <v>82</v>
      </c>
      <c r="D241" s="172" t="s">
        <v>96</v>
      </c>
      <c r="E241" s="172" t="s">
        <v>53</v>
      </c>
      <c r="F241" s="172" t="s">
        <v>91</v>
      </c>
      <c r="G241" s="172" t="s">
        <v>85</v>
      </c>
      <c r="H241" s="177">
        <v>1</v>
      </c>
      <c r="I241" s="178">
        <v>1621</v>
      </c>
      <c r="J241" s="176">
        <v>46026</v>
      </c>
      <c r="K241" s="172" t="s">
        <v>94</v>
      </c>
      <c r="L241" s="172" t="s">
        <v>95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832</v>
      </c>
      <c r="B242" s="176">
        <v>46028</v>
      </c>
      <c r="C242" s="172" t="s">
        <v>82</v>
      </c>
      <c r="D242" s="172" t="s">
        <v>83</v>
      </c>
      <c r="E242" s="172" t="s">
        <v>54</v>
      </c>
      <c r="F242" s="172" t="s">
        <v>121</v>
      </c>
      <c r="G242" s="172" t="s">
        <v>85</v>
      </c>
      <c r="H242" s="177">
        <v>1</v>
      </c>
      <c r="I242" s="178">
        <v>0</v>
      </c>
      <c r="J242" s="176">
        <v>46028</v>
      </c>
      <c r="K242" s="172" t="s">
        <v>86</v>
      </c>
      <c r="L242" s="172" t="s">
        <v>86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833</v>
      </c>
      <c r="B243" s="176">
        <v>46028</v>
      </c>
      <c r="C243" s="172" t="s">
        <v>93</v>
      </c>
      <c r="D243" s="172" t="s">
        <v>24</v>
      </c>
      <c r="E243" s="172" t="s">
        <v>53</v>
      </c>
      <c r="F243" s="172" t="s">
        <v>91</v>
      </c>
      <c r="G243" s="172" t="s">
        <v>85</v>
      </c>
      <c r="H243" s="177">
        <v>1</v>
      </c>
      <c r="I243" s="178">
        <v>0</v>
      </c>
      <c r="J243" s="176">
        <v>46018</v>
      </c>
      <c r="K243" s="172" t="s">
        <v>94</v>
      </c>
      <c r="L243" s="172" t="s">
        <v>95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833</v>
      </c>
      <c r="B244" s="176">
        <v>46028</v>
      </c>
      <c r="C244" s="172" t="s">
        <v>93</v>
      </c>
      <c r="D244" s="172" t="s">
        <v>97</v>
      </c>
      <c r="E244" s="172" t="s">
        <v>53</v>
      </c>
      <c r="F244" s="172" t="s">
        <v>91</v>
      </c>
      <c r="G244" s="172" t="s">
        <v>85</v>
      </c>
      <c r="H244" s="177">
        <v>1</v>
      </c>
      <c r="I244" s="178">
        <v>0</v>
      </c>
      <c r="J244" s="176">
        <v>46018</v>
      </c>
      <c r="K244" s="172" t="s">
        <v>94</v>
      </c>
      <c r="L244" s="172" t="s">
        <v>95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833</v>
      </c>
      <c r="B245" s="176">
        <v>46028</v>
      </c>
      <c r="C245" s="172" t="s">
        <v>93</v>
      </c>
      <c r="D245" s="172" t="s">
        <v>98</v>
      </c>
      <c r="E245" s="172" t="s">
        <v>53</v>
      </c>
      <c r="F245" s="172" t="s">
        <v>91</v>
      </c>
      <c r="G245" s="172" t="s">
        <v>85</v>
      </c>
      <c r="H245" s="177">
        <v>1</v>
      </c>
      <c r="I245" s="178">
        <v>0</v>
      </c>
      <c r="J245" s="176">
        <v>46018</v>
      </c>
      <c r="K245" s="172" t="s">
        <v>94</v>
      </c>
      <c r="L245" s="172" t="s">
        <v>95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833</v>
      </c>
      <c r="B246" s="176">
        <v>46028</v>
      </c>
      <c r="C246" s="172" t="s">
        <v>82</v>
      </c>
      <c r="D246" s="172" t="s">
        <v>99</v>
      </c>
      <c r="E246" s="172" t="s">
        <v>53</v>
      </c>
      <c r="F246" s="172" t="s">
        <v>91</v>
      </c>
      <c r="G246" s="172" t="s">
        <v>85</v>
      </c>
      <c r="H246" s="177">
        <v>1</v>
      </c>
      <c r="I246" s="178">
        <v>0</v>
      </c>
      <c r="J246" s="176">
        <v>46018</v>
      </c>
      <c r="K246" s="172" t="s">
        <v>94</v>
      </c>
      <c r="L246" s="172" t="s">
        <v>95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834</v>
      </c>
      <c r="B247" s="176">
        <v>46028</v>
      </c>
      <c r="C247" s="172" t="s">
        <v>82</v>
      </c>
      <c r="D247" s="172" t="s">
        <v>83</v>
      </c>
      <c r="E247" s="172" t="s">
        <v>54</v>
      </c>
      <c r="F247" s="172" t="s">
        <v>121</v>
      </c>
      <c r="G247" s="172" t="s">
        <v>85</v>
      </c>
      <c r="H247" s="177">
        <v>1</v>
      </c>
      <c r="I247" s="178">
        <v>0</v>
      </c>
      <c r="J247" s="176">
        <v>46028</v>
      </c>
      <c r="K247" s="172" t="s">
        <v>86</v>
      </c>
      <c r="L247" s="172" t="s">
        <v>86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835</v>
      </c>
      <c r="B248" s="176">
        <v>46028</v>
      </c>
      <c r="C248" s="172" t="s">
        <v>82</v>
      </c>
      <c r="D248" s="172" t="s">
        <v>83</v>
      </c>
      <c r="E248" s="172" t="s">
        <v>53</v>
      </c>
      <c r="F248" s="172" t="s">
        <v>91</v>
      </c>
      <c r="G248" s="172" t="s">
        <v>85</v>
      </c>
      <c r="H248" s="177">
        <v>1</v>
      </c>
      <c r="I248" s="178">
        <v>0</v>
      </c>
      <c r="J248" s="176">
        <v>46028</v>
      </c>
      <c r="K248" s="172" t="s">
        <v>86</v>
      </c>
      <c r="L248" s="172" t="s">
        <v>86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836</v>
      </c>
      <c r="B249" s="176">
        <v>46028</v>
      </c>
      <c r="C249" s="172" t="s">
        <v>93</v>
      </c>
      <c r="D249" s="172" t="s">
        <v>24</v>
      </c>
      <c r="E249" s="172" t="s">
        <v>44</v>
      </c>
      <c r="F249" s="172" t="s">
        <v>126</v>
      </c>
      <c r="G249" s="172" t="s">
        <v>85</v>
      </c>
      <c r="H249" s="177">
        <v>1</v>
      </c>
      <c r="I249" s="178">
        <v>1202</v>
      </c>
      <c r="J249" s="176">
        <v>46026</v>
      </c>
      <c r="K249" s="172" t="s">
        <v>94</v>
      </c>
      <c r="L249" s="172" t="s">
        <v>95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836</v>
      </c>
      <c r="B250" s="176">
        <v>46028</v>
      </c>
      <c r="C250" s="172" t="s">
        <v>101</v>
      </c>
      <c r="D250" s="172" t="s">
        <v>102</v>
      </c>
      <c r="E250" s="172" t="s">
        <v>44</v>
      </c>
      <c r="F250" s="172" t="s">
        <v>126</v>
      </c>
      <c r="G250" s="172" t="s">
        <v>85</v>
      </c>
      <c r="H250" s="177">
        <v>1</v>
      </c>
      <c r="I250" s="178">
        <v>1202</v>
      </c>
      <c r="J250" s="176">
        <v>46026</v>
      </c>
      <c r="K250" s="172" t="s">
        <v>94</v>
      </c>
      <c r="L250" s="172" t="s">
        <v>95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836</v>
      </c>
      <c r="B251" s="176">
        <v>46028</v>
      </c>
      <c r="C251" s="172" t="s">
        <v>101</v>
      </c>
      <c r="D251" s="172" t="s">
        <v>103</v>
      </c>
      <c r="E251" s="172" t="s">
        <v>44</v>
      </c>
      <c r="F251" s="172" t="s">
        <v>126</v>
      </c>
      <c r="G251" s="172" t="s">
        <v>85</v>
      </c>
      <c r="H251" s="177">
        <v>1</v>
      </c>
      <c r="I251" s="178">
        <v>1202</v>
      </c>
      <c r="J251" s="176">
        <v>46026</v>
      </c>
      <c r="K251" s="172" t="s">
        <v>94</v>
      </c>
      <c r="L251" s="172" t="s">
        <v>95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836</v>
      </c>
      <c r="B252" s="176">
        <v>46028</v>
      </c>
      <c r="C252" s="172" t="s">
        <v>101</v>
      </c>
      <c r="D252" s="172" t="s">
        <v>104</v>
      </c>
      <c r="E252" s="172" t="s">
        <v>44</v>
      </c>
      <c r="F252" s="172" t="s">
        <v>126</v>
      </c>
      <c r="G252" s="172" t="s">
        <v>85</v>
      </c>
      <c r="H252" s="177">
        <v>1</v>
      </c>
      <c r="I252" s="178">
        <v>1202</v>
      </c>
      <c r="J252" s="176">
        <v>46026</v>
      </c>
      <c r="K252" s="172" t="s">
        <v>94</v>
      </c>
      <c r="L252" s="172" t="s">
        <v>95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836</v>
      </c>
      <c r="B253" s="176">
        <v>46028</v>
      </c>
      <c r="C253" s="172" t="s">
        <v>105</v>
      </c>
      <c r="D253" s="172" t="s">
        <v>106</v>
      </c>
      <c r="E253" s="172" t="s">
        <v>44</v>
      </c>
      <c r="F253" s="172" t="s">
        <v>126</v>
      </c>
      <c r="G253" s="172" t="s">
        <v>85</v>
      </c>
      <c r="H253" s="177">
        <v>1</v>
      </c>
      <c r="I253" s="178">
        <v>1202</v>
      </c>
      <c r="J253" s="176">
        <v>46026</v>
      </c>
      <c r="K253" s="172" t="s">
        <v>94</v>
      </c>
      <c r="L253" s="172" t="s">
        <v>95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836</v>
      </c>
      <c r="B254" s="176">
        <v>46028</v>
      </c>
      <c r="C254" s="172" t="s">
        <v>82</v>
      </c>
      <c r="D254" s="172" t="s">
        <v>96</v>
      </c>
      <c r="E254" s="172" t="s">
        <v>44</v>
      </c>
      <c r="F254" s="172" t="s">
        <v>126</v>
      </c>
      <c r="G254" s="172" t="s">
        <v>85</v>
      </c>
      <c r="H254" s="177">
        <v>1</v>
      </c>
      <c r="I254" s="178">
        <v>1202</v>
      </c>
      <c r="J254" s="176">
        <v>46026</v>
      </c>
      <c r="K254" s="172" t="s">
        <v>94</v>
      </c>
      <c r="L254" s="172" t="s">
        <v>95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837</v>
      </c>
      <c r="B255" s="176">
        <v>46028</v>
      </c>
      <c r="C255" s="172" t="s">
        <v>93</v>
      </c>
      <c r="D255" s="172" t="s">
        <v>24</v>
      </c>
      <c r="E255" s="172" t="s">
        <v>42</v>
      </c>
      <c r="F255" s="172" t="s">
        <v>84</v>
      </c>
      <c r="G255" s="172" t="s">
        <v>85</v>
      </c>
      <c r="H255" s="177">
        <v>1</v>
      </c>
      <c r="I255" s="178">
        <v>1600</v>
      </c>
      <c r="J255" s="176">
        <v>46020</v>
      </c>
      <c r="K255" s="172" t="s">
        <v>94</v>
      </c>
      <c r="L255" s="172" t="s">
        <v>95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837</v>
      </c>
      <c r="B256" s="176">
        <v>46028</v>
      </c>
      <c r="C256" s="172" t="s">
        <v>101</v>
      </c>
      <c r="D256" s="172" t="s">
        <v>102</v>
      </c>
      <c r="E256" s="172" t="s">
        <v>42</v>
      </c>
      <c r="F256" s="172" t="s">
        <v>84</v>
      </c>
      <c r="G256" s="172" t="s">
        <v>85</v>
      </c>
      <c r="H256" s="177">
        <v>1</v>
      </c>
      <c r="I256" s="178">
        <v>1600</v>
      </c>
      <c r="J256" s="176">
        <v>46020</v>
      </c>
      <c r="K256" s="172" t="s">
        <v>94</v>
      </c>
      <c r="L256" s="172" t="s">
        <v>95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837</v>
      </c>
      <c r="B257" s="176">
        <v>46028</v>
      </c>
      <c r="C257" s="172" t="s">
        <v>101</v>
      </c>
      <c r="D257" s="172" t="s">
        <v>103</v>
      </c>
      <c r="E257" s="172" t="s">
        <v>42</v>
      </c>
      <c r="F257" s="172" t="s">
        <v>84</v>
      </c>
      <c r="G257" s="172" t="s">
        <v>85</v>
      </c>
      <c r="H257" s="177">
        <v>1</v>
      </c>
      <c r="I257" s="178">
        <v>1600</v>
      </c>
      <c r="J257" s="176">
        <v>46020</v>
      </c>
      <c r="K257" s="172" t="s">
        <v>94</v>
      </c>
      <c r="L257" s="172" t="s">
        <v>95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837</v>
      </c>
      <c r="B258" s="176">
        <v>46028</v>
      </c>
      <c r="C258" s="172" t="s">
        <v>101</v>
      </c>
      <c r="D258" s="172" t="s">
        <v>104</v>
      </c>
      <c r="E258" s="172" t="s">
        <v>42</v>
      </c>
      <c r="F258" s="172" t="s">
        <v>84</v>
      </c>
      <c r="G258" s="172" t="s">
        <v>85</v>
      </c>
      <c r="H258" s="177">
        <v>1</v>
      </c>
      <c r="I258" s="178">
        <v>1600</v>
      </c>
      <c r="J258" s="176">
        <v>46020</v>
      </c>
      <c r="K258" s="172" t="s">
        <v>94</v>
      </c>
      <c r="L258" s="172" t="s">
        <v>95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837</v>
      </c>
      <c r="B259" s="176">
        <v>46028</v>
      </c>
      <c r="C259" s="172" t="s">
        <v>105</v>
      </c>
      <c r="D259" s="172" t="s">
        <v>106</v>
      </c>
      <c r="E259" s="172" t="s">
        <v>42</v>
      </c>
      <c r="F259" s="172" t="s">
        <v>84</v>
      </c>
      <c r="G259" s="172" t="s">
        <v>85</v>
      </c>
      <c r="H259" s="177">
        <v>1</v>
      </c>
      <c r="I259" s="178">
        <v>1600</v>
      </c>
      <c r="J259" s="176">
        <v>46020</v>
      </c>
      <c r="K259" s="172" t="s">
        <v>94</v>
      </c>
      <c r="L259" s="172" t="s">
        <v>95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838</v>
      </c>
      <c r="B260" s="176">
        <v>46028</v>
      </c>
      <c r="C260" s="172" t="s">
        <v>93</v>
      </c>
      <c r="D260" s="172" t="s">
        <v>24</v>
      </c>
      <c r="E260" s="172" t="s">
        <v>42</v>
      </c>
      <c r="F260" s="172" t="s">
        <v>84</v>
      </c>
      <c r="G260" s="172" t="s">
        <v>85</v>
      </c>
      <c r="H260" s="177">
        <v>1</v>
      </c>
      <c r="I260" s="178">
        <v>1600</v>
      </c>
      <c r="J260" s="176">
        <v>46025</v>
      </c>
      <c r="K260" s="172" t="s">
        <v>94</v>
      </c>
      <c r="L260" s="172" t="s">
        <v>95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838</v>
      </c>
      <c r="B261" s="176">
        <v>46028</v>
      </c>
      <c r="C261" s="172" t="s">
        <v>101</v>
      </c>
      <c r="D261" s="172" t="s">
        <v>102</v>
      </c>
      <c r="E261" s="172" t="s">
        <v>42</v>
      </c>
      <c r="F261" s="172" t="s">
        <v>84</v>
      </c>
      <c r="G261" s="172" t="s">
        <v>85</v>
      </c>
      <c r="H261" s="177">
        <v>1</v>
      </c>
      <c r="I261" s="178">
        <v>1600</v>
      </c>
      <c r="J261" s="176">
        <v>46025</v>
      </c>
      <c r="K261" s="172" t="s">
        <v>94</v>
      </c>
      <c r="L261" s="172" t="s">
        <v>95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838</v>
      </c>
      <c r="B262" s="176">
        <v>46028</v>
      </c>
      <c r="C262" s="172" t="s">
        <v>101</v>
      </c>
      <c r="D262" s="172" t="s">
        <v>103</v>
      </c>
      <c r="E262" s="172" t="s">
        <v>42</v>
      </c>
      <c r="F262" s="172" t="s">
        <v>84</v>
      </c>
      <c r="G262" s="172" t="s">
        <v>85</v>
      </c>
      <c r="H262" s="177">
        <v>1</v>
      </c>
      <c r="I262" s="178">
        <v>1600</v>
      </c>
      <c r="J262" s="176">
        <v>46025</v>
      </c>
      <c r="K262" s="172" t="s">
        <v>94</v>
      </c>
      <c r="L262" s="172" t="s">
        <v>95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838</v>
      </c>
      <c r="B263" s="176">
        <v>46028</v>
      </c>
      <c r="C263" s="172" t="s">
        <v>101</v>
      </c>
      <c r="D263" s="172" t="s">
        <v>104</v>
      </c>
      <c r="E263" s="172" t="s">
        <v>42</v>
      </c>
      <c r="F263" s="172" t="s">
        <v>84</v>
      </c>
      <c r="G263" s="172" t="s">
        <v>85</v>
      </c>
      <c r="H263" s="177">
        <v>1</v>
      </c>
      <c r="I263" s="178">
        <v>1600</v>
      </c>
      <c r="J263" s="176">
        <v>46025</v>
      </c>
      <c r="K263" s="172" t="s">
        <v>94</v>
      </c>
      <c r="L263" s="172" t="s">
        <v>95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838</v>
      </c>
      <c r="B264" s="176">
        <v>46028</v>
      </c>
      <c r="C264" s="172" t="s">
        <v>105</v>
      </c>
      <c r="D264" s="172" t="s">
        <v>106</v>
      </c>
      <c r="E264" s="172" t="s">
        <v>42</v>
      </c>
      <c r="F264" s="172" t="s">
        <v>84</v>
      </c>
      <c r="G264" s="172" t="s">
        <v>85</v>
      </c>
      <c r="H264" s="177">
        <v>1</v>
      </c>
      <c r="I264" s="178">
        <v>1600</v>
      </c>
      <c r="J264" s="176">
        <v>46025</v>
      </c>
      <c r="K264" s="172" t="s">
        <v>94</v>
      </c>
      <c r="L264" s="172" t="s">
        <v>95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838</v>
      </c>
      <c r="B265" s="176">
        <v>46028</v>
      </c>
      <c r="C265" s="172" t="s">
        <v>82</v>
      </c>
      <c r="D265" s="172" t="s">
        <v>96</v>
      </c>
      <c r="E265" s="172" t="s">
        <v>42</v>
      </c>
      <c r="F265" s="172" t="s">
        <v>84</v>
      </c>
      <c r="G265" s="172" t="s">
        <v>85</v>
      </c>
      <c r="H265" s="177">
        <v>1</v>
      </c>
      <c r="I265" s="178">
        <v>1600</v>
      </c>
      <c r="J265" s="176">
        <v>46025</v>
      </c>
      <c r="K265" s="172" t="s">
        <v>94</v>
      </c>
      <c r="L265" s="172" t="s">
        <v>95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839</v>
      </c>
      <c r="B266" s="176">
        <v>46028</v>
      </c>
      <c r="C266" s="172" t="s">
        <v>93</v>
      </c>
      <c r="D266" s="172" t="s">
        <v>24</v>
      </c>
      <c r="E266" s="172" t="s">
        <v>43</v>
      </c>
      <c r="F266" s="172" t="s">
        <v>90</v>
      </c>
      <c r="G266" s="172" t="s">
        <v>85</v>
      </c>
      <c r="H266" s="177">
        <v>1</v>
      </c>
      <c r="I266" s="178">
        <v>1600</v>
      </c>
      <c r="J266" s="176">
        <v>46026</v>
      </c>
      <c r="K266" s="172" t="s">
        <v>94</v>
      </c>
      <c r="L266" s="172" t="s">
        <v>95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839</v>
      </c>
      <c r="B267" s="176">
        <v>46028</v>
      </c>
      <c r="C267" s="172" t="s">
        <v>101</v>
      </c>
      <c r="D267" s="172" t="s">
        <v>102</v>
      </c>
      <c r="E267" s="172" t="s">
        <v>43</v>
      </c>
      <c r="F267" s="172" t="s">
        <v>90</v>
      </c>
      <c r="G267" s="172" t="s">
        <v>85</v>
      </c>
      <c r="H267" s="177">
        <v>1</v>
      </c>
      <c r="I267" s="178">
        <v>1600</v>
      </c>
      <c r="J267" s="176">
        <v>46026</v>
      </c>
      <c r="K267" s="172" t="s">
        <v>94</v>
      </c>
      <c r="L267" s="172" t="s">
        <v>95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839</v>
      </c>
      <c r="B268" s="176">
        <v>46028</v>
      </c>
      <c r="C268" s="172" t="s">
        <v>101</v>
      </c>
      <c r="D268" s="172" t="s">
        <v>103</v>
      </c>
      <c r="E268" s="172" t="s">
        <v>43</v>
      </c>
      <c r="F268" s="172" t="s">
        <v>90</v>
      </c>
      <c r="G268" s="172" t="s">
        <v>85</v>
      </c>
      <c r="H268" s="177">
        <v>1</v>
      </c>
      <c r="I268" s="178">
        <v>1600</v>
      </c>
      <c r="J268" s="176">
        <v>46026</v>
      </c>
      <c r="K268" s="172" t="s">
        <v>94</v>
      </c>
      <c r="L268" s="172" t="s">
        <v>95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839</v>
      </c>
      <c r="B269" s="176">
        <v>46028</v>
      </c>
      <c r="C269" s="172" t="s">
        <v>101</v>
      </c>
      <c r="D269" s="172" t="s">
        <v>104</v>
      </c>
      <c r="E269" s="172" t="s">
        <v>43</v>
      </c>
      <c r="F269" s="172" t="s">
        <v>90</v>
      </c>
      <c r="G269" s="172" t="s">
        <v>85</v>
      </c>
      <c r="H269" s="177">
        <v>1</v>
      </c>
      <c r="I269" s="178">
        <v>1600</v>
      </c>
      <c r="J269" s="176">
        <v>46026</v>
      </c>
      <c r="K269" s="172" t="s">
        <v>94</v>
      </c>
      <c r="L269" s="172" t="s">
        <v>95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839</v>
      </c>
      <c r="B270" s="176">
        <v>46028</v>
      </c>
      <c r="C270" s="172" t="s">
        <v>105</v>
      </c>
      <c r="D270" s="172" t="s">
        <v>106</v>
      </c>
      <c r="E270" s="172" t="s">
        <v>43</v>
      </c>
      <c r="F270" s="172" t="s">
        <v>90</v>
      </c>
      <c r="G270" s="172" t="s">
        <v>85</v>
      </c>
      <c r="H270" s="177">
        <v>1</v>
      </c>
      <c r="I270" s="178">
        <v>1600</v>
      </c>
      <c r="J270" s="176">
        <v>46026</v>
      </c>
      <c r="K270" s="172" t="s">
        <v>94</v>
      </c>
      <c r="L270" s="172" t="s">
        <v>95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839</v>
      </c>
      <c r="B271" s="176">
        <v>46028</v>
      </c>
      <c r="C271" s="172" t="s">
        <v>82</v>
      </c>
      <c r="D271" s="172" t="s">
        <v>96</v>
      </c>
      <c r="E271" s="172" t="s">
        <v>43</v>
      </c>
      <c r="F271" s="172" t="s">
        <v>90</v>
      </c>
      <c r="G271" s="172" t="s">
        <v>85</v>
      </c>
      <c r="H271" s="177">
        <v>1</v>
      </c>
      <c r="I271" s="178">
        <v>1600</v>
      </c>
      <c r="J271" s="176">
        <v>46026</v>
      </c>
      <c r="K271" s="172" t="s">
        <v>94</v>
      </c>
      <c r="L271" s="172" t="s">
        <v>95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840</v>
      </c>
      <c r="B272" s="176">
        <v>46028</v>
      </c>
      <c r="C272" s="172" t="s">
        <v>93</v>
      </c>
      <c r="D272" s="172" t="s">
        <v>24</v>
      </c>
      <c r="E272" s="172" t="s">
        <v>42</v>
      </c>
      <c r="F272" s="172" t="s">
        <v>84</v>
      </c>
      <c r="G272" s="172" t="s">
        <v>85</v>
      </c>
      <c r="H272" s="177">
        <v>1</v>
      </c>
      <c r="I272" s="178">
        <v>1600</v>
      </c>
      <c r="J272" s="176">
        <v>46027</v>
      </c>
      <c r="K272" s="172" t="s">
        <v>94</v>
      </c>
      <c r="L272" s="172" t="s">
        <v>95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840</v>
      </c>
      <c r="B273" s="176">
        <v>46028</v>
      </c>
      <c r="C273" s="172" t="s">
        <v>101</v>
      </c>
      <c r="D273" s="172" t="s">
        <v>102</v>
      </c>
      <c r="E273" s="172" t="s">
        <v>42</v>
      </c>
      <c r="F273" s="172" t="s">
        <v>84</v>
      </c>
      <c r="G273" s="172" t="s">
        <v>85</v>
      </c>
      <c r="H273" s="177">
        <v>1</v>
      </c>
      <c r="I273" s="178">
        <v>1600</v>
      </c>
      <c r="J273" s="176">
        <v>46027</v>
      </c>
      <c r="K273" s="172" t="s">
        <v>94</v>
      </c>
      <c r="L273" s="172" t="s">
        <v>95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840</v>
      </c>
      <c r="B274" s="176">
        <v>46028</v>
      </c>
      <c r="C274" s="172" t="s">
        <v>101</v>
      </c>
      <c r="D274" s="172" t="s">
        <v>103</v>
      </c>
      <c r="E274" s="172" t="s">
        <v>42</v>
      </c>
      <c r="F274" s="172" t="s">
        <v>84</v>
      </c>
      <c r="G274" s="172" t="s">
        <v>85</v>
      </c>
      <c r="H274" s="177">
        <v>1</v>
      </c>
      <c r="I274" s="178">
        <v>1600</v>
      </c>
      <c r="J274" s="176">
        <v>46027</v>
      </c>
      <c r="K274" s="172" t="s">
        <v>94</v>
      </c>
      <c r="L274" s="172" t="s">
        <v>95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840</v>
      </c>
      <c r="B275" s="176">
        <v>46028</v>
      </c>
      <c r="C275" s="172" t="s">
        <v>101</v>
      </c>
      <c r="D275" s="172" t="s">
        <v>104</v>
      </c>
      <c r="E275" s="172" t="s">
        <v>42</v>
      </c>
      <c r="F275" s="172" t="s">
        <v>84</v>
      </c>
      <c r="G275" s="172" t="s">
        <v>85</v>
      </c>
      <c r="H275" s="177">
        <v>1</v>
      </c>
      <c r="I275" s="178">
        <v>1600</v>
      </c>
      <c r="J275" s="176">
        <v>46027</v>
      </c>
      <c r="K275" s="172" t="s">
        <v>94</v>
      </c>
      <c r="L275" s="172" t="s">
        <v>95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840</v>
      </c>
      <c r="B276" s="176">
        <v>46028</v>
      </c>
      <c r="C276" s="172" t="s">
        <v>105</v>
      </c>
      <c r="D276" s="172" t="s">
        <v>106</v>
      </c>
      <c r="E276" s="172" t="s">
        <v>42</v>
      </c>
      <c r="F276" s="172" t="s">
        <v>84</v>
      </c>
      <c r="G276" s="172" t="s">
        <v>85</v>
      </c>
      <c r="H276" s="177">
        <v>1</v>
      </c>
      <c r="I276" s="178">
        <v>1600</v>
      </c>
      <c r="J276" s="176">
        <v>46027</v>
      </c>
      <c r="K276" s="172" t="s">
        <v>94</v>
      </c>
      <c r="L276" s="172" t="s">
        <v>95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840</v>
      </c>
      <c r="B277" s="176">
        <v>46028</v>
      </c>
      <c r="C277" s="172" t="s">
        <v>82</v>
      </c>
      <c r="D277" s="172" t="s">
        <v>96</v>
      </c>
      <c r="E277" s="172" t="s">
        <v>42</v>
      </c>
      <c r="F277" s="172" t="s">
        <v>84</v>
      </c>
      <c r="G277" s="172" t="s">
        <v>85</v>
      </c>
      <c r="H277" s="177">
        <v>1</v>
      </c>
      <c r="I277" s="178">
        <v>1600</v>
      </c>
      <c r="J277" s="176">
        <v>46027</v>
      </c>
      <c r="K277" s="172" t="s">
        <v>94</v>
      </c>
      <c r="L277" s="172" t="s">
        <v>95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841</v>
      </c>
      <c r="B278" s="176">
        <v>46028</v>
      </c>
      <c r="C278" s="172" t="s">
        <v>82</v>
      </c>
      <c r="D278" s="172" t="s">
        <v>83</v>
      </c>
      <c r="E278" s="172" t="s">
        <v>43</v>
      </c>
      <c r="F278" s="172" t="s">
        <v>90</v>
      </c>
      <c r="G278" s="172" t="s">
        <v>85</v>
      </c>
      <c r="H278" s="177">
        <v>1</v>
      </c>
      <c r="I278" s="178">
        <v>0</v>
      </c>
      <c r="J278" s="176">
        <v>46028</v>
      </c>
      <c r="K278" s="172" t="s">
        <v>86</v>
      </c>
      <c r="L278" s="172" t="s">
        <v>86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840</v>
      </c>
      <c r="B279" s="176">
        <v>46028</v>
      </c>
      <c r="C279" s="172" t="s">
        <v>82</v>
      </c>
      <c r="D279" s="172" t="s">
        <v>83</v>
      </c>
      <c r="E279" s="172" t="s">
        <v>42</v>
      </c>
      <c r="F279" s="172" t="s">
        <v>84</v>
      </c>
      <c r="G279" s="172" t="s">
        <v>85</v>
      </c>
      <c r="H279" s="177">
        <v>1</v>
      </c>
      <c r="I279" s="178">
        <v>0</v>
      </c>
      <c r="J279" s="176">
        <v>46027</v>
      </c>
      <c r="K279" s="172" t="s">
        <v>86</v>
      </c>
      <c r="L279" s="172" t="s">
        <v>86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842</v>
      </c>
      <c r="B280" s="176">
        <v>46028</v>
      </c>
      <c r="C280" s="172" t="s">
        <v>93</v>
      </c>
      <c r="D280" s="172" t="s">
        <v>24</v>
      </c>
      <c r="E280" s="172" t="s">
        <v>42</v>
      </c>
      <c r="F280" s="172" t="s">
        <v>84</v>
      </c>
      <c r="G280" s="172" t="s">
        <v>85</v>
      </c>
      <c r="H280" s="177">
        <v>1</v>
      </c>
      <c r="I280" s="178">
        <v>1600</v>
      </c>
      <c r="J280" s="176">
        <v>46022</v>
      </c>
      <c r="K280" s="172" t="s">
        <v>94</v>
      </c>
      <c r="L280" s="172" t="s">
        <v>95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842</v>
      </c>
      <c r="B281" s="176">
        <v>46028</v>
      </c>
      <c r="C281" s="172" t="s">
        <v>101</v>
      </c>
      <c r="D281" s="172" t="s">
        <v>102</v>
      </c>
      <c r="E281" s="172" t="s">
        <v>42</v>
      </c>
      <c r="F281" s="172" t="s">
        <v>84</v>
      </c>
      <c r="G281" s="172" t="s">
        <v>85</v>
      </c>
      <c r="H281" s="177">
        <v>1</v>
      </c>
      <c r="I281" s="178">
        <v>1600</v>
      </c>
      <c r="J281" s="176">
        <v>46022</v>
      </c>
      <c r="K281" s="172" t="s">
        <v>94</v>
      </c>
      <c r="L281" s="172" t="s">
        <v>95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842</v>
      </c>
      <c r="B282" s="176">
        <v>46028</v>
      </c>
      <c r="C282" s="172" t="s">
        <v>101</v>
      </c>
      <c r="D282" s="172" t="s">
        <v>103</v>
      </c>
      <c r="E282" s="172" t="s">
        <v>42</v>
      </c>
      <c r="F282" s="172" t="s">
        <v>84</v>
      </c>
      <c r="G282" s="172" t="s">
        <v>85</v>
      </c>
      <c r="H282" s="177">
        <v>1</v>
      </c>
      <c r="I282" s="178">
        <v>1600</v>
      </c>
      <c r="J282" s="176">
        <v>46022</v>
      </c>
      <c r="K282" s="172" t="s">
        <v>94</v>
      </c>
      <c r="L282" s="172" t="s">
        <v>95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842</v>
      </c>
      <c r="B283" s="176">
        <v>46028</v>
      </c>
      <c r="C283" s="172" t="s">
        <v>101</v>
      </c>
      <c r="D283" s="172" t="s">
        <v>104</v>
      </c>
      <c r="E283" s="172" t="s">
        <v>42</v>
      </c>
      <c r="F283" s="172" t="s">
        <v>84</v>
      </c>
      <c r="G283" s="172" t="s">
        <v>85</v>
      </c>
      <c r="H283" s="177">
        <v>1</v>
      </c>
      <c r="I283" s="178">
        <v>1600</v>
      </c>
      <c r="J283" s="176">
        <v>46022</v>
      </c>
      <c r="K283" s="172" t="s">
        <v>94</v>
      </c>
      <c r="L283" s="172" t="s">
        <v>95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842</v>
      </c>
      <c r="B284" s="176">
        <v>46028</v>
      </c>
      <c r="C284" s="172" t="s">
        <v>105</v>
      </c>
      <c r="D284" s="172" t="s">
        <v>106</v>
      </c>
      <c r="E284" s="172" t="s">
        <v>42</v>
      </c>
      <c r="F284" s="172" t="s">
        <v>84</v>
      </c>
      <c r="G284" s="172" t="s">
        <v>85</v>
      </c>
      <c r="H284" s="177">
        <v>1</v>
      </c>
      <c r="I284" s="178">
        <v>1600</v>
      </c>
      <c r="J284" s="176">
        <v>46022</v>
      </c>
      <c r="K284" s="172" t="s">
        <v>94</v>
      </c>
      <c r="L284" s="172" t="s">
        <v>95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842</v>
      </c>
      <c r="B285" s="176">
        <v>46028</v>
      </c>
      <c r="C285" s="172" t="s">
        <v>82</v>
      </c>
      <c r="D285" s="172" t="s">
        <v>96</v>
      </c>
      <c r="E285" s="172" t="s">
        <v>42</v>
      </c>
      <c r="F285" s="172" t="s">
        <v>84</v>
      </c>
      <c r="G285" s="172" t="s">
        <v>85</v>
      </c>
      <c r="H285" s="177">
        <v>1</v>
      </c>
      <c r="I285" s="178">
        <v>1600</v>
      </c>
      <c r="J285" s="176">
        <v>46022</v>
      </c>
      <c r="K285" s="172" t="s">
        <v>94</v>
      </c>
      <c r="L285" s="172" t="s">
        <v>95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843</v>
      </c>
      <c r="B286" s="176">
        <v>46028</v>
      </c>
      <c r="C286" s="172" t="s">
        <v>93</v>
      </c>
      <c r="D286" s="172" t="s">
        <v>24</v>
      </c>
      <c r="E286" s="172" t="s">
        <v>42</v>
      </c>
      <c r="F286" s="172" t="s">
        <v>84</v>
      </c>
      <c r="G286" s="172" t="s">
        <v>85</v>
      </c>
      <c r="H286" s="177">
        <v>1</v>
      </c>
      <c r="I286" s="178">
        <v>1600</v>
      </c>
      <c r="J286" s="176">
        <v>46024</v>
      </c>
      <c r="K286" s="172" t="s">
        <v>94</v>
      </c>
      <c r="L286" s="172" t="s">
        <v>95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843</v>
      </c>
      <c r="B287" s="176">
        <v>46028</v>
      </c>
      <c r="C287" s="172" t="s">
        <v>101</v>
      </c>
      <c r="D287" s="172" t="s">
        <v>102</v>
      </c>
      <c r="E287" s="172" t="s">
        <v>42</v>
      </c>
      <c r="F287" s="172" t="s">
        <v>84</v>
      </c>
      <c r="G287" s="172" t="s">
        <v>85</v>
      </c>
      <c r="H287" s="177">
        <v>1</v>
      </c>
      <c r="I287" s="178">
        <v>1600</v>
      </c>
      <c r="J287" s="176">
        <v>46024</v>
      </c>
      <c r="K287" s="172" t="s">
        <v>94</v>
      </c>
      <c r="L287" s="172" t="s">
        <v>95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843</v>
      </c>
      <c r="B288" s="176">
        <v>46028</v>
      </c>
      <c r="C288" s="172" t="s">
        <v>101</v>
      </c>
      <c r="D288" s="172" t="s">
        <v>103</v>
      </c>
      <c r="E288" s="172" t="s">
        <v>42</v>
      </c>
      <c r="F288" s="172" t="s">
        <v>84</v>
      </c>
      <c r="G288" s="172" t="s">
        <v>85</v>
      </c>
      <c r="H288" s="177">
        <v>1</v>
      </c>
      <c r="I288" s="178">
        <v>1600</v>
      </c>
      <c r="J288" s="176">
        <v>46024</v>
      </c>
      <c r="K288" s="172" t="s">
        <v>94</v>
      </c>
      <c r="L288" s="172" t="s">
        <v>95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843</v>
      </c>
      <c r="B289" s="176">
        <v>46028</v>
      </c>
      <c r="C289" s="172" t="s">
        <v>101</v>
      </c>
      <c r="D289" s="172" t="s">
        <v>104</v>
      </c>
      <c r="E289" s="172" t="s">
        <v>42</v>
      </c>
      <c r="F289" s="172" t="s">
        <v>84</v>
      </c>
      <c r="G289" s="172" t="s">
        <v>85</v>
      </c>
      <c r="H289" s="177">
        <v>1</v>
      </c>
      <c r="I289" s="178">
        <v>1600</v>
      </c>
      <c r="J289" s="176">
        <v>46024</v>
      </c>
      <c r="K289" s="172" t="s">
        <v>94</v>
      </c>
      <c r="L289" s="172" t="s">
        <v>95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843</v>
      </c>
      <c r="B290" s="176">
        <v>46028</v>
      </c>
      <c r="C290" s="172" t="s">
        <v>105</v>
      </c>
      <c r="D290" s="172" t="s">
        <v>106</v>
      </c>
      <c r="E290" s="172" t="s">
        <v>42</v>
      </c>
      <c r="F290" s="172" t="s">
        <v>84</v>
      </c>
      <c r="G290" s="172" t="s">
        <v>85</v>
      </c>
      <c r="H290" s="177">
        <v>1</v>
      </c>
      <c r="I290" s="178">
        <v>1600</v>
      </c>
      <c r="J290" s="176">
        <v>46024</v>
      </c>
      <c r="K290" s="172" t="s">
        <v>94</v>
      </c>
      <c r="L290" s="172" t="s">
        <v>95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843</v>
      </c>
      <c r="B291" s="176">
        <v>46028</v>
      </c>
      <c r="C291" s="172" t="s">
        <v>82</v>
      </c>
      <c r="D291" s="172" t="s">
        <v>96</v>
      </c>
      <c r="E291" s="172" t="s">
        <v>42</v>
      </c>
      <c r="F291" s="172" t="s">
        <v>84</v>
      </c>
      <c r="G291" s="172" t="s">
        <v>85</v>
      </c>
      <c r="H291" s="177">
        <v>1</v>
      </c>
      <c r="I291" s="178">
        <v>1600</v>
      </c>
      <c r="J291" s="176">
        <v>46024</v>
      </c>
      <c r="K291" s="172" t="s">
        <v>94</v>
      </c>
      <c r="L291" s="172" t="s">
        <v>95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844</v>
      </c>
      <c r="B292" s="176">
        <v>46028</v>
      </c>
      <c r="C292" s="172" t="s">
        <v>93</v>
      </c>
      <c r="D292" s="172" t="s">
        <v>24</v>
      </c>
      <c r="E292" s="172" t="s">
        <v>53</v>
      </c>
      <c r="F292" s="172" t="s">
        <v>91</v>
      </c>
      <c r="G292" s="172" t="s">
        <v>85</v>
      </c>
      <c r="H292" s="177">
        <v>1</v>
      </c>
      <c r="I292" s="178">
        <v>1621</v>
      </c>
      <c r="J292" s="176">
        <v>46025</v>
      </c>
      <c r="K292" s="172" t="s">
        <v>94</v>
      </c>
      <c r="L292" s="172" t="s">
        <v>95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844</v>
      </c>
      <c r="B293" s="176">
        <v>46028</v>
      </c>
      <c r="C293" s="172" t="s">
        <v>101</v>
      </c>
      <c r="D293" s="172" t="s">
        <v>102</v>
      </c>
      <c r="E293" s="172" t="s">
        <v>53</v>
      </c>
      <c r="F293" s="172" t="s">
        <v>91</v>
      </c>
      <c r="G293" s="172" t="s">
        <v>85</v>
      </c>
      <c r="H293" s="177">
        <v>1</v>
      </c>
      <c r="I293" s="178">
        <v>1621</v>
      </c>
      <c r="J293" s="176">
        <v>46025</v>
      </c>
      <c r="K293" s="172" t="s">
        <v>94</v>
      </c>
      <c r="L293" s="172" t="s">
        <v>95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844</v>
      </c>
      <c r="B294" s="176">
        <v>46028</v>
      </c>
      <c r="C294" s="172" t="s">
        <v>101</v>
      </c>
      <c r="D294" s="172" t="s">
        <v>103</v>
      </c>
      <c r="E294" s="172" t="s">
        <v>53</v>
      </c>
      <c r="F294" s="172" t="s">
        <v>91</v>
      </c>
      <c r="G294" s="172" t="s">
        <v>85</v>
      </c>
      <c r="H294" s="177">
        <v>1</v>
      </c>
      <c r="I294" s="178">
        <v>1621</v>
      </c>
      <c r="J294" s="176">
        <v>46025</v>
      </c>
      <c r="K294" s="172" t="s">
        <v>94</v>
      </c>
      <c r="L294" s="172" t="s">
        <v>95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844</v>
      </c>
      <c r="B295" s="176">
        <v>46028</v>
      </c>
      <c r="C295" s="172" t="s">
        <v>101</v>
      </c>
      <c r="D295" s="172" t="s">
        <v>104</v>
      </c>
      <c r="E295" s="172" t="s">
        <v>53</v>
      </c>
      <c r="F295" s="172" t="s">
        <v>91</v>
      </c>
      <c r="G295" s="172" t="s">
        <v>85</v>
      </c>
      <c r="H295" s="177">
        <v>1</v>
      </c>
      <c r="I295" s="178">
        <v>1621</v>
      </c>
      <c r="J295" s="176">
        <v>46025</v>
      </c>
      <c r="K295" s="172" t="s">
        <v>94</v>
      </c>
      <c r="L295" s="172" t="s">
        <v>95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844</v>
      </c>
      <c r="B296" s="176">
        <v>46028</v>
      </c>
      <c r="C296" s="172" t="s">
        <v>105</v>
      </c>
      <c r="D296" s="172" t="s">
        <v>106</v>
      </c>
      <c r="E296" s="172" t="s">
        <v>53</v>
      </c>
      <c r="F296" s="172" t="s">
        <v>91</v>
      </c>
      <c r="G296" s="172" t="s">
        <v>85</v>
      </c>
      <c r="H296" s="177">
        <v>1</v>
      </c>
      <c r="I296" s="178">
        <v>1621</v>
      </c>
      <c r="J296" s="176">
        <v>46025</v>
      </c>
      <c r="K296" s="172" t="s">
        <v>94</v>
      </c>
      <c r="L296" s="172" t="s">
        <v>95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844</v>
      </c>
      <c r="B297" s="176">
        <v>46028</v>
      </c>
      <c r="C297" s="172" t="s">
        <v>82</v>
      </c>
      <c r="D297" s="172" t="s">
        <v>96</v>
      </c>
      <c r="E297" s="172" t="s">
        <v>53</v>
      </c>
      <c r="F297" s="172" t="s">
        <v>91</v>
      </c>
      <c r="G297" s="172" t="s">
        <v>85</v>
      </c>
      <c r="H297" s="177">
        <v>1</v>
      </c>
      <c r="I297" s="178">
        <v>1621</v>
      </c>
      <c r="J297" s="176">
        <v>46025</v>
      </c>
      <c r="K297" s="172" t="s">
        <v>94</v>
      </c>
      <c r="L297" s="172" t="s">
        <v>95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845</v>
      </c>
      <c r="B298" s="176">
        <v>46028</v>
      </c>
      <c r="C298" s="172" t="s">
        <v>93</v>
      </c>
      <c r="D298" s="172" t="s">
        <v>24</v>
      </c>
      <c r="E298" s="172" t="s">
        <v>54</v>
      </c>
      <c r="F298" s="172" t="s">
        <v>121</v>
      </c>
      <c r="G298" s="172" t="s">
        <v>85</v>
      </c>
      <c r="H298" s="177">
        <v>1</v>
      </c>
      <c r="I298" s="178">
        <v>1845</v>
      </c>
      <c r="J298" s="176">
        <v>46027</v>
      </c>
      <c r="K298" s="172" t="s">
        <v>94</v>
      </c>
      <c r="L298" s="172" t="s">
        <v>95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845</v>
      </c>
      <c r="B299" s="176">
        <v>46028</v>
      </c>
      <c r="C299" s="172" t="s">
        <v>101</v>
      </c>
      <c r="D299" s="172" t="s">
        <v>102</v>
      </c>
      <c r="E299" s="172" t="s">
        <v>54</v>
      </c>
      <c r="F299" s="172" t="s">
        <v>121</v>
      </c>
      <c r="G299" s="172" t="s">
        <v>85</v>
      </c>
      <c r="H299" s="177">
        <v>1</v>
      </c>
      <c r="I299" s="178">
        <v>1845</v>
      </c>
      <c r="J299" s="176">
        <v>46027</v>
      </c>
      <c r="K299" s="172" t="s">
        <v>94</v>
      </c>
      <c r="L299" s="172" t="s">
        <v>95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845</v>
      </c>
      <c r="B300" s="176">
        <v>46028</v>
      </c>
      <c r="C300" s="172" t="s">
        <v>101</v>
      </c>
      <c r="D300" s="172" t="s">
        <v>103</v>
      </c>
      <c r="E300" s="172" t="s">
        <v>54</v>
      </c>
      <c r="F300" s="172" t="s">
        <v>121</v>
      </c>
      <c r="G300" s="172" t="s">
        <v>85</v>
      </c>
      <c r="H300" s="177">
        <v>1</v>
      </c>
      <c r="I300" s="178">
        <v>1845</v>
      </c>
      <c r="J300" s="176">
        <v>46027</v>
      </c>
      <c r="K300" s="172" t="s">
        <v>94</v>
      </c>
      <c r="L300" s="172" t="s">
        <v>95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845</v>
      </c>
      <c r="B301" s="176">
        <v>46028</v>
      </c>
      <c r="C301" s="172" t="s">
        <v>101</v>
      </c>
      <c r="D301" s="172" t="s">
        <v>104</v>
      </c>
      <c r="E301" s="172" t="s">
        <v>54</v>
      </c>
      <c r="F301" s="172" t="s">
        <v>121</v>
      </c>
      <c r="G301" s="172" t="s">
        <v>85</v>
      </c>
      <c r="H301" s="177">
        <v>1</v>
      </c>
      <c r="I301" s="178">
        <v>1845</v>
      </c>
      <c r="J301" s="176">
        <v>46027</v>
      </c>
      <c r="K301" s="172" t="s">
        <v>94</v>
      </c>
      <c r="L301" s="172" t="s">
        <v>95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845</v>
      </c>
      <c r="B302" s="176">
        <v>46028</v>
      </c>
      <c r="C302" s="172" t="s">
        <v>105</v>
      </c>
      <c r="D302" s="172" t="s">
        <v>106</v>
      </c>
      <c r="E302" s="172" t="s">
        <v>54</v>
      </c>
      <c r="F302" s="172" t="s">
        <v>121</v>
      </c>
      <c r="G302" s="172" t="s">
        <v>85</v>
      </c>
      <c r="H302" s="177">
        <v>1</v>
      </c>
      <c r="I302" s="178">
        <v>1845</v>
      </c>
      <c r="J302" s="176">
        <v>46027</v>
      </c>
      <c r="K302" s="172" t="s">
        <v>94</v>
      </c>
      <c r="L302" s="172" t="s">
        <v>95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845</v>
      </c>
      <c r="B303" s="176">
        <v>46028</v>
      </c>
      <c r="C303" s="172" t="s">
        <v>82</v>
      </c>
      <c r="D303" s="172" t="s">
        <v>96</v>
      </c>
      <c r="E303" s="172" t="s">
        <v>54</v>
      </c>
      <c r="F303" s="172" t="s">
        <v>121</v>
      </c>
      <c r="G303" s="172" t="s">
        <v>85</v>
      </c>
      <c r="H303" s="177">
        <v>1</v>
      </c>
      <c r="I303" s="178">
        <v>1845</v>
      </c>
      <c r="J303" s="176">
        <v>46027</v>
      </c>
      <c r="K303" s="172" t="s">
        <v>94</v>
      </c>
      <c r="L303" s="172" t="s">
        <v>95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844</v>
      </c>
      <c r="B304" s="176">
        <v>46028</v>
      </c>
      <c r="C304" s="172" t="s">
        <v>82</v>
      </c>
      <c r="D304" s="172" t="s">
        <v>83</v>
      </c>
      <c r="E304" s="172" t="s">
        <v>53</v>
      </c>
      <c r="F304" s="172" t="s">
        <v>91</v>
      </c>
      <c r="G304" s="172" t="s">
        <v>85</v>
      </c>
      <c r="H304" s="177">
        <v>1</v>
      </c>
      <c r="I304" s="178">
        <v>0</v>
      </c>
      <c r="J304" s="176">
        <v>46025</v>
      </c>
      <c r="K304" s="172" t="s">
        <v>86</v>
      </c>
      <c r="L304" s="172" t="s">
        <v>86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845</v>
      </c>
      <c r="B305" s="176">
        <v>46028</v>
      </c>
      <c r="C305" s="172" t="s">
        <v>82</v>
      </c>
      <c r="D305" s="172" t="s">
        <v>83</v>
      </c>
      <c r="E305" s="172" t="s">
        <v>54</v>
      </c>
      <c r="F305" s="172" t="s">
        <v>121</v>
      </c>
      <c r="G305" s="172" t="s">
        <v>85</v>
      </c>
      <c r="H305" s="177">
        <v>1</v>
      </c>
      <c r="I305" s="178">
        <v>0</v>
      </c>
      <c r="J305" s="176">
        <v>46027</v>
      </c>
      <c r="K305" s="172" t="s">
        <v>86</v>
      </c>
      <c r="L305" s="172" t="s">
        <v>86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846</v>
      </c>
      <c r="B306" s="176">
        <v>46028</v>
      </c>
      <c r="C306" s="172" t="s">
        <v>93</v>
      </c>
      <c r="D306" s="172" t="s">
        <v>24</v>
      </c>
      <c r="E306" s="172" t="s">
        <v>44</v>
      </c>
      <c r="F306" s="172" t="s">
        <v>126</v>
      </c>
      <c r="G306" s="172" t="s">
        <v>85</v>
      </c>
      <c r="H306" s="177">
        <v>1</v>
      </c>
      <c r="I306" s="178">
        <v>1202</v>
      </c>
      <c r="J306" s="176">
        <v>46024</v>
      </c>
      <c r="K306" s="172" t="s">
        <v>94</v>
      </c>
      <c r="L306" s="172" t="s">
        <v>95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846</v>
      </c>
      <c r="B307" s="176">
        <v>46028</v>
      </c>
      <c r="C307" s="172" t="s">
        <v>101</v>
      </c>
      <c r="D307" s="172" t="s">
        <v>102</v>
      </c>
      <c r="E307" s="172" t="s">
        <v>44</v>
      </c>
      <c r="F307" s="172" t="s">
        <v>126</v>
      </c>
      <c r="G307" s="172" t="s">
        <v>85</v>
      </c>
      <c r="H307" s="177">
        <v>1</v>
      </c>
      <c r="I307" s="178">
        <v>1202</v>
      </c>
      <c r="J307" s="176">
        <v>46024</v>
      </c>
      <c r="K307" s="172" t="s">
        <v>94</v>
      </c>
      <c r="L307" s="172" t="s">
        <v>95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846</v>
      </c>
      <c r="B308" s="176">
        <v>46028</v>
      </c>
      <c r="C308" s="172" t="s">
        <v>101</v>
      </c>
      <c r="D308" s="172" t="s">
        <v>103</v>
      </c>
      <c r="E308" s="172" t="s">
        <v>44</v>
      </c>
      <c r="F308" s="172" t="s">
        <v>126</v>
      </c>
      <c r="G308" s="172" t="s">
        <v>85</v>
      </c>
      <c r="H308" s="177">
        <v>1</v>
      </c>
      <c r="I308" s="178">
        <v>1202</v>
      </c>
      <c r="J308" s="176">
        <v>46024</v>
      </c>
      <c r="K308" s="172" t="s">
        <v>94</v>
      </c>
      <c r="L308" s="172" t="s">
        <v>95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846</v>
      </c>
      <c r="B309" s="176">
        <v>46028</v>
      </c>
      <c r="C309" s="172" t="s">
        <v>101</v>
      </c>
      <c r="D309" s="172" t="s">
        <v>104</v>
      </c>
      <c r="E309" s="172" t="s">
        <v>44</v>
      </c>
      <c r="F309" s="172" t="s">
        <v>126</v>
      </c>
      <c r="G309" s="172" t="s">
        <v>85</v>
      </c>
      <c r="H309" s="177">
        <v>1</v>
      </c>
      <c r="I309" s="178">
        <v>1202</v>
      </c>
      <c r="J309" s="176">
        <v>46024</v>
      </c>
      <c r="K309" s="172" t="s">
        <v>94</v>
      </c>
      <c r="L309" s="172" t="s">
        <v>95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846</v>
      </c>
      <c r="B310" s="176">
        <v>46028</v>
      </c>
      <c r="C310" s="172" t="s">
        <v>105</v>
      </c>
      <c r="D310" s="172" t="s">
        <v>106</v>
      </c>
      <c r="E310" s="172" t="s">
        <v>44</v>
      </c>
      <c r="F310" s="172" t="s">
        <v>126</v>
      </c>
      <c r="G310" s="172" t="s">
        <v>85</v>
      </c>
      <c r="H310" s="177">
        <v>1</v>
      </c>
      <c r="I310" s="178">
        <v>1202</v>
      </c>
      <c r="J310" s="176">
        <v>46024</v>
      </c>
      <c r="K310" s="172" t="s">
        <v>94</v>
      </c>
      <c r="L310" s="172" t="s">
        <v>95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846</v>
      </c>
      <c r="B311" s="176">
        <v>46028</v>
      </c>
      <c r="C311" s="172" t="s">
        <v>82</v>
      </c>
      <c r="D311" s="172" t="s">
        <v>96</v>
      </c>
      <c r="E311" s="172" t="s">
        <v>44</v>
      </c>
      <c r="F311" s="172" t="s">
        <v>126</v>
      </c>
      <c r="G311" s="172" t="s">
        <v>85</v>
      </c>
      <c r="H311" s="177">
        <v>1</v>
      </c>
      <c r="I311" s="178">
        <v>1202</v>
      </c>
      <c r="J311" s="176">
        <v>46024</v>
      </c>
      <c r="K311" s="172" t="s">
        <v>94</v>
      </c>
      <c r="L311" s="172" t="s">
        <v>95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847</v>
      </c>
      <c r="B312" s="176">
        <v>46028</v>
      </c>
      <c r="C312" s="172" t="s">
        <v>93</v>
      </c>
      <c r="D312" s="172" t="s">
        <v>24</v>
      </c>
      <c r="E312" s="172" t="s">
        <v>54</v>
      </c>
      <c r="F312" s="172" t="s">
        <v>121</v>
      </c>
      <c r="G312" s="172" t="s">
        <v>85</v>
      </c>
      <c r="H312" s="177">
        <v>1</v>
      </c>
      <c r="I312" s="178">
        <v>1845</v>
      </c>
      <c r="J312" s="176">
        <v>46027</v>
      </c>
      <c r="K312" s="172" t="s">
        <v>94</v>
      </c>
      <c r="L312" s="172" t="s">
        <v>95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847</v>
      </c>
      <c r="B313" s="176">
        <v>46028</v>
      </c>
      <c r="C313" s="172" t="s">
        <v>101</v>
      </c>
      <c r="D313" s="172" t="s">
        <v>102</v>
      </c>
      <c r="E313" s="172" t="s">
        <v>54</v>
      </c>
      <c r="F313" s="172" t="s">
        <v>121</v>
      </c>
      <c r="G313" s="172" t="s">
        <v>85</v>
      </c>
      <c r="H313" s="177">
        <v>1</v>
      </c>
      <c r="I313" s="178">
        <v>1845</v>
      </c>
      <c r="J313" s="176">
        <v>46027</v>
      </c>
      <c r="K313" s="172" t="s">
        <v>94</v>
      </c>
      <c r="L313" s="172" t="s">
        <v>95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847</v>
      </c>
      <c r="B314" s="176">
        <v>46028</v>
      </c>
      <c r="C314" s="172" t="s">
        <v>101</v>
      </c>
      <c r="D314" s="172" t="s">
        <v>103</v>
      </c>
      <c r="E314" s="172" t="s">
        <v>54</v>
      </c>
      <c r="F314" s="172" t="s">
        <v>121</v>
      </c>
      <c r="G314" s="172" t="s">
        <v>85</v>
      </c>
      <c r="H314" s="177">
        <v>1</v>
      </c>
      <c r="I314" s="178">
        <v>1845</v>
      </c>
      <c r="J314" s="176">
        <v>46027</v>
      </c>
      <c r="K314" s="172" t="s">
        <v>94</v>
      </c>
      <c r="L314" s="172" t="s">
        <v>95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847</v>
      </c>
      <c r="B315" s="176">
        <v>46028</v>
      </c>
      <c r="C315" s="172" t="s">
        <v>101</v>
      </c>
      <c r="D315" s="172" t="s">
        <v>104</v>
      </c>
      <c r="E315" s="172" t="s">
        <v>54</v>
      </c>
      <c r="F315" s="172" t="s">
        <v>121</v>
      </c>
      <c r="G315" s="172" t="s">
        <v>85</v>
      </c>
      <c r="H315" s="177">
        <v>1</v>
      </c>
      <c r="I315" s="178">
        <v>1845</v>
      </c>
      <c r="J315" s="176">
        <v>46027</v>
      </c>
      <c r="K315" s="172" t="s">
        <v>94</v>
      </c>
      <c r="L315" s="172" t="s">
        <v>95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847</v>
      </c>
      <c r="B316" s="176">
        <v>46028</v>
      </c>
      <c r="C316" s="172" t="s">
        <v>105</v>
      </c>
      <c r="D316" s="172" t="s">
        <v>106</v>
      </c>
      <c r="E316" s="172" t="s">
        <v>54</v>
      </c>
      <c r="F316" s="172" t="s">
        <v>121</v>
      </c>
      <c r="G316" s="172" t="s">
        <v>85</v>
      </c>
      <c r="H316" s="177">
        <v>1</v>
      </c>
      <c r="I316" s="178">
        <v>1845</v>
      </c>
      <c r="J316" s="176">
        <v>46027</v>
      </c>
      <c r="K316" s="172" t="s">
        <v>94</v>
      </c>
      <c r="L316" s="172" t="s">
        <v>95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847</v>
      </c>
      <c r="B317" s="176">
        <v>46028</v>
      </c>
      <c r="C317" s="172" t="s">
        <v>82</v>
      </c>
      <c r="D317" s="172" t="s">
        <v>96</v>
      </c>
      <c r="E317" s="172" t="s">
        <v>54</v>
      </c>
      <c r="F317" s="172" t="s">
        <v>121</v>
      </c>
      <c r="G317" s="172" t="s">
        <v>85</v>
      </c>
      <c r="H317" s="177">
        <v>1</v>
      </c>
      <c r="I317" s="178">
        <v>1845</v>
      </c>
      <c r="J317" s="176">
        <v>46027</v>
      </c>
      <c r="K317" s="172" t="s">
        <v>94</v>
      </c>
      <c r="L317" s="172" t="s">
        <v>95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848</v>
      </c>
      <c r="B318" s="176">
        <v>46028</v>
      </c>
      <c r="C318" s="172" t="s">
        <v>82</v>
      </c>
      <c r="D318" s="172" t="s">
        <v>83</v>
      </c>
      <c r="E318" s="172" t="s">
        <v>54</v>
      </c>
      <c r="F318" s="172" t="s">
        <v>121</v>
      </c>
      <c r="G318" s="172" t="s">
        <v>85</v>
      </c>
      <c r="H318" s="177">
        <v>1</v>
      </c>
      <c r="I318" s="178">
        <v>0</v>
      </c>
      <c r="J318" s="176">
        <v>46028</v>
      </c>
      <c r="K318" s="172" t="s">
        <v>86</v>
      </c>
      <c r="L318" s="172" t="s">
        <v>86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847</v>
      </c>
      <c r="B319" s="176">
        <v>46028</v>
      </c>
      <c r="C319" s="172" t="s">
        <v>82</v>
      </c>
      <c r="D319" s="172" t="s">
        <v>83</v>
      </c>
      <c r="E319" s="172" t="s">
        <v>54</v>
      </c>
      <c r="F319" s="172" t="s">
        <v>121</v>
      </c>
      <c r="G319" s="172" t="s">
        <v>85</v>
      </c>
      <c r="H319" s="177">
        <v>1</v>
      </c>
      <c r="I319" s="178">
        <v>0</v>
      </c>
      <c r="J319" s="176">
        <v>46027</v>
      </c>
      <c r="K319" s="172" t="s">
        <v>86</v>
      </c>
      <c r="L319" s="172" t="s">
        <v>86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849</v>
      </c>
      <c r="B320" s="176">
        <v>46028</v>
      </c>
      <c r="C320" s="172" t="s">
        <v>93</v>
      </c>
      <c r="D320" s="172" t="s">
        <v>24</v>
      </c>
      <c r="E320" s="172" t="s">
        <v>53</v>
      </c>
      <c r="F320" s="172" t="s">
        <v>91</v>
      </c>
      <c r="G320" s="172" t="s">
        <v>85</v>
      </c>
      <c r="H320" s="177">
        <v>1</v>
      </c>
      <c r="I320" s="178">
        <v>1621</v>
      </c>
      <c r="J320" s="176">
        <v>46024</v>
      </c>
      <c r="K320" s="172" t="s">
        <v>94</v>
      </c>
      <c r="L320" s="172" t="s">
        <v>95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849</v>
      </c>
      <c r="B321" s="176">
        <v>46028</v>
      </c>
      <c r="C321" s="172" t="s">
        <v>101</v>
      </c>
      <c r="D321" s="172" t="s">
        <v>102</v>
      </c>
      <c r="E321" s="172" t="s">
        <v>53</v>
      </c>
      <c r="F321" s="172" t="s">
        <v>91</v>
      </c>
      <c r="G321" s="172" t="s">
        <v>85</v>
      </c>
      <c r="H321" s="177">
        <v>1</v>
      </c>
      <c r="I321" s="178">
        <v>1621</v>
      </c>
      <c r="J321" s="176">
        <v>46024</v>
      </c>
      <c r="K321" s="172" t="s">
        <v>94</v>
      </c>
      <c r="L321" s="172" t="s">
        <v>95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849</v>
      </c>
      <c r="B322" s="176">
        <v>46028</v>
      </c>
      <c r="C322" s="172" t="s">
        <v>101</v>
      </c>
      <c r="D322" s="172" t="s">
        <v>103</v>
      </c>
      <c r="E322" s="172" t="s">
        <v>53</v>
      </c>
      <c r="F322" s="172" t="s">
        <v>91</v>
      </c>
      <c r="G322" s="172" t="s">
        <v>85</v>
      </c>
      <c r="H322" s="177">
        <v>1</v>
      </c>
      <c r="I322" s="178">
        <v>1621</v>
      </c>
      <c r="J322" s="176">
        <v>46024</v>
      </c>
      <c r="K322" s="172" t="s">
        <v>94</v>
      </c>
      <c r="L322" s="172" t="s">
        <v>95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849</v>
      </c>
      <c r="B323" s="176">
        <v>46028</v>
      </c>
      <c r="C323" s="172" t="s">
        <v>101</v>
      </c>
      <c r="D323" s="172" t="s">
        <v>104</v>
      </c>
      <c r="E323" s="172" t="s">
        <v>53</v>
      </c>
      <c r="F323" s="172" t="s">
        <v>91</v>
      </c>
      <c r="G323" s="172" t="s">
        <v>85</v>
      </c>
      <c r="H323" s="177">
        <v>1</v>
      </c>
      <c r="I323" s="178">
        <v>1621</v>
      </c>
      <c r="J323" s="176">
        <v>46024</v>
      </c>
      <c r="K323" s="172" t="s">
        <v>94</v>
      </c>
      <c r="L323" s="172" t="s">
        <v>95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849</v>
      </c>
      <c r="B324" s="176">
        <v>46028</v>
      </c>
      <c r="C324" s="172" t="s">
        <v>105</v>
      </c>
      <c r="D324" s="172" t="s">
        <v>106</v>
      </c>
      <c r="E324" s="172" t="s">
        <v>53</v>
      </c>
      <c r="F324" s="172" t="s">
        <v>91</v>
      </c>
      <c r="G324" s="172" t="s">
        <v>85</v>
      </c>
      <c r="H324" s="177">
        <v>1</v>
      </c>
      <c r="I324" s="178">
        <v>1621</v>
      </c>
      <c r="J324" s="176">
        <v>46024</v>
      </c>
      <c r="K324" s="172" t="s">
        <v>94</v>
      </c>
      <c r="L324" s="172" t="s">
        <v>95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849</v>
      </c>
      <c r="B325" s="176">
        <v>46028</v>
      </c>
      <c r="C325" s="172" t="s">
        <v>82</v>
      </c>
      <c r="D325" s="172" t="s">
        <v>96</v>
      </c>
      <c r="E325" s="172" t="s">
        <v>53</v>
      </c>
      <c r="F325" s="172" t="s">
        <v>91</v>
      </c>
      <c r="G325" s="172" t="s">
        <v>85</v>
      </c>
      <c r="H325" s="177">
        <v>1</v>
      </c>
      <c r="I325" s="178">
        <v>1621</v>
      </c>
      <c r="J325" s="176">
        <v>46024</v>
      </c>
      <c r="K325" s="172" t="s">
        <v>94</v>
      </c>
      <c r="L325" s="172" t="s">
        <v>95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850</v>
      </c>
      <c r="B326" s="176">
        <v>46028</v>
      </c>
      <c r="C326" s="172" t="s">
        <v>93</v>
      </c>
      <c r="D326" s="172" t="s">
        <v>97</v>
      </c>
      <c r="E326" s="172" t="s">
        <v>42</v>
      </c>
      <c r="F326" s="172" t="s">
        <v>84</v>
      </c>
      <c r="G326" s="172" t="s">
        <v>85</v>
      </c>
      <c r="H326" s="177">
        <v>1</v>
      </c>
      <c r="I326" s="178">
        <v>0</v>
      </c>
      <c r="J326" s="176">
        <v>46018</v>
      </c>
      <c r="K326" s="172" t="s">
        <v>94</v>
      </c>
      <c r="L326" s="172" t="s">
        <v>95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850</v>
      </c>
      <c r="B327" s="176">
        <v>46028</v>
      </c>
      <c r="C327" s="172" t="s">
        <v>93</v>
      </c>
      <c r="D327" s="172" t="s">
        <v>98</v>
      </c>
      <c r="E327" s="172" t="s">
        <v>42</v>
      </c>
      <c r="F327" s="172" t="s">
        <v>84</v>
      </c>
      <c r="G327" s="172" t="s">
        <v>85</v>
      </c>
      <c r="H327" s="177">
        <v>1</v>
      </c>
      <c r="I327" s="178">
        <v>0</v>
      </c>
      <c r="J327" s="176">
        <v>46018</v>
      </c>
      <c r="K327" s="172" t="s">
        <v>94</v>
      </c>
      <c r="L327" s="172" t="s">
        <v>95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850</v>
      </c>
      <c r="B328" s="176">
        <v>46028</v>
      </c>
      <c r="C328" s="172" t="s">
        <v>82</v>
      </c>
      <c r="D328" s="172" t="s">
        <v>99</v>
      </c>
      <c r="E328" s="172" t="s">
        <v>42</v>
      </c>
      <c r="F328" s="172" t="s">
        <v>84</v>
      </c>
      <c r="G328" s="172" t="s">
        <v>85</v>
      </c>
      <c r="H328" s="177">
        <v>1</v>
      </c>
      <c r="I328" s="178">
        <v>0</v>
      </c>
      <c r="J328" s="176">
        <v>46018</v>
      </c>
      <c r="K328" s="172" t="s">
        <v>94</v>
      </c>
      <c r="L328" s="172" t="s">
        <v>95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850</v>
      </c>
      <c r="B329" s="176">
        <v>46028</v>
      </c>
      <c r="C329" s="172" t="s">
        <v>93</v>
      </c>
      <c r="D329" s="172" t="s">
        <v>24</v>
      </c>
      <c r="E329" s="172" t="s">
        <v>42</v>
      </c>
      <c r="F329" s="172" t="s">
        <v>84</v>
      </c>
      <c r="G329" s="172" t="s">
        <v>85</v>
      </c>
      <c r="H329" s="177">
        <v>1</v>
      </c>
      <c r="I329" s="178">
        <v>0</v>
      </c>
      <c r="J329" s="176">
        <v>46018</v>
      </c>
      <c r="K329" s="172" t="s">
        <v>94</v>
      </c>
      <c r="L329" s="172" t="s">
        <v>95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850</v>
      </c>
      <c r="B330" s="176">
        <v>46028</v>
      </c>
      <c r="C330" s="172" t="s">
        <v>82</v>
      </c>
      <c r="D330" s="172" t="s">
        <v>96</v>
      </c>
      <c r="E330" s="172" t="s">
        <v>42</v>
      </c>
      <c r="F330" s="172" t="s">
        <v>84</v>
      </c>
      <c r="G330" s="172" t="s">
        <v>85</v>
      </c>
      <c r="H330" s="177">
        <v>1</v>
      </c>
      <c r="I330" s="178">
        <v>0</v>
      </c>
      <c r="J330" s="176">
        <v>46018</v>
      </c>
      <c r="K330" s="172" t="s">
        <v>94</v>
      </c>
      <c r="L330" s="172" t="s">
        <v>95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851</v>
      </c>
      <c r="B331" s="176">
        <v>46028</v>
      </c>
      <c r="C331" s="172" t="s">
        <v>93</v>
      </c>
      <c r="D331" s="172" t="s">
        <v>24</v>
      </c>
      <c r="E331" s="172" t="s">
        <v>53</v>
      </c>
      <c r="F331" s="172" t="s">
        <v>91</v>
      </c>
      <c r="G331" s="172" t="s">
        <v>85</v>
      </c>
      <c r="H331" s="177">
        <v>1</v>
      </c>
      <c r="I331" s="178">
        <v>1621</v>
      </c>
      <c r="J331" s="176">
        <v>46025</v>
      </c>
      <c r="K331" s="172" t="s">
        <v>94</v>
      </c>
      <c r="L331" s="172" t="s">
        <v>95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851</v>
      </c>
      <c r="B332" s="176">
        <v>46028</v>
      </c>
      <c r="C332" s="172" t="s">
        <v>101</v>
      </c>
      <c r="D332" s="172" t="s">
        <v>102</v>
      </c>
      <c r="E332" s="172" t="s">
        <v>53</v>
      </c>
      <c r="F332" s="172" t="s">
        <v>91</v>
      </c>
      <c r="G332" s="172" t="s">
        <v>85</v>
      </c>
      <c r="H332" s="177">
        <v>1</v>
      </c>
      <c r="I332" s="178">
        <v>1621</v>
      </c>
      <c r="J332" s="176">
        <v>46025</v>
      </c>
      <c r="K332" s="172" t="s">
        <v>94</v>
      </c>
      <c r="L332" s="172" t="s">
        <v>95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851</v>
      </c>
      <c r="B333" s="176">
        <v>46028</v>
      </c>
      <c r="C333" s="172" t="s">
        <v>101</v>
      </c>
      <c r="D333" s="172" t="s">
        <v>103</v>
      </c>
      <c r="E333" s="172" t="s">
        <v>53</v>
      </c>
      <c r="F333" s="172" t="s">
        <v>91</v>
      </c>
      <c r="G333" s="172" t="s">
        <v>85</v>
      </c>
      <c r="H333" s="177">
        <v>1</v>
      </c>
      <c r="I333" s="178">
        <v>1621</v>
      </c>
      <c r="J333" s="176">
        <v>46025</v>
      </c>
      <c r="K333" s="172" t="s">
        <v>94</v>
      </c>
      <c r="L333" s="172" t="s">
        <v>95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851</v>
      </c>
      <c r="B334" s="176">
        <v>46028</v>
      </c>
      <c r="C334" s="172" t="s">
        <v>101</v>
      </c>
      <c r="D334" s="172" t="s">
        <v>104</v>
      </c>
      <c r="E334" s="172" t="s">
        <v>53</v>
      </c>
      <c r="F334" s="172" t="s">
        <v>91</v>
      </c>
      <c r="G334" s="172" t="s">
        <v>85</v>
      </c>
      <c r="H334" s="177">
        <v>1</v>
      </c>
      <c r="I334" s="178">
        <v>1621</v>
      </c>
      <c r="J334" s="176">
        <v>46025</v>
      </c>
      <c r="K334" s="172" t="s">
        <v>94</v>
      </c>
      <c r="L334" s="172" t="s">
        <v>95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851</v>
      </c>
      <c r="B335" s="176">
        <v>46028</v>
      </c>
      <c r="C335" s="172" t="s">
        <v>105</v>
      </c>
      <c r="D335" s="172" t="s">
        <v>106</v>
      </c>
      <c r="E335" s="172" t="s">
        <v>53</v>
      </c>
      <c r="F335" s="172" t="s">
        <v>91</v>
      </c>
      <c r="G335" s="172" t="s">
        <v>85</v>
      </c>
      <c r="H335" s="177">
        <v>1</v>
      </c>
      <c r="I335" s="178">
        <v>1621</v>
      </c>
      <c r="J335" s="176">
        <v>46025</v>
      </c>
      <c r="K335" s="172" t="s">
        <v>94</v>
      </c>
      <c r="L335" s="172" t="s">
        <v>95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851</v>
      </c>
      <c r="B336" s="176">
        <v>46028</v>
      </c>
      <c r="C336" s="172" t="s">
        <v>82</v>
      </c>
      <c r="D336" s="172" t="s">
        <v>96</v>
      </c>
      <c r="E336" s="172" t="s">
        <v>53</v>
      </c>
      <c r="F336" s="172" t="s">
        <v>91</v>
      </c>
      <c r="G336" s="172" t="s">
        <v>85</v>
      </c>
      <c r="H336" s="177">
        <v>1</v>
      </c>
      <c r="I336" s="178">
        <v>1621</v>
      </c>
      <c r="J336" s="176">
        <v>46025</v>
      </c>
      <c r="K336" s="172" t="s">
        <v>94</v>
      </c>
      <c r="L336" s="172" t="s">
        <v>95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852</v>
      </c>
      <c r="B337" s="176">
        <v>46028</v>
      </c>
      <c r="C337" s="172" t="s">
        <v>93</v>
      </c>
      <c r="D337" s="172" t="s">
        <v>24</v>
      </c>
      <c r="E337" s="172" t="s">
        <v>54</v>
      </c>
      <c r="F337" s="172" t="s">
        <v>121</v>
      </c>
      <c r="G337" s="172" t="s">
        <v>85</v>
      </c>
      <c r="H337" s="177">
        <v>1</v>
      </c>
      <c r="I337" s="178">
        <v>1845</v>
      </c>
      <c r="J337" s="176">
        <v>46025</v>
      </c>
      <c r="K337" s="172" t="s">
        <v>94</v>
      </c>
      <c r="L337" s="172" t="s">
        <v>95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852</v>
      </c>
      <c r="B338" s="176">
        <v>46028</v>
      </c>
      <c r="C338" s="172" t="s">
        <v>101</v>
      </c>
      <c r="D338" s="172" t="s">
        <v>102</v>
      </c>
      <c r="E338" s="172" t="s">
        <v>54</v>
      </c>
      <c r="F338" s="172" t="s">
        <v>121</v>
      </c>
      <c r="G338" s="172" t="s">
        <v>85</v>
      </c>
      <c r="H338" s="177">
        <v>1</v>
      </c>
      <c r="I338" s="178">
        <v>1845</v>
      </c>
      <c r="J338" s="176">
        <v>46025</v>
      </c>
      <c r="K338" s="172" t="s">
        <v>94</v>
      </c>
      <c r="L338" s="172" t="s">
        <v>95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852</v>
      </c>
      <c r="B339" s="176">
        <v>46028</v>
      </c>
      <c r="C339" s="172" t="s">
        <v>101</v>
      </c>
      <c r="D339" s="172" t="s">
        <v>103</v>
      </c>
      <c r="E339" s="172" t="s">
        <v>54</v>
      </c>
      <c r="F339" s="172" t="s">
        <v>121</v>
      </c>
      <c r="G339" s="172" t="s">
        <v>85</v>
      </c>
      <c r="H339" s="177">
        <v>1</v>
      </c>
      <c r="I339" s="178">
        <v>1845</v>
      </c>
      <c r="J339" s="176">
        <v>46025</v>
      </c>
      <c r="K339" s="172" t="s">
        <v>94</v>
      </c>
      <c r="L339" s="172" t="s">
        <v>95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852</v>
      </c>
      <c r="B340" s="176">
        <v>46028</v>
      </c>
      <c r="C340" s="172" t="s">
        <v>101</v>
      </c>
      <c r="D340" s="172" t="s">
        <v>104</v>
      </c>
      <c r="E340" s="172" t="s">
        <v>54</v>
      </c>
      <c r="F340" s="172" t="s">
        <v>121</v>
      </c>
      <c r="G340" s="172" t="s">
        <v>85</v>
      </c>
      <c r="H340" s="177">
        <v>1</v>
      </c>
      <c r="I340" s="178">
        <v>1845</v>
      </c>
      <c r="J340" s="176">
        <v>46025</v>
      </c>
      <c r="K340" s="172" t="s">
        <v>94</v>
      </c>
      <c r="L340" s="172" t="s">
        <v>95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852</v>
      </c>
      <c r="B341" s="176">
        <v>46028</v>
      </c>
      <c r="C341" s="172" t="s">
        <v>105</v>
      </c>
      <c r="D341" s="172" t="s">
        <v>106</v>
      </c>
      <c r="E341" s="172" t="s">
        <v>54</v>
      </c>
      <c r="F341" s="172" t="s">
        <v>121</v>
      </c>
      <c r="G341" s="172" t="s">
        <v>85</v>
      </c>
      <c r="H341" s="177">
        <v>1</v>
      </c>
      <c r="I341" s="178">
        <v>1845</v>
      </c>
      <c r="J341" s="176">
        <v>46025</v>
      </c>
      <c r="K341" s="172" t="s">
        <v>94</v>
      </c>
      <c r="L341" s="172" t="s">
        <v>95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853</v>
      </c>
      <c r="B342" s="176">
        <v>46028</v>
      </c>
      <c r="C342" s="172" t="s">
        <v>93</v>
      </c>
      <c r="D342" s="172" t="s">
        <v>24</v>
      </c>
      <c r="E342" s="172" t="s">
        <v>54</v>
      </c>
      <c r="F342" s="172" t="s">
        <v>121</v>
      </c>
      <c r="G342" s="172" t="s">
        <v>85</v>
      </c>
      <c r="H342" s="177">
        <v>1</v>
      </c>
      <c r="I342" s="178">
        <v>1845</v>
      </c>
      <c r="J342" s="176">
        <v>46024</v>
      </c>
      <c r="K342" s="172" t="s">
        <v>94</v>
      </c>
      <c r="L342" s="172" t="s">
        <v>95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853</v>
      </c>
      <c r="B343" s="176">
        <v>46028</v>
      </c>
      <c r="C343" s="172" t="s">
        <v>101</v>
      </c>
      <c r="D343" s="172" t="s">
        <v>102</v>
      </c>
      <c r="E343" s="172" t="s">
        <v>54</v>
      </c>
      <c r="F343" s="172" t="s">
        <v>121</v>
      </c>
      <c r="G343" s="172" t="s">
        <v>85</v>
      </c>
      <c r="H343" s="177">
        <v>1</v>
      </c>
      <c r="I343" s="178">
        <v>1845</v>
      </c>
      <c r="J343" s="176">
        <v>46024</v>
      </c>
      <c r="K343" s="172" t="s">
        <v>94</v>
      </c>
      <c r="L343" s="172" t="s">
        <v>95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853</v>
      </c>
      <c r="B344" s="176">
        <v>46028</v>
      </c>
      <c r="C344" s="172" t="s">
        <v>101</v>
      </c>
      <c r="D344" s="172" t="s">
        <v>103</v>
      </c>
      <c r="E344" s="172" t="s">
        <v>54</v>
      </c>
      <c r="F344" s="172" t="s">
        <v>121</v>
      </c>
      <c r="G344" s="172" t="s">
        <v>85</v>
      </c>
      <c r="H344" s="177">
        <v>1</v>
      </c>
      <c r="I344" s="178">
        <v>1845</v>
      </c>
      <c r="J344" s="176">
        <v>46024</v>
      </c>
      <c r="K344" s="172" t="s">
        <v>94</v>
      </c>
      <c r="L344" s="172" t="s">
        <v>95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853</v>
      </c>
      <c r="B345" s="176">
        <v>46028</v>
      </c>
      <c r="C345" s="172" t="s">
        <v>101</v>
      </c>
      <c r="D345" s="172" t="s">
        <v>104</v>
      </c>
      <c r="E345" s="172" t="s">
        <v>54</v>
      </c>
      <c r="F345" s="172" t="s">
        <v>121</v>
      </c>
      <c r="G345" s="172" t="s">
        <v>85</v>
      </c>
      <c r="H345" s="177">
        <v>1</v>
      </c>
      <c r="I345" s="178">
        <v>1845</v>
      </c>
      <c r="J345" s="176">
        <v>46024</v>
      </c>
      <c r="K345" s="172" t="s">
        <v>94</v>
      </c>
      <c r="L345" s="172" t="s">
        <v>95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853</v>
      </c>
      <c r="B346" s="176">
        <v>46028</v>
      </c>
      <c r="C346" s="172" t="s">
        <v>105</v>
      </c>
      <c r="D346" s="172" t="s">
        <v>106</v>
      </c>
      <c r="E346" s="172" t="s">
        <v>54</v>
      </c>
      <c r="F346" s="172" t="s">
        <v>121</v>
      </c>
      <c r="G346" s="172" t="s">
        <v>85</v>
      </c>
      <c r="H346" s="177">
        <v>1</v>
      </c>
      <c r="I346" s="178">
        <v>1845</v>
      </c>
      <c r="J346" s="176">
        <v>46024</v>
      </c>
      <c r="K346" s="172" t="s">
        <v>94</v>
      </c>
      <c r="L346" s="172" t="s">
        <v>95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853</v>
      </c>
      <c r="B347" s="176">
        <v>46028</v>
      </c>
      <c r="C347" s="172" t="s">
        <v>82</v>
      </c>
      <c r="D347" s="172" t="s">
        <v>96</v>
      </c>
      <c r="E347" s="172" t="s">
        <v>54</v>
      </c>
      <c r="F347" s="172" t="s">
        <v>121</v>
      </c>
      <c r="G347" s="172" t="s">
        <v>85</v>
      </c>
      <c r="H347" s="177">
        <v>1</v>
      </c>
      <c r="I347" s="178">
        <v>1845</v>
      </c>
      <c r="J347" s="176">
        <v>46024</v>
      </c>
      <c r="K347" s="172" t="s">
        <v>94</v>
      </c>
      <c r="L347" s="172" t="s">
        <v>95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854</v>
      </c>
      <c r="B348" s="176">
        <v>46028</v>
      </c>
      <c r="C348" s="172" t="s">
        <v>93</v>
      </c>
      <c r="D348" s="172" t="s">
        <v>24</v>
      </c>
      <c r="E348" s="172" t="s">
        <v>53</v>
      </c>
      <c r="F348" s="172" t="s">
        <v>91</v>
      </c>
      <c r="G348" s="172" t="s">
        <v>85</v>
      </c>
      <c r="H348" s="177">
        <v>1</v>
      </c>
      <c r="I348" s="178">
        <v>1621</v>
      </c>
      <c r="J348" s="176">
        <v>46027</v>
      </c>
      <c r="K348" s="172" t="s">
        <v>94</v>
      </c>
      <c r="L348" s="172" t="s">
        <v>95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854</v>
      </c>
      <c r="B349" s="176">
        <v>46028</v>
      </c>
      <c r="C349" s="172" t="s">
        <v>101</v>
      </c>
      <c r="D349" s="172" t="s">
        <v>102</v>
      </c>
      <c r="E349" s="172" t="s">
        <v>53</v>
      </c>
      <c r="F349" s="172" t="s">
        <v>91</v>
      </c>
      <c r="G349" s="172" t="s">
        <v>85</v>
      </c>
      <c r="H349" s="177">
        <v>1</v>
      </c>
      <c r="I349" s="178">
        <v>1621</v>
      </c>
      <c r="J349" s="176">
        <v>46027</v>
      </c>
      <c r="K349" s="172" t="s">
        <v>94</v>
      </c>
      <c r="L349" s="172" t="s">
        <v>95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854</v>
      </c>
      <c r="B350" s="176">
        <v>46028</v>
      </c>
      <c r="C350" s="172" t="s">
        <v>101</v>
      </c>
      <c r="D350" s="172" t="s">
        <v>103</v>
      </c>
      <c r="E350" s="172" t="s">
        <v>53</v>
      </c>
      <c r="F350" s="172" t="s">
        <v>91</v>
      </c>
      <c r="G350" s="172" t="s">
        <v>85</v>
      </c>
      <c r="H350" s="177">
        <v>1</v>
      </c>
      <c r="I350" s="178">
        <v>1621</v>
      </c>
      <c r="J350" s="176">
        <v>46027</v>
      </c>
      <c r="K350" s="172" t="s">
        <v>94</v>
      </c>
      <c r="L350" s="172" t="s">
        <v>95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854</v>
      </c>
      <c r="B351" s="176">
        <v>46028</v>
      </c>
      <c r="C351" s="172" t="s">
        <v>101</v>
      </c>
      <c r="D351" s="172" t="s">
        <v>104</v>
      </c>
      <c r="E351" s="172" t="s">
        <v>53</v>
      </c>
      <c r="F351" s="172" t="s">
        <v>91</v>
      </c>
      <c r="G351" s="172" t="s">
        <v>85</v>
      </c>
      <c r="H351" s="177">
        <v>1</v>
      </c>
      <c r="I351" s="178">
        <v>1621</v>
      </c>
      <c r="J351" s="176">
        <v>46027</v>
      </c>
      <c r="K351" s="172" t="s">
        <v>94</v>
      </c>
      <c r="L351" s="172" t="s">
        <v>95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854</v>
      </c>
      <c r="B352" s="176">
        <v>46028</v>
      </c>
      <c r="C352" s="172" t="s">
        <v>105</v>
      </c>
      <c r="D352" s="172" t="s">
        <v>106</v>
      </c>
      <c r="E352" s="172" t="s">
        <v>53</v>
      </c>
      <c r="F352" s="172" t="s">
        <v>91</v>
      </c>
      <c r="G352" s="172" t="s">
        <v>85</v>
      </c>
      <c r="H352" s="177">
        <v>1</v>
      </c>
      <c r="I352" s="178">
        <v>1621</v>
      </c>
      <c r="J352" s="176">
        <v>46027</v>
      </c>
      <c r="K352" s="172" t="s">
        <v>94</v>
      </c>
      <c r="L352" s="172" t="s">
        <v>95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854</v>
      </c>
      <c r="B353" s="176">
        <v>46028</v>
      </c>
      <c r="C353" s="172" t="s">
        <v>82</v>
      </c>
      <c r="D353" s="172" t="s">
        <v>96</v>
      </c>
      <c r="E353" s="172" t="s">
        <v>53</v>
      </c>
      <c r="F353" s="172" t="s">
        <v>91</v>
      </c>
      <c r="G353" s="172" t="s">
        <v>85</v>
      </c>
      <c r="H353" s="177">
        <v>1</v>
      </c>
      <c r="I353" s="178">
        <v>1621</v>
      </c>
      <c r="J353" s="176">
        <v>46027</v>
      </c>
      <c r="K353" s="172" t="s">
        <v>94</v>
      </c>
      <c r="L353" s="172" t="s">
        <v>95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851</v>
      </c>
      <c r="B354" s="176">
        <v>46028</v>
      </c>
      <c r="C354" s="172" t="s">
        <v>82</v>
      </c>
      <c r="D354" s="172" t="s">
        <v>83</v>
      </c>
      <c r="E354" s="172" t="s">
        <v>53</v>
      </c>
      <c r="F354" s="172" t="s">
        <v>91</v>
      </c>
      <c r="G354" s="172" t="s">
        <v>85</v>
      </c>
      <c r="H354" s="177">
        <v>1</v>
      </c>
      <c r="I354" s="178">
        <v>0</v>
      </c>
      <c r="J354" s="176">
        <v>46025</v>
      </c>
      <c r="K354" s="172" t="s">
        <v>86</v>
      </c>
      <c r="L354" s="172" t="s">
        <v>86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855</v>
      </c>
      <c r="B355" s="176">
        <v>46028</v>
      </c>
      <c r="C355" s="172" t="s">
        <v>93</v>
      </c>
      <c r="D355" s="172" t="s">
        <v>24</v>
      </c>
      <c r="E355" s="172" t="s">
        <v>54</v>
      </c>
      <c r="F355" s="172" t="s">
        <v>121</v>
      </c>
      <c r="G355" s="172" t="s">
        <v>85</v>
      </c>
      <c r="H355" s="177">
        <v>1</v>
      </c>
      <c r="I355" s="178">
        <v>1845</v>
      </c>
      <c r="J355" s="176">
        <v>46023</v>
      </c>
      <c r="K355" s="172" t="s">
        <v>94</v>
      </c>
      <c r="L355" s="172" t="s">
        <v>95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855</v>
      </c>
      <c r="B356" s="176">
        <v>46028</v>
      </c>
      <c r="C356" s="172" t="s">
        <v>101</v>
      </c>
      <c r="D356" s="172" t="s">
        <v>102</v>
      </c>
      <c r="E356" s="172" t="s">
        <v>54</v>
      </c>
      <c r="F356" s="172" t="s">
        <v>121</v>
      </c>
      <c r="G356" s="172" t="s">
        <v>85</v>
      </c>
      <c r="H356" s="177">
        <v>1</v>
      </c>
      <c r="I356" s="178">
        <v>1845</v>
      </c>
      <c r="J356" s="176">
        <v>46023</v>
      </c>
      <c r="K356" s="172" t="s">
        <v>94</v>
      </c>
      <c r="L356" s="172" t="s">
        <v>95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855</v>
      </c>
      <c r="B357" s="176">
        <v>46028</v>
      </c>
      <c r="C357" s="172" t="s">
        <v>101</v>
      </c>
      <c r="D357" s="172" t="s">
        <v>103</v>
      </c>
      <c r="E357" s="172" t="s">
        <v>54</v>
      </c>
      <c r="F357" s="172" t="s">
        <v>121</v>
      </c>
      <c r="G357" s="172" t="s">
        <v>85</v>
      </c>
      <c r="H357" s="177">
        <v>1</v>
      </c>
      <c r="I357" s="178">
        <v>1845</v>
      </c>
      <c r="J357" s="176">
        <v>46023</v>
      </c>
      <c r="K357" s="172" t="s">
        <v>94</v>
      </c>
      <c r="L357" s="172" t="s">
        <v>95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855</v>
      </c>
      <c r="B358" s="176">
        <v>46028</v>
      </c>
      <c r="C358" s="172" t="s">
        <v>101</v>
      </c>
      <c r="D358" s="172" t="s">
        <v>104</v>
      </c>
      <c r="E358" s="172" t="s">
        <v>54</v>
      </c>
      <c r="F358" s="172" t="s">
        <v>121</v>
      </c>
      <c r="G358" s="172" t="s">
        <v>85</v>
      </c>
      <c r="H358" s="177">
        <v>1</v>
      </c>
      <c r="I358" s="178">
        <v>1845</v>
      </c>
      <c r="J358" s="176">
        <v>46023</v>
      </c>
      <c r="K358" s="172" t="s">
        <v>94</v>
      </c>
      <c r="L358" s="172" t="s">
        <v>95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855</v>
      </c>
      <c r="B359" s="176">
        <v>46028</v>
      </c>
      <c r="C359" s="172" t="s">
        <v>105</v>
      </c>
      <c r="D359" s="172" t="s">
        <v>106</v>
      </c>
      <c r="E359" s="172" t="s">
        <v>54</v>
      </c>
      <c r="F359" s="172" t="s">
        <v>121</v>
      </c>
      <c r="G359" s="172" t="s">
        <v>85</v>
      </c>
      <c r="H359" s="177">
        <v>1</v>
      </c>
      <c r="I359" s="178">
        <v>1845</v>
      </c>
      <c r="J359" s="176">
        <v>46023</v>
      </c>
      <c r="K359" s="172" t="s">
        <v>94</v>
      </c>
      <c r="L359" s="172" t="s">
        <v>95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855</v>
      </c>
      <c r="B360" s="176">
        <v>46028</v>
      </c>
      <c r="C360" s="172" t="s">
        <v>82</v>
      </c>
      <c r="D360" s="172" t="s">
        <v>96</v>
      </c>
      <c r="E360" s="172" t="s">
        <v>54</v>
      </c>
      <c r="F360" s="172" t="s">
        <v>121</v>
      </c>
      <c r="G360" s="172" t="s">
        <v>85</v>
      </c>
      <c r="H360" s="177">
        <v>1</v>
      </c>
      <c r="I360" s="178">
        <v>1845</v>
      </c>
      <c r="J360" s="176">
        <v>46023</v>
      </c>
      <c r="K360" s="172" t="s">
        <v>94</v>
      </c>
      <c r="L360" s="172" t="s">
        <v>95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855</v>
      </c>
      <c r="B361" s="176">
        <v>46028</v>
      </c>
      <c r="C361" s="172" t="s">
        <v>82</v>
      </c>
      <c r="D361" s="172" t="s">
        <v>83</v>
      </c>
      <c r="E361" s="172" t="s">
        <v>54</v>
      </c>
      <c r="F361" s="172" t="s">
        <v>121</v>
      </c>
      <c r="G361" s="172" t="s">
        <v>85</v>
      </c>
      <c r="H361" s="177">
        <v>1</v>
      </c>
      <c r="I361" s="178">
        <v>0</v>
      </c>
      <c r="J361" s="176">
        <v>46023</v>
      </c>
      <c r="K361" s="172" t="s">
        <v>86</v>
      </c>
      <c r="L361" s="172" t="s">
        <v>86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856</v>
      </c>
      <c r="B362" s="176">
        <v>46028</v>
      </c>
      <c r="C362" s="172" t="s">
        <v>93</v>
      </c>
      <c r="D362" s="172" t="s">
        <v>24</v>
      </c>
      <c r="E362" s="172" t="s">
        <v>53</v>
      </c>
      <c r="F362" s="172" t="s">
        <v>91</v>
      </c>
      <c r="G362" s="172" t="s">
        <v>85</v>
      </c>
      <c r="H362" s="177">
        <v>1</v>
      </c>
      <c r="I362" s="178">
        <v>0</v>
      </c>
      <c r="J362" s="176">
        <v>46026</v>
      </c>
      <c r="K362" s="172" t="s">
        <v>94</v>
      </c>
      <c r="L362" s="172" t="s">
        <v>95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857</v>
      </c>
      <c r="B363" s="176">
        <v>46028</v>
      </c>
      <c r="C363" s="172" t="s">
        <v>82</v>
      </c>
      <c r="D363" s="172" t="s">
        <v>83</v>
      </c>
      <c r="E363" s="172" t="s">
        <v>53</v>
      </c>
      <c r="F363" s="172" t="s">
        <v>91</v>
      </c>
      <c r="G363" s="172" t="s">
        <v>85</v>
      </c>
      <c r="H363" s="177">
        <v>1</v>
      </c>
      <c r="I363" s="178">
        <v>0</v>
      </c>
      <c r="J363" s="176">
        <v>46028</v>
      </c>
      <c r="K363" s="172" t="s">
        <v>86</v>
      </c>
      <c r="L363" s="172" t="s">
        <v>86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753</v>
      </c>
      <c r="B364" s="176">
        <v>46028</v>
      </c>
      <c r="C364" s="172" t="s">
        <v>82</v>
      </c>
      <c r="D364" s="172" t="s">
        <v>83</v>
      </c>
      <c r="E364" s="172" t="s">
        <v>43</v>
      </c>
      <c r="F364" s="172" t="s">
        <v>90</v>
      </c>
      <c r="G364" s="172" t="s">
        <v>85</v>
      </c>
      <c r="H364" s="177">
        <v>1</v>
      </c>
      <c r="I364" s="178">
        <v>0</v>
      </c>
      <c r="J364" s="176">
        <v>46026</v>
      </c>
      <c r="K364" s="172" t="s">
        <v>86</v>
      </c>
      <c r="L364" s="172" t="s">
        <v>86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858</v>
      </c>
      <c r="B365" s="176">
        <v>46028</v>
      </c>
      <c r="C365" s="172" t="s">
        <v>82</v>
      </c>
      <c r="D365" s="172" t="s">
        <v>83</v>
      </c>
      <c r="E365" s="172" t="s">
        <v>42</v>
      </c>
      <c r="F365" s="172" t="s">
        <v>84</v>
      </c>
      <c r="G365" s="172" t="s">
        <v>85</v>
      </c>
      <c r="H365" s="177">
        <v>1</v>
      </c>
      <c r="I365" s="178">
        <v>0</v>
      </c>
      <c r="J365" s="176">
        <v>46028</v>
      </c>
      <c r="K365" s="172" t="s">
        <v>86</v>
      </c>
      <c r="L365" s="172" t="s">
        <v>86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859</v>
      </c>
      <c r="B366" s="176">
        <v>46028</v>
      </c>
      <c r="C366" s="172" t="s">
        <v>93</v>
      </c>
      <c r="D366" s="172" t="s">
        <v>97</v>
      </c>
      <c r="E366" s="172" t="s">
        <v>54</v>
      </c>
      <c r="F366" s="172" t="s">
        <v>121</v>
      </c>
      <c r="G366" s="172" t="s">
        <v>85</v>
      </c>
      <c r="H366" s="177">
        <v>1</v>
      </c>
      <c r="I366" s="178">
        <v>0</v>
      </c>
      <c r="J366" s="176">
        <v>46020</v>
      </c>
      <c r="K366" s="172" t="s">
        <v>94</v>
      </c>
      <c r="L366" s="172" t="s">
        <v>95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859</v>
      </c>
      <c r="B367" s="176">
        <v>46028</v>
      </c>
      <c r="C367" s="172" t="s">
        <v>93</v>
      </c>
      <c r="D367" s="172" t="s">
        <v>98</v>
      </c>
      <c r="E367" s="172" t="s">
        <v>54</v>
      </c>
      <c r="F367" s="172" t="s">
        <v>121</v>
      </c>
      <c r="G367" s="172" t="s">
        <v>85</v>
      </c>
      <c r="H367" s="177">
        <v>1</v>
      </c>
      <c r="I367" s="178">
        <v>0</v>
      </c>
      <c r="J367" s="176">
        <v>46020</v>
      </c>
      <c r="K367" s="172" t="s">
        <v>94</v>
      </c>
      <c r="L367" s="172" t="s">
        <v>95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859</v>
      </c>
      <c r="B368" s="176">
        <v>46028</v>
      </c>
      <c r="C368" s="172" t="s">
        <v>82</v>
      </c>
      <c r="D368" s="172" t="s">
        <v>99</v>
      </c>
      <c r="E368" s="172" t="s">
        <v>54</v>
      </c>
      <c r="F368" s="172" t="s">
        <v>121</v>
      </c>
      <c r="G368" s="172" t="s">
        <v>85</v>
      </c>
      <c r="H368" s="177">
        <v>1</v>
      </c>
      <c r="I368" s="178">
        <v>0</v>
      </c>
      <c r="J368" s="176">
        <v>46020</v>
      </c>
      <c r="K368" s="172" t="s">
        <v>94</v>
      </c>
      <c r="L368" s="172" t="s">
        <v>95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859</v>
      </c>
      <c r="B369" s="176">
        <v>46028</v>
      </c>
      <c r="C369" s="172" t="s">
        <v>93</v>
      </c>
      <c r="D369" s="172" t="s">
        <v>24</v>
      </c>
      <c r="E369" s="172" t="s">
        <v>54</v>
      </c>
      <c r="F369" s="172" t="s">
        <v>121</v>
      </c>
      <c r="G369" s="172" t="s">
        <v>85</v>
      </c>
      <c r="H369" s="177">
        <v>1</v>
      </c>
      <c r="I369" s="178">
        <v>0</v>
      </c>
      <c r="J369" s="176">
        <v>46020</v>
      </c>
      <c r="K369" s="172" t="s">
        <v>94</v>
      </c>
      <c r="L369" s="172" t="s">
        <v>95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859</v>
      </c>
      <c r="B370" s="176">
        <v>46028</v>
      </c>
      <c r="C370" s="172" t="s">
        <v>82</v>
      </c>
      <c r="D370" s="172" t="s">
        <v>96</v>
      </c>
      <c r="E370" s="172" t="s">
        <v>54</v>
      </c>
      <c r="F370" s="172" t="s">
        <v>121</v>
      </c>
      <c r="G370" s="172" t="s">
        <v>85</v>
      </c>
      <c r="H370" s="177">
        <v>1</v>
      </c>
      <c r="I370" s="178">
        <v>0</v>
      </c>
      <c r="J370" s="176">
        <v>46020</v>
      </c>
      <c r="K370" s="172" t="s">
        <v>94</v>
      </c>
      <c r="L370" s="172" t="s">
        <v>95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860</v>
      </c>
      <c r="B371" s="176">
        <v>46028</v>
      </c>
      <c r="C371" s="172" t="s">
        <v>93</v>
      </c>
      <c r="D371" s="172" t="s">
        <v>24</v>
      </c>
      <c r="E371" s="172" t="s">
        <v>53</v>
      </c>
      <c r="F371" s="172" t="s">
        <v>91</v>
      </c>
      <c r="G371" s="172" t="s">
        <v>85</v>
      </c>
      <c r="H371" s="177">
        <v>1</v>
      </c>
      <c r="I371" s="178">
        <v>1621</v>
      </c>
      <c r="J371" s="176">
        <v>46027</v>
      </c>
      <c r="K371" s="172" t="s">
        <v>94</v>
      </c>
      <c r="L371" s="172" t="s">
        <v>95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860</v>
      </c>
      <c r="B372" s="176">
        <v>46028</v>
      </c>
      <c r="C372" s="172" t="s">
        <v>101</v>
      </c>
      <c r="D372" s="172" t="s">
        <v>102</v>
      </c>
      <c r="E372" s="172" t="s">
        <v>53</v>
      </c>
      <c r="F372" s="172" t="s">
        <v>91</v>
      </c>
      <c r="G372" s="172" t="s">
        <v>85</v>
      </c>
      <c r="H372" s="177">
        <v>1</v>
      </c>
      <c r="I372" s="178">
        <v>1621</v>
      </c>
      <c r="J372" s="176">
        <v>46027</v>
      </c>
      <c r="K372" s="172" t="s">
        <v>94</v>
      </c>
      <c r="L372" s="172" t="s">
        <v>95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860</v>
      </c>
      <c r="B373" s="176">
        <v>46028</v>
      </c>
      <c r="C373" s="172" t="s">
        <v>101</v>
      </c>
      <c r="D373" s="172" t="s">
        <v>103</v>
      </c>
      <c r="E373" s="172" t="s">
        <v>53</v>
      </c>
      <c r="F373" s="172" t="s">
        <v>91</v>
      </c>
      <c r="G373" s="172" t="s">
        <v>85</v>
      </c>
      <c r="H373" s="177">
        <v>1</v>
      </c>
      <c r="I373" s="178">
        <v>1621</v>
      </c>
      <c r="J373" s="176">
        <v>46027</v>
      </c>
      <c r="K373" s="172" t="s">
        <v>94</v>
      </c>
      <c r="L373" s="172" t="s">
        <v>95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860</v>
      </c>
      <c r="B374" s="176">
        <v>46028</v>
      </c>
      <c r="C374" s="172" t="s">
        <v>101</v>
      </c>
      <c r="D374" s="172" t="s">
        <v>104</v>
      </c>
      <c r="E374" s="172" t="s">
        <v>53</v>
      </c>
      <c r="F374" s="172" t="s">
        <v>91</v>
      </c>
      <c r="G374" s="172" t="s">
        <v>85</v>
      </c>
      <c r="H374" s="177">
        <v>1</v>
      </c>
      <c r="I374" s="178">
        <v>1621</v>
      </c>
      <c r="J374" s="176">
        <v>46027</v>
      </c>
      <c r="K374" s="172" t="s">
        <v>94</v>
      </c>
      <c r="L374" s="172" t="s">
        <v>95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860</v>
      </c>
      <c r="B375" s="176">
        <v>46028</v>
      </c>
      <c r="C375" s="172" t="s">
        <v>105</v>
      </c>
      <c r="D375" s="172" t="s">
        <v>106</v>
      </c>
      <c r="E375" s="172" t="s">
        <v>53</v>
      </c>
      <c r="F375" s="172" t="s">
        <v>91</v>
      </c>
      <c r="G375" s="172" t="s">
        <v>85</v>
      </c>
      <c r="H375" s="177">
        <v>1</v>
      </c>
      <c r="I375" s="178">
        <v>1621</v>
      </c>
      <c r="J375" s="176">
        <v>46027</v>
      </c>
      <c r="K375" s="172" t="s">
        <v>94</v>
      </c>
      <c r="L375" s="172" t="s">
        <v>95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861</v>
      </c>
      <c r="B376" s="176">
        <v>46028</v>
      </c>
      <c r="C376" s="172" t="s">
        <v>93</v>
      </c>
      <c r="D376" s="172" t="s">
        <v>24</v>
      </c>
      <c r="E376" s="172" t="s">
        <v>53</v>
      </c>
      <c r="F376" s="172" t="s">
        <v>91</v>
      </c>
      <c r="G376" s="172" t="s">
        <v>85</v>
      </c>
      <c r="H376" s="177">
        <v>1</v>
      </c>
      <c r="I376" s="178">
        <v>1621</v>
      </c>
      <c r="J376" s="176">
        <v>46026</v>
      </c>
      <c r="K376" s="172" t="s">
        <v>94</v>
      </c>
      <c r="L376" s="172" t="s">
        <v>95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861</v>
      </c>
      <c r="B377" s="176">
        <v>46028</v>
      </c>
      <c r="C377" s="172" t="s">
        <v>101</v>
      </c>
      <c r="D377" s="172" t="s">
        <v>102</v>
      </c>
      <c r="E377" s="172" t="s">
        <v>53</v>
      </c>
      <c r="F377" s="172" t="s">
        <v>91</v>
      </c>
      <c r="G377" s="172" t="s">
        <v>85</v>
      </c>
      <c r="H377" s="177">
        <v>1</v>
      </c>
      <c r="I377" s="178">
        <v>1621</v>
      </c>
      <c r="J377" s="176">
        <v>46026</v>
      </c>
      <c r="K377" s="172" t="s">
        <v>94</v>
      </c>
      <c r="L377" s="172" t="s">
        <v>95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861</v>
      </c>
      <c r="B378" s="176">
        <v>46028</v>
      </c>
      <c r="C378" s="172" t="s">
        <v>101</v>
      </c>
      <c r="D378" s="172" t="s">
        <v>103</v>
      </c>
      <c r="E378" s="172" t="s">
        <v>53</v>
      </c>
      <c r="F378" s="172" t="s">
        <v>91</v>
      </c>
      <c r="G378" s="172" t="s">
        <v>85</v>
      </c>
      <c r="H378" s="177">
        <v>1</v>
      </c>
      <c r="I378" s="178">
        <v>1621</v>
      </c>
      <c r="J378" s="176">
        <v>46026</v>
      </c>
      <c r="K378" s="172" t="s">
        <v>94</v>
      </c>
      <c r="L378" s="172" t="s">
        <v>95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861</v>
      </c>
      <c r="B379" s="176">
        <v>46028</v>
      </c>
      <c r="C379" s="172" t="s">
        <v>101</v>
      </c>
      <c r="D379" s="172" t="s">
        <v>104</v>
      </c>
      <c r="E379" s="172" t="s">
        <v>53</v>
      </c>
      <c r="F379" s="172" t="s">
        <v>91</v>
      </c>
      <c r="G379" s="172" t="s">
        <v>85</v>
      </c>
      <c r="H379" s="177">
        <v>1</v>
      </c>
      <c r="I379" s="178">
        <v>1621</v>
      </c>
      <c r="J379" s="176">
        <v>46026</v>
      </c>
      <c r="K379" s="172" t="s">
        <v>94</v>
      </c>
      <c r="L379" s="172" t="s">
        <v>95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861</v>
      </c>
      <c r="B380" s="176">
        <v>46028</v>
      </c>
      <c r="C380" s="172" t="s">
        <v>105</v>
      </c>
      <c r="D380" s="172" t="s">
        <v>106</v>
      </c>
      <c r="E380" s="172" t="s">
        <v>53</v>
      </c>
      <c r="F380" s="172" t="s">
        <v>91</v>
      </c>
      <c r="G380" s="172" t="s">
        <v>85</v>
      </c>
      <c r="H380" s="177">
        <v>1</v>
      </c>
      <c r="I380" s="178">
        <v>1621</v>
      </c>
      <c r="J380" s="176">
        <v>46026</v>
      </c>
      <c r="K380" s="172" t="s">
        <v>94</v>
      </c>
      <c r="L380" s="172" t="s">
        <v>95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862</v>
      </c>
      <c r="B381" s="176">
        <v>46028</v>
      </c>
      <c r="C381" s="172" t="s">
        <v>93</v>
      </c>
      <c r="D381" s="172" t="s">
        <v>24</v>
      </c>
      <c r="E381" s="172" t="s">
        <v>54</v>
      </c>
      <c r="F381" s="172" t="s">
        <v>121</v>
      </c>
      <c r="G381" s="172" t="s">
        <v>85</v>
      </c>
      <c r="H381" s="177">
        <v>1</v>
      </c>
      <c r="I381" s="178">
        <v>1845</v>
      </c>
      <c r="J381" s="176">
        <v>46021</v>
      </c>
      <c r="K381" s="172" t="s">
        <v>94</v>
      </c>
      <c r="L381" s="172" t="s">
        <v>95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862</v>
      </c>
      <c r="B382" s="176">
        <v>46028</v>
      </c>
      <c r="C382" s="172" t="s">
        <v>101</v>
      </c>
      <c r="D382" s="172" t="s">
        <v>102</v>
      </c>
      <c r="E382" s="172" t="s">
        <v>54</v>
      </c>
      <c r="F382" s="172" t="s">
        <v>121</v>
      </c>
      <c r="G382" s="172" t="s">
        <v>85</v>
      </c>
      <c r="H382" s="177">
        <v>1</v>
      </c>
      <c r="I382" s="178">
        <v>1845</v>
      </c>
      <c r="J382" s="176">
        <v>46021</v>
      </c>
      <c r="K382" s="172" t="s">
        <v>94</v>
      </c>
      <c r="L382" s="172" t="s">
        <v>95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862</v>
      </c>
      <c r="B383" s="176">
        <v>46028</v>
      </c>
      <c r="C383" s="172" t="s">
        <v>101</v>
      </c>
      <c r="D383" s="172" t="s">
        <v>103</v>
      </c>
      <c r="E383" s="172" t="s">
        <v>54</v>
      </c>
      <c r="F383" s="172" t="s">
        <v>121</v>
      </c>
      <c r="G383" s="172" t="s">
        <v>85</v>
      </c>
      <c r="H383" s="177">
        <v>1</v>
      </c>
      <c r="I383" s="178">
        <v>1845</v>
      </c>
      <c r="J383" s="176">
        <v>46021</v>
      </c>
      <c r="K383" s="172" t="s">
        <v>94</v>
      </c>
      <c r="L383" s="172" t="s">
        <v>95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862</v>
      </c>
      <c r="B384" s="176">
        <v>46028</v>
      </c>
      <c r="C384" s="172" t="s">
        <v>101</v>
      </c>
      <c r="D384" s="172" t="s">
        <v>104</v>
      </c>
      <c r="E384" s="172" t="s">
        <v>54</v>
      </c>
      <c r="F384" s="172" t="s">
        <v>121</v>
      </c>
      <c r="G384" s="172" t="s">
        <v>85</v>
      </c>
      <c r="H384" s="177">
        <v>1</v>
      </c>
      <c r="I384" s="178">
        <v>1845</v>
      </c>
      <c r="J384" s="176">
        <v>46021</v>
      </c>
      <c r="K384" s="172" t="s">
        <v>94</v>
      </c>
      <c r="L384" s="172" t="s">
        <v>95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862</v>
      </c>
      <c r="B385" s="176">
        <v>46028</v>
      </c>
      <c r="C385" s="172" t="s">
        <v>105</v>
      </c>
      <c r="D385" s="172" t="s">
        <v>106</v>
      </c>
      <c r="E385" s="172" t="s">
        <v>54</v>
      </c>
      <c r="F385" s="172" t="s">
        <v>121</v>
      </c>
      <c r="G385" s="172" t="s">
        <v>85</v>
      </c>
      <c r="H385" s="177">
        <v>1</v>
      </c>
      <c r="I385" s="178">
        <v>1845</v>
      </c>
      <c r="J385" s="176">
        <v>46021</v>
      </c>
      <c r="K385" s="172" t="s">
        <v>94</v>
      </c>
      <c r="L385" s="172" t="s">
        <v>95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862</v>
      </c>
      <c r="B386" s="176">
        <v>46028</v>
      </c>
      <c r="C386" s="172" t="s">
        <v>82</v>
      </c>
      <c r="D386" s="172" t="s">
        <v>96</v>
      </c>
      <c r="E386" s="172" t="s">
        <v>54</v>
      </c>
      <c r="F386" s="172" t="s">
        <v>121</v>
      </c>
      <c r="G386" s="172" t="s">
        <v>85</v>
      </c>
      <c r="H386" s="177">
        <v>1</v>
      </c>
      <c r="I386" s="178">
        <v>1845</v>
      </c>
      <c r="J386" s="176">
        <v>46021</v>
      </c>
      <c r="K386" s="172" t="s">
        <v>94</v>
      </c>
      <c r="L386" s="172" t="s">
        <v>95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862</v>
      </c>
      <c r="B387" s="176">
        <v>46028</v>
      </c>
      <c r="C387" s="172" t="s">
        <v>82</v>
      </c>
      <c r="D387" s="172" t="s">
        <v>83</v>
      </c>
      <c r="E387" s="172" t="s">
        <v>54</v>
      </c>
      <c r="F387" s="172" t="s">
        <v>121</v>
      </c>
      <c r="G387" s="172" t="s">
        <v>85</v>
      </c>
      <c r="H387" s="177">
        <v>1</v>
      </c>
      <c r="I387" s="178">
        <v>0</v>
      </c>
      <c r="J387" s="176">
        <v>46021</v>
      </c>
      <c r="K387" s="172" t="s">
        <v>86</v>
      </c>
      <c r="L387" s="172" t="s">
        <v>86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863</v>
      </c>
      <c r="B388" s="176">
        <v>46028</v>
      </c>
      <c r="C388" s="172" t="s">
        <v>93</v>
      </c>
      <c r="D388" s="172" t="s">
        <v>24</v>
      </c>
      <c r="E388" s="172" t="s">
        <v>44</v>
      </c>
      <c r="F388" s="172" t="s">
        <v>126</v>
      </c>
      <c r="G388" s="172" t="s">
        <v>85</v>
      </c>
      <c r="H388" s="177">
        <v>1</v>
      </c>
      <c r="I388" s="178">
        <v>1202</v>
      </c>
      <c r="J388" s="176">
        <v>46025</v>
      </c>
      <c r="K388" s="172" t="s">
        <v>94</v>
      </c>
      <c r="L388" s="172" t="s">
        <v>95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863</v>
      </c>
      <c r="B389" s="176">
        <v>46028</v>
      </c>
      <c r="C389" s="172" t="s">
        <v>101</v>
      </c>
      <c r="D389" s="172" t="s">
        <v>102</v>
      </c>
      <c r="E389" s="172" t="s">
        <v>44</v>
      </c>
      <c r="F389" s="172" t="s">
        <v>126</v>
      </c>
      <c r="G389" s="172" t="s">
        <v>85</v>
      </c>
      <c r="H389" s="177">
        <v>1</v>
      </c>
      <c r="I389" s="178">
        <v>1202</v>
      </c>
      <c r="J389" s="176">
        <v>46025</v>
      </c>
      <c r="K389" s="172" t="s">
        <v>94</v>
      </c>
      <c r="L389" s="172" t="s">
        <v>95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863</v>
      </c>
      <c r="B390" s="176">
        <v>46028</v>
      </c>
      <c r="C390" s="172" t="s">
        <v>101</v>
      </c>
      <c r="D390" s="172" t="s">
        <v>103</v>
      </c>
      <c r="E390" s="172" t="s">
        <v>44</v>
      </c>
      <c r="F390" s="172" t="s">
        <v>126</v>
      </c>
      <c r="G390" s="172" t="s">
        <v>85</v>
      </c>
      <c r="H390" s="177">
        <v>1</v>
      </c>
      <c r="I390" s="178">
        <v>1202</v>
      </c>
      <c r="J390" s="176">
        <v>46025</v>
      </c>
      <c r="K390" s="172" t="s">
        <v>94</v>
      </c>
      <c r="L390" s="172" t="s">
        <v>95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863</v>
      </c>
      <c r="B391" s="176">
        <v>46028</v>
      </c>
      <c r="C391" s="172" t="s">
        <v>101</v>
      </c>
      <c r="D391" s="172" t="s">
        <v>104</v>
      </c>
      <c r="E391" s="172" t="s">
        <v>44</v>
      </c>
      <c r="F391" s="172" t="s">
        <v>126</v>
      </c>
      <c r="G391" s="172" t="s">
        <v>85</v>
      </c>
      <c r="H391" s="177">
        <v>1</v>
      </c>
      <c r="I391" s="178">
        <v>1202</v>
      </c>
      <c r="J391" s="176">
        <v>46025</v>
      </c>
      <c r="K391" s="172" t="s">
        <v>94</v>
      </c>
      <c r="L391" s="172" t="s">
        <v>95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863</v>
      </c>
      <c r="B392" s="176">
        <v>46028</v>
      </c>
      <c r="C392" s="172" t="s">
        <v>105</v>
      </c>
      <c r="D392" s="172" t="s">
        <v>106</v>
      </c>
      <c r="E392" s="172" t="s">
        <v>44</v>
      </c>
      <c r="F392" s="172" t="s">
        <v>126</v>
      </c>
      <c r="G392" s="172" t="s">
        <v>85</v>
      </c>
      <c r="H392" s="177">
        <v>1</v>
      </c>
      <c r="I392" s="178">
        <v>1202</v>
      </c>
      <c r="J392" s="176">
        <v>46025</v>
      </c>
      <c r="K392" s="172" t="s">
        <v>94</v>
      </c>
      <c r="L392" s="172" t="s">
        <v>95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863</v>
      </c>
      <c r="B393" s="176">
        <v>46028</v>
      </c>
      <c r="C393" s="172" t="s">
        <v>82</v>
      </c>
      <c r="D393" s="172" t="s">
        <v>96</v>
      </c>
      <c r="E393" s="172" t="s">
        <v>44</v>
      </c>
      <c r="F393" s="172" t="s">
        <v>126</v>
      </c>
      <c r="G393" s="172" t="s">
        <v>85</v>
      </c>
      <c r="H393" s="177">
        <v>1</v>
      </c>
      <c r="I393" s="178">
        <v>1202</v>
      </c>
      <c r="J393" s="176">
        <v>46025</v>
      </c>
      <c r="K393" s="172" t="s">
        <v>94</v>
      </c>
      <c r="L393" s="172" t="s">
        <v>95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863</v>
      </c>
      <c r="B394" s="176">
        <v>46028</v>
      </c>
      <c r="C394" s="172" t="s">
        <v>82</v>
      </c>
      <c r="D394" s="172" t="s">
        <v>83</v>
      </c>
      <c r="E394" s="172" t="s">
        <v>44</v>
      </c>
      <c r="F394" s="172" t="s">
        <v>126</v>
      </c>
      <c r="G394" s="172" t="s">
        <v>85</v>
      </c>
      <c r="H394" s="177">
        <v>1</v>
      </c>
      <c r="I394" s="178">
        <v>0</v>
      </c>
      <c r="J394" s="176">
        <v>46025</v>
      </c>
      <c r="K394" s="172" t="s">
        <v>86</v>
      </c>
      <c r="L394" s="172" t="s">
        <v>86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864</v>
      </c>
      <c r="B395" s="176">
        <v>46028</v>
      </c>
      <c r="C395" s="172" t="s">
        <v>93</v>
      </c>
      <c r="D395" s="172" t="s">
        <v>24</v>
      </c>
      <c r="E395" s="172" t="s">
        <v>54</v>
      </c>
      <c r="F395" s="172" t="s">
        <v>121</v>
      </c>
      <c r="G395" s="172" t="s">
        <v>85</v>
      </c>
      <c r="H395" s="177">
        <v>1</v>
      </c>
      <c r="I395" s="178">
        <v>1845</v>
      </c>
      <c r="J395" s="176">
        <v>46026</v>
      </c>
      <c r="K395" s="172" t="s">
        <v>94</v>
      </c>
      <c r="L395" s="172" t="s">
        <v>95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864</v>
      </c>
      <c r="B396" s="176">
        <v>46028</v>
      </c>
      <c r="C396" s="172" t="s">
        <v>101</v>
      </c>
      <c r="D396" s="172" t="s">
        <v>102</v>
      </c>
      <c r="E396" s="172" t="s">
        <v>54</v>
      </c>
      <c r="F396" s="172" t="s">
        <v>121</v>
      </c>
      <c r="G396" s="172" t="s">
        <v>85</v>
      </c>
      <c r="H396" s="177">
        <v>1</v>
      </c>
      <c r="I396" s="178">
        <v>1845</v>
      </c>
      <c r="J396" s="176">
        <v>46026</v>
      </c>
      <c r="K396" s="172" t="s">
        <v>94</v>
      </c>
      <c r="L396" s="172" t="s">
        <v>95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864</v>
      </c>
      <c r="B397" s="176">
        <v>46028</v>
      </c>
      <c r="C397" s="172" t="s">
        <v>101</v>
      </c>
      <c r="D397" s="172" t="s">
        <v>103</v>
      </c>
      <c r="E397" s="172" t="s">
        <v>54</v>
      </c>
      <c r="F397" s="172" t="s">
        <v>121</v>
      </c>
      <c r="G397" s="172" t="s">
        <v>85</v>
      </c>
      <c r="H397" s="177">
        <v>1</v>
      </c>
      <c r="I397" s="178">
        <v>1845</v>
      </c>
      <c r="J397" s="176">
        <v>46026</v>
      </c>
      <c r="K397" s="172" t="s">
        <v>94</v>
      </c>
      <c r="L397" s="172" t="s">
        <v>95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864</v>
      </c>
      <c r="B398" s="176">
        <v>46028</v>
      </c>
      <c r="C398" s="172" t="s">
        <v>101</v>
      </c>
      <c r="D398" s="172" t="s">
        <v>104</v>
      </c>
      <c r="E398" s="172" t="s">
        <v>54</v>
      </c>
      <c r="F398" s="172" t="s">
        <v>121</v>
      </c>
      <c r="G398" s="172" t="s">
        <v>85</v>
      </c>
      <c r="H398" s="177">
        <v>1</v>
      </c>
      <c r="I398" s="178">
        <v>1845</v>
      </c>
      <c r="J398" s="176">
        <v>46026</v>
      </c>
      <c r="K398" s="172" t="s">
        <v>94</v>
      </c>
      <c r="L398" s="172" t="s">
        <v>95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864</v>
      </c>
      <c r="B399" s="176">
        <v>46028</v>
      </c>
      <c r="C399" s="172" t="s">
        <v>105</v>
      </c>
      <c r="D399" s="172" t="s">
        <v>106</v>
      </c>
      <c r="E399" s="172" t="s">
        <v>54</v>
      </c>
      <c r="F399" s="172" t="s">
        <v>121</v>
      </c>
      <c r="G399" s="172" t="s">
        <v>85</v>
      </c>
      <c r="H399" s="177">
        <v>1</v>
      </c>
      <c r="I399" s="178">
        <v>1845</v>
      </c>
      <c r="J399" s="176">
        <v>46026</v>
      </c>
      <c r="K399" s="172" t="s">
        <v>94</v>
      </c>
      <c r="L399" s="172" t="s">
        <v>95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864</v>
      </c>
      <c r="B400" s="176">
        <v>46028</v>
      </c>
      <c r="C400" s="172" t="s">
        <v>82</v>
      </c>
      <c r="D400" s="172" t="s">
        <v>96</v>
      </c>
      <c r="E400" s="172" t="s">
        <v>54</v>
      </c>
      <c r="F400" s="172" t="s">
        <v>121</v>
      </c>
      <c r="G400" s="172" t="s">
        <v>85</v>
      </c>
      <c r="H400" s="177">
        <v>1</v>
      </c>
      <c r="I400" s="178">
        <v>1845</v>
      </c>
      <c r="J400" s="176">
        <v>46026</v>
      </c>
      <c r="K400" s="172" t="s">
        <v>94</v>
      </c>
      <c r="L400" s="172" t="s">
        <v>95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865</v>
      </c>
      <c r="B401" s="176">
        <v>46028</v>
      </c>
      <c r="C401" s="172" t="s">
        <v>82</v>
      </c>
      <c r="D401" s="172" t="s">
        <v>83</v>
      </c>
      <c r="E401" s="172" t="s">
        <v>54</v>
      </c>
      <c r="F401" s="172" t="s">
        <v>121</v>
      </c>
      <c r="G401" s="172" t="s">
        <v>85</v>
      </c>
      <c r="H401" s="177">
        <v>1</v>
      </c>
      <c r="I401" s="178">
        <v>0</v>
      </c>
      <c r="J401" s="176">
        <v>46019</v>
      </c>
      <c r="K401" s="172" t="s">
        <v>86</v>
      </c>
      <c r="L401" s="172" t="s">
        <v>86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866</v>
      </c>
      <c r="B402" s="176">
        <v>46028</v>
      </c>
      <c r="C402" s="172" t="s">
        <v>93</v>
      </c>
      <c r="D402" s="172" t="s">
        <v>97</v>
      </c>
      <c r="E402" s="172" t="s">
        <v>54</v>
      </c>
      <c r="F402" s="172" t="s">
        <v>121</v>
      </c>
      <c r="G402" s="172" t="s">
        <v>85</v>
      </c>
      <c r="H402" s="177">
        <v>1</v>
      </c>
      <c r="I402" s="178">
        <v>0</v>
      </c>
      <c r="J402" s="176">
        <v>46001</v>
      </c>
      <c r="K402" s="172" t="s">
        <v>94</v>
      </c>
      <c r="L402" s="172" t="s">
        <v>95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866</v>
      </c>
      <c r="B403" s="176">
        <v>46028</v>
      </c>
      <c r="C403" s="172" t="s">
        <v>93</v>
      </c>
      <c r="D403" s="172" t="s">
        <v>98</v>
      </c>
      <c r="E403" s="172" t="s">
        <v>54</v>
      </c>
      <c r="F403" s="172" t="s">
        <v>121</v>
      </c>
      <c r="G403" s="172" t="s">
        <v>85</v>
      </c>
      <c r="H403" s="177">
        <v>1</v>
      </c>
      <c r="I403" s="178">
        <v>0</v>
      </c>
      <c r="J403" s="176">
        <v>46001</v>
      </c>
      <c r="K403" s="172" t="s">
        <v>94</v>
      </c>
      <c r="L403" s="172" t="s">
        <v>95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866</v>
      </c>
      <c r="B404" s="176">
        <v>46028</v>
      </c>
      <c r="C404" s="172" t="s">
        <v>93</v>
      </c>
      <c r="D404" s="172" t="s">
        <v>24</v>
      </c>
      <c r="E404" s="172" t="s">
        <v>54</v>
      </c>
      <c r="F404" s="172" t="s">
        <v>121</v>
      </c>
      <c r="G404" s="172" t="s">
        <v>85</v>
      </c>
      <c r="H404" s="177">
        <v>1</v>
      </c>
      <c r="I404" s="178">
        <v>0</v>
      </c>
      <c r="J404" s="176">
        <v>46001</v>
      </c>
      <c r="K404" s="172" t="s">
        <v>94</v>
      </c>
      <c r="L404" s="172" t="s">
        <v>95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866</v>
      </c>
      <c r="B405" s="176">
        <v>46028</v>
      </c>
      <c r="C405" s="172" t="s">
        <v>82</v>
      </c>
      <c r="D405" s="172" t="s">
        <v>96</v>
      </c>
      <c r="E405" s="172" t="s">
        <v>54</v>
      </c>
      <c r="F405" s="172" t="s">
        <v>121</v>
      </c>
      <c r="G405" s="172" t="s">
        <v>85</v>
      </c>
      <c r="H405" s="177">
        <v>1</v>
      </c>
      <c r="I405" s="178">
        <v>0</v>
      </c>
      <c r="J405" s="176">
        <v>46001</v>
      </c>
      <c r="K405" s="172" t="s">
        <v>94</v>
      </c>
      <c r="L405" s="172" t="s">
        <v>95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867</v>
      </c>
      <c r="B406" s="176">
        <v>46028</v>
      </c>
      <c r="C406" s="172" t="s">
        <v>93</v>
      </c>
      <c r="D406" s="172" t="s">
        <v>24</v>
      </c>
      <c r="E406" s="172" t="s">
        <v>54</v>
      </c>
      <c r="F406" s="172" t="s">
        <v>121</v>
      </c>
      <c r="G406" s="172" t="s">
        <v>85</v>
      </c>
      <c r="H406" s="177">
        <v>1</v>
      </c>
      <c r="I406" s="178">
        <v>1845</v>
      </c>
      <c r="J406" s="176">
        <v>46024</v>
      </c>
      <c r="K406" s="172" t="s">
        <v>94</v>
      </c>
      <c r="L406" s="172" t="s">
        <v>95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867</v>
      </c>
      <c r="B407" s="176">
        <v>46028</v>
      </c>
      <c r="C407" s="172" t="s">
        <v>101</v>
      </c>
      <c r="D407" s="172" t="s">
        <v>102</v>
      </c>
      <c r="E407" s="172" t="s">
        <v>54</v>
      </c>
      <c r="F407" s="172" t="s">
        <v>121</v>
      </c>
      <c r="G407" s="172" t="s">
        <v>85</v>
      </c>
      <c r="H407" s="177">
        <v>1</v>
      </c>
      <c r="I407" s="178">
        <v>1845</v>
      </c>
      <c r="J407" s="176">
        <v>46024</v>
      </c>
      <c r="K407" s="172" t="s">
        <v>94</v>
      </c>
      <c r="L407" s="172" t="s">
        <v>95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867</v>
      </c>
      <c r="B408" s="176">
        <v>46028</v>
      </c>
      <c r="C408" s="172" t="s">
        <v>101</v>
      </c>
      <c r="D408" s="172" t="s">
        <v>103</v>
      </c>
      <c r="E408" s="172" t="s">
        <v>54</v>
      </c>
      <c r="F408" s="172" t="s">
        <v>121</v>
      </c>
      <c r="G408" s="172" t="s">
        <v>85</v>
      </c>
      <c r="H408" s="177">
        <v>1</v>
      </c>
      <c r="I408" s="178">
        <v>1845</v>
      </c>
      <c r="J408" s="176">
        <v>46024</v>
      </c>
      <c r="K408" s="172" t="s">
        <v>94</v>
      </c>
      <c r="L408" s="172" t="s">
        <v>95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867</v>
      </c>
      <c r="B409" s="176">
        <v>46028</v>
      </c>
      <c r="C409" s="172" t="s">
        <v>101</v>
      </c>
      <c r="D409" s="172" t="s">
        <v>104</v>
      </c>
      <c r="E409" s="172" t="s">
        <v>54</v>
      </c>
      <c r="F409" s="172" t="s">
        <v>121</v>
      </c>
      <c r="G409" s="172" t="s">
        <v>85</v>
      </c>
      <c r="H409" s="177">
        <v>1</v>
      </c>
      <c r="I409" s="178">
        <v>1845</v>
      </c>
      <c r="J409" s="176">
        <v>46024</v>
      </c>
      <c r="K409" s="172" t="s">
        <v>94</v>
      </c>
      <c r="L409" s="172" t="s">
        <v>95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867</v>
      </c>
      <c r="B410" s="176">
        <v>46028</v>
      </c>
      <c r="C410" s="172" t="s">
        <v>105</v>
      </c>
      <c r="D410" s="172" t="s">
        <v>106</v>
      </c>
      <c r="E410" s="172" t="s">
        <v>54</v>
      </c>
      <c r="F410" s="172" t="s">
        <v>121</v>
      </c>
      <c r="G410" s="172" t="s">
        <v>85</v>
      </c>
      <c r="H410" s="177">
        <v>1</v>
      </c>
      <c r="I410" s="178">
        <v>1845</v>
      </c>
      <c r="J410" s="176">
        <v>46024</v>
      </c>
      <c r="K410" s="172" t="s">
        <v>94</v>
      </c>
      <c r="L410" s="172" t="s">
        <v>95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867</v>
      </c>
      <c r="B411" s="176">
        <v>46028</v>
      </c>
      <c r="C411" s="172" t="s">
        <v>82</v>
      </c>
      <c r="D411" s="172" t="s">
        <v>96</v>
      </c>
      <c r="E411" s="172" t="s">
        <v>54</v>
      </c>
      <c r="F411" s="172" t="s">
        <v>121</v>
      </c>
      <c r="G411" s="172" t="s">
        <v>85</v>
      </c>
      <c r="H411" s="177">
        <v>1</v>
      </c>
      <c r="I411" s="178">
        <v>1845</v>
      </c>
      <c r="J411" s="176">
        <v>46024</v>
      </c>
      <c r="K411" s="172" t="s">
        <v>94</v>
      </c>
      <c r="L411" s="172" t="s">
        <v>95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868</v>
      </c>
      <c r="B412" s="176">
        <v>46028</v>
      </c>
      <c r="C412" s="172" t="s">
        <v>93</v>
      </c>
      <c r="D412" s="172" t="s">
        <v>24</v>
      </c>
      <c r="E412" s="172" t="s">
        <v>54</v>
      </c>
      <c r="F412" s="172" t="s">
        <v>121</v>
      </c>
      <c r="G412" s="172" t="s">
        <v>85</v>
      </c>
      <c r="H412" s="177">
        <v>1</v>
      </c>
      <c r="I412" s="178">
        <v>0</v>
      </c>
      <c r="J412" s="176">
        <v>46022</v>
      </c>
      <c r="K412" s="172" t="s">
        <v>94</v>
      </c>
      <c r="L412" s="172" t="s">
        <v>95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869</v>
      </c>
      <c r="B413" s="176">
        <v>46028</v>
      </c>
      <c r="C413" s="172" t="s">
        <v>93</v>
      </c>
      <c r="D413" s="172" t="s">
        <v>24</v>
      </c>
      <c r="E413" s="172" t="s">
        <v>42</v>
      </c>
      <c r="F413" s="172" t="s">
        <v>84</v>
      </c>
      <c r="G413" s="172" t="s">
        <v>85</v>
      </c>
      <c r="H413" s="177">
        <v>1</v>
      </c>
      <c r="I413" s="178">
        <v>0</v>
      </c>
      <c r="J413" s="176">
        <v>46001</v>
      </c>
      <c r="K413" s="172" t="s">
        <v>94</v>
      </c>
      <c r="L413" s="172" t="s">
        <v>95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869</v>
      </c>
      <c r="B414" s="176">
        <v>46028</v>
      </c>
      <c r="C414" s="172" t="s">
        <v>82</v>
      </c>
      <c r="D414" s="172" t="s">
        <v>96</v>
      </c>
      <c r="E414" s="172" t="s">
        <v>42</v>
      </c>
      <c r="F414" s="172" t="s">
        <v>84</v>
      </c>
      <c r="G414" s="172" t="s">
        <v>85</v>
      </c>
      <c r="H414" s="177">
        <v>1</v>
      </c>
      <c r="I414" s="178">
        <v>0</v>
      </c>
      <c r="J414" s="176">
        <v>46001</v>
      </c>
      <c r="K414" s="172" t="s">
        <v>94</v>
      </c>
      <c r="L414" s="172" t="s">
        <v>95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869</v>
      </c>
      <c r="B415" s="176">
        <v>46028</v>
      </c>
      <c r="C415" s="172" t="s">
        <v>93</v>
      </c>
      <c r="D415" s="172" t="s">
        <v>97</v>
      </c>
      <c r="E415" s="172" t="s">
        <v>42</v>
      </c>
      <c r="F415" s="172" t="s">
        <v>84</v>
      </c>
      <c r="G415" s="172" t="s">
        <v>85</v>
      </c>
      <c r="H415" s="177">
        <v>1</v>
      </c>
      <c r="I415" s="178">
        <v>0</v>
      </c>
      <c r="J415" s="176">
        <v>46001</v>
      </c>
      <c r="K415" s="172" t="s">
        <v>94</v>
      </c>
      <c r="L415" s="172" t="s">
        <v>95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869</v>
      </c>
      <c r="B416" s="176">
        <v>46028</v>
      </c>
      <c r="C416" s="172" t="s">
        <v>93</v>
      </c>
      <c r="D416" s="172" t="s">
        <v>98</v>
      </c>
      <c r="E416" s="172" t="s">
        <v>42</v>
      </c>
      <c r="F416" s="172" t="s">
        <v>84</v>
      </c>
      <c r="G416" s="172" t="s">
        <v>85</v>
      </c>
      <c r="H416" s="177">
        <v>1</v>
      </c>
      <c r="I416" s="178">
        <v>0</v>
      </c>
      <c r="J416" s="176">
        <v>46001</v>
      </c>
      <c r="K416" s="172" t="s">
        <v>94</v>
      </c>
      <c r="L416" s="172" t="s">
        <v>95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870</v>
      </c>
      <c r="B417" s="176">
        <v>46028</v>
      </c>
      <c r="C417" s="172" t="s">
        <v>82</v>
      </c>
      <c r="D417" s="172" t="s">
        <v>83</v>
      </c>
      <c r="E417" s="172" t="s">
        <v>42</v>
      </c>
      <c r="F417" s="172" t="s">
        <v>84</v>
      </c>
      <c r="G417" s="172" t="s">
        <v>85</v>
      </c>
      <c r="H417" s="177">
        <v>1</v>
      </c>
      <c r="I417" s="178">
        <v>0</v>
      </c>
      <c r="J417" s="176">
        <v>46028</v>
      </c>
      <c r="K417" s="172" t="s">
        <v>86</v>
      </c>
      <c r="L417" s="172" t="s">
        <v>86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871</v>
      </c>
      <c r="B418" s="176">
        <v>46028</v>
      </c>
      <c r="C418" s="172" t="s">
        <v>93</v>
      </c>
      <c r="D418" s="172" t="s">
        <v>24</v>
      </c>
      <c r="E418" s="172" t="s">
        <v>44</v>
      </c>
      <c r="F418" s="172" t="s">
        <v>126</v>
      </c>
      <c r="G418" s="172" t="s">
        <v>85</v>
      </c>
      <c r="H418" s="177">
        <v>1</v>
      </c>
      <c r="I418" s="178">
        <v>1202</v>
      </c>
      <c r="J418" s="176">
        <v>46020</v>
      </c>
      <c r="K418" s="172" t="s">
        <v>94</v>
      </c>
      <c r="L418" s="172" t="s">
        <v>95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871</v>
      </c>
      <c r="B419" s="176">
        <v>46028</v>
      </c>
      <c r="C419" s="172" t="s">
        <v>101</v>
      </c>
      <c r="D419" s="172" t="s">
        <v>102</v>
      </c>
      <c r="E419" s="172" t="s">
        <v>44</v>
      </c>
      <c r="F419" s="172" t="s">
        <v>126</v>
      </c>
      <c r="G419" s="172" t="s">
        <v>85</v>
      </c>
      <c r="H419" s="177">
        <v>1</v>
      </c>
      <c r="I419" s="178">
        <v>1202</v>
      </c>
      <c r="J419" s="176">
        <v>46020</v>
      </c>
      <c r="K419" s="172" t="s">
        <v>94</v>
      </c>
      <c r="L419" s="172" t="s">
        <v>95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871</v>
      </c>
      <c r="B420" s="176">
        <v>46028</v>
      </c>
      <c r="C420" s="172" t="s">
        <v>101</v>
      </c>
      <c r="D420" s="172" t="s">
        <v>103</v>
      </c>
      <c r="E420" s="172" t="s">
        <v>44</v>
      </c>
      <c r="F420" s="172" t="s">
        <v>126</v>
      </c>
      <c r="G420" s="172" t="s">
        <v>85</v>
      </c>
      <c r="H420" s="177">
        <v>1</v>
      </c>
      <c r="I420" s="178">
        <v>1202</v>
      </c>
      <c r="J420" s="176">
        <v>46020</v>
      </c>
      <c r="K420" s="172" t="s">
        <v>94</v>
      </c>
      <c r="L420" s="172" t="s">
        <v>95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871</v>
      </c>
      <c r="B421" s="176">
        <v>46028</v>
      </c>
      <c r="C421" s="172" t="s">
        <v>101</v>
      </c>
      <c r="D421" s="172" t="s">
        <v>104</v>
      </c>
      <c r="E421" s="172" t="s">
        <v>44</v>
      </c>
      <c r="F421" s="172" t="s">
        <v>126</v>
      </c>
      <c r="G421" s="172" t="s">
        <v>85</v>
      </c>
      <c r="H421" s="177">
        <v>1</v>
      </c>
      <c r="I421" s="178">
        <v>1202</v>
      </c>
      <c r="J421" s="176">
        <v>46020</v>
      </c>
      <c r="K421" s="172" t="s">
        <v>94</v>
      </c>
      <c r="L421" s="172" t="s">
        <v>95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871</v>
      </c>
      <c r="B422" s="176">
        <v>46028</v>
      </c>
      <c r="C422" s="172" t="s">
        <v>105</v>
      </c>
      <c r="D422" s="172" t="s">
        <v>106</v>
      </c>
      <c r="E422" s="172" t="s">
        <v>44</v>
      </c>
      <c r="F422" s="172" t="s">
        <v>126</v>
      </c>
      <c r="G422" s="172" t="s">
        <v>85</v>
      </c>
      <c r="H422" s="177">
        <v>1</v>
      </c>
      <c r="I422" s="178">
        <v>1202</v>
      </c>
      <c r="J422" s="176">
        <v>46020</v>
      </c>
      <c r="K422" s="172" t="s">
        <v>94</v>
      </c>
      <c r="L422" s="172" t="s">
        <v>95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871</v>
      </c>
      <c r="B423" s="176">
        <v>46028</v>
      </c>
      <c r="C423" s="172" t="s">
        <v>82</v>
      </c>
      <c r="D423" s="172" t="s">
        <v>96</v>
      </c>
      <c r="E423" s="172" t="s">
        <v>44</v>
      </c>
      <c r="F423" s="172" t="s">
        <v>126</v>
      </c>
      <c r="G423" s="172" t="s">
        <v>85</v>
      </c>
      <c r="H423" s="177">
        <v>1</v>
      </c>
      <c r="I423" s="178">
        <v>1202</v>
      </c>
      <c r="J423" s="176">
        <v>46020</v>
      </c>
      <c r="K423" s="172" t="s">
        <v>94</v>
      </c>
      <c r="L423" s="172" t="s">
        <v>95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872</v>
      </c>
      <c r="B424" s="176">
        <v>46028</v>
      </c>
      <c r="C424" s="172" t="s">
        <v>93</v>
      </c>
      <c r="D424" s="172" t="s">
        <v>24</v>
      </c>
      <c r="E424" s="172" t="s">
        <v>53</v>
      </c>
      <c r="F424" s="172" t="s">
        <v>91</v>
      </c>
      <c r="G424" s="172" t="s">
        <v>85</v>
      </c>
      <c r="H424" s="177">
        <v>1</v>
      </c>
      <c r="I424" s="178">
        <v>1621</v>
      </c>
      <c r="J424" s="176">
        <v>46027</v>
      </c>
      <c r="K424" s="172" t="s">
        <v>94</v>
      </c>
      <c r="L424" s="172" t="s">
        <v>95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872</v>
      </c>
      <c r="B425" s="176">
        <v>46028</v>
      </c>
      <c r="C425" s="172" t="s">
        <v>101</v>
      </c>
      <c r="D425" s="172" t="s">
        <v>102</v>
      </c>
      <c r="E425" s="172" t="s">
        <v>53</v>
      </c>
      <c r="F425" s="172" t="s">
        <v>91</v>
      </c>
      <c r="G425" s="172" t="s">
        <v>85</v>
      </c>
      <c r="H425" s="177">
        <v>1</v>
      </c>
      <c r="I425" s="178">
        <v>1621</v>
      </c>
      <c r="J425" s="176">
        <v>46027</v>
      </c>
      <c r="K425" s="172" t="s">
        <v>94</v>
      </c>
      <c r="L425" s="172" t="s">
        <v>95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872</v>
      </c>
      <c r="B426" s="176">
        <v>46028</v>
      </c>
      <c r="C426" s="172" t="s">
        <v>101</v>
      </c>
      <c r="D426" s="172" t="s">
        <v>103</v>
      </c>
      <c r="E426" s="172" t="s">
        <v>53</v>
      </c>
      <c r="F426" s="172" t="s">
        <v>91</v>
      </c>
      <c r="G426" s="172" t="s">
        <v>85</v>
      </c>
      <c r="H426" s="177">
        <v>1</v>
      </c>
      <c r="I426" s="178">
        <v>1621</v>
      </c>
      <c r="J426" s="176">
        <v>46027</v>
      </c>
      <c r="K426" s="172" t="s">
        <v>94</v>
      </c>
      <c r="L426" s="172" t="s">
        <v>95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872</v>
      </c>
      <c r="B427" s="176">
        <v>46028</v>
      </c>
      <c r="C427" s="172" t="s">
        <v>101</v>
      </c>
      <c r="D427" s="172" t="s">
        <v>104</v>
      </c>
      <c r="E427" s="172" t="s">
        <v>53</v>
      </c>
      <c r="F427" s="172" t="s">
        <v>91</v>
      </c>
      <c r="G427" s="172" t="s">
        <v>85</v>
      </c>
      <c r="H427" s="177">
        <v>1</v>
      </c>
      <c r="I427" s="178">
        <v>1621</v>
      </c>
      <c r="J427" s="176">
        <v>46027</v>
      </c>
      <c r="K427" s="172" t="s">
        <v>94</v>
      </c>
      <c r="L427" s="172" t="s">
        <v>95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872</v>
      </c>
      <c r="B428" s="176">
        <v>46028</v>
      </c>
      <c r="C428" s="172" t="s">
        <v>105</v>
      </c>
      <c r="D428" s="172" t="s">
        <v>106</v>
      </c>
      <c r="E428" s="172" t="s">
        <v>53</v>
      </c>
      <c r="F428" s="172" t="s">
        <v>91</v>
      </c>
      <c r="G428" s="172" t="s">
        <v>85</v>
      </c>
      <c r="H428" s="177">
        <v>1</v>
      </c>
      <c r="I428" s="178">
        <v>1621</v>
      </c>
      <c r="J428" s="176">
        <v>46027</v>
      </c>
      <c r="K428" s="172" t="s">
        <v>94</v>
      </c>
      <c r="L428" s="172" t="s">
        <v>95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872</v>
      </c>
      <c r="B429" s="176">
        <v>46028</v>
      </c>
      <c r="C429" s="172" t="s">
        <v>82</v>
      </c>
      <c r="D429" s="172" t="s">
        <v>96</v>
      </c>
      <c r="E429" s="172" t="s">
        <v>53</v>
      </c>
      <c r="F429" s="172" t="s">
        <v>91</v>
      </c>
      <c r="G429" s="172" t="s">
        <v>85</v>
      </c>
      <c r="H429" s="177">
        <v>1</v>
      </c>
      <c r="I429" s="178">
        <v>1621</v>
      </c>
      <c r="J429" s="176">
        <v>46027</v>
      </c>
      <c r="K429" s="172" t="s">
        <v>94</v>
      </c>
      <c r="L429" s="172" t="s">
        <v>95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873</v>
      </c>
      <c r="B430" s="176">
        <v>46028</v>
      </c>
      <c r="C430" s="172" t="s">
        <v>93</v>
      </c>
      <c r="D430" s="172" t="s">
        <v>24</v>
      </c>
      <c r="E430" s="172" t="s">
        <v>54</v>
      </c>
      <c r="F430" s="172" t="s">
        <v>121</v>
      </c>
      <c r="G430" s="172" t="s">
        <v>85</v>
      </c>
      <c r="H430" s="177">
        <v>1</v>
      </c>
      <c r="I430" s="178">
        <v>1845</v>
      </c>
      <c r="J430" s="176">
        <v>46022</v>
      </c>
      <c r="K430" s="172" t="s">
        <v>94</v>
      </c>
      <c r="L430" s="172" t="s">
        <v>95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873</v>
      </c>
      <c r="B431" s="176">
        <v>46028</v>
      </c>
      <c r="C431" s="172" t="s">
        <v>101</v>
      </c>
      <c r="D431" s="172" t="s">
        <v>102</v>
      </c>
      <c r="E431" s="172" t="s">
        <v>54</v>
      </c>
      <c r="F431" s="172" t="s">
        <v>121</v>
      </c>
      <c r="G431" s="172" t="s">
        <v>85</v>
      </c>
      <c r="H431" s="177">
        <v>1</v>
      </c>
      <c r="I431" s="178">
        <v>1845</v>
      </c>
      <c r="J431" s="176">
        <v>46022</v>
      </c>
      <c r="K431" s="172" t="s">
        <v>94</v>
      </c>
      <c r="L431" s="172" t="s">
        <v>95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873</v>
      </c>
      <c r="B432" s="176">
        <v>46028</v>
      </c>
      <c r="C432" s="172" t="s">
        <v>101</v>
      </c>
      <c r="D432" s="172" t="s">
        <v>103</v>
      </c>
      <c r="E432" s="172" t="s">
        <v>54</v>
      </c>
      <c r="F432" s="172" t="s">
        <v>121</v>
      </c>
      <c r="G432" s="172" t="s">
        <v>85</v>
      </c>
      <c r="H432" s="177">
        <v>1</v>
      </c>
      <c r="I432" s="178">
        <v>1845</v>
      </c>
      <c r="J432" s="176">
        <v>46022</v>
      </c>
      <c r="K432" s="172" t="s">
        <v>94</v>
      </c>
      <c r="L432" s="172" t="s">
        <v>95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873</v>
      </c>
      <c r="B433" s="176">
        <v>46028</v>
      </c>
      <c r="C433" s="172" t="s">
        <v>101</v>
      </c>
      <c r="D433" s="172" t="s">
        <v>104</v>
      </c>
      <c r="E433" s="172" t="s">
        <v>54</v>
      </c>
      <c r="F433" s="172" t="s">
        <v>121</v>
      </c>
      <c r="G433" s="172" t="s">
        <v>85</v>
      </c>
      <c r="H433" s="177">
        <v>1</v>
      </c>
      <c r="I433" s="178">
        <v>1845</v>
      </c>
      <c r="J433" s="176">
        <v>46022</v>
      </c>
      <c r="K433" s="172" t="s">
        <v>94</v>
      </c>
      <c r="L433" s="172" t="s">
        <v>95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873</v>
      </c>
      <c r="B434" s="176">
        <v>46028</v>
      </c>
      <c r="C434" s="172" t="s">
        <v>105</v>
      </c>
      <c r="D434" s="172" t="s">
        <v>106</v>
      </c>
      <c r="E434" s="172" t="s">
        <v>54</v>
      </c>
      <c r="F434" s="172" t="s">
        <v>121</v>
      </c>
      <c r="G434" s="172" t="s">
        <v>85</v>
      </c>
      <c r="H434" s="177">
        <v>1</v>
      </c>
      <c r="I434" s="178">
        <v>1845</v>
      </c>
      <c r="J434" s="176">
        <v>46022</v>
      </c>
      <c r="K434" s="172" t="s">
        <v>94</v>
      </c>
      <c r="L434" s="172" t="s">
        <v>95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873</v>
      </c>
      <c r="B435" s="176">
        <v>46028</v>
      </c>
      <c r="C435" s="172" t="s">
        <v>82</v>
      </c>
      <c r="D435" s="172" t="s">
        <v>96</v>
      </c>
      <c r="E435" s="172" t="s">
        <v>54</v>
      </c>
      <c r="F435" s="172" t="s">
        <v>121</v>
      </c>
      <c r="G435" s="172" t="s">
        <v>85</v>
      </c>
      <c r="H435" s="177">
        <v>1</v>
      </c>
      <c r="I435" s="178">
        <v>1845</v>
      </c>
      <c r="J435" s="176">
        <v>46022</v>
      </c>
      <c r="K435" s="172" t="s">
        <v>94</v>
      </c>
      <c r="L435" s="172" t="s">
        <v>95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874</v>
      </c>
      <c r="B436" s="176">
        <v>46028</v>
      </c>
      <c r="C436" s="172" t="s">
        <v>93</v>
      </c>
      <c r="D436" s="172" t="s">
        <v>24</v>
      </c>
      <c r="E436" s="172" t="s">
        <v>41</v>
      </c>
      <c r="F436" s="172" t="s">
        <v>198</v>
      </c>
      <c r="G436" s="172" t="s">
        <v>85</v>
      </c>
      <c r="H436" s="177">
        <v>1</v>
      </c>
      <c r="I436" s="178">
        <v>1650</v>
      </c>
      <c r="J436" s="176">
        <v>46024</v>
      </c>
      <c r="K436" s="172" t="s">
        <v>94</v>
      </c>
      <c r="L436" s="172" t="s">
        <v>95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874</v>
      </c>
      <c r="B437" s="176">
        <v>46028</v>
      </c>
      <c r="C437" s="172" t="s">
        <v>101</v>
      </c>
      <c r="D437" s="172" t="s">
        <v>102</v>
      </c>
      <c r="E437" s="172" t="s">
        <v>41</v>
      </c>
      <c r="F437" s="172" t="s">
        <v>198</v>
      </c>
      <c r="G437" s="172" t="s">
        <v>85</v>
      </c>
      <c r="H437" s="177">
        <v>1</v>
      </c>
      <c r="I437" s="178">
        <v>1650</v>
      </c>
      <c r="J437" s="176">
        <v>46024</v>
      </c>
      <c r="K437" s="172" t="s">
        <v>94</v>
      </c>
      <c r="L437" s="172" t="s">
        <v>95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874</v>
      </c>
      <c r="B438" s="176">
        <v>46028</v>
      </c>
      <c r="C438" s="172" t="s">
        <v>101</v>
      </c>
      <c r="D438" s="172" t="s">
        <v>103</v>
      </c>
      <c r="E438" s="172" t="s">
        <v>41</v>
      </c>
      <c r="F438" s="172" t="s">
        <v>198</v>
      </c>
      <c r="G438" s="172" t="s">
        <v>85</v>
      </c>
      <c r="H438" s="177">
        <v>1</v>
      </c>
      <c r="I438" s="178">
        <v>1650</v>
      </c>
      <c r="J438" s="176">
        <v>46024</v>
      </c>
      <c r="K438" s="172" t="s">
        <v>94</v>
      </c>
      <c r="L438" s="172" t="s">
        <v>95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874</v>
      </c>
      <c r="B439" s="176">
        <v>46028</v>
      </c>
      <c r="C439" s="172" t="s">
        <v>101</v>
      </c>
      <c r="D439" s="172" t="s">
        <v>104</v>
      </c>
      <c r="E439" s="172" t="s">
        <v>41</v>
      </c>
      <c r="F439" s="172" t="s">
        <v>198</v>
      </c>
      <c r="G439" s="172" t="s">
        <v>85</v>
      </c>
      <c r="H439" s="177">
        <v>1</v>
      </c>
      <c r="I439" s="178">
        <v>1650</v>
      </c>
      <c r="J439" s="176">
        <v>46024</v>
      </c>
      <c r="K439" s="172" t="s">
        <v>94</v>
      </c>
      <c r="L439" s="172" t="s">
        <v>95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874</v>
      </c>
      <c r="B440" s="176">
        <v>46028</v>
      </c>
      <c r="C440" s="172" t="s">
        <v>105</v>
      </c>
      <c r="D440" s="172" t="s">
        <v>106</v>
      </c>
      <c r="E440" s="172" t="s">
        <v>41</v>
      </c>
      <c r="F440" s="172" t="s">
        <v>198</v>
      </c>
      <c r="G440" s="172" t="s">
        <v>85</v>
      </c>
      <c r="H440" s="177">
        <v>1</v>
      </c>
      <c r="I440" s="178">
        <v>1650</v>
      </c>
      <c r="J440" s="176">
        <v>46024</v>
      </c>
      <c r="K440" s="172" t="s">
        <v>94</v>
      </c>
      <c r="L440" s="172" t="s">
        <v>95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874</v>
      </c>
      <c r="B441" s="176">
        <v>46028</v>
      </c>
      <c r="C441" s="172" t="s">
        <v>82</v>
      </c>
      <c r="D441" s="172" t="s">
        <v>96</v>
      </c>
      <c r="E441" s="172" t="s">
        <v>41</v>
      </c>
      <c r="F441" s="172" t="s">
        <v>198</v>
      </c>
      <c r="G441" s="172" t="s">
        <v>85</v>
      </c>
      <c r="H441" s="177">
        <v>1</v>
      </c>
      <c r="I441" s="178">
        <v>1650</v>
      </c>
      <c r="J441" s="176">
        <v>46024</v>
      </c>
      <c r="K441" s="172" t="s">
        <v>94</v>
      </c>
      <c r="L441" s="172" t="s">
        <v>95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875</v>
      </c>
      <c r="B442" s="176">
        <v>46028</v>
      </c>
      <c r="C442" s="172" t="s">
        <v>93</v>
      </c>
      <c r="D442" s="172" t="s">
        <v>24</v>
      </c>
      <c r="E442" s="172" t="s">
        <v>44</v>
      </c>
      <c r="F442" s="172" t="s">
        <v>126</v>
      </c>
      <c r="G442" s="172" t="s">
        <v>85</v>
      </c>
      <c r="H442" s="177">
        <v>1</v>
      </c>
      <c r="I442" s="178">
        <v>1202</v>
      </c>
      <c r="J442" s="176">
        <v>46026</v>
      </c>
      <c r="K442" s="172" t="s">
        <v>94</v>
      </c>
      <c r="L442" s="172" t="s">
        <v>95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875</v>
      </c>
      <c r="B443" s="176">
        <v>46028</v>
      </c>
      <c r="C443" s="172" t="s">
        <v>101</v>
      </c>
      <c r="D443" s="172" t="s">
        <v>102</v>
      </c>
      <c r="E443" s="172" t="s">
        <v>44</v>
      </c>
      <c r="F443" s="172" t="s">
        <v>126</v>
      </c>
      <c r="G443" s="172" t="s">
        <v>85</v>
      </c>
      <c r="H443" s="177">
        <v>1</v>
      </c>
      <c r="I443" s="178">
        <v>1202</v>
      </c>
      <c r="J443" s="176">
        <v>46026</v>
      </c>
      <c r="K443" s="172" t="s">
        <v>94</v>
      </c>
      <c r="L443" s="172" t="s">
        <v>95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875</v>
      </c>
      <c r="B444" s="176">
        <v>46028</v>
      </c>
      <c r="C444" s="172" t="s">
        <v>101</v>
      </c>
      <c r="D444" s="172" t="s">
        <v>103</v>
      </c>
      <c r="E444" s="172" t="s">
        <v>44</v>
      </c>
      <c r="F444" s="172" t="s">
        <v>126</v>
      </c>
      <c r="G444" s="172" t="s">
        <v>85</v>
      </c>
      <c r="H444" s="177">
        <v>1</v>
      </c>
      <c r="I444" s="178">
        <v>1202</v>
      </c>
      <c r="J444" s="176">
        <v>46026</v>
      </c>
      <c r="K444" s="172" t="s">
        <v>94</v>
      </c>
      <c r="L444" s="172" t="s">
        <v>95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875</v>
      </c>
      <c r="B445" s="176">
        <v>46028</v>
      </c>
      <c r="C445" s="172" t="s">
        <v>101</v>
      </c>
      <c r="D445" s="172" t="s">
        <v>104</v>
      </c>
      <c r="E445" s="172" t="s">
        <v>44</v>
      </c>
      <c r="F445" s="172" t="s">
        <v>126</v>
      </c>
      <c r="G445" s="172" t="s">
        <v>85</v>
      </c>
      <c r="H445" s="177">
        <v>1</v>
      </c>
      <c r="I445" s="178">
        <v>1202</v>
      </c>
      <c r="J445" s="176">
        <v>46026</v>
      </c>
      <c r="K445" s="172" t="s">
        <v>94</v>
      </c>
      <c r="L445" s="172" t="s">
        <v>95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875</v>
      </c>
      <c r="B446" s="176">
        <v>46028</v>
      </c>
      <c r="C446" s="172" t="s">
        <v>105</v>
      </c>
      <c r="D446" s="172" t="s">
        <v>106</v>
      </c>
      <c r="E446" s="172" t="s">
        <v>44</v>
      </c>
      <c r="F446" s="172" t="s">
        <v>126</v>
      </c>
      <c r="G446" s="172" t="s">
        <v>85</v>
      </c>
      <c r="H446" s="177">
        <v>1</v>
      </c>
      <c r="I446" s="178">
        <v>1202</v>
      </c>
      <c r="J446" s="176">
        <v>46026</v>
      </c>
      <c r="K446" s="172" t="s">
        <v>94</v>
      </c>
      <c r="L446" s="172" t="s">
        <v>95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875</v>
      </c>
      <c r="B447" s="176">
        <v>46028</v>
      </c>
      <c r="C447" s="172" t="s">
        <v>82</v>
      </c>
      <c r="D447" s="172" t="s">
        <v>96</v>
      </c>
      <c r="E447" s="172" t="s">
        <v>44</v>
      </c>
      <c r="F447" s="172" t="s">
        <v>126</v>
      </c>
      <c r="G447" s="172" t="s">
        <v>85</v>
      </c>
      <c r="H447" s="177">
        <v>1</v>
      </c>
      <c r="I447" s="178">
        <v>1202</v>
      </c>
      <c r="J447" s="176">
        <v>46026</v>
      </c>
      <c r="K447" s="172" t="s">
        <v>94</v>
      </c>
      <c r="L447" s="172" t="s">
        <v>95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483</v>
      </c>
      <c r="B448" s="176">
        <v>46028</v>
      </c>
      <c r="C448" s="172" t="s">
        <v>82</v>
      </c>
      <c r="D448" s="172" t="s">
        <v>83</v>
      </c>
      <c r="E448" s="172" t="s">
        <v>42</v>
      </c>
      <c r="F448" s="172" t="s">
        <v>84</v>
      </c>
      <c r="G448" s="172" t="s">
        <v>85</v>
      </c>
      <c r="H448" s="177">
        <v>1</v>
      </c>
      <c r="I448" s="178">
        <v>0</v>
      </c>
      <c r="J448" s="176">
        <v>46028</v>
      </c>
      <c r="K448" s="172" t="s">
        <v>86</v>
      </c>
      <c r="L448" s="172" t="s">
        <v>86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874</v>
      </c>
      <c r="B449" s="176">
        <v>46028</v>
      </c>
      <c r="C449" s="172" t="s">
        <v>82</v>
      </c>
      <c r="D449" s="172" t="s">
        <v>83</v>
      </c>
      <c r="E449" s="172" t="s">
        <v>41</v>
      </c>
      <c r="F449" s="172" t="s">
        <v>198</v>
      </c>
      <c r="G449" s="172" t="s">
        <v>85</v>
      </c>
      <c r="H449" s="177">
        <v>1</v>
      </c>
      <c r="I449" s="178">
        <v>0</v>
      </c>
      <c r="J449" s="176">
        <v>46024</v>
      </c>
      <c r="K449" s="172" t="s">
        <v>86</v>
      </c>
      <c r="L449" s="172" t="s">
        <v>86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875</v>
      </c>
      <c r="B450" s="176">
        <v>46028</v>
      </c>
      <c r="C450" s="172" t="s">
        <v>82</v>
      </c>
      <c r="D450" s="172" t="s">
        <v>83</v>
      </c>
      <c r="E450" s="172" t="s">
        <v>44</v>
      </c>
      <c r="F450" s="172" t="s">
        <v>126</v>
      </c>
      <c r="G450" s="172" t="s">
        <v>85</v>
      </c>
      <c r="H450" s="177">
        <v>1</v>
      </c>
      <c r="I450" s="178">
        <v>0</v>
      </c>
      <c r="J450" s="176">
        <v>46026</v>
      </c>
      <c r="K450" s="172" t="s">
        <v>86</v>
      </c>
      <c r="L450" s="172" t="s">
        <v>86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876</v>
      </c>
      <c r="B451" s="176">
        <v>46028</v>
      </c>
      <c r="C451" s="172" t="s">
        <v>93</v>
      </c>
      <c r="D451" s="172" t="s">
        <v>24</v>
      </c>
      <c r="E451" s="172" t="s">
        <v>39</v>
      </c>
      <c r="F451" s="172" t="s">
        <v>88</v>
      </c>
      <c r="G451" s="172" t="s">
        <v>85</v>
      </c>
      <c r="H451" s="177">
        <v>1</v>
      </c>
      <c r="I451" s="178">
        <v>1650</v>
      </c>
      <c r="J451" s="176">
        <v>46025</v>
      </c>
      <c r="K451" s="172" t="s">
        <v>94</v>
      </c>
      <c r="L451" s="172" t="s">
        <v>95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876</v>
      </c>
      <c r="B452" s="176">
        <v>46028</v>
      </c>
      <c r="C452" s="172" t="s">
        <v>101</v>
      </c>
      <c r="D452" s="172" t="s">
        <v>102</v>
      </c>
      <c r="E452" s="172" t="s">
        <v>39</v>
      </c>
      <c r="F452" s="172" t="s">
        <v>88</v>
      </c>
      <c r="G452" s="172" t="s">
        <v>85</v>
      </c>
      <c r="H452" s="177">
        <v>1</v>
      </c>
      <c r="I452" s="178">
        <v>1650</v>
      </c>
      <c r="J452" s="176">
        <v>46025</v>
      </c>
      <c r="K452" s="172" t="s">
        <v>94</v>
      </c>
      <c r="L452" s="172" t="s">
        <v>95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876</v>
      </c>
      <c r="B453" s="176">
        <v>46028</v>
      </c>
      <c r="C453" s="172" t="s">
        <v>101</v>
      </c>
      <c r="D453" s="172" t="s">
        <v>103</v>
      </c>
      <c r="E453" s="172" t="s">
        <v>39</v>
      </c>
      <c r="F453" s="172" t="s">
        <v>88</v>
      </c>
      <c r="G453" s="172" t="s">
        <v>85</v>
      </c>
      <c r="H453" s="177">
        <v>1</v>
      </c>
      <c r="I453" s="178">
        <v>1650</v>
      </c>
      <c r="J453" s="176">
        <v>46025</v>
      </c>
      <c r="K453" s="172" t="s">
        <v>94</v>
      </c>
      <c r="L453" s="172" t="s">
        <v>95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876</v>
      </c>
      <c r="B454" s="176">
        <v>46028</v>
      </c>
      <c r="C454" s="172" t="s">
        <v>101</v>
      </c>
      <c r="D454" s="172" t="s">
        <v>104</v>
      </c>
      <c r="E454" s="172" t="s">
        <v>39</v>
      </c>
      <c r="F454" s="172" t="s">
        <v>88</v>
      </c>
      <c r="G454" s="172" t="s">
        <v>85</v>
      </c>
      <c r="H454" s="177">
        <v>1</v>
      </c>
      <c r="I454" s="178">
        <v>1650</v>
      </c>
      <c r="J454" s="176">
        <v>46025</v>
      </c>
      <c r="K454" s="172" t="s">
        <v>94</v>
      </c>
      <c r="L454" s="172" t="s">
        <v>95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876</v>
      </c>
      <c r="B455" s="176">
        <v>46028</v>
      </c>
      <c r="C455" s="172" t="s">
        <v>105</v>
      </c>
      <c r="D455" s="172" t="s">
        <v>106</v>
      </c>
      <c r="E455" s="172" t="s">
        <v>39</v>
      </c>
      <c r="F455" s="172" t="s">
        <v>88</v>
      </c>
      <c r="G455" s="172" t="s">
        <v>85</v>
      </c>
      <c r="H455" s="177">
        <v>1</v>
      </c>
      <c r="I455" s="178">
        <v>1650</v>
      </c>
      <c r="J455" s="176">
        <v>46025</v>
      </c>
      <c r="K455" s="172" t="s">
        <v>94</v>
      </c>
      <c r="L455" s="172" t="s">
        <v>95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876</v>
      </c>
      <c r="B456" s="176">
        <v>46028</v>
      </c>
      <c r="C456" s="172" t="s">
        <v>82</v>
      </c>
      <c r="D456" s="172" t="s">
        <v>96</v>
      </c>
      <c r="E456" s="172" t="s">
        <v>39</v>
      </c>
      <c r="F456" s="172" t="s">
        <v>88</v>
      </c>
      <c r="G456" s="172" t="s">
        <v>85</v>
      </c>
      <c r="H456" s="177">
        <v>1</v>
      </c>
      <c r="I456" s="178">
        <v>1650</v>
      </c>
      <c r="J456" s="176">
        <v>46025</v>
      </c>
      <c r="K456" s="172" t="s">
        <v>94</v>
      </c>
      <c r="L456" s="172" t="s">
        <v>95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876</v>
      </c>
      <c r="B457" s="176">
        <v>46028</v>
      </c>
      <c r="C457" s="172" t="s">
        <v>82</v>
      </c>
      <c r="D457" s="172" t="s">
        <v>83</v>
      </c>
      <c r="E457" s="172" t="s">
        <v>39</v>
      </c>
      <c r="F457" s="172" t="s">
        <v>88</v>
      </c>
      <c r="G457" s="172" t="s">
        <v>85</v>
      </c>
      <c r="H457" s="177">
        <v>1</v>
      </c>
      <c r="I457" s="178">
        <v>0</v>
      </c>
      <c r="J457" s="176">
        <v>46025</v>
      </c>
      <c r="K457" s="172" t="s">
        <v>86</v>
      </c>
      <c r="L457" s="172" t="s">
        <v>86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877</v>
      </c>
      <c r="B458" s="176">
        <v>46028</v>
      </c>
      <c r="C458" s="172" t="s">
        <v>93</v>
      </c>
      <c r="D458" s="172" t="s">
        <v>24</v>
      </c>
      <c r="E458" s="172" t="s">
        <v>54</v>
      </c>
      <c r="F458" s="172" t="s">
        <v>121</v>
      </c>
      <c r="G458" s="172" t="s">
        <v>85</v>
      </c>
      <c r="H458" s="177">
        <v>1</v>
      </c>
      <c r="I458" s="178">
        <v>1845</v>
      </c>
      <c r="J458" s="176">
        <v>46019</v>
      </c>
      <c r="K458" s="172" t="s">
        <v>94</v>
      </c>
      <c r="L458" s="172" t="s">
        <v>95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877</v>
      </c>
      <c r="B459" s="176">
        <v>46028</v>
      </c>
      <c r="C459" s="172" t="s">
        <v>101</v>
      </c>
      <c r="D459" s="172" t="s">
        <v>102</v>
      </c>
      <c r="E459" s="172" t="s">
        <v>54</v>
      </c>
      <c r="F459" s="172" t="s">
        <v>121</v>
      </c>
      <c r="G459" s="172" t="s">
        <v>85</v>
      </c>
      <c r="H459" s="177">
        <v>1</v>
      </c>
      <c r="I459" s="178">
        <v>1845</v>
      </c>
      <c r="J459" s="176">
        <v>46019</v>
      </c>
      <c r="K459" s="172" t="s">
        <v>94</v>
      </c>
      <c r="L459" s="172" t="s">
        <v>95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877</v>
      </c>
      <c r="B460" s="176">
        <v>46028</v>
      </c>
      <c r="C460" s="172" t="s">
        <v>101</v>
      </c>
      <c r="D460" s="172" t="s">
        <v>103</v>
      </c>
      <c r="E460" s="172" t="s">
        <v>54</v>
      </c>
      <c r="F460" s="172" t="s">
        <v>121</v>
      </c>
      <c r="G460" s="172" t="s">
        <v>85</v>
      </c>
      <c r="H460" s="177">
        <v>1</v>
      </c>
      <c r="I460" s="178">
        <v>1845</v>
      </c>
      <c r="J460" s="176">
        <v>46019</v>
      </c>
      <c r="K460" s="172" t="s">
        <v>94</v>
      </c>
      <c r="L460" s="172" t="s">
        <v>95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877</v>
      </c>
      <c r="B461" s="176">
        <v>46028</v>
      </c>
      <c r="C461" s="172" t="s">
        <v>101</v>
      </c>
      <c r="D461" s="172" t="s">
        <v>104</v>
      </c>
      <c r="E461" s="172" t="s">
        <v>54</v>
      </c>
      <c r="F461" s="172" t="s">
        <v>121</v>
      </c>
      <c r="G461" s="172" t="s">
        <v>85</v>
      </c>
      <c r="H461" s="177">
        <v>1</v>
      </c>
      <c r="I461" s="178">
        <v>1845</v>
      </c>
      <c r="J461" s="176">
        <v>46019</v>
      </c>
      <c r="K461" s="172" t="s">
        <v>94</v>
      </c>
      <c r="L461" s="172" t="s">
        <v>95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877</v>
      </c>
      <c r="B462" s="176">
        <v>46028</v>
      </c>
      <c r="C462" s="172" t="s">
        <v>105</v>
      </c>
      <c r="D462" s="172" t="s">
        <v>106</v>
      </c>
      <c r="E462" s="172" t="s">
        <v>54</v>
      </c>
      <c r="F462" s="172" t="s">
        <v>121</v>
      </c>
      <c r="G462" s="172" t="s">
        <v>85</v>
      </c>
      <c r="H462" s="177">
        <v>1</v>
      </c>
      <c r="I462" s="178">
        <v>1845</v>
      </c>
      <c r="J462" s="176">
        <v>46019</v>
      </c>
      <c r="K462" s="172" t="s">
        <v>94</v>
      </c>
      <c r="L462" s="172" t="s">
        <v>95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877</v>
      </c>
      <c r="B463" s="176">
        <v>46028</v>
      </c>
      <c r="C463" s="172" t="s">
        <v>82</v>
      </c>
      <c r="D463" s="172" t="s">
        <v>96</v>
      </c>
      <c r="E463" s="172" t="s">
        <v>54</v>
      </c>
      <c r="F463" s="172" t="s">
        <v>121</v>
      </c>
      <c r="G463" s="172" t="s">
        <v>85</v>
      </c>
      <c r="H463" s="177">
        <v>1</v>
      </c>
      <c r="I463" s="178">
        <v>1845</v>
      </c>
      <c r="J463" s="176">
        <v>46019</v>
      </c>
      <c r="K463" s="172" t="s">
        <v>94</v>
      </c>
      <c r="L463" s="172" t="s">
        <v>95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877</v>
      </c>
      <c r="B464" s="176">
        <v>46028</v>
      </c>
      <c r="C464" s="172" t="s">
        <v>82</v>
      </c>
      <c r="D464" s="172" t="s">
        <v>83</v>
      </c>
      <c r="E464" s="172" t="s">
        <v>54</v>
      </c>
      <c r="F464" s="172" t="s">
        <v>121</v>
      </c>
      <c r="G464" s="172" t="s">
        <v>85</v>
      </c>
      <c r="H464" s="177">
        <v>1</v>
      </c>
      <c r="I464" s="178">
        <v>0</v>
      </c>
      <c r="J464" s="176">
        <v>46019</v>
      </c>
      <c r="K464" s="172" t="s">
        <v>86</v>
      </c>
      <c r="L464" s="172" t="s">
        <v>86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143</v>
      </c>
      <c r="B465" s="176">
        <v>46028</v>
      </c>
      <c r="C465" s="172" t="s">
        <v>110</v>
      </c>
      <c r="D465" s="172" t="s">
        <v>144</v>
      </c>
      <c r="E465" s="172" t="s">
        <v>86</v>
      </c>
      <c r="F465" s="172" t="s">
        <v>86</v>
      </c>
      <c r="G465" s="172" t="s">
        <v>86</v>
      </c>
      <c r="H465" s="177">
        <v>0</v>
      </c>
      <c r="I465" s="178">
        <v>0</v>
      </c>
      <c r="J465" s="176">
        <v>46028</v>
      </c>
      <c r="K465" s="172" t="s">
        <v>86</v>
      </c>
      <c r="L465" s="172" t="s">
        <v>86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145</v>
      </c>
      <c r="B466" s="176">
        <v>46028</v>
      </c>
      <c r="C466" s="172" t="s">
        <v>110</v>
      </c>
      <c r="D466" s="172" t="s">
        <v>140</v>
      </c>
      <c r="E466" s="172" t="s">
        <v>86</v>
      </c>
      <c r="F466" s="172" t="s">
        <v>86</v>
      </c>
      <c r="G466" s="172" t="s">
        <v>86</v>
      </c>
      <c r="H466" s="177">
        <v>0</v>
      </c>
      <c r="I466" s="178">
        <v>0</v>
      </c>
      <c r="J466" s="176">
        <v>46028</v>
      </c>
      <c r="K466" s="172" t="s">
        <v>86</v>
      </c>
      <c r="L466" s="172" t="s">
        <v>86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139</v>
      </c>
      <c r="B467" s="176">
        <v>46028</v>
      </c>
      <c r="C467" s="172" t="s">
        <v>110</v>
      </c>
      <c r="D467" s="172" t="s">
        <v>140</v>
      </c>
      <c r="E467" s="172" t="s">
        <v>86</v>
      </c>
      <c r="F467" s="172" t="s">
        <v>86</v>
      </c>
      <c r="G467" s="172" t="s">
        <v>86</v>
      </c>
      <c r="H467" s="177">
        <v>0</v>
      </c>
      <c r="I467" s="178">
        <v>0</v>
      </c>
      <c r="J467" s="176">
        <v>46028</v>
      </c>
      <c r="K467" s="172" t="s">
        <v>86</v>
      </c>
      <c r="L467" s="172" t="s">
        <v>86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414</v>
      </c>
      <c r="B468" s="176">
        <v>46028</v>
      </c>
      <c r="C468" s="172" t="s">
        <v>110</v>
      </c>
      <c r="D468" s="172" t="s">
        <v>140</v>
      </c>
      <c r="E468" s="172" t="s">
        <v>86</v>
      </c>
      <c r="F468" s="172" t="s">
        <v>86</v>
      </c>
      <c r="G468" s="172" t="s">
        <v>86</v>
      </c>
      <c r="H468" s="177">
        <v>0</v>
      </c>
      <c r="I468" s="178">
        <v>0</v>
      </c>
      <c r="J468" s="176">
        <v>46028</v>
      </c>
      <c r="K468" s="172" t="s">
        <v>86</v>
      </c>
      <c r="L468" s="172" t="s">
        <v>86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878</v>
      </c>
      <c r="B469" s="176">
        <v>46029</v>
      </c>
      <c r="C469" s="172" t="s">
        <v>82</v>
      </c>
      <c r="D469" s="172" t="s">
        <v>83</v>
      </c>
      <c r="E469" s="172" t="s">
        <v>42</v>
      </c>
      <c r="F469" s="172" t="s">
        <v>84</v>
      </c>
      <c r="G469" s="172" t="s">
        <v>85</v>
      </c>
      <c r="H469" s="177">
        <v>1</v>
      </c>
      <c r="I469" s="178">
        <v>0</v>
      </c>
      <c r="J469" s="176">
        <v>46029</v>
      </c>
      <c r="K469" s="172" t="s">
        <v>86</v>
      </c>
      <c r="L469" s="172" t="s">
        <v>86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879</v>
      </c>
      <c r="B470" s="176">
        <v>46029</v>
      </c>
      <c r="C470" s="172" t="s">
        <v>93</v>
      </c>
      <c r="D470" s="172" t="s">
        <v>24</v>
      </c>
      <c r="E470" s="172" t="s">
        <v>54</v>
      </c>
      <c r="F470" s="172" t="s">
        <v>121</v>
      </c>
      <c r="G470" s="172" t="s">
        <v>85</v>
      </c>
      <c r="H470" s="177">
        <v>1</v>
      </c>
      <c r="I470" s="178">
        <v>0</v>
      </c>
      <c r="J470" s="176">
        <v>46010</v>
      </c>
      <c r="K470" s="172" t="s">
        <v>94</v>
      </c>
      <c r="L470" s="172" t="s">
        <v>95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879</v>
      </c>
      <c r="B471" s="176">
        <v>46029</v>
      </c>
      <c r="C471" s="172" t="s">
        <v>82</v>
      </c>
      <c r="D471" s="172" t="s">
        <v>96</v>
      </c>
      <c r="E471" s="172" t="s">
        <v>54</v>
      </c>
      <c r="F471" s="172" t="s">
        <v>121</v>
      </c>
      <c r="G471" s="172" t="s">
        <v>85</v>
      </c>
      <c r="H471" s="177">
        <v>1</v>
      </c>
      <c r="I471" s="178">
        <v>0</v>
      </c>
      <c r="J471" s="176">
        <v>46010</v>
      </c>
      <c r="K471" s="172" t="s">
        <v>94</v>
      </c>
      <c r="L471" s="172" t="s">
        <v>95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879</v>
      </c>
      <c r="B472" s="176">
        <v>46029</v>
      </c>
      <c r="C472" s="172" t="s">
        <v>93</v>
      </c>
      <c r="D472" s="172" t="s">
        <v>97</v>
      </c>
      <c r="E472" s="172" t="s">
        <v>54</v>
      </c>
      <c r="F472" s="172" t="s">
        <v>121</v>
      </c>
      <c r="G472" s="172" t="s">
        <v>85</v>
      </c>
      <c r="H472" s="177">
        <v>1</v>
      </c>
      <c r="I472" s="178">
        <v>0</v>
      </c>
      <c r="J472" s="176">
        <v>46010</v>
      </c>
      <c r="K472" s="172" t="s">
        <v>94</v>
      </c>
      <c r="L472" s="172" t="s">
        <v>95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879</v>
      </c>
      <c r="B473" s="176">
        <v>46029</v>
      </c>
      <c r="C473" s="172" t="s">
        <v>93</v>
      </c>
      <c r="D473" s="172" t="s">
        <v>98</v>
      </c>
      <c r="E473" s="172" t="s">
        <v>54</v>
      </c>
      <c r="F473" s="172" t="s">
        <v>121</v>
      </c>
      <c r="G473" s="172" t="s">
        <v>85</v>
      </c>
      <c r="H473" s="177">
        <v>1</v>
      </c>
      <c r="I473" s="178">
        <v>0</v>
      </c>
      <c r="J473" s="176">
        <v>46010</v>
      </c>
      <c r="K473" s="172" t="s">
        <v>94</v>
      </c>
      <c r="L473" s="172" t="s">
        <v>95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880</v>
      </c>
      <c r="B474" s="176">
        <v>46029</v>
      </c>
      <c r="C474" s="172" t="s">
        <v>93</v>
      </c>
      <c r="D474" s="172" t="s">
        <v>24</v>
      </c>
      <c r="E474" s="172" t="s">
        <v>39</v>
      </c>
      <c r="F474" s="172" t="s">
        <v>88</v>
      </c>
      <c r="G474" s="172" t="s">
        <v>85</v>
      </c>
      <c r="H474" s="177">
        <v>1</v>
      </c>
      <c r="I474" s="178">
        <v>0</v>
      </c>
      <c r="J474" s="176">
        <v>46017</v>
      </c>
      <c r="K474" s="172" t="s">
        <v>94</v>
      </c>
      <c r="L474" s="172" t="s">
        <v>95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880</v>
      </c>
      <c r="B475" s="176">
        <v>46029</v>
      </c>
      <c r="C475" s="172" t="s">
        <v>82</v>
      </c>
      <c r="D475" s="172" t="s">
        <v>96</v>
      </c>
      <c r="E475" s="172" t="s">
        <v>39</v>
      </c>
      <c r="F475" s="172" t="s">
        <v>88</v>
      </c>
      <c r="G475" s="172" t="s">
        <v>85</v>
      </c>
      <c r="H475" s="177">
        <v>1</v>
      </c>
      <c r="I475" s="178">
        <v>0</v>
      </c>
      <c r="J475" s="176">
        <v>46017</v>
      </c>
      <c r="K475" s="172" t="s">
        <v>94</v>
      </c>
      <c r="L475" s="172" t="s">
        <v>95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881</v>
      </c>
      <c r="B476" s="176">
        <v>46029</v>
      </c>
      <c r="C476" s="172" t="s">
        <v>93</v>
      </c>
      <c r="D476" s="172" t="s">
        <v>24</v>
      </c>
      <c r="E476" s="172" t="s">
        <v>42</v>
      </c>
      <c r="F476" s="172" t="s">
        <v>84</v>
      </c>
      <c r="G476" s="172" t="s">
        <v>85</v>
      </c>
      <c r="H476" s="177">
        <v>1</v>
      </c>
      <c r="I476" s="178">
        <v>1600</v>
      </c>
      <c r="J476" s="176">
        <v>46005</v>
      </c>
      <c r="K476" s="172" t="s">
        <v>94</v>
      </c>
      <c r="L476" s="172" t="s">
        <v>95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881</v>
      </c>
      <c r="B477" s="176">
        <v>46029</v>
      </c>
      <c r="C477" s="172" t="s">
        <v>101</v>
      </c>
      <c r="D477" s="172" t="s">
        <v>102</v>
      </c>
      <c r="E477" s="172" t="s">
        <v>42</v>
      </c>
      <c r="F477" s="172" t="s">
        <v>84</v>
      </c>
      <c r="G477" s="172" t="s">
        <v>85</v>
      </c>
      <c r="H477" s="177">
        <v>1</v>
      </c>
      <c r="I477" s="178">
        <v>1600</v>
      </c>
      <c r="J477" s="176">
        <v>46005</v>
      </c>
      <c r="K477" s="172" t="s">
        <v>94</v>
      </c>
      <c r="L477" s="172" t="s">
        <v>95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881</v>
      </c>
      <c r="B478" s="176">
        <v>46029</v>
      </c>
      <c r="C478" s="172" t="s">
        <v>101</v>
      </c>
      <c r="D478" s="172" t="s">
        <v>103</v>
      </c>
      <c r="E478" s="172" t="s">
        <v>42</v>
      </c>
      <c r="F478" s="172" t="s">
        <v>84</v>
      </c>
      <c r="G478" s="172" t="s">
        <v>85</v>
      </c>
      <c r="H478" s="177">
        <v>1</v>
      </c>
      <c r="I478" s="178">
        <v>1600</v>
      </c>
      <c r="J478" s="176">
        <v>46005</v>
      </c>
      <c r="K478" s="172" t="s">
        <v>94</v>
      </c>
      <c r="L478" s="172" t="s">
        <v>95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881</v>
      </c>
      <c r="B479" s="176">
        <v>46029</v>
      </c>
      <c r="C479" s="172" t="s">
        <v>101</v>
      </c>
      <c r="D479" s="172" t="s">
        <v>104</v>
      </c>
      <c r="E479" s="172" t="s">
        <v>42</v>
      </c>
      <c r="F479" s="172" t="s">
        <v>84</v>
      </c>
      <c r="G479" s="172" t="s">
        <v>85</v>
      </c>
      <c r="H479" s="177">
        <v>1</v>
      </c>
      <c r="I479" s="178">
        <v>1600</v>
      </c>
      <c r="J479" s="176">
        <v>46005</v>
      </c>
      <c r="K479" s="172" t="s">
        <v>94</v>
      </c>
      <c r="L479" s="172" t="s">
        <v>95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881</v>
      </c>
      <c r="B480" s="176">
        <v>46029</v>
      </c>
      <c r="C480" s="172" t="s">
        <v>105</v>
      </c>
      <c r="D480" s="172" t="s">
        <v>106</v>
      </c>
      <c r="E480" s="172" t="s">
        <v>42</v>
      </c>
      <c r="F480" s="172" t="s">
        <v>84</v>
      </c>
      <c r="G480" s="172" t="s">
        <v>85</v>
      </c>
      <c r="H480" s="177">
        <v>1</v>
      </c>
      <c r="I480" s="178">
        <v>1600</v>
      </c>
      <c r="J480" s="176">
        <v>46005</v>
      </c>
      <c r="K480" s="172" t="s">
        <v>94</v>
      </c>
      <c r="L480" s="172" t="s">
        <v>95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880</v>
      </c>
      <c r="B481" s="176">
        <v>46029</v>
      </c>
      <c r="C481" s="172" t="s">
        <v>93</v>
      </c>
      <c r="D481" s="172" t="s">
        <v>97</v>
      </c>
      <c r="E481" s="172" t="s">
        <v>39</v>
      </c>
      <c r="F481" s="172" t="s">
        <v>88</v>
      </c>
      <c r="G481" s="172" t="s">
        <v>85</v>
      </c>
      <c r="H481" s="177">
        <v>1</v>
      </c>
      <c r="I481" s="178">
        <v>0</v>
      </c>
      <c r="J481" s="176">
        <v>46017</v>
      </c>
      <c r="K481" s="172" t="s">
        <v>94</v>
      </c>
      <c r="L481" s="172" t="s">
        <v>95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880</v>
      </c>
      <c r="B482" s="176">
        <v>46029</v>
      </c>
      <c r="C482" s="172" t="s">
        <v>93</v>
      </c>
      <c r="D482" s="172" t="s">
        <v>98</v>
      </c>
      <c r="E482" s="172" t="s">
        <v>39</v>
      </c>
      <c r="F482" s="172" t="s">
        <v>88</v>
      </c>
      <c r="G482" s="172" t="s">
        <v>85</v>
      </c>
      <c r="H482" s="177">
        <v>1</v>
      </c>
      <c r="I482" s="178">
        <v>0</v>
      </c>
      <c r="J482" s="176">
        <v>46017</v>
      </c>
      <c r="K482" s="172" t="s">
        <v>94</v>
      </c>
      <c r="L482" s="172" t="s">
        <v>95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880</v>
      </c>
      <c r="B483" s="176">
        <v>46029</v>
      </c>
      <c r="C483" s="172" t="s">
        <v>82</v>
      </c>
      <c r="D483" s="172" t="s">
        <v>99</v>
      </c>
      <c r="E483" s="172" t="s">
        <v>39</v>
      </c>
      <c r="F483" s="172" t="s">
        <v>88</v>
      </c>
      <c r="G483" s="172" t="s">
        <v>85</v>
      </c>
      <c r="H483" s="177">
        <v>1</v>
      </c>
      <c r="I483" s="178">
        <v>0</v>
      </c>
      <c r="J483" s="176">
        <v>46017</v>
      </c>
      <c r="K483" s="172" t="s">
        <v>94</v>
      </c>
      <c r="L483" s="172" t="s">
        <v>95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882</v>
      </c>
      <c r="B484" s="176">
        <v>46029</v>
      </c>
      <c r="C484" s="172" t="s">
        <v>93</v>
      </c>
      <c r="D484" s="172" t="s">
        <v>24</v>
      </c>
      <c r="E484" s="172" t="s">
        <v>54</v>
      </c>
      <c r="F484" s="172" t="s">
        <v>121</v>
      </c>
      <c r="G484" s="172" t="s">
        <v>85</v>
      </c>
      <c r="H484" s="177">
        <v>1</v>
      </c>
      <c r="I484" s="178">
        <v>1845</v>
      </c>
      <c r="J484" s="176">
        <v>46024</v>
      </c>
      <c r="K484" s="172" t="s">
        <v>94</v>
      </c>
      <c r="L484" s="172" t="s">
        <v>95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882</v>
      </c>
      <c r="B485" s="176">
        <v>46029</v>
      </c>
      <c r="C485" s="172" t="s">
        <v>101</v>
      </c>
      <c r="D485" s="172" t="s">
        <v>102</v>
      </c>
      <c r="E485" s="172" t="s">
        <v>54</v>
      </c>
      <c r="F485" s="172" t="s">
        <v>121</v>
      </c>
      <c r="G485" s="172" t="s">
        <v>85</v>
      </c>
      <c r="H485" s="177">
        <v>1</v>
      </c>
      <c r="I485" s="178">
        <v>1845</v>
      </c>
      <c r="J485" s="176">
        <v>46024</v>
      </c>
      <c r="K485" s="172" t="s">
        <v>94</v>
      </c>
      <c r="L485" s="172" t="s">
        <v>95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882</v>
      </c>
      <c r="B486" s="176">
        <v>46029</v>
      </c>
      <c r="C486" s="172" t="s">
        <v>101</v>
      </c>
      <c r="D486" s="172" t="s">
        <v>103</v>
      </c>
      <c r="E486" s="172" t="s">
        <v>54</v>
      </c>
      <c r="F486" s="172" t="s">
        <v>121</v>
      </c>
      <c r="G486" s="172" t="s">
        <v>85</v>
      </c>
      <c r="H486" s="177">
        <v>1</v>
      </c>
      <c r="I486" s="178">
        <v>1845</v>
      </c>
      <c r="J486" s="176">
        <v>46024</v>
      </c>
      <c r="K486" s="172" t="s">
        <v>94</v>
      </c>
      <c r="L486" s="172" t="s">
        <v>95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882</v>
      </c>
      <c r="B487" s="176">
        <v>46029</v>
      </c>
      <c r="C487" s="172" t="s">
        <v>101</v>
      </c>
      <c r="D487" s="172" t="s">
        <v>104</v>
      </c>
      <c r="E487" s="172" t="s">
        <v>54</v>
      </c>
      <c r="F487" s="172" t="s">
        <v>121</v>
      </c>
      <c r="G487" s="172" t="s">
        <v>85</v>
      </c>
      <c r="H487" s="177">
        <v>1</v>
      </c>
      <c r="I487" s="178">
        <v>1845</v>
      </c>
      <c r="J487" s="176">
        <v>46024</v>
      </c>
      <c r="K487" s="172" t="s">
        <v>94</v>
      </c>
      <c r="L487" s="172" t="s">
        <v>95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882</v>
      </c>
      <c r="B488" s="176">
        <v>46029</v>
      </c>
      <c r="C488" s="172" t="s">
        <v>105</v>
      </c>
      <c r="D488" s="172" t="s">
        <v>106</v>
      </c>
      <c r="E488" s="172" t="s">
        <v>54</v>
      </c>
      <c r="F488" s="172" t="s">
        <v>121</v>
      </c>
      <c r="G488" s="172" t="s">
        <v>85</v>
      </c>
      <c r="H488" s="177">
        <v>1</v>
      </c>
      <c r="I488" s="178">
        <v>1845</v>
      </c>
      <c r="J488" s="176">
        <v>46024</v>
      </c>
      <c r="K488" s="172" t="s">
        <v>94</v>
      </c>
      <c r="L488" s="172" t="s">
        <v>95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882</v>
      </c>
      <c r="B489" s="176">
        <v>46029</v>
      </c>
      <c r="C489" s="172" t="s">
        <v>82</v>
      </c>
      <c r="D489" s="172" t="s">
        <v>96</v>
      </c>
      <c r="E489" s="172" t="s">
        <v>54</v>
      </c>
      <c r="F489" s="172" t="s">
        <v>121</v>
      </c>
      <c r="G489" s="172" t="s">
        <v>85</v>
      </c>
      <c r="H489" s="177">
        <v>1</v>
      </c>
      <c r="I489" s="178">
        <v>1845</v>
      </c>
      <c r="J489" s="176">
        <v>46024</v>
      </c>
      <c r="K489" s="172" t="s">
        <v>94</v>
      </c>
      <c r="L489" s="172" t="s">
        <v>95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882</v>
      </c>
      <c r="B490" s="176">
        <v>46029</v>
      </c>
      <c r="C490" s="172" t="s">
        <v>82</v>
      </c>
      <c r="D490" s="172" t="s">
        <v>83</v>
      </c>
      <c r="E490" s="172" t="s">
        <v>54</v>
      </c>
      <c r="F490" s="172" t="s">
        <v>121</v>
      </c>
      <c r="G490" s="172" t="s">
        <v>85</v>
      </c>
      <c r="H490" s="177">
        <v>1</v>
      </c>
      <c r="I490" s="178">
        <v>0</v>
      </c>
      <c r="J490" s="176">
        <v>46024</v>
      </c>
      <c r="K490" s="172" t="s">
        <v>86</v>
      </c>
      <c r="L490" s="172" t="s">
        <v>86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86</v>
      </c>
      <c r="B491" s="176">
        <v>46029</v>
      </c>
      <c r="C491" s="172" t="s">
        <v>110</v>
      </c>
      <c r="D491" s="172" t="s">
        <v>111</v>
      </c>
      <c r="E491" s="172" t="s">
        <v>86</v>
      </c>
      <c r="F491" s="172" t="s">
        <v>86</v>
      </c>
      <c r="G491" s="172" t="s">
        <v>883</v>
      </c>
      <c r="H491" s="177">
        <v>0</v>
      </c>
      <c r="I491" s="178">
        <v>0</v>
      </c>
      <c r="J491" s="176">
        <v>46029</v>
      </c>
      <c r="K491" s="172" t="s">
        <v>86</v>
      </c>
      <c r="L491" s="172" t="s">
        <v>86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884</v>
      </c>
      <c r="B492" s="176">
        <v>46029</v>
      </c>
      <c r="C492" s="172" t="s">
        <v>93</v>
      </c>
      <c r="D492" s="172" t="s">
        <v>24</v>
      </c>
      <c r="E492" s="172" t="s">
        <v>53</v>
      </c>
      <c r="F492" s="172" t="s">
        <v>91</v>
      </c>
      <c r="G492" s="172" t="s">
        <v>85</v>
      </c>
      <c r="H492" s="177">
        <v>1</v>
      </c>
      <c r="I492" s="178">
        <v>1621</v>
      </c>
      <c r="J492" s="176">
        <v>46025</v>
      </c>
      <c r="K492" s="172" t="s">
        <v>94</v>
      </c>
      <c r="L492" s="172" t="s">
        <v>95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884</v>
      </c>
      <c r="B493" s="176">
        <v>46029</v>
      </c>
      <c r="C493" s="172" t="s">
        <v>101</v>
      </c>
      <c r="D493" s="172" t="s">
        <v>102</v>
      </c>
      <c r="E493" s="172" t="s">
        <v>53</v>
      </c>
      <c r="F493" s="172" t="s">
        <v>91</v>
      </c>
      <c r="G493" s="172" t="s">
        <v>85</v>
      </c>
      <c r="H493" s="177">
        <v>1</v>
      </c>
      <c r="I493" s="178">
        <v>1621</v>
      </c>
      <c r="J493" s="176">
        <v>46025</v>
      </c>
      <c r="K493" s="172" t="s">
        <v>94</v>
      </c>
      <c r="L493" s="172" t="s">
        <v>95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884</v>
      </c>
      <c r="B494" s="176">
        <v>46029</v>
      </c>
      <c r="C494" s="172" t="s">
        <v>101</v>
      </c>
      <c r="D494" s="172" t="s">
        <v>103</v>
      </c>
      <c r="E494" s="172" t="s">
        <v>53</v>
      </c>
      <c r="F494" s="172" t="s">
        <v>91</v>
      </c>
      <c r="G494" s="172" t="s">
        <v>85</v>
      </c>
      <c r="H494" s="177">
        <v>1</v>
      </c>
      <c r="I494" s="178">
        <v>1621</v>
      </c>
      <c r="J494" s="176">
        <v>46025</v>
      </c>
      <c r="K494" s="172" t="s">
        <v>94</v>
      </c>
      <c r="L494" s="172" t="s">
        <v>95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884</v>
      </c>
      <c r="B495" s="176">
        <v>46029</v>
      </c>
      <c r="C495" s="172" t="s">
        <v>101</v>
      </c>
      <c r="D495" s="172" t="s">
        <v>104</v>
      </c>
      <c r="E495" s="172" t="s">
        <v>53</v>
      </c>
      <c r="F495" s="172" t="s">
        <v>91</v>
      </c>
      <c r="G495" s="172" t="s">
        <v>85</v>
      </c>
      <c r="H495" s="177">
        <v>1</v>
      </c>
      <c r="I495" s="178">
        <v>1621</v>
      </c>
      <c r="J495" s="176">
        <v>46025</v>
      </c>
      <c r="K495" s="172" t="s">
        <v>94</v>
      </c>
      <c r="L495" s="172" t="s">
        <v>95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884</v>
      </c>
      <c r="B496" s="176">
        <v>46029</v>
      </c>
      <c r="C496" s="172" t="s">
        <v>105</v>
      </c>
      <c r="D496" s="172" t="s">
        <v>106</v>
      </c>
      <c r="E496" s="172" t="s">
        <v>53</v>
      </c>
      <c r="F496" s="172" t="s">
        <v>91</v>
      </c>
      <c r="G496" s="172" t="s">
        <v>85</v>
      </c>
      <c r="H496" s="177">
        <v>1</v>
      </c>
      <c r="I496" s="178">
        <v>1621</v>
      </c>
      <c r="J496" s="176">
        <v>46025</v>
      </c>
      <c r="K496" s="172" t="s">
        <v>94</v>
      </c>
      <c r="L496" s="172" t="s">
        <v>95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884</v>
      </c>
      <c r="B497" s="176">
        <v>46029</v>
      </c>
      <c r="C497" s="172" t="s">
        <v>82</v>
      </c>
      <c r="D497" s="172" t="s">
        <v>96</v>
      </c>
      <c r="E497" s="172" t="s">
        <v>53</v>
      </c>
      <c r="F497" s="172" t="s">
        <v>91</v>
      </c>
      <c r="G497" s="172" t="s">
        <v>85</v>
      </c>
      <c r="H497" s="177">
        <v>1</v>
      </c>
      <c r="I497" s="178">
        <v>1621</v>
      </c>
      <c r="J497" s="176">
        <v>46025</v>
      </c>
      <c r="K497" s="172" t="s">
        <v>94</v>
      </c>
      <c r="L497" s="172" t="s">
        <v>95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885</v>
      </c>
      <c r="B498" s="176">
        <v>46029</v>
      </c>
      <c r="C498" s="172" t="s">
        <v>93</v>
      </c>
      <c r="D498" s="172" t="s">
        <v>24</v>
      </c>
      <c r="E498" s="172" t="s">
        <v>53</v>
      </c>
      <c r="F498" s="172" t="s">
        <v>91</v>
      </c>
      <c r="G498" s="172" t="s">
        <v>85</v>
      </c>
      <c r="H498" s="177">
        <v>1</v>
      </c>
      <c r="I498" s="178">
        <v>1621</v>
      </c>
      <c r="J498" s="176">
        <v>46025</v>
      </c>
      <c r="K498" s="172" t="s">
        <v>94</v>
      </c>
      <c r="L498" s="172" t="s">
        <v>95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885</v>
      </c>
      <c r="B499" s="176">
        <v>46029</v>
      </c>
      <c r="C499" s="172" t="s">
        <v>101</v>
      </c>
      <c r="D499" s="172" t="s">
        <v>102</v>
      </c>
      <c r="E499" s="172" t="s">
        <v>53</v>
      </c>
      <c r="F499" s="172" t="s">
        <v>91</v>
      </c>
      <c r="G499" s="172" t="s">
        <v>85</v>
      </c>
      <c r="H499" s="177">
        <v>1</v>
      </c>
      <c r="I499" s="178">
        <v>1621</v>
      </c>
      <c r="J499" s="176">
        <v>46025</v>
      </c>
      <c r="K499" s="172" t="s">
        <v>94</v>
      </c>
      <c r="L499" s="172" t="s">
        <v>95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885</v>
      </c>
      <c r="B500" s="176">
        <v>46029</v>
      </c>
      <c r="C500" s="172" t="s">
        <v>101</v>
      </c>
      <c r="D500" s="172" t="s">
        <v>103</v>
      </c>
      <c r="E500" s="172" t="s">
        <v>53</v>
      </c>
      <c r="F500" s="172" t="s">
        <v>91</v>
      </c>
      <c r="G500" s="172" t="s">
        <v>85</v>
      </c>
      <c r="H500" s="177">
        <v>1</v>
      </c>
      <c r="I500" s="178">
        <v>1621</v>
      </c>
      <c r="J500" s="176">
        <v>46025</v>
      </c>
      <c r="K500" s="172" t="s">
        <v>94</v>
      </c>
      <c r="L500" s="172" t="s">
        <v>95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885</v>
      </c>
      <c r="B501" s="176">
        <v>46029</v>
      </c>
      <c r="C501" s="172" t="s">
        <v>101</v>
      </c>
      <c r="D501" s="172" t="s">
        <v>104</v>
      </c>
      <c r="E501" s="172" t="s">
        <v>53</v>
      </c>
      <c r="F501" s="172" t="s">
        <v>91</v>
      </c>
      <c r="G501" s="172" t="s">
        <v>85</v>
      </c>
      <c r="H501" s="177">
        <v>1</v>
      </c>
      <c r="I501" s="178">
        <v>1621</v>
      </c>
      <c r="J501" s="176">
        <v>46025</v>
      </c>
      <c r="K501" s="172" t="s">
        <v>94</v>
      </c>
      <c r="L501" s="172" t="s">
        <v>95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885</v>
      </c>
      <c r="B502" s="176">
        <v>46029</v>
      </c>
      <c r="C502" s="172" t="s">
        <v>105</v>
      </c>
      <c r="D502" s="172" t="s">
        <v>106</v>
      </c>
      <c r="E502" s="172" t="s">
        <v>53</v>
      </c>
      <c r="F502" s="172" t="s">
        <v>91</v>
      </c>
      <c r="G502" s="172" t="s">
        <v>85</v>
      </c>
      <c r="H502" s="177">
        <v>1</v>
      </c>
      <c r="I502" s="178">
        <v>1621</v>
      </c>
      <c r="J502" s="176">
        <v>46025</v>
      </c>
      <c r="K502" s="172" t="s">
        <v>94</v>
      </c>
      <c r="L502" s="172" t="s">
        <v>95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885</v>
      </c>
      <c r="B503" s="176">
        <v>46029</v>
      </c>
      <c r="C503" s="172" t="s">
        <v>82</v>
      </c>
      <c r="D503" s="172" t="s">
        <v>96</v>
      </c>
      <c r="E503" s="172" t="s">
        <v>53</v>
      </c>
      <c r="F503" s="172" t="s">
        <v>91</v>
      </c>
      <c r="G503" s="172" t="s">
        <v>85</v>
      </c>
      <c r="H503" s="177">
        <v>1</v>
      </c>
      <c r="I503" s="178">
        <v>1621</v>
      </c>
      <c r="J503" s="176">
        <v>46025</v>
      </c>
      <c r="K503" s="172" t="s">
        <v>94</v>
      </c>
      <c r="L503" s="172" t="s">
        <v>95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886</v>
      </c>
      <c r="B504" s="176">
        <v>46029</v>
      </c>
      <c r="C504" s="172" t="s">
        <v>93</v>
      </c>
      <c r="D504" s="172" t="s">
        <v>24</v>
      </c>
      <c r="E504" s="172" t="s">
        <v>43</v>
      </c>
      <c r="F504" s="172" t="s">
        <v>90</v>
      </c>
      <c r="G504" s="172" t="s">
        <v>85</v>
      </c>
      <c r="H504" s="177">
        <v>1</v>
      </c>
      <c r="I504" s="178">
        <v>1600</v>
      </c>
      <c r="J504" s="176">
        <v>46028</v>
      </c>
      <c r="K504" s="172" t="s">
        <v>94</v>
      </c>
      <c r="L504" s="172" t="s">
        <v>95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886</v>
      </c>
      <c r="B505" s="176">
        <v>46029</v>
      </c>
      <c r="C505" s="172" t="s">
        <v>101</v>
      </c>
      <c r="D505" s="172" t="s">
        <v>102</v>
      </c>
      <c r="E505" s="172" t="s">
        <v>43</v>
      </c>
      <c r="F505" s="172" t="s">
        <v>90</v>
      </c>
      <c r="G505" s="172" t="s">
        <v>85</v>
      </c>
      <c r="H505" s="177">
        <v>1</v>
      </c>
      <c r="I505" s="178">
        <v>1600</v>
      </c>
      <c r="J505" s="176">
        <v>46028</v>
      </c>
      <c r="K505" s="172" t="s">
        <v>94</v>
      </c>
      <c r="L505" s="172" t="s">
        <v>95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886</v>
      </c>
      <c r="B506" s="176">
        <v>46029</v>
      </c>
      <c r="C506" s="172" t="s">
        <v>101</v>
      </c>
      <c r="D506" s="172" t="s">
        <v>103</v>
      </c>
      <c r="E506" s="172" t="s">
        <v>43</v>
      </c>
      <c r="F506" s="172" t="s">
        <v>90</v>
      </c>
      <c r="G506" s="172" t="s">
        <v>85</v>
      </c>
      <c r="H506" s="177">
        <v>1</v>
      </c>
      <c r="I506" s="178">
        <v>1600</v>
      </c>
      <c r="J506" s="176">
        <v>46028</v>
      </c>
      <c r="K506" s="172" t="s">
        <v>94</v>
      </c>
      <c r="L506" s="172" t="s">
        <v>95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886</v>
      </c>
      <c r="B507" s="176">
        <v>46029</v>
      </c>
      <c r="C507" s="172" t="s">
        <v>101</v>
      </c>
      <c r="D507" s="172" t="s">
        <v>104</v>
      </c>
      <c r="E507" s="172" t="s">
        <v>43</v>
      </c>
      <c r="F507" s="172" t="s">
        <v>90</v>
      </c>
      <c r="G507" s="172" t="s">
        <v>85</v>
      </c>
      <c r="H507" s="177">
        <v>1</v>
      </c>
      <c r="I507" s="178">
        <v>1600</v>
      </c>
      <c r="J507" s="176">
        <v>46028</v>
      </c>
      <c r="K507" s="172" t="s">
        <v>94</v>
      </c>
      <c r="L507" s="172" t="s">
        <v>95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886</v>
      </c>
      <c r="B508" s="176">
        <v>46029</v>
      </c>
      <c r="C508" s="172" t="s">
        <v>105</v>
      </c>
      <c r="D508" s="172" t="s">
        <v>106</v>
      </c>
      <c r="E508" s="172" t="s">
        <v>43</v>
      </c>
      <c r="F508" s="172" t="s">
        <v>90</v>
      </c>
      <c r="G508" s="172" t="s">
        <v>85</v>
      </c>
      <c r="H508" s="177">
        <v>1</v>
      </c>
      <c r="I508" s="178">
        <v>1600</v>
      </c>
      <c r="J508" s="176">
        <v>46028</v>
      </c>
      <c r="K508" s="172" t="s">
        <v>94</v>
      </c>
      <c r="L508" s="172" t="s">
        <v>95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886</v>
      </c>
      <c r="B509" s="176">
        <v>46029</v>
      </c>
      <c r="C509" s="172" t="s">
        <v>82</v>
      </c>
      <c r="D509" s="172" t="s">
        <v>96</v>
      </c>
      <c r="E509" s="172" t="s">
        <v>43</v>
      </c>
      <c r="F509" s="172" t="s">
        <v>90</v>
      </c>
      <c r="G509" s="172" t="s">
        <v>85</v>
      </c>
      <c r="H509" s="177">
        <v>1</v>
      </c>
      <c r="I509" s="178">
        <v>1600</v>
      </c>
      <c r="J509" s="176">
        <v>46028</v>
      </c>
      <c r="K509" s="172" t="s">
        <v>94</v>
      </c>
      <c r="L509" s="172" t="s">
        <v>95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887</v>
      </c>
      <c r="B510" s="176">
        <v>46029</v>
      </c>
      <c r="C510" s="172" t="s">
        <v>93</v>
      </c>
      <c r="D510" s="172" t="s">
        <v>97</v>
      </c>
      <c r="E510" s="172" t="s">
        <v>39</v>
      </c>
      <c r="F510" s="172" t="s">
        <v>88</v>
      </c>
      <c r="G510" s="172" t="s">
        <v>85</v>
      </c>
      <c r="H510" s="177">
        <v>1</v>
      </c>
      <c r="I510" s="178">
        <v>0</v>
      </c>
      <c r="J510" s="176">
        <v>46019</v>
      </c>
      <c r="K510" s="172" t="s">
        <v>94</v>
      </c>
      <c r="L510" s="172" t="s">
        <v>95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887</v>
      </c>
      <c r="B511" s="176">
        <v>46029</v>
      </c>
      <c r="C511" s="172" t="s">
        <v>93</v>
      </c>
      <c r="D511" s="172" t="s">
        <v>98</v>
      </c>
      <c r="E511" s="172" t="s">
        <v>39</v>
      </c>
      <c r="F511" s="172" t="s">
        <v>88</v>
      </c>
      <c r="G511" s="172" t="s">
        <v>85</v>
      </c>
      <c r="H511" s="177">
        <v>1</v>
      </c>
      <c r="I511" s="178">
        <v>0</v>
      </c>
      <c r="J511" s="176">
        <v>46019</v>
      </c>
      <c r="K511" s="172" t="s">
        <v>94</v>
      </c>
      <c r="L511" s="172" t="s">
        <v>95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887</v>
      </c>
      <c r="B512" s="176">
        <v>46029</v>
      </c>
      <c r="C512" s="172" t="s">
        <v>82</v>
      </c>
      <c r="D512" s="172" t="s">
        <v>99</v>
      </c>
      <c r="E512" s="172" t="s">
        <v>39</v>
      </c>
      <c r="F512" s="172" t="s">
        <v>88</v>
      </c>
      <c r="G512" s="172" t="s">
        <v>85</v>
      </c>
      <c r="H512" s="177">
        <v>1</v>
      </c>
      <c r="I512" s="178">
        <v>0</v>
      </c>
      <c r="J512" s="176">
        <v>46019</v>
      </c>
      <c r="K512" s="172" t="s">
        <v>94</v>
      </c>
      <c r="L512" s="172" t="s">
        <v>95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887</v>
      </c>
      <c r="B513" s="176">
        <v>46029</v>
      </c>
      <c r="C513" s="172" t="s">
        <v>93</v>
      </c>
      <c r="D513" s="172" t="s">
        <v>24</v>
      </c>
      <c r="E513" s="172" t="s">
        <v>39</v>
      </c>
      <c r="F513" s="172" t="s">
        <v>88</v>
      </c>
      <c r="G513" s="172" t="s">
        <v>85</v>
      </c>
      <c r="H513" s="177">
        <v>1</v>
      </c>
      <c r="I513" s="178">
        <v>0</v>
      </c>
      <c r="J513" s="176">
        <v>46019</v>
      </c>
      <c r="K513" s="172" t="s">
        <v>94</v>
      </c>
      <c r="L513" s="172" t="s">
        <v>95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887</v>
      </c>
      <c r="B514" s="176">
        <v>46029</v>
      </c>
      <c r="C514" s="172" t="s">
        <v>82</v>
      </c>
      <c r="D514" s="172" t="s">
        <v>96</v>
      </c>
      <c r="E514" s="172" t="s">
        <v>39</v>
      </c>
      <c r="F514" s="172" t="s">
        <v>88</v>
      </c>
      <c r="G514" s="172" t="s">
        <v>85</v>
      </c>
      <c r="H514" s="177">
        <v>1</v>
      </c>
      <c r="I514" s="178">
        <v>0</v>
      </c>
      <c r="J514" s="176">
        <v>46019</v>
      </c>
      <c r="K514" s="172" t="s">
        <v>94</v>
      </c>
      <c r="L514" s="172" t="s">
        <v>95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888</v>
      </c>
      <c r="B515" s="176">
        <v>46029</v>
      </c>
      <c r="C515" s="172" t="s">
        <v>93</v>
      </c>
      <c r="D515" s="172" t="s">
        <v>24</v>
      </c>
      <c r="E515" s="172" t="s">
        <v>54</v>
      </c>
      <c r="F515" s="172" t="s">
        <v>121</v>
      </c>
      <c r="G515" s="172" t="s">
        <v>85</v>
      </c>
      <c r="H515" s="177">
        <v>1</v>
      </c>
      <c r="I515" s="178">
        <v>0</v>
      </c>
      <c r="J515" s="176">
        <v>46019</v>
      </c>
      <c r="K515" s="172" t="s">
        <v>94</v>
      </c>
      <c r="L515" s="172" t="s">
        <v>95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888</v>
      </c>
      <c r="B516" s="176">
        <v>46029</v>
      </c>
      <c r="C516" s="172" t="s">
        <v>82</v>
      </c>
      <c r="D516" s="172" t="s">
        <v>96</v>
      </c>
      <c r="E516" s="172" t="s">
        <v>54</v>
      </c>
      <c r="F516" s="172" t="s">
        <v>121</v>
      </c>
      <c r="G516" s="172" t="s">
        <v>85</v>
      </c>
      <c r="H516" s="177">
        <v>1</v>
      </c>
      <c r="I516" s="178">
        <v>0</v>
      </c>
      <c r="J516" s="176">
        <v>46019</v>
      </c>
      <c r="K516" s="172" t="s">
        <v>94</v>
      </c>
      <c r="L516" s="172" t="s">
        <v>95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888</v>
      </c>
      <c r="B517" s="176">
        <v>46029</v>
      </c>
      <c r="C517" s="172" t="s">
        <v>93</v>
      </c>
      <c r="D517" s="172" t="s">
        <v>97</v>
      </c>
      <c r="E517" s="172" t="s">
        <v>54</v>
      </c>
      <c r="F517" s="172" t="s">
        <v>121</v>
      </c>
      <c r="G517" s="172" t="s">
        <v>85</v>
      </c>
      <c r="H517" s="177">
        <v>1</v>
      </c>
      <c r="I517" s="178">
        <v>0</v>
      </c>
      <c r="J517" s="176">
        <v>46019</v>
      </c>
      <c r="K517" s="172" t="s">
        <v>94</v>
      </c>
      <c r="L517" s="172" t="s">
        <v>95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888</v>
      </c>
      <c r="B518" s="176">
        <v>46029</v>
      </c>
      <c r="C518" s="172" t="s">
        <v>93</v>
      </c>
      <c r="D518" s="172" t="s">
        <v>98</v>
      </c>
      <c r="E518" s="172" t="s">
        <v>54</v>
      </c>
      <c r="F518" s="172" t="s">
        <v>121</v>
      </c>
      <c r="G518" s="172" t="s">
        <v>85</v>
      </c>
      <c r="H518" s="177">
        <v>1</v>
      </c>
      <c r="I518" s="178">
        <v>0</v>
      </c>
      <c r="J518" s="176">
        <v>46019</v>
      </c>
      <c r="K518" s="172" t="s">
        <v>94</v>
      </c>
      <c r="L518" s="172" t="s">
        <v>95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888</v>
      </c>
      <c r="B519" s="176">
        <v>46029</v>
      </c>
      <c r="C519" s="172" t="s">
        <v>82</v>
      </c>
      <c r="D519" s="172" t="s">
        <v>99</v>
      </c>
      <c r="E519" s="172" t="s">
        <v>54</v>
      </c>
      <c r="F519" s="172" t="s">
        <v>121</v>
      </c>
      <c r="G519" s="172" t="s">
        <v>85</v>
      </c>
      <c r="H519" s="177">
        <v>1</v>
      </c>
      <c r="I519" s="178">
        <v>0</v>
      </c>
      <c r="J519" s="176">
        <v>46019</v>
      </c>
      <c r="K519" s="172" t="s">
        <v>94</v>
      </c>
      <c r="L519" s="172" t="s">
        <v>95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439</v>
      </c>
      <c r="B520" s="176">
        <v>46029</v>
      </c>
      <c r="C520" s="172" t="s">
        <v>93</v>
      </c>
      <c r="D520" s="172" t="s">
        <v>24</v>
      </c>
      <c r="E520" s="172" t="s">
        <v>53</v>
      </c>
      <c r="F520" s="172" t="s">
        <v>91</v>
      </c>
      <c r="G520" s="172" t="s">
        <v>85</v>
      </c>
      <c r="H520" s="177">
        <v>1</v>
      </c>
      <c r="I520" s="178">
        <v>1621</v>
      </c>
      <c r="J520" s="176">
        <v>46027</v>
      </c>
      <c r="K520" s="172" t="s">
        <v>94</v>
      </c>
      <c r="L520" s="172" t="s">
        <v>95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439</v>
      </c>
      <c r="B521" s="176">
        <v>46029</v>
      </c>
      <c r="C521" s="172" t="s">
        <v>101</v>
      </c>
      <c r="D521" s="172" t="s">
        <v>102</v>
      </c>
      <c r="E521" s="172" t="s">
        <v>53</v>
      </c>
      <c r="F521" s="172" t="s">
        <v>91</v>
      </c>
      <c r="G521" s="172" t="s">
        <v>85</v>
      </c>
      <c r="H521" s="177">
        <v>1</v>
      </c>
      <c r="I521" s="178">
        <v>1621</v>
      </c>
      <c r="J521" s="176">
        <v>46027</v>
      </c>
      <c r="K521" s="172" t="s">
        <v>94</v>
      </c>
      <c r="L521" s="172" t="s">
        <v>95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439</v>
      </c>
      <c r="B522" s="176">
        <v>46029</v>
      </c>
      <c r="C522" s="172" t="s">
        <v>101</v>
      </c>
      <c r="D522" s="172" t="s">
        <v>103</v>
      </c>
      <c r="E522" s="172" t="s">
        <v>53</v>
      </c>
      <c r="F522" s="172" t="s">
        <v>91</v>
      </c>
      <c r="G522" s="172" t="s">
        <v>85</v>
      </c>
      <c r="H522" s="177">
        <v>1</v>
      </c>
      <c r="I522" s="178">
        <v>1621</v>
      </c>
      <c r="J522" s="176">
        <v>46027</v>
      </c>
      <c r="K522" s="172" t="s">
        <v>94</v>
      </c>
      <c r="L522" s="172" t="s">
        <v>95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439</v>
      </c>
      <c r="B523" s="176">
        <v>46029</v>
      </c>
      <c r="C523" s="172" t="s">
        <v>101</v>
      </c>
      <c r="D523" s="172" t="s">
        <v>104</v>
      </c>
      <c r="E523" s="172" t="s">
        <v>53</v>
      </c>
      <c r="F523" s="172" t="s">
        <v>91</v>
      </c>
      <c r="G523" s="172" t="s">
        <v>85</v>
      </c>
      <c r="H523" s="177">
        <v>1</v>
      </c>
      <c r="I523" s="178">
        <v>1621</v>
      </c>
      <c r="J523" s="176">
        <v>46027</v>
      </c>
      <c r="K523" s="172" t="s">
        <v>94</v>
      </c>
      <c r="L523" s="172" t="s">
        <v>95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439</v>
      </c>
      <c r="B524" s="176">
        <v>46029</v>
      </c>
      <c r="C524" s="172" t="s">
        <v>105</v>
      </c>
      <c r="D524" s="172" t="s">
        <v>106</v>
      </c>
      <c r="E524" s="172" t="s">
        <v>53</v>
      </c>
      <c r="F524" s="172" t="s">
        <v>91</v>
      </c>
      <c r="G524" s="172" t="s">
        <v>85</v>
      </c>
      <c r="H524" s="177">
        <v>1</v>
      </c>
      <c r="I524" s="178">
        <v>1621</v>
      </c>
      <c r="J524" s="176">
        <v>46027</v>
      </c>
      <c r="K524" s="172" t="s">
        <v>94</v>
      </c>
      <c r="L524" s="172" t="s">
        <v>95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439</v>
      </c>
      <c r="B525" s="176">
        <v>46029</v>
      </c>
      <c r="C525" s="172" t="s">
        <v>82</v>
      </c>
      <c r="D525" s="172" t="s">
        <v>96</v>
      </c>
      <c r="E525" s="172" t="s">
        <v>53</v>
      </c>
      <c r="F525" s="172" t="s">
        <v>91</v>
      </c>
      <c r="G525" s="172" t="s">
        <v>85</v>
      </c>
      <c r="H525" s="177">
        <v>1</v>
      </c>
      <c r="I525" s="178">
        <v>1621</v>
      </c>
      <c r="J525" s="176">
        <v>46027</v>
      </c>
      <c r="K525" s="172" t="s">
        <v>94</v>
      </c>
      <c r="L525" s="172" t="s">
        <v>95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889</v>
      </c>
      <c r="B526" s="176">
        <v>46029</v>
      </c>
      <c r="C526" s="172" t="s">
        <v>93</v>
      </c>
      <c r="D526" s="172" t="s">
        <v>24</v>
      </c>
      <c r="E526" s="172" t="s">
        <v>42</v>
      </c>
      <c r="F526" s="172" t="s">
        <v>84</v>
      </c>
      <c r="G526" s="172" t="s">
        <v>85</v>
      </c>
      <c r="H526" s="177">
        <v>1</v>
      </c>
      <c r="I526" s="178">
        <v>1600</v>
      </c>
      <c r="J526" s="176">
        <v>46016</v>
      </c>
      <c r="K526" s="172" t="s">
        <v>94</v>
      </c>
      <c r="L526" s="172" t="s">
        <v>95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889</v>
      </c>
      <c r="B527" s="176">
        <v>46029</v>
      </c>
      <c r="C527" s="172" t="s">
        <v>101</v>
      </c>
      <c r="D527" s="172" t="s">
        <v>102</v>
      </c>
      <c r="E527" s="172" t="s">
        <v>42</v>
      </c>
      <c r="F527" s="172" t="s">
        <v>84</v>
      </c>
      <c r="G527" s="172" t="s">
        <v>85</v>
      </c>
      <c r="H527" s="177">
        <v>1</v>
      </c>
      <c r="I527" s="178">
        <v>1600</v>
      </c>
      <c r="J527" s="176">
        <v>46016</v>
      </c>
      <c r="K527" s="172" t="s">
        <v>94</v>
      </c>
      <c r="L527" s="172" t="s">
        <v>95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889</v>
      </c>
      <c r="B528" s="176">
        <v>46029</v>
      </c>
      <c r="C528" s="172" t="s">
        <v>101</v>
      </c>
      <c r="D528" s="172" t="s">
        <v>103</v>
      </c>
      <c r="E528" s="172" t="s">
        <v>42</v>
      </c>
      <c r="F528" s="172" t="s">
        <v>84</v>
      </c>
      <c r="G528" s="172" t="s">
        <v>85</v>
      </c>
      <c r="H528" s="177">
        <v>1</v>
      </c>
      <c r="I528" s="178">
        <v>1600</v>
      </c>
      <c r="J528" s="176">
        <v>46016</v>
      </c>
      <c r="K528" s="172" t="s">
        <v>94</v>
      </c>
      <c r="L528" s="172" t="s">
        <v>95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889</v>
      </c>
      <c r="B529" s="176">
        <v>46029</v>
      </c>
      <c r="C529" s="172" t="s">
        <v>101</v>
      </c>
      <c r="D529" s="172" t="s">
        <v>104</v>
      </c>
      <c r="E529" s="172" t="s">
        <v>42</v>
      </c>
      <c r="F529" s="172" t="s">
        <v>84</v>
      </c>
      <c r="G529" s="172" t="s">
        <v>85</v>
      </c>
      <c r="H529" s="177">
        <v>1</v>
      </c>
      <c r="I529" s="178">
        <v>1600</v>
      </c>
      <c r="J529" s="176">
        <v>46016</v>
      </c>
      <c r="K529" s="172" t="s">
        <v>94</v>
      </c>
      <c r="L529" s="172" t="s">
        <v>95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889</v>
      </c>
      <c r="B530" s="176">
        <v>46029</v>
      </c>
      <c r="C530" s="172" t="s">
        <v>105</v>
      </c>
      <c r="D530" s="172" t="s">
        <v>106</v>
      </c>
      <c r="E530" s="172" t="s">
        <v>42</v>
      </c>
      <c r="F530" s="172" t="s">
        <v>84</v>
      </c>
      <c r="G530" s="172" t="s">
        <v>85</v>
      </c>
      <c r="H530" s="177">
        <v>1</v>
      </c>
      <c r="I530" s="178">
        <v>1600</v>
      </c>
      <c r="J530" s="176">
        <v>46016</v>
      </c>
      <c r="K530" s="172" t="s">
        <v>94</v>
      </c>
      <c r="L530" s="172" t="s">
        <v>95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439</v>
      </c>
      <c r="B531" s="176">
        <v>46029</v>
      </c>
      <c r="C531" s="172" t="s">
        <v>82</v>
      </c>
      <c r="D531" s="172" t="s">
        <v>83</v>
      </c>
      <c r="E531" s="172" t="s">
        <v>53</v>
      </c>
      <c r="F531" s="172" t="s">
        <v>91</v>
      </c>
      <c r="G531" s="172" t="s">
        <v>85</v>
      </c>
      <c r="H531" s="177">
        <v>1</v>
      </c>
      <c r="I531" s="178">
        <v>0</v>
      </c>
      <c r="J531" s="176">
        <v>46027</v>
      </c>
      <c r="K531" s="172" t="s">
        <v>86</v>
      </c>
      <c r="L531" s="172" t="s">
        <v>86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890</v>
      </c>
      <c r="B532" s="176">
        <v>46029</v>
      </c>
      <c r="C532" s="172" t="s">
        <v>93</v>
      </c>
      <c r="D532" s="172" t="s">
        <v>24</v>
      </c>
      <c r="E532" s="172" t="s">
        <v>53</v>
      </c>
      <c r="F532" s="172" t="s">
        <v>91</v>
      </c>
      <c r="G532" s="172" t="s">
        <v>85</v>
      </c>
      <c r="H532" s="177">
        <v>1</v>
      </c>
      <c r="I532" s="178">
        <v>1621</v>
      </c>
      <c r="J532" s="176">
        <v>46027</v>
      </c>
      <c r="K532" s="172" t="s">
        <v>94</v>
      </c>
      <c r="L532" s="172" t="s">
        <v>95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890</v>
      </c>
      <c r="B533" s="176">
        <v>46029</v>
      </c>
      <c r="C533" s="172" t="s">
        <v>101</v>
      </c>
      <c r="D533" s="172" t="s">
        <v>102</v>
      </c>
      <c r="E533" s="172" t="s">
        <v>53</v>
      </c>
      <c r="F533" s="172" t="s">
        <v>91</v>
      </c>
      <c r="G533" s="172" t="s">
        <v>85</v>
      </c>
      <c r="H533" s="177">
        <v>1</v>
      </c>
      <c r="I533" s="178">
        <v>1621</v>
      </c>
      <c r="J533" s="176">
        <v>46027</v>
      </c>
      <c r="K533" s="172" t="s">
        <v>94</v>
      </c>
      <c r="L533" s="172" t="s">
        <v>95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890</v>
      </c>
      <c r="B534" s="176">
        <v>46029</v>
      </c>
      <c r="C534" s="172" t="s">
        <v>101</v>
      </c>
      <c r="D534" s="172" t="s">
        <v>103</v>
      </c>
      <c r="E534" s="172" t="s">
        <v>53</v>
      </c>
      <c r="F534" s="172" t="s">
        <v>91</v>
      </c>
      <c r="G534" s="172" t="s">
        <v>85</v>
      </c>
      <c r="H534" s="177">
        <v>1</v>
      </c>
      <c r="I534" s="178">
        <v>1621</v>
      </c>
      <c r="J534" s="176">
        <v>46027</v>
      </c>
      <c r="K534" s="172" t="s">
        <v>94</v>
      </c>
      <c r="L534" s="172" t="s">
        <v>95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890</v>
      </c>
      <c r="B535" s="176">
        <v>46029</v>
      </c>
      <c r="C535" s="172" t="s">
        <v>101</v>
      </c>
      <c r="D535" s="172" t="s">
        <v>104</v>
      </c>
      <c r="E535" s="172" t="s">
        <v>53</v>
      </c>
      <c r="F535" s="172" t="s">
        <v>91</v>
      </c>
      <c r="G535" s="172" t="s">
        <v>85</v>
      </c>
      <c r="H535" s="177">
        <v>1</v>
      </c>
      <c r="I535" s="178">
        <v>1621</v>
      </c>
      <c r="J535" s="176">
        <v>46027</v>
      </c>
      <c r="K535" s="172" t="s">
        <v>94</v>
      </c>
      <c r="L535" s="172" t="s">
        <v>95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890</v>
      </c>
      <c r="B536" s="176">
        <v>46029</v>
      </c>
      <c r="C536" s="172" t="s">
        <v>105</v>
      </c>
      <c r="D536" s="172" t="s">
        <v>106</v>
      </c>
      <c r="E536" s="172" t="s">
        <v>53</v>
      </c>
      <c r="F536" s="172" t="s">
        <v>91</v>
      </c>
      <c r="G536" s="172" t="s">
        <v>85</v>
      </c>
      <c r="H536" s="177">
        <v>1</v>
      </c>
      <c r="I536" s="178">
        <v>1621</v>
      </c>
      <c r="J536" s="176">
        <v>46027</v>
      </c>
      <c r="K536" s="172" t="s">
        <v>94</v>
      </c>
      <c r="L536" s="172" t="s">
        <v>95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890</v>
      </c>
      <c r="B537" s="176">
        <v>46029</v>
      </c>
      <c r="C537" s="172" t="s">
        <v>82</v>
      </c>
      <c r="D537" s="172" t="s">
        <v>96</v>
      </c>
      <c r="E537" s="172" t="s">
        <v>53</v>
      </c>
      <c r="F537" s="172" t="s">
        <v>91</v>
      </c>
      <c r="G537" s="172" t="s">
        <v>85</v>
      </c>
      <c r="H537" s="177">
        <v>1</v>
      </c>
      <c r="I537" s="178">
        <v>1621</v>
      </c>
      <c r="J537" s="176">
        <v>46027</v>
      </c>
      <c r="K537" s="172" t="s">
        <v>94</v>
      </c>
      <c r="L537" s="172" t="s">
        <v>95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891</v>
      </c>
      <c r="B538" s="176">
        <v>46029</v>
      </c>
      <c r="C538" s="172" t="s">
        <v>93</v>
      </c>
      <c r="D538" s="172" t="s">
        <v>24</v>
      </c>
      <c r="E538" s="172" t="s">
        <v>53</v>
      </c>
      <c r="F538" s="172" t="s">
        <v>91</v>
      </c>
      <c r="G538" s="172" t="s">
        <v>85</v>
      </c>
      <c r="H538" s="177">
        <v>1</v>
      </c>
      <c r="I538" s="178">
        <v>1621</v>
      </c>
      <c r="J538" s="176">
        <v>46026</v>
      </c>
      <c r="K538" s="172" t="s">
        <v>94</v>
      </c>
      <c r="L538" s="172" t="s">
        <v>95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891</v>
      </c>
      <c r="B539" s="176">
        <v>46029</v>
      </c>
      <c r="C539" s="172" t="s">
        <v>101</v>
      </c>
      <c r="D539" s="172" t="s">
        <v>102</v>
      </c>
      <c r="E539" s="172" t="s">
        <v>53</v>
      </c>
      <c r="F539" s="172" t="s">
        <v>91</v>
      </c>
      <c r="G539" s="172" t="s">
        <v>85</v>
      </c>
      <c r="H539" s="177">
        <v>1</v>
      </c>
      <c r="I539" s="178">
        <v>1621</v>
      </c>
      <c r="J539" s="176">
        <v>46026</v>
      </c>
      <c r="K539" s="172" t="s">
        <v>94</v>
      </c>
      <c r="L539" s="172" t="s">
        <v>95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891</v>
      </c>
      <c r="B540" s="176">
        <v>46029</v>
      </c>
      <c r="C540" s="172" t="s">
        <v>101</v>
      </c>
      <c r="D540" s="172" t="s">
        <v>103</v>
      </c>
      <c r="E540" s="172" t="s">
        <v>53</v>
      </c>
      <c r="F540" s="172" t="s">
        <v>91</v>
      </c>
      <c r="G540" s="172" t="s">
        <v>85</v>
      </c>
      <c r="H540" s="177">
        <v>1</v>
      </c>
      <c r="I540" s="178">
        <v>1621</v>
      </c>
      <c r="J540" s="176">
        <v>46026</v>
      </c>
      <c r="K540" s="172" t="s">
        <v>94</v>
      </c>
      <c r="L540" s="172" t="s">
        <v>95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891</v>
      </c>
      <c r="B541" s="176">
        <v>46029</v>
      </c>
      <c r="C541" s="172" t="s">
        <v>101</v>
      </c>
      <c r="D541" s="172" t="s">
        <v>104</v>
      </c>
      <c r="E541" s="172" t="s">
        <v>53</v>
      </c>
      <c r="F541" s="172" t="s">
        <v>91</v>
      </c>
      <c r="G541" s="172" t="s">
        <v>85</v>
      </c>
      <c r="H541" s="177">
        <v>1</v>
      </c>
      <c r="I541" s="178">
        <v>1621</v>
      </c>
      <c r="J541" s="176">
        <v>46026</v>
      </c>
      <c r="K541" s="172" t="s">
        <v>94</v>
      </c>
      <c r="L541" s="172" t="s">
        <v>95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891</v>
      </c>
      <c r="B542" s="176">
        <v>46029</v>
      </c>
      <c r="C542" s="172" t="s">
        <v>105</v>
      </c>
      <c r="D542" s="172" t="s">
        <v>106</v>
      </c>
      <c r="E542" s="172" t="s">
        <v>53</v>
      </c>
      <c r="F542" s="172" t="s">
        <v>91</v>
      </c>
      <c r="G542" s="172" t="s">
        <v>85</v>
      </c>
      <c r="H542" s="177">
        <v>1</v>
      </c>
      <c r="I542" s="178">
        <v>1621</v>
      </c>
      <c r="J542" s="176">
        <v>46026</v>
      </c>
      <c r="K542" s="172" t="s">
        <v>94</v>
      </c>
      <c r="L542" s="172" t="s">
        <v>95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891</v>
      </c>
      <c r="B543" s="176">
        <v>46029</v>
      </c>
      <c r="C543" s="172" t="s">
        <v>82</v>
      </c>
      <c r="D543" s="172" t="s">
        <v>96</v>
      </c>
      <c r="E543" s="172" t="s">
        <v>53</v>
      </c>
      <c r="F543" s="172" t="s">
        <v>91</v>
      </c>
      <c r="G543" s="172" t="s">
        <v>85</v>
      </c>
      <c r="H543" s="177">
        <v>1</v>
      </c>
      <c r="I543" s="178">
        <v>1621</v>
      </c>
      <c r="J543" s="176">
        <v>46026</v>
      </c>
      <c r="K543" s="172" t="s">
        <v>94</v>
      </c>
      <c r="L543" s="172" t="s">
        <v>95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892</v>
      </c>
      <c r="B544" s="176">
        <v>46029</v>
      </c>
      <c r="C544" s="172" t="s">
        <v>93</v>
      </c>
      <c r="D544" s="172" t="s">
        <v>24</v>
      </c>
      <c r="E544" s="172" t="s">
        <v>54</v>
      </c>
      <c r="F544" s="172" t="s">
        <v>121</v>
      </c>
      <c r="G544" s="172" t="s">
        <v>85</v>
      </c>
      <c r="H544" s="177">
        <v>1</v>
      </c>
      <c r="I544" s="178">
        <v>1845</v>
      </c>
      <c r="J544" s="176">
        <v>46025</v>
      </c>
      <c r="K544" s="172" t="s">
        <v>94</v>
      </c>
      <c r="L544" s="172" t="s">
        <v>95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892</v>
      </c>
      <c r="B545" s="176">
        <v>46029</v>
      </c>
      <c r="C545" s="172" t="s">
        <v>101</v>
      </c>
      <c r="D545" s="172" t="s">
        <v>102</v>
      </c>
      <c r="E545" s="172" t="s">
        <v>54</v>
      </c>
      <c r="F545" s="172" t="s">
        <v>121</v>
      </c>
      <c r="G545" s="172" t="s">
        <v>85</v>
      </c>
      <c r="H545" s="177">
        <v>1</v>
      </c>
      <c r="I545" s="178">
        <v>1845</v>
      </c>
      <c r="J545" s="176">
        <v>46025</v>
      </c>
      <c r="K545" s="172" t="s">
        <v>94</v>
      </c>
      <c r="L545" s="172" t="s">
        <v>95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892</v>
      </c>
      <c r="B546" s="176">
        <v>46029</v>
      </c>
      <c r="C546" s="172" t="s">
        <v>101</v>
      </c>
      <c r="D546" s="172" t="s">
        <v>103</v>
      </c>
      <c r="E546" s="172" t="s">
        <v>54</v>
      </c>
      <c r="F546" s="172" t="s">
        <v>121</v>
      </c>
      <c r="G546" s="172" t="s">
        <v>85</v>
      </c>
      <c r="H546" s="177">
        <v>1</v>
      </c>
      <c r="I546" s="178">
        <v>1845</v>
      </c>
      <c r="J546" s="176">
        <v>46025</v>
      </c>
      <c r="K546" s="172" t="s">
        <v>94</v>
      </c>
      <c r="L546" s="172" t="s">
        <v>95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892</v>
      </c>
      <c r="B547" s="176">
        <v>46029</v>
      </c>
      <c r="C547" s="172" t="s">
        <v>101</v>
      </c>
      <c r="D547" s="172" t="s">
        <v>104</v>
      </c>
      <c r="E547" s="172" t="s">
        <v>54</v>
      </c>
      <c r="F547" s="172" t="s">
        <v>121</v>
      </c>
      <c r="G547" s="172" t="s">
        <v>85</v>
      </c>
      <c r="H547" s="177">
        <v>1</v>
      </c>
      <c r="I547" s="178">
        <v>1845</v>
      </c>
      <c r="J547" s="176">
        <v>46025</v>
      </c>
      <c r="K547" s="172" t="s">
        <v>94</v>
      </c>
      <c r="L547" s="172" t="s">
        <v>95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892</v>
      </c>
      <c r="B548" s="176">
        <v>46029</v>
      </c>
      <c r="C548" s="172" t="s">
        <v>105</v>
      </c>
      <c r="D548" s="172" t="s">
        <v>106</v>
      </c>
      <c r="E548" s="172" t="s">
        <v>54</v>
      </c>
      <c r="F548" s="172" t="s">
        <v>121</v>
      </c>
      <c r="G548" s="172" t="s">
        <v>85</v>
      </c>
      <c r="H548" s="177">
        <v>1</v>
      </c>
      <c r="I548" s="178">
        <v>1845</v>
      </c>
      <c r="J548" s="176">
        <v>46025</v>
      </c>
      <c r="K548" s="172" t="s">
        <v>94</v>
      </c>
      <c r="L548" s="172" t="s">
        <v>95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892</v>
      </c>
      <c r="B549" s="176">
        <v>46029</v>
      </c>
      <c r="C549" s="172" t="s">
        <v>82</v>
      </c>
      <c r="D549" s="172" t="s">
        <v>96</v>
      </c>
      <c r="E549" s="172" t="s">
        <v>54</v>
      </c>
      <c r="F549" s="172" t="s">
        <v>121</v>
      </c>
      <c r="G549" s="172" t="s">
        <v>85</v>
      </c>
      <c r="H549" s="177">
        <v>1</v>
      </c>
      <c r="I549" s="178">
        <v>1845</v>
      </c>
      <c r="J549" s="176">
        <v>46025</v>
      </c>
      <c r="K549" s="172" t="s">
        <v>94</v>
      </c>
      <c r="L549" s="172" t="s">
        <v>95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893</v>
      </c>
      <c r="B550" s="176">
        <v>46029</v>
      </c>
      <c r="C550" s="172" t="s">
        <v>93</v>
      </c>
      <c r="D550" s="172" t="s">
        <v>24</v>
      </c>
      <c r="E550" s="172" t="s">
        <v>53</v>
      </c>
      <c r="F550" s="172" t="s">
        <v>91</v>
      </c>
      <c r="G550" s="172" t="s">
        <v>85</v>
      </c>
      <c r="H550" s="177">
        <v>1</v>
      </c>
      <c r="I550" s="178">
        <v>1621</v>
      </c>
      <c r="J550" s="176">
        <v>46027</v>
      </c>
      <c r="K550" s="172" t="s">
        <v>94</v>
      </c>
      <c r="L550" s="172" t="s">
        <v>95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893</v>
      </c>
      <c r="B551" s="176">
        <v>46029</v>
      </c>
      <c r="C551" s="172" t="s">
        <v>101</v>
      </c>
      <c r="D551" s="172" t="s">
        <v>102</v>
      </c>
      <c r="E551" s="172" t="s">
        <v>53</v>
      </c>
      <c r="F551" s="172" t="s">
        <v>91</v>
      </c>
      <c r="G551" s="172" t="s">
        <v>85</v>
      </c>
      <c r="H551" s="177">
        <v>1</v>
      </c>
      <c r="I551" s="178">
        <v>1621</v>
      </c>
      <c r="J551" s="176">
        <v>46027</v>
      </c>
      <c r="K551" s="172" t="s">
        <v>94</v>
      </c>
      <c r="L551" s="172" t="s">
        <v>95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893</v>
      </c>
      <c r="B552" s="176">
        <v>46029</v>
      </c>
      <c r="C552" s="172" t="s">
        <v>101</v>
      </c>
      <c r="D552" s="172" t="s">
        <v>103</v>
      </c>
      <c r="E552" s="172" t="s">
        <v>53</v>
      </c>
      <c r="F552" s="172" t="s">
        <v>91</v>
      </c>
      <c r="G552" s="172" t="s">
        <v>85</v>
      </c>
      <c r="H552" s="177">
        <v>1</v>
      </c>
      <c r="I552" s="178">
        <v>1621</v>
      </c>
      <c r="J552" s="176">
        <v>46027</v>
      </c>
      <c r="K552" s="172" t="s">
        <v>94</v>
      </c>
      <c r="L552" s="172" t="s">
        <v>95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893</v>
      </c>
      <c r="B553" s="176">
        <v>46029</v>
      </c>
      <c r="C553" s="172" t="s">
        <v>101</v>
      </c>
      <c r="D553" s="172" t="s">
        <v>104</v>
      </c>
      <c r="E553" s="172" t="s">
        <v>53</v>
      </c>
      <c r="F553" s="172" t="s">
        <v>91</v>
      </c>
      <c r="G553" s="172" t="s">
        <v>85</v>
      </c>
      <c r="H553" s="177">
        <v>1</v>
      </c>
      <c r="I553" s="178">
        <v>1621</v>
      </c>
      <c r="J553" s="176">
        <v>46027</v>
      </c>
      <c r="K553" s="172" t="s">
        <v>94</v>
      </c>
      <c r="L553" s="172" t="s">
        <v>95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893</v>
      </c>
      <c r="B554" s="176">
        <v>46029</v>
      </c>
      <c r="C554" s="172" t="s">
        <v>105</v>
      </c>
      <c r="D554" s="172" t="s">
        <v>106</v>
      </c>
      <c r="E554" s="172" t="s">
        <v>53</v>
      </c>
      <c r="F554" s="172" t="s">
        <v>91</v>
      </c>
      <c r="G554" s="172" t="s">
        <v>85</v>
      </c>
      <c r="H554" s="177">
        <v>1</v>
      </c>
      <c r="I554" s="178">
        <v>1621</v>
      </c>
      <c r="J554" s="176">
        <v>46027</v>
      </c>
      <c r="K554" s="172" t="s">
        <v>94</v>
      </c>
      <c r="L554" s="172" t="s">
        <v>95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893</v>
      </c>
      <c r="B555" s="176">
        <v>46029</v>
      </c>
      <c r="C555" s="172" t="s">
        <v>82</v>
      </c>
      <c r="D555" s="172" t="s">
        <v>96</v>
      </c>
      <c r="E555" s="172" t="s">
        <v>53</v>
      </c>
      <c r="F555" s="172" t="s">
        <v>91</v>
      </c>
      <c r="G555" s="172" t="s">
        <v>85</v>
      </c>
      <c r="H555" s="177">
        <v>1</v>
      </c>
      <c r="I555" s="178">
        <v>1621</v>
      </c>
      <c r="J555" s="176">
        <v>46027</v>
      </c>
      <c r="K555" s="172" t="s">
        <v>94</v>
      </c>
      <c r="L555" s="172" t="s">
        <v>95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894</v>
      </c>
      <c r="B556" s="176">
        <v>46029</v>
      </c>
      <c r="C556" s="172" t="s">
        <v>82</v>
      </c>
      <c r="D556" s="172" t="s">
        <v>83</v>
      </c>
      <c r="E556" s="172" t="s">
        <v>54</v>
      </c>
      <c r="F556" s="172" t="s">
        <v>121</v>
      </c>
      <c r="G556" s="172" t="s">
        <v>85</v>
      </c>
      <c r="H556" s="177">
        <v>1</v>
      </c>
      <c r="I556" s="178">
        <v>0</v>
      </c>
      <c r="J556" s="176">
        <v>46029</v>
      </c>
      <c r="K556" s="172" t="s">
        <v>86</v>
      </c>
      <c r="L556" s="172" t="s">
        <v>86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895</v>
      </c>
      <c r="B557" s="176">
        <v>46029</v>
      </c>
      <c r="C557" s="172" t="s">
        <v>82</v>
      </c>
      <c r="D557" s="172" t="s">
        <v>83</v>
      </c>
      <c r="E557" s="172" t="s">
        <v>54</v>
      </c>
      <c r="F557" s="172" t="s">
        <v>121</v>
      </c>
      <c r="G557" s="172" t="s">
        <v>85</v>
      </c>
      <c r="H557" s="177">
        <v>1</v>
      </c>
      <c r="I557" s="178">
        <v>0</v>
      </c>
      <c r="J557" s="176">
        <v>46029</v>
      </c>
      <c r="K557" s="172" t="s">
        <v>86</v>
      </c>
      <c r="L557" s="172" t="s">
        <v>86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892</v>
      </c>
      <c r="B558" s="176">
        <v>46029</v>
      </c>
      <c r="C558" s="172" t="s">
        <v>82</v>
      </c>
      <c r="D558" s="172" t="s">
        <v>83</v>
      </c>
      <c r="E558" s="172" t="s">
        <v>54</v>
      </c>
      <c r="F558" s="172" t="s">
        <v>121</v>
      </c>
      <c r="G558" s="172" t="s">
        <v>85</v>
      </c>
      <c r="H558" s="177">
        <v>1</v>
      </c>
      <c r="I558" s="178">
        <v>0</v>
      </c>
      <c r="J558" s="176">
        <v>46025</v>
      </c>
      <c r="K558" s="172" t="s">
        <v>86</v>
      </c>
      <c r="L558" s="172" t="s">
        <v>86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470</v>
      </c>
      <c r="B559" s="176">
        <v>46029</v>
      </c>
      <c r="C559" s="172" t="s">
        <v>356</v>
      </c>
      <c r="D559" s="172" t="s">
        <v>896</v>
      </c>
      <c r="E559" s="172" t="s">
        <v>86</v>
      </c>
      <c r="F559" s="172" t="s">
        <v>86</v>
      </c>
      <c r="G559" s="172" t="s">
        <v>86</v>
      </c>
      <c r="H559" s="177">
        <v>0</v>
      </c>
      <c r="I559" s="178">
        <v>0</v>
      </c>
      <c r="J559" s="176">
        <v>45995</v>
      </c>
      <c r="K559" s="172" t="s">
        <v>86</v>
      </c>
      <c r="L559" s="172" t="s">
        <v>86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897</v>
      </c>
      <c r="B560" s="176">
        <v>46029</v>
      </c>
      <c r="C560" s="172" t="s">
        <v>93</v>
      </c>
      <c r="D560" s="172" t="s">
        <v>24</v>
      </c>
      <c r="E560" s="172" t="s">
        <v>54</v>
      </c>
      <c r="F560" s="172" t="s">
        <v>121</v>
      </c>
      <c r="G560" s="172" t="s">
        <v>85</v>
      </c>
      <c r="H560" s="177">
        <v>1</v>
      </c>
      <c r="I560" s="178">
        <v>0</v>
      </c>
      <c r="J560" s="176">
        <v>46012</v>
      </c>
      <c r="K560" s="172" t="s">
        <v>94</v>
      </c>
      <c r="L560" s="172" t="s">
        <v>95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897</v>
      </c>
      <c r="B561" s="176">
        <v>46029</v>
      </c>
      <c r="C561" s="172" t="s">
        <v>82</v>
      </c>
      <c r="D561" s="172" t="s">
        <v>96</v>
      </c>
      <c r="E561" s="172" t="s">
        <v>54</v>
      </c>
      <c r="F561" s="172" t="s">
        <v>121</v>
      </c>
      <c r="G561" s="172" t="s">
        <v>85</v>
      </c>
      <c r="H561" s="177">
        <v>1</v>
      </c>
      <c r="I561" s="178">
        <v>0</v>
      </c>
      <c r="J561" s="176">
        <v>46012</v>
      </c>
      <c r="K561" s="172" t="s">
        <v>94</v>
      </c>
      <c r="L561" s="172" t="s">
        <v>95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898</v>
      </c>
      <c r="B562" s="176">
        <v>46029</v>
      </c>
      <c r="C562" s="172" t="s">
        <v>82</v>
      </c>
      <c r="D562" s="172" t="s">
        <v>83</v>
      </c>
      <c r="E562" s="172" t="s">
        <v>42</v>
      </c>
      <c r="F562" s="172" t="s">
        <v>84</v>
      </c>
      <c r="G562" s="172" t="s">
        <v>85</v>
      </c>
      <c r="H562" s="177">
        <v>1</v>
      </c>
      <c r="I562" s="178">
        <v>0</v>
      </c>
      <c r="J562" s="176">
        <v>46029</v>
      </c>
      <c r="K562" s="172" t="s">
        <v>86</v>
      </c>
      <c r="L562" s="172" t="s">
        <v>86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897</v>
      </c>
      <c r="B563" s="176">
        <v>46029</v>
      </c>
      <c r="C563" s="172" t="s">
        <v>93</v>
      </c>
      <c r="D563" s="172" t="s">
        <v>97</v>
      </c>
      <c r="E563" s="172" t="s">
        <v>54</v>
      </c>
      <c r="F563" s="172" t="s">
        <v>121</v>
      </c>
      <c r="G563" s="172" t="s">
        <v>85</v>
      </c>
      <c r="H563" s="177">
        <v>1</v>
      </c>
      <c r="I563" s="178">
        <v>0</v>
      </c>
      <c r="J563" s="176">
        <v>46012</v>
      </c>
      <c r="K563" s="172" t="s">
        <v>94</v>
      </c>
      <c r="L563" s="172" t="s">
        <v>95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897</v>
      </c>
      <c r="B564" s="176">
        <v>46029</v>
      </c>
      <c r="C564" s="172" t="s">
        <v>93</v>
      </c>
      <c r="D564" s="172" t="s">
        <v>98</v>
      </c>
      <c r="E564" s="172" t="s">
        <v>54</v>
      </c>
      <c r="F564" s="172" t="s">
        <v>121</v>
      </c>
      <c r="G564" s="172" t="s">
        <v>85</v>
      </c>
      <c r="H564" s="177">
        <v>1</v>
      </c>
      <c r="I564" s="178">
        <v>0</v>
      </c>
      <c r="J564" s="176">
        <v>46012</v>
      </c>
      <c r="K564" s="172" t="s">
        <v>94</v>
      </c>
      <c r="L564" s="172" t="s">
        <v>95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897</v>
      </c>
      <c r="B565" s="176">
        <v>46029</v>
      </c>
      <c r="C565" s="172" t="s">
        <v>82</v>
      </c>
      <c r="D565" s="172" t="s">
        <v>99</v>
      </c>
      <c r="E565" s="172" t="s">
        <v>54</v>
      </c>
      <c r="F565" s="172" t="s">
        <v>121</v>
      </c>
      <c r="G565" s="172" t="s">
        <v>85</v>
      </c>
      <c r="H565" s="177">
        <v>1</v>
      </c>
      <c r="I565" s="178">
        <v>0</v>
      </c>
      <c r="J565" s="176">
        <v>46012</v>
      </c>
      <c r="K565" s="172" t="s">
        <v>94</v>
      </c>
      <c r="L565" s="172" t="s">
        <v>95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899</v>
      </c>
      <c r="B566" s="176">
        <v>46029</v>
      </c>
      <c r="C566" s="172" t="s">
        <v>82</v>
      </c>
      <c r="D566" s="172" t="s">
        <v>83</v>
      </c>
      <c r="E566" s="172" t="s">
        <v>54</v>
      </c>
      <c r="F566" s="172" t="s">
        <v>121</v>
      </c>
      <c r="G566" s="172" t="s">
        <v>85</v>
      </c>
      <c r="H566" s="177">
        <v>1</v>
      </c>
      <c r="I566" s="178">
        <v>0</v>
      </c>
      <c r="J566" s="176">
        <v>46029</v>
      </c>
      <c r="K566" s="172" t="s">
        <v>86</v>
      </c>
      <c r="L566" s="172" t="s">
        <v>86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900</v>
      </c>
      <c r="B567" s="176">
        <v>46029</v>
      </c>
      <c r="C567" s="172" t="s">
        <v>93</v>
      </c>
      <c r="D567" s="172" t="s">
        <v>24</v>
      </c>
      <c r="E567" s="172" t="s">
        <v>54</v>
      </c>
      <c r="F567" s="172" t="s">
        <v>121</v>
      </c>
      <c r="G567" s="172" t="s">
        <v>85</v>
      </c>
      <c r="H567" s="177">
        <v>1</v>
      </c>
      <c r="I567" s="178">
        <v>1845</v>
      </c>
      <c r="J567" s="176">
        <v>46025</v>
      </c>
      <c r="K567" s="172" t="s">
        <v>94</v>
      </c>
      <c r="L567" s="172" t="s">
        <v>95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900</v>
      </c>
      <c r="B568" s="176">
        <v>46029</v>
      </c>
      <c r="C568" s="172" t="s">
        <v>101</v>
      </c>
      <c r="D568" s="172" t="s">
        <v>102</v>
      </c>
      <c r="E568" s="172" t="s">
        <v>54</v>
      </c>
      <c r="F568" s="172" t="s">
        <v>121</v>
      </c>
      <c r="G568" s="172" t="s">
        <v>85</v>
      </c>
      <c r="H568" s="177">
        <v>1</v>
      </c>
      <c r="I568" s="178">
        <v>1845</v>
      </c>
      <c r="J568" s="176">
        <v>46025</v>
      </c>
      <c r="K568" s="172" t="s">
        <v>94</v>
      </c>
      <c r="L568" s="172" t="s">
        <v>95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900</v>
      </c>
      <c r="B569" s="176">
        <v>46029</v>
      </c>
      <c r="C569" s="172" t="s">
        <v>101</v>
      </c>
      <c r="D569" s="172" t="s">
        <v>103</v>
      </c>
      <c r="E569" s="172" t="s">
        <v>54</v>
      </c>
      <c r="F569" s="172" t="s">
        <v>121</v>
      </c>
      <c r="G569" s="172" t="s">
        <v>85</v>
      </c>
      <c r="H569" s="177">
        <v>1</v>
      </c>
      <c r="I569" s="178">
        <v>1845</v>
      </c>
      <c r="J569" s="176">
        <v>46025</v>
      </c>
      <c r="K569" s="172" t="s">
        <v>94</v>
      </c>
      <c r="L569" s="172" t="s">
        <v>95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900</v>
      </c>
      <c r="B570" s="176">
        <v>46029</v>
      </c>
      <c r="C570" s="172" t="s">
        <v>101</v>
      </c>
      <c r="D570" s="172" t="s">
        <v>104</v>
      </c>
      <c r="E570" s="172" t="s">
        <v>54</v>
      </c>
      <c r="F570" s="172" t="s">
        <v>121</v>
      </c>
      <c r="G570" s="172" t="s">
        <v>85</v>
      </c>
      <c r="H570" s="177">
        <v>1</v>
      </c>
      <c r="I570" s="178">
        <v>1845</v>
      </c>
      <c r="J570" s="176">
        <v>46025</v>
      </c>
      <c r="K570" s="172" t="s">
        <v>94</v>
      </c>
      <c r="L570" s="172" t="s">
        <v>95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900</v>
      </c>
      <c r="B571" s="176">
        <v>46029</v>
      </c>
      <c r="C571" s="172" t="s">
        <v>105</v>
      </c>
      <c r="D571" s="172" t="s">
        <v>106</v>
      </c>
      <c r="E571" s="172" t="s">
        <v>54</v>
      </c>
      <c r="F571" s="172" t="s">
        <v>121</v>
      </c>
      <c r="G571" s="172" t="s">
        <v>85</v>
      </c>
      <c r="H571" s="177">
        <v>1</v>
      </c>
      <c r="I571" s="178">
        <v>1845</v>
      </c>
      <c r="J571" s="176">
        <v>46025</v>
      </c>
      <c r="K571" s="172" t="s">
        <v>94</v>
      </c>
      <c r="L571" s="172" t="s">
        <v>95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900</v>
      </c>
      <c r="B572" s="176">
        <v>46029</v>
      </c>
      <c r="C572" s="172" t="s">
        <v>82</v>
      </c>
      <c r="D572" s="172" t="s">
        <v>96</v>
      </c>
      <c r="E572" s="172" t="s">
        <v>54</v>
      </c>
      <c r="F572" s="172" t="s">
        <v>121</v>
      </c>
      <c r="G572" s="172" t="s">
        <v>85</v>
      </c>
      <c r="H572" s="177">
        <v>1</v>
      </c>
      <c r="I572" s="178">
        <v>1845</v>
      </c>
      <c r="J572" s="176">
        <v>46025</v>
      </c>
      <c r="K572" s="172" t="s">
        <v>94</v>
      </c>
      <c r="L572" s="172" t="s">
        <v>95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901</v>
      </c>
      <c r="B573" s="176">
        <v>46029</v>
      </c>
      <c r="C573" s="172" t="s">
        <v>93</v>
      </c>
      <c r="D573" s="172" t="s">
        <v>24</v>
      </c>
      <c r="E573" s="172" t="s">
        <v>39</v>
      </c>
      <c r="F573" s="172" t="s">
        <v>88</v>
      </c>
      <c r="G573" s="172" t="s">
        <v>85</v>
      </c>
      <c r="H573" s="177">
        <v>1</v>
      </c>
      <c r="I573" s="178">
        <v>1650</v>
      </c>
      <c r="J573" s="176">
        <v>46027</v>
      </c>
      <c r="K573" s="172" t="s">
        <v>94</v>
      </c>
      <c r="L573" s="172" t="s">
        <v>95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901</v>
      </c>
      <c r="B574" s="176">
        <v>46029</v>
      </c>
      <c r="C574" s="172" t="s">
        <v>101</v>
      </c>
      <c r="D574" s="172" t="s">
        <v>102</v>
      </c>
      <c r="E574" s="172" t="s">
        <v>39</v>
      </c>
      <c r="F574" s="172" t="s">
        <v>88</v>
      </c>
      <c r="G574" s="172" t="s">
        <v>85</v>
      </c>
      <c r="H574" s="177">
        <v>1</v>
      </c>
      <c r="I574" s="178">
        <v>1650</v>
      </c>
      <c r="J574" s="176">
        <v>46027</v>
      </c>
      <c r="K574" s="172" t="s">
        <v>94</v>
      </c>
      <c r="L574" s="172" t="s">
        <v>95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901</v>
      </c>
      <c r="B575" s="176">
        <v>46029</v>
      </c>
      <c r="C575" s="172" t="s">
        <v>101</v>
      </c>
      <c r="D575" s="172" t="s">
        <v>103</v>
      </c>
      <c r="E575" s="172" t="s">
        <v>39</v>
      </c>
      <c r="F575" s="172" t="s">
        <v>88</v>
      </c>
      <c r="G575" s="172" t="s">
        <v>85</v>
      </c>
      <c r="H575" s="177">
        <v>1</v>
      </c>
      <c r="I575" s="178">
        <v>1650</v>
      </c>
      <c r="J575" s="176">
        <v>46027</v>
      </c>
      <c r="K575" s="172" t="s">
        <v>94</v>
      </c>
      <c r="L575" s="172" t="s">
        <v>95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901</v>
      </c>
      <c r="B576" s="176">
        <v>46029</v>
      </c>
      <c r="C576" s="172" t="s">
        <v>101</v>
      </c>
      <c r="D576" s="172" t="s">
        <v>104</v>
      </c>
      <c r="E576" s="172" t="s">
        <v>39</v>
      </c>
      <c r="F576" s="172" t="s">
        <v>88</v>
      </c>
      <c r="G576" s="172" t="s">
        <v>85</v>
      </c>
      <c r="H576" s="177">
        <v>1</v>
      </c>
      <c r="I576" s="178">
        <v>1650</v>
      </c>
      <c r="J576" s="176">
        <v>46027</v>
      </c>
      <c r="K576" s="172" t="s">
        <v>94</v>
      </c>
      <c r="L576" s="172" t="s">
        <v>95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901</v>
      </c>
      <c r="B577" s="176">
        <v>46029</v>
      </c>
      <c r="C577" s="172" t="s">
        <v>105</v>
      </c>
      <c r="D577" s="172" t="s">
        <v>106</v>
      </c>
      <c r="E577" s="172" t="s">
        <v>39</v>
      </c>
      <c r="F577" s="172" t="s">
        <v>88</v>
      </c>
      <c r="G577" s="172" t="s">
        <v>85</v>
      </c>
      <c r="H577" s="177">
        <v>1</v>
      </c>
      <c r="I577" s="178">
        <v>1650</v>
      </c>
      <c r="J577" s="176">
        <v>46027</v>
      </c>
      <c r="K577" s="172" t="s">
        <v>94</v>
      </c>
      <c r="L577" s="172" t="s">
        <v>95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901</v>
      </c>
      <c r="B578" s="176">
        <v>46029</v>
      </c>
      <c r="C578" s="172" t="s">
        <v>82</v>
      </c>
      <c r="D578" s="172" t="s">
        <v>96</v>
      </c>
      <c r="E578" s="172" t="s">
        <v>39</v>
      </c>
      <c r="F578" s="172" t="s">
        <v>88</v>
      </c>
      <c r="G578" s="172" t="s">
        <v>85</v>
      </c>
      <c r="H578" s="177">
        <v>1</v>
      </c>
      <c r="I578" s="178">
        <v>1650</v>
      </c>
      <c r="J578" s="176">
        <v>46027</v>
      </c>
      <c r="K578" s="172" t="s">
        <v>94</v>
      </c>
      <c r="L578" s="172" t="s">
        <v>95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902</v>
      </c>
      <c r="B579" s="176">
        <v>46029</v>
      </c>
      <c r="C579" s="172" t="s">
        <v>82</v>
      </c>
      <c r="D579" s="172" t="s">
        <v>83</v>
      </c>
      <c r="E579" s="172" t="s">
        <v>54</v>
      </c>
      <c r="F579" s="172" t="s">
        <v>121</v>
      </c>
      <c r="G579" s="172" t="s">
        <v>85</v>
      </c>
      <c r="H579" s="177">
        <v>1</v>
      </c>
      <c r="I579" s="178">
        <v>0</v>
      </c>
      <c r="J579" s="176">
        <v>46029</v>
      </c>
      <c r="K579" s="172" t="s">
        <v>86</v>
      </c>
      <c r="L579" s="172" t="s">
        <v>86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901</v>
      </c>
      <c r="B580" s="176">
        <v>46029</v>
      </c>
      <c r="C580" s="172" t="s">
        <v>82</v>
      </c>
      <c r="D580" s="172" t="s">
        <v>83</v>
      </c>
      <c r="E580" s="172" t="s">
        <v>39</v>
      </c>
      <c r="F580" s="172" t="s">
        <v>88</v>
      </c>
      <c r="G580" s="172" t="s">
        <v>85</v>
      </c>
      <c r="H580" s="177">
        <v>1</v>
      </c>
      <c r="I580" s="178">
        <v>0</v>
      </c>
      <c r="J580" s="176">
        <v>46027</v>
      </c>
      <c r="K580" s="172" t="s">
        <v>86</v>
      </c>
      <c r="L580" s="172" t="s">
        <v>86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903</v>
      </c>
      <c r="B581" s="176">
        <v>46029</v>
      </c>
      <c r="C581" s="172" t="s">
        <v>93</v>
      </c>
      <c r="D581" s="172" t="s">
        <v>24</v>
      </c>
      <c r="E581" s="172" t="s">
        <v>54</v>
      </c>
      <c r="F581" s="172" t="s">
        <v>121</v>
      </c>
      <c r="G581" s="172" t="s">
        <v>85</v>
      </c>
      <c r="H581" s="177">
        <v>1</v>
      </c>
      <c r="I581" s="178">
        <v>1845</v>
      </c>
      <c r="J581" s="176">
        <v>46026</v>
      </c>
      <c r="K581" s="172" t="s">
        <v>94</v>
      </c>
      <c r="L581" s="172" t="s">
        <v>95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903</v>
      </c>
      <c r="B582" s="176">
        <v>46029</v>
      </c>
      <c r="C582" s="172" t="s">
        <v>101</v>
      </c>
      <c r="D582" s="172" t="s">
        <v>102</v>
      </c>
      <c r="E582" s="172" t="s">
        <v>54</v>
      </c>
      <c r="F582" s="172" t="s">
        <v>121</v>
      </c>
      <c r="G582" s="172" t="s">
        <v>85</v>
      </c>
      <c r="H582" s="177">
        <v>1</v>
      </c>
      <c r="I582" s="178">
        <v>1845</v>
      </c>
      <c r="J582" s="176">
        <v>46026</v>
      </c>
      <c r="K582" s="172" t="s">
        <v>94</v>
      </c>
      <c r="L582" s="172" t="s">
        <v>95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903</v>
      </c>
      <c r="B583" s="176">
        <v>46029</v>
      </c>
      <c r="C583" s="172" t="s">
        <v>101</v>
      </c>
      <c r="D583" s="172" t="s">
        <v>103</v>
      </c>
      <c r="E583" s="172" t="s">
        <v>54</v>
      </c>
      <c r="F583" s="172" t="s">
        <v>121</v>
      </c>
      <c r="G583" s="172" t="s">
        <v>85</v>
      </c>
      <c r="H583" s="177">
        <v>1</v>
      </c>
      <c r="I583" s="178">
        <v>1845</v>
      </c>
      <c r="J583" s="176">
        <v>46026</v>
      </c>
      <c r="K583" s="172" t="s">
        <v>94</v>
      </c>
      <c r="L583" s="172" t="s">
        <v>95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903</v>
      </c>
      <c r="B584" s="176">
        <v>46029</v>
      </c>
      <c r="C584" s="172" t="s">
        <v>101</v>
      </c>
      <c r="D584" s="172" t="s">
        <v>104</v>
      </c>
      <c r="E584" s="172" t="s">
        <v>54</v>
      </c>
      <c r="F584" s="172" t="s">
        <v>121</v>
      </c>
      <c r="G584" s="172" t="s">
        <v>85</v>
      </c>
      <c r="H584" s="177">
        <v>1</v>
      </c>
      <c r="I584" s="178">
        <v>1845</v>
      </c>
      <c r="J584" s="176">
        <v>46026</v>
      </c>
      <c r="K584" s="172" t="s">
        <v>94</v>
      </c>
      <c r="L584" s="172" t="s">
        <v>95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903</v>
      </c>
      <c r="B585" s="176">
        <v>46029</v>
      </c>
      <c r="C585" s="172" t="s">
        <v>105</v>
      </c>
      <c r="D585" s="172" t="s">
        <v>106</v>
      </c>
      <c r="E585" s="172" t="s">
        <v>54</v>
      </c>
      <c r="F585" s="172" t="s">
        <v>121</v>
      </c>
      <c r="G585" s="172" t="s">
        <v>85</v>
      </c>
      <c r="H585" s="177">
        <v>1</v>
      </c>
      <c r="I585" s="178">
        <v>1845</v>
      </c>
      <c r="J585" s="176">
        <v>46026</v>
      </c>
      <c r="K585" s="172" t="s">
        <v>94</v>
      </c>
      <c r="L585" s="172" t="s">
        <v>95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904</v>
      </c>
      <c r="B586" s="176">
        <v>46029</v>
      </c>
      <c r="C586" s="172" t="s">
        <v>82</v>
      </c>
      <c r="D586" s="172" t="s">
        <v>83</v>
      </c>
      <c r="E586" s="172" t="s">
        <v>54</v>
      </c>
      <c r="F586" s="172" t="s">
        <v>121</v>
      </c>
      <c r="G586" s="172" t="s">
        <v>85</v>
      </c>
      <c r="H586" s="177">
        <v>1</v>
      </c>
      <c r="I586" s="178">
        <v>0</v>
      </c>
      <c r="J586" s="176">
        <v>46029</v>
      </c>
      <c r="K586" s="172" t="s">
        <v>86</v>
      </c>
      <c r="L586" s="172" t="s">
        <v>86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905</v>
      </c>
      <c r="B587" s="176">
        <v>46029</v>
      </c>
      <c r="C587" s="172" t="s">
        <v>93</v>
      </c>
      <c r="D587" s="172" t="s">
        <v>24</v>
      </c>
      <c r="E587" s="172" t="s">
        <v>54</v>
      </c>
      <c r="F587" s="172" t="s">
        <v>121</v>
      </c>
      <c r="G587" s="172" t="s">
        <v>85</v>
      </c>
      <c r="H587" s="177">
        <v>1</v>
      </c>
      <c r="I587" s="178">
        <v>1621</v>
      </c>
      <c r="J587" s="176">
        <v>46017</v>
      </c>
      <c r="K587" s="172" t="s">
        <v>94</v>
      </c>
      <c r="L587" s="172" t="s">
        <v>95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905</v>
      </c>
      <c r="B588" s="176">
        <v>46029</v>
      </c>
      <c r="C588" s="172" t="s">
        <v>101</v>
      </c>
      <c r="D588" s="172" t="s">
        <v>102</v>
      </c>
      <c r="E588" s="172" t="s">
        <v>54</v>
      </c>
      <c r="F588" s="172" t="s">
        <v>121</v>
      </c>
      <c r="G588" s="172" t="s">
        <v>85</v>
      </c>
      <c r="H588" s="177">
        <v>1</v>
      </c>
      <c r="I588" s="178">
        <v>1621</v>
      </c>
      <c r="J588" s="176">
        <v>46017</v>
      </c>
      <c r="K588" s="172" t="s">
        <v>94</v>
      </c>
      <c r="L588" s="172" t="s">
        <v>95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905</v>
      </c>
      <c r="B589" s="176">
        <v>46029</v>
      </c>
      <c r="C589" s="172" t="s">
        <v>101</v>
      </c>
      <c r="D589" s="172" t="s">
        <v>103</v>
      </c>
      <c r="E589" s="172" t="s">
        <v>54</v>
      </c>
      <c r="F589" s="172" t="s">
        <v>121</v>
      </c>
      <c r="G589" s="172" t="s">
        <v>85</v>
      </c>
      <c r="H589" s="177">
        <v>1</v>
      </c>
      <c r="I589" s="178">
        <v>1621</v>
      </c>
      <c r="J589" s="176">
        <v>46017</v>
      </c>
      <c r="K589" s="172" t="s">
        <v>94</v>
      </c>
      <c r="L589" s="172" t="s">
        <v>95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905</v>
      </c>
      <c r="B590" s="176">
        <v>46029</v>
      </c>
      <c r="C590" s="172" t="s">
        <v>101</v>
      </c>
      <c r="D590" s="172" t="s">
        <v>104</v>
      </c>
      <c r="E590" s="172" t="s">
        <v>54</v>
      </c>
      <c r="F590" s="172" t="s">
        <v>121</v>
      </c>
      <c r="G590" s="172" t="s">
        <v>85</v>
      </c>
      <c r="H590" s="177">
        <v>1</v>
      </c>
      <c r="I590" s="178">
        <v>1621</v>
      </c>
      <c r="J590" s="176">
        <v>46017</v>
      </c>
      <c r="K590" s="172" t="s">
        <v>94</v>
      </c>
      <c r="L590" s="172" t="s">
        <v>95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905</v>
      </c>
      <c r="B591" s="176">
        <v>46029</v>
      </c>
      <c r="C591" s="172" t="s">
        <v>105</v>
      </c>
      <c r="D591" s="172" t="s">
        <v>106</v>
      </c>
      <c r="E591" s="172" t="s">
        <v>54</v>
      </c>
      <c r="F591" s="172" t="s">
        <v>121</v>
      </c>
      <c r="G591" s="172" t="s">
        <v>85</v>
      </c>
      <c r="H591" s="177">
        <v>1</v>
      </c>
      <c r="I591" s="178">
        <v>1621</v>
      </c>
      <c r="J591" s="176">
        <v>46017</v>
      </c>
      <c r="K591" s="172" t="s">
        <v>94</v>
      </c>
      <c r="L591" s="172" t="s">
        <v>95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905</v>
      </c>
      <c r="B592" s="176">
        <v>46029</v>
      </c>
      <c r="C592" s="172" t="s">
        <v>82</v>
      </c>
      <c r="D592" s="172" t="s">
        <v>96</v>
      </c>
      <c r="E592" s="172" t="s">
        <v>54</v>
      </c>
      <c r="F592" s="172" t="s">
        <v>121</v>
      </c>
      <c r="G592" s="172" t="s">
        <v>85</v>
      </c>
      <c r="H592" s="177">
        <v>1</v>
      </c>
      <c r="I592" s="178">
        <v>1621</v>
      </c>
      <c r="J592" s="176">
        <v>46017</v>
      </c>
      <c r="K592" s="172" t="s">
        <v>94</v>
      </c>
      <c r="L592" s="172" t="s">
        <v>95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906</v>
      </c>
      <c r="B593" s="176">
        <v>46029</v>
      </c>
      <c r="C593" s="172" t="s">
        <v>82</v>
      </c>
      <c r="D593" s="172" t="s">
        <v>83</v>
      </c>
      <c r="E593" s="172" t="s">
        <v>43</v>
      </c>
      <c r="F593" s="172" t="s">
        <v>90</v>
      </c>
      <c r="G593" s="172" t="s">
        <v>85</v>
      </c>
      <c r="H593" s="177">
        <v>1</v>
      </c>
      <c r="I593" s="178">
        <v>0</v>
      </c>
      <c r="J593" s="176">
        <v>46029</v>
      </c>
      <c r="K593" s="172" t="s">
        <v>86</v>
      </c>
      <c r="L593" s="172" t="s">
        <v>86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907</v>
      </c>
      <c r="B594" s="176">
        <v>46029</v>
      </c>
      <c r="C594" s="172" t="s">
        <v>93</v>
      </c>
      <c r="D594" s="172" t="s">
        <v>24</v>
      </c>
      <c r="E594" s="172" t="s">
        <v>53</v>
      </c>
      <c r="F594" s="172" t="s">
        <v>91</v>
      </c>
      <c r="G594" s="172" t="s">
        <v>85</v>
      </c>
      <c r="H594" s="177">
        <v>1</v>
      </c>
      <c r="I594" s="178">
        <v>1621</v>
      </c>
      <c r="J594" s="176">
        <v>46027</v>
      </c>
      <c r="K594" s="172" t="s">
        <v>94</v>
      </c>
      <c r="L594" s="172" t="s">
        <v>95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907</v>
      </c>
      <c r="B595" s="176">
        <v>46029</v>
      </c>
      <c r="C595" s="172" t="s">
        <v>101</v>
      </c>
      <c r="D595" s="172" t="s">
        <v>102</v>
      </c>
      <c r="E595" s="172" t="s">
        <v>53</v>
      </c>
      <c r="F595" s="172" t="s">
        <v>91</v>
      </c>
      <c r="G595" s="172" t="s">
        <v>85</v>
      </c>
      <c r="H595" s="177">
        <v>1</v>
      </c>
      <c r="I595" s="178">
        <v>1621</v>
      </c>
      <c r="J595" s="176">
        <v>46027</v>
      </c>
      <c r="K595" s="172" t="s">
        <v>94</v>
      </c>
      <c r="L595" s="172" t="s">
        <v>95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907</v>
      </c>
      <c r="B596" s="176">
        <v>46029</v>
      </c>
      <c r="C596" s="172" t="s">
        <v>101</v>
      </c>
      <c r="D596" s="172" t="s">
        <v>103</v>
      </c>
      <c r="E596" s="172" t="s">
        <v>53</v>
      </c>
      <c r="F596" s="172" t="s">
        <v>91</v>
      </c>
      <c r="G596" s="172" t="s">
        <v>85</v>
      </c>
      <c r="H596" s="177">
        <v>1</v>
      </c>
      <c r="I596" s="178">
        <v>1621</v>
      </c>
      <c r="J596" s="176">
        <v>46027</v>
      </c>
      <c r="K596" s="172" t="s">
        <v>94</v>
      </c>
      <c r="L596" s="172" t="s">
        <v>95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907</v>
      </c>
      <c r="B597" s="176">
        <v>46029</v>
      </c>
      <c r="C597" s="172" t="s">
        <v>101</v>
      </c>
      <c r="D597" s="172" t="s">
        <v>104</v>
      </c>
      <c r="E597" s="172" t="s">
        <v>53</v>
      </c>
      <c r="F597" s="172" t="s">
        <v>91</v>
      </c>
      <c r="G597" s="172" t="s">
        <v>85</v>
      </c>
      <c r="H597" s="177">
        <v>1</v>
      </c>
      <c r="I597" s="178">
        <v>1621</v>
      </c>
      <c r="J597" s="176">
        <v>46027</v>
      </c>
      <c r="K597" s="172" t="s">
        <v>94</v>
      </c>
      <c r="L597" s="172" t="s">
        <v>95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907</v>
      </c>
      <c r="B598" s="176">
        <v>46029</v>
      </c>
      <c r="C598" s="172" t="s">
        <v>105</v>
      </c>
      <c r="D598" s="172" t="s">
        <v>106</v>
      </c>
      <c r="E598" s="172" t="s">
        <v>53</v>
      </c>
      <c r="F598" s="172" t="s">
        <v>91</v>
      </c>
      <c r="G598" s="172" t="s">
        <v>85</v>
      </c>
      <c r="H598" s="177">
        <v>1</v>
      </c>
      <c r="I598" s="178">
        <v>1621</v>
      </c>
      <c r="J598" s="176">
        <v>46027</v>
      </c>
      <c r="K598" s="172" t="s">
        <v>94</v>
      </c>
      <c r="L598" s="172" t="s">
        <v>95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907</v>
      </c>
      <c r="B599" s="176">
        <v>46029</v>
      </c>
      <c r="C599" s="172" t="s">
        <v>82</v>
      </c>
      <c r="D599" s="172" t="s">
        <v>96</v>
      </c>
      <c r="E599" s="172" t="s">
        <v>53</v>
      </c>
      <c r="F599" s="172" t="s">
        <v>91</v>
      </c>
      <c r="G599" s="172" t="s">
        <v>85</v>
      </c>
      <c r="H599" s="177">
        <v>1</v>
      </c>
      <c r="I599" s="178">
        <v>1621</v>
      </c>
      <c r="J599" s="176">
        <v>46027</v>
      </c>
      <c r="K599" s="172" t="s">
        <v>94</v>
      </c>
      <c r="L599" s="172" t="s">
        <v>95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908</v>
      </c>
      <c r="B600" s="176">
        <v>46029</v>
      </c>
      <c r="C600" s="172" t="s">
        <v>82</v>
      </c>
      <c r="D600" s="172" t="s">
        <v>83</v>
      </c>
      <c r="E600" s="172" t="s">
        <v>42</v>
      </c>
      <c r="F600" s="172" t="s">
        <v>84</v>
      </c>
      <c r="G600" s="172" t="s">
        <v>85</v>
      </c>
      <c r="H600" s="177">
        <v>1</v>
      </c>
      <c r="I600" s="178">
        <v>0</v>
      </c>
      <c r="J600" s="176">
        <v>46029</v>
      </c>
      <c r="K600" s="172" t="s">
        <v>86</v>
      </c>
      <c r="L600" s="172" t="s">
        <v>86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909</v>
      </c>
      <c r="B601" s="176">
        <v>46029</v>
      </c>
      <c r="C601" s="172" t="s">
        <v>82</v>
      </c>
      <c r="D601" s="172" t="s">
        <v>83</v>
      </c>
      <c r="E601" s="172" t="s">
        <v>39</v>
      </c>
      <c r="F601" s="172" t="s">
        <v>88</v>
      </c>
      <c r="G601" s="172" t="s">
        <v>85</v>
      </c>
      <c r="H601" s="177">
        <v>1</v>
      </c>
      <c r="I601" s="178">
        <v>0</v>
      </c>
      <c r="J601" s="176">
        <v>46029</v>
      </c>
      <c r="K601" s="172" t="s">
        <v>86</v>
      </c>
      <c r="L601" s="172" t="s">
        <v>86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910</v>
      </c>
      <c r="B602" s="176">
        <v>46029</v>
      </c>
      <c r="C602" s="172" t="s">
        <v>93</v>
      </c>
      <c r="D602" s="172" t="s">
        <v>24</v>
      </c>
      <c r="E602" s="172" t="s">
        <v>53</v>
      </c>
      <c r="F602" s="172" t="s">
        <v>91</v>
      </c>
      <c r="G602" s="172" t="s">
        <v>85</v>
      </c>
      <c r="H602" s="177">
        <v>1</v>
      </c>
      <c r="I602" s="178">
        <v>1621</v>
      </c>
      <c r="J602" s="176">
        <v>46025</v>
      </c>
      <c r="K602" s="172" t="s">
        <v>94</v>
      </c>
      <c r="L602" s="172" t="s">
        <v>95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910</v>
      </c>
      <c r="B603" s="176">
        <v>46029</v>
      </c>
      <c r="C603" s="172" t="s">
        <v>101</v>
      </c>
      <c r="D603" s="172" t="s">
        <v>102</v>
      </c>
      <c r="E603" s="172" t="s">
        <v>53</v>
      </c>
      <c r="F603" s="172" t="s">
        <v>91</v>
      </c>
      <c r="G603" s="172" t="s">
        <v>85</v>
      </c>
      <c r="H603" s="177">
        <v>1</v>
      </c>
      <c r="I603" s="178">
        <v>1621</v>
      </c>
      <c r="J603" s="176">
        <v>46025</v>
      </c>
      <c r="K603" s="172" t="s">
        <v>94</v>
      </c>
      <c r="L603" s="172" t="s">
        <v>95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910</v>
      </c>
      <c r="B604" s="176">
        <v>46029</v>
      </c>
      <c r="C604" s="172" t="s">
        <v>101</v>
      </c>
      <c r="D604" s="172" t="s">
        <v>103</v>
      </c>
      <c r="E604" s="172" t="s">
        <v>53</v>
      </c>
      <c r="F604" s="172" t="s">
        <v>91</v>
      </c>
      <c r="G604" s="172" t="s">
        <v>85</v>
      </c>
      <c r="H604" s="177">
        <v>1</v>
      </c>
      <c r="I604" s="178">
        <v>1621</v>
      </c>
      <c r="J604" s="176">
        <v>46025</v>
      </c>
      <c r="K604" s="172" t="s">
        <v>94</v>
      </c>
      <c r="L604" s="172" t="s">
        <v>95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910</v>
      </c>
      <c r="B605" s="176">
        <v>46029</v>
      </c>
      <c r="C605" s="172" t="s">
        <v>101</v>
      </c>
      <c r="D605" s="172" t="s">
        <v>104</v>
      </c>
      <c r="E605" s="172" t="s">
        <v>53</v>
      </c>
      <c r="F605" s="172" t="s">
        <v>91</v>
      </c>
      <c r="G605" s="172" t="s">
        <v>85</v>
      </c>
      <c r="H605" s="177">
        <v>1</v>
      </c>
      <c r="I605" s="178">
        <v>1621</v>
      </c>
      <c r="J605" s="176">
        <v>46025</v>
      </c>
      <c r="K605" s="172" t="s">
        <v>94</v>
      </c>
      <c r="L605" s="172" t="s">
        <v>95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910</v>
      </c>
      <c r="B606" s="176">
        <v>46029</v>
      </c>
      <c r="C606" s="172" t="s">
        <v>105</v>
      </c>
      <c r="D606" s="172" t="s">
        <v>106</v>
      </c>
      <c r="E606" s="172" t="s">
        <v>53</v>
      </c>
      <c r="F606" s="172" t="s">
        <v>91</v>
      </c>
      <c r="G606" s="172" t="s">
        <v>85</v>
      </c>
      <c r="H606" s="177">
        <v>1</v>
      </c>
      <c r="I606" s="178">
        <v>1621</v>
      </c>
      <c r="J606" s="176">
        <v>46025</v>
      </c>
      <c r="K606" s="172" t="s">
        <v>94</v>
      </c>
      <c r="L606" s="172" t="s">
        <v>95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910</v>
      </c>
      <c r="B607" s="176">
        <v>46029</v>
      </c>
      <c r="C607" s="172" t="s">
        <v>82</v>
      </c>
      <c r="D607" s="172" t="s">
        <v>96</v>
      </c>
      <c r="E607" s="172" t="s">
        <v>53</v>
      </c>
      <c r="F607" s="172" t="s">
        <v>91</v>
      </c>
      <c r="G607" s="172" t="s">
        <v>85</v>
      </c>
      <c r="H607" s="177">
        <v>1</v>
      </c>
      <c r="I607" s="178">
        <v>1621</v>
      </c>
      <c r="J607" s="176">
        <v>46025</v>
      </c>
      <c r="K607" s="172" t="s">
        <v>94</v>
      </c>
      <c r="L607" s="172" t="s">
        <v>95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910</v>
      </c>
      <c r="B608" s="176">
        <v>46029</v>
      </c>
      <c r="C608" s="172" t="s">
        <v>82</v>
      </c>
      <c r="D608" s="172" t="s">
        <v>83</v>
      </c>
      <c r="E608" s="172" t="s">
        <v>53</v>
      </c>
      <c r="F608" s="172" t="s">
        <v>91</v>
      </c>
      <c r="G608" s="172" t="s">
        <v>85</v>
      </c>
      <c r="H608" s="177">
        <v>1</v>
      </c>
      <c r="I608" s="178">
        <v>0</v>
      </c>
      <c r="J608" s="176">
        <v>46025</v>
      </c>
      <c r="K608" s="172" t="s">
        <v>86</v>
      </c>
      <c r="L608" s="172" t="s">
        <v>86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911</v>
      </c>
      <c r="B609" s="176">
        <v>46029</v>
      </c>
      <c r="C609" s="172" t="s">
        <v>93</v>
      </c>
      <c r="D609" s="172" t="s">
        <v>24</v>
      </c>
      <c r="E609" s="172" t="s">
        <v>53</v>
      </c>
      <c r="F609" s="172" t="s">
        <v>91</v>
      </c>
      <c r="G609" s="172" t="s">
        <v>85</v>
      </c>
      <c r="H609" s="177">
        <v>1</v>
      </c>
      <c r="I609" s="178">
        <v>1621</v>
      </c>
      <c r="J609" s="176">
        <v>46025</v>
      </c>
      <c r="K609" s="172" t="s">
        <v>94</v>
      </c>
      <c r="L609" s="172" t="s">
        <v>95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911</v>
      </c>
      <c r="B610" s="176">
        <v>46029</v>
      </c>
      <c r="C610" s="172" t="s">
        <v>101</v>
      </c>
      <c r="D610" s="172" t="s">
        <v>102</v>
      </c>
      <c r="E610" s="172" t="s">
        <v>53</v>
      </c>
      <c r="F610" s="172" t="s">
        <v>91</v>
      </c>
      <c r="G610" s="172" t="s">
        <v>85</v>
      </c>
      <c r="H610" s="177">
        <v>1</v>
      </c>
      <c r="I610" s="178">
        <v>1621</v>
      </c>
      <c r="J610" s="176">
        <v>46025</v>
      </c>
      <c r="K610" s="172" t="s">
        <v>94</v>
      </c>
      <c r="L610" s="172" t="s">
        <v>95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911</v>
      </c>
      <c r="B611" s="176">
        <v>46029</v>
      </c>
      <c r="C611" s="172" t="s">
        <v>101</v>
      </c>
      <c r="D611" s="172" t="s">
        <v>103</v>
      </c>
      <c r="E611" s="172" t="s">
        <v>53</v>
      </c>
      <c r="F611" s="172" t="s">
        <v>91</v>
      </c>
      <c r="G611" s="172" t="s">
        <v>85</v>
      </c>
      <c r="H611" s="177">
        <v>1</v>
      </c>
      <c r="I611" s="178">
        <v>1621</v>
      </c>
      <c r="J611" s="176">
        <v>46025</v>
      </c>
      <c r="K611" s="172" t="s">
        <v>94</v>
      </c>
      <c r="L611" s="172" t="s">
        <v>95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911</v>
      </c>
      <c r="B612" s="176">
        <v>46029</v>
      </c>
      <c r="C612" s="172" t="s">
        <v>101</v>
      </c>
      <c r="D612" s="172" t="s">
        <v>104</v>
      </c>
      <c r="E612" s="172" t="s">
        <v>53</v>
      </c>
      <c r="F612" s="172" t="s">
        <v>91</v>
      </c>
      <c r="G612" s="172" t="s">
        <v>85</v>
      </c>
      <c r="H612" s="177">
        <v>1</v>
      </c>
      <c r="I612" s="178">
        <v>1621</v>
      </c>
      <c r="J612" s="176">
        <v>46025</v>
      </c>
      <c r="K612" s="172" t="s">
        <v>94</v>
      </c>
      <c r="L612" s="172" t="s">
        <v>95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911</v>
      </c>
      <c r="B613" s="176">
        <v>46029</v>
      </c>
      <c r="C613" s="172" t="s">
        <v>105</v>
      </c>
      <c r="D613" s="172" t="s">
        <v>106</v>
      </c>
      <c r="E613" s="172" t="s">
        <v>53</v>
      </c>
      <c r="F613" s="172" t="s">
        <v>91</v>
      </c>
      <c r="G613" s="172" t="s">
        <v>85</v>
      </c>
      <c r="H613" s="177">
        <v>1</v>
      </c>
      <c r="I613" s="178">
        <v>1621</v>
      </c>
      <c r="J613" s="176">
        <v>46025</v>
      </c>
      <c r="K613" s="172" t="s">
        <v>94</v>
      </c>
      <c r="L613" s="172" t="s">
        <v>95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911</v>
      </c>
      <c r="B614" s="176">
        <v>46029</v>
      </c>
      <c r="C614" s="172" t="s">
        <v>82</v>
      </c>
      <c r="D614" s="172" t="s">
        <v>96</v>
      </c>
      <c r="E614" s="172" t="s">
        <v>53</v>
      </c>
      <c r="F614" s="172" t="s">
        <v>91</v>
      </c>
      <c r="G614" s="172" t="s">
        <v>85</v>
      </c>
      <c r="H614" s="177">
        <v>1</v>
      </c>
      <c r="I614" s="178">
        <v>1621</v>
      </c>
      <c r="J614" s="176">
        <v>46025</v>
      </c>
      <c r="K614" s="172" t="s">
        <v>94</v>
      </c>
      <c r="L614" s="172" t="s">
        <v>95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912</v>
      </c>
      <c r="B615" s="176">
        <v>46029</v>
      </c>
      <c r="C615" s="172" t="s">
        <v>93</v>
      </c>
      <c r="D615" s="172" t="s">
        <v>24</v>
      </c>
      <c r="E615" s="172" t="s">
        <v>53</v>
      </c>
      <c r="F615" s="172" t="s">
        <v>91</v>
      </c>
      <c r="G615" s="172" t="s">
        <v>85</v>
      </c>
      <c r="H615" s="177">
        <v>1</v>
      </c>
      <c r="I615" s="178">
        <v>1621</v>
      </c>
      <c r="J615" s="176">
        <v>46028</v>
      </c>
      <c r="K615" s="172" t="s">
        <v>94</v>
      </c>
      <c r="L615" s="172" t="s">
        <v>95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912</v>
      </c>
      <c r="B616" s="176">
        <v>46029</v>
      </c>
      <c r="C616" s="172" t="s">
        <v>101</v>
      </c>
      <c r="D616" s="172" t="s">
        <v>102</v>
      </c>
      <c r="E616" s="172" t="s">
        <v>53</v>
      </c>
      <c r="F616" s="172" t="s">
        <v>91</v>
      </c>
      <c r="G616" s="172" t="s">
        <v>85</v>
      </c>
      <c r="H616" s="177">
        <v>1</v>
      </c>
      <c r="I616" s="178">
        <v>1621</v>
      </c>
      <c r="J616" s="176">
        <v>46028</v>
      </c>
      <c r="K616" s="172" t="s">
        <v>94</v>
      </c>
      <c r="L616" s="172" t="s">
        <v>95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912</v>
      </c>
      <c r="B617" s="176">
        <v>46029</v>
      </c>
      <c r="C617" s="172" t="s">
        <v>101</v>
      </c>
      <c r="D617" s="172" t="s">
        <v>103</v>
      </c>
      <c r="E617" s="172" t="s">
        <v>53</v>
      </c>
      <c r="F617" s="172" t="s">
        <v>91</v>
      </c>
      <c r="G617" s="172" t="s">
        <v>85</v>
      </c>
      <c r="H617" s="177">
        <v>1</v>
      </c>
      <c r="I617" s="178">
        <v>1621</v>
      </c>
      <c r="J617" s="176">
        <v>46028</v>
      </c>
      <c r="K617" s="172" t="s">
        <v>94</v>
      </c>
      <c r="L617" s="172" t="s">
        <v>95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912</v>
      </c>
      <c r="B618" s="176">
        <v>46029</v>
      </c>
      <c r="C618" s="172" t="s">
        <v>101</v>
      </c>
      <c r="D618" s="172" t="s">
        <v>104</v>
      </c>
      <c r="E618" s="172" t="s">
        <v>53</v>
      </c>
      <c r="F618" s="172" t="s">
        <v>91</v>
      </c>
      <c r="G618" s="172" t="s">
        <v>85</v>
      </c>
      <c r="H618" s="177">
        <v>1</v>
      </c>
      <c r="I618" s="178">
        <v>1621</v>
      </c>
      <c r="J618" s="176">
        <v>46028</v>
      </c>
      <c r="K618" s="172" t="s">
        <v>94</v>
      </c>
      <c r="L618" s="172" t="s">
        <v>95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912</v>
      </c>
      <c r="B619" s="176">
        <v>46029</v>
      </c>
      <c r="C619" s="172" t="s">
        <v>105</v>
      </c>
      <c r="D619" s="172" t="s">
        <v>106</v>
      </c>
      <c r="E619" s="172" t="s">
        <v>53</v>
      </c>
      <c r="F619" s="172" t="s">
        <v>91</v>
      </c>
      <c r="G619" s="172" t="s">
        <v>85</v>
      </c>
      <c r="H619" s="177">
        <v>1</v>
      </c>
      <c r="I619" s="178">
        <v>1621</v>
      </c>
      <c r="J619" s="176">
        <v>46028</v>
      </c>
      <c r="K619" s="172" t="s">
        <v>94</v>
      </c>
      <c r="L619" s="172" t="s">
        <v>95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912</v>
      </c>
      <c r="B620" s="176">
        <v>46029</v>
      </c>
      <c r="C620" s="172" t="s">
        <v>82</v>
      </c>
      <c r="D620" s="172" t="s">
        <v>96</v>
      </c>
      <c r="E620" s="172" t="s">
        <v>53</v>
      </c>
      <c r="F620" s="172" t="s">
        <v>91</v>
      </c>
      <c r="G620" s="172" t="s">
        <v>85</v>
      </c>
      <c r="H620" s="177">
        <v>1</v>
      </c>
      <c r="I620" s="178">
        <v>1621</v>
      </c>
      <c r="J620" s="176">
        <v>46028</v>
      </c>
      <c r="K620" s="172" t="s">
        <v>94</v>
      </c>
      <c r="L620" s="172" t="s">
        <v>95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913</v>
      </c>
      <c r="B621" s="176">
        <v>46029</v>
      </c>
      <c r="C621" s="172" t="s">
        <v>93</v>
      </c>
      <c r="D621" s="172" t="s">
        <v>24</v>
      </c>
      <c r="E621" s="172" t="s">
        <v>53</v>
      </c>
      <c r="F621" s="172" t="s">
        <v>91</v>
      </c>
      <c r="G621" s="172" t="s">
        <v>85</v>
      </c>
      <c r="H621" s="177">
        <v>1</v>
      </c>
      <c r="I621" s="178">
        <v>1621</v>
      </c>
      <c r="J621" s="176">
        <v>46024</v>
      </c>
      <c r="K621" s="172" t="s">
        <v>94</v>
      </c>
      <c r="L621" s="172" t="s">
        <v>95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913</v>
      </c>
      <c r="B622" s="176">
        <v>46029</v>
      </c>
      <c r="C622" s="172" t="s">
        <v>101</v>
      </c>
      <c r="D622" s="172" t="s">
        <v>102</v>
      </c>
      <c r="E622" s="172" t="s">
        <v>53</v>
      </c>
      <c r="F622" s="172" t="s">
        <v>91</v>
      </c>
      <c r="G622" s="172" t="s">
        <v>85</v>
      </c>
      <c r="H622" s="177">
        <v>1</v>
      </c>
      <c r="I622" s="178">
        <v>1621</v>
      </c>
      <c r="J622" s="176">
        <v>46024</v>
      </c>
      <c r="K622" s="172" t="s">
        <v>94</v>
      </c>
      <c r="L622" s="172" t="s">
        <v>95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913</v>
      </c>
      <c r="B623" s="176">
        <v>46029</v>
      </c>
      <c r="C623" s="172" t="s">
        <v>101</v>
      </c>
      <c r="D623" s="172" t="s">
        <v>103</v>
      </c>
      <c r="E623" s="172" t="s">
        <v>53</v>
      </c>
      <c r="F623" s="172" t="s">
        <v>91</v>
      </c>
      <c r="G623" s="172" t="s">
        <v>85</v>
      </c>
      <c r="H623" s="177">
        <v>1</v>
      </c>
      <c r="I623" s="178">
        <v>1621</v>
      </c>
      <c r="J623" s="176">
        <v>46024</v>
      </c>
      <c r="K623" s="172" t="s">
        <v>94</v>
      </c>
      <c r="L623" s="172" t="s">
        <v>95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913</v>
      </c>
      <c r="B624" s="176">
        <v>46029</v>
      </c>
      <c r="C624" s="172" t="s">
        <v>101</v>
      </c>
      <c r="D624" s="172" t="s">
        <v>104</v>
      </c>
      <c r="E624" s="172" t="s">
        <v>53</v>
      </c>
      <c r="F624" s="172" t="s">
        <v>91</v>
      </c>
      <c r="G624" s="172" t="s">
        <v>85</v>
      </c>
      <c r="H624" s="177">
        <v>1</v>
      </c>
      <c r="I624" s="178">
        <v>1621</v>
      </c>
      <c r="J624" s="176">
        <v>46024</v>
      </c>
      <c r="K624" s="172" t="s">
        <v>94</v>
      </c>
      <c r="L624" s="172" t="s">
        <v>95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913</v>
      </c>
      <c r="B625" s="176">
        <v>46029</v>
      </c>
      <c r="C625" s="172" t="s">
        <v>105</v>
      </c>
      <c r="D625" s="172" t="s">
        <v>106</v>
      </c>
      <c r="E625" s="172" t="s">
        <v>53</v>
      </c>
      <c r="F625" s="172" t="s">
        <v>91</v>
      </c>
      <c r="G625" s="172" t="s">
        <v>85</v>
      </c>
      <c r="H625" s="177">
        <v>1</v>
      </c>
      <c r="I625" s="178">
        <v>1621</v>
      </c>
      <c r="J625" s="176">
        <v>46024</v>
      </c>
      <c r="K625" s="172" t="s">
        <v>94</v>
      </c>
      <c r="L625" s="172" t="s">
        <v>95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913</v>
      </c>
      <c r="B626" s="176">
        <v>46029</v>
      </c>
      <c r="C626" s="172" t="s">
        <v>82</v>
      </c>
      <c r="D626" s="172" t="s">
        <v>96</v>
      </c>
      <c r="E626" s="172" t="s">
        <v>53</v>
      </c>
      <c r="F626" s="172" t="s">
        <v>91</v>
      </c>
      <c r="G626" s="172" t="s">
        <v>85</v>
      </c>
      <c r="H626" s="177">
        <v>1</v>
      </c>
      <c r="I626" s="178">
        <v>1621</v>
      </c>
      <c r="J626" s="176">
        <v>46024</v>
      </c>
      <c r="K626" s="172" t="s">
        <v>94</v>
      </c>
      <c r="L626" s="172" t="s">
        <v>95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460</v>
      </c>
      <c r="B627" s="176">
        <v>46029</v>
      </c>
      <c r="C627" s="172" t="s">
        <v>167</v>
      </c>
      <c r="D627" s="172" t="s">
        <v>168</v>
      </c>
      <c r="E627" s="172" t="s">
        <v>54</v>
      </c>
      <c r="F627" s="172" t="s">
        <v>121</v>
      </c>
      <c r="G627" s="172" t="s">
        <v>85</v>
      </c>
      <c r="H627" s="177">
        <v>1</v>
      </c>
      <c r="I627" s="178">
        <v>-1845</v>
      </c>
      <c r="J627" s="176">
        <v>46023</v>
      </c>
      <c r="K627" s="172" t="s">
        <v>94</v>
      </c>
      <c r="L627" s="172" t="s">
        <v>95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460</v>
      </c>
      <c r="B628" s="176">
        <v>46029</v>
      </c>
      <c r="C628" s="172" t="s">
        <v>167</v>
      </c>
      <c r="D628" s="172" t="s">
        <v>103</v>
      </c>
      <c r="E628" s="172" t="s">
        <v>54</v>
      </c>
      <c r="F628" s="172" t="s">
        <v>121</v>
      </c>
      <c r="G628" s="172" t="s">
        <v>85</v>
      </c>
      <c r="H628" s="177">
        <v>1</v>
      </c>
      <c r="I628" s="178">
        <v>-1845</v>
      </c>
      <c r="J628" s="176">
        <v>46023</v>
      </c>
      <c r="K628" s="172" t="s">
        <v>94</v>
      </c>
      <c r="L628" s="172" t="s">
        <v>95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460</v>
      </c>
      <c r="B629" s="176">
        <v>46029</v>
      </c>
      <c r="C629" s="172" t="s">
        <v>167</v>
      </c>
      <c r="D629" s="172" t="s">
        <v>104</v>
      </c>
      <c r="E629" s="172" t="s">
        <v>54</v>
      </c>
      <c r="F629" s="172" t="s">
        <v>121</v>
      </c>
      <c r="G629" s="172" t="s">
        <v>85</v>
      </c>
      <c r="H629" s="177">
        <v>1</v>
      </c>
      <c r="I629" s="178">
        <v>-1845</v>
      </c>
      <c r="J629" s="176">
        <v>46023</v>
      </c>
      <c r="K629" s="172" t="s">
        <v>94</v>
      </c>
      <c r="L629" s="172" t="s">
        <v>95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460</v>
      </c>
      <c r="B630" s="176">
        <v>46029</v>
      </c>
      <c r="C630" s="172" t="s">
        <v>105</v>
      </c>
      <c r="D630" s="172" t="s">
        <v>169</v>
      </c>
      <c r="E630" s="172" t="s">
        <v>54</v>
      </c>
      <c r="F630" s="172" t="s">
        <v>121</v>
      </c>
      <c r="G630" s="172" t="s">
        <v>85</v>
      </c>
      <c r="H630" s="177">
        <v>1</v>
      </c>
      <c r="I630" s="178">
        <v>-1845</v>
      </c>
      <c r="J630" s="176">
        <v>46023</v>
      </c>
      <c r="K630" s="172" t="s">
        <v>94</v>
      </c>
      <c r="L630" s="172" t="s">
        <v>95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914</v>
      </c>
      <c r="B631" s="176">
        <v>46029</v>
      </c>
      <c r="C631" s="172" t="s">
        <v>82</v>
      </c>
      <c r="D631" s="172" t="s">
        <v>83</v>
      </c>
      <c r="E631" s="172" t="s">
        <v>42</v>
      </c>
      <c r="F631" s="172" t="s">
        <v>84</v>
      </c>
      <c r="G631" s="172" t="s">
        <v>85</v>
      </c>
      <c r="H631" s="177">
        <v>1</v>
      </c>
      <c r="I631" s="178">
        <v>0</v>
      </c>
      <c r="J631" s="176">
        <v>46029</v>
      </c>
      <c r="K631" s="172" t="s">
        <v>86</v>
      </c>
      <c r="L631" s="172" t="s">
        <v>86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643</v>
      </c>
      <c r="B632" s="176">
        <v>46029</v>
      </c>
      <c r="C632" s="172" t="s">
        <v>82</v>
      </c>
      <c r="D632" s="172" t="s">
        <v>83</v>
      </c>
      <c r="E632" s="172" t="s">
        <v>54</v>
      </c>
      <c r="F632" s="172" t="s">
        <v>121</v>
      </c>
      <c r="G632" s="172" t="s">
        <v>85</v>
      </c>
      <c r="H632" s="177">
        <v>1</v>
      </c>
      <c r="I632" s="178">
        <v>0</v>
      </c>
      <c r="J632" s="176">
        <v>46023</v>
      </c>
      <c r="K632" s="172" t="s">
        <v>86</v>
      </c>
      <c r="L632" s="172" t="s">
        <v>86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915</v>
      </c>
      <c r="B633" s="176">
        <v>46029</v>
      </c>
      <c r="C633" s="172" t="s">
        <v>93</v>
      </c>
      <c r="D633" s="172" t="s">
        <v>24</v>
      </c>
      <c r="E633" s="172" t="s">
        <v>54</v>
      </c>
      <c r="F633" s="172" t="s">
        <v>121</v>
      </c>
      <c r="G633" s="172" t="s">
        <v>85</v>
      </c>
      <c r="H633" s="177">
        <v>1</v>
      </c>
      <c r="I633" s="178">
        <v>0</v>
      </c>
      <c r="J633" s="176">
        <v>46009</v>
      </c>
      <c r="K633" s="172" t="s">
        <v>94</v>
      </c>
      <c r="L633" s="172" t="s">
        <v>95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915</v>
      </c>
      <c r="B634" s="176">
        <v>46029</v>
      </c>
      <c r="C634" s="172" t="s">
        <v>82</v>
      </c>
      <c r="D634" s="172" t="s">
        <v>96</v>
      </c>
      <c r="E634" s="172" t="s">
        <v>54</v>
      </c>
      <c r="F634" s="172" t="s">
        <v>121</v>
      </c>
      <c r="G634" s="172" t="s">
        <v>85</v>
      </c>
      <c r="H634" s="177">
        <v>1</v>
      </c>
      <c r="I634" s="178">
        <v>0</v>
      </c>
      <c r="J634" s="176">
        <v>46009</v>
      </c>
      <c r="K634" s="172" t="s">
        <v>94</v>
      </c>
      <c r="L634" s="172" t="s">
        <v>95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915</v>
      </c>
      <c r="B635" s="176">
        <v>46029</v>
      </c>
      <c r="C635" s="172" t="s">
        <v>93</v>
      </c>
      <c r="D635" s="172" t="s">
        <v>97</v>
      </c>
      <c r="E635" s="172" t="s">
        <v>54</v>
      </c>
      <c r="F635" s="172" t="s">
        <v>121</v>
      </c>
      <c r="G635" s="172" t="s">
        <v>85</v>
      </c>
      <c r="H635" s="177">
        <v>1</v>
      </c>
      <c r="I635" s="178">
        <v>0</v>
      </c>
      <c r="J635" s="176">
        <v>46009</v>
      </c>
      <c r="K635" s="172" t="s">
        <v>94</v>
      </c>
      <c r="L635" s="172" t="s">
        <v>95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915</v>
      </c>
      <c r="B636" s="176">
        <v>46029</v>
      </c>
      <c r="C636" s="172" t="s">
        <v>93</v>
      </c>
      <c r="D636" s="172" t="s">
        <v>98</v>
      </c>
      <c r="E636" s="172" t="s">
        <v>54</v>
      </c>
      <c r="F636" s="172" t="s">
        <v>121</v>
      </c>
      <c r="G636" s="172" t="s">
        <v>85</v>
      </c>
      <c r="H636" s="177">
        <v>1</v>
      </c>
      <c r="I636" s="178">
        <v>0</v>
      </c>
      <c r="J636" s="176">
        <v>46009</v>
      </c>
      <c r="K636" s="172" t="s">
        <v>94</v>
      </c>
      <c r="L636" s="172" t="s">
        <v>95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915</v>
      </c>
      <c r="B637" s="176">
        <v>46029</v>
      </c>
      <c r="C637" s="172" t="s">
        <v>82</v>
      </c>
      <c r="D637" s="172" t="s">
        <v>99</v>
      </c>
      <c r="E637" s="172" t="s">
        <v>54</v>
      </c>
      <c r="F637" s="172" t="s">
        <v>121</v>
      </c>
      <c r="G637" s="172" t="s">
        <v>85</v>
      </c>
      <c r="H637" s="177">
        <v>1</v>
      </c>
      <c r="I637" s="178">
        <v>0</v>
      </c>
      <c r="J637" s="176">
        <v>46009</v>
      </c>
      <c r="K637" s="172" t="s">
        <v>94</v>
      </c>
      <c r="L637" s="172" t="s">
        <v>95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916</v>
      </c>
      <c r="B638" s="176">
        <v>46029</v>
      </c>
      <c r="C638" s="172" t="s">
        <v>82</v>
      </c>
      <c r="D638" s="172" t="s">
        <v>83</v>
      </c>
      <c r="E638" s="172" t="s">
        <v>42</v>
      </c>
      <c r="F638" s="172" t="s">
        <v>84</v>
      </c>
      <c r="G638" s="172" t="s">
        <v>85</v>
      </c>
      <c r="H638" s="177">
        <v>1</v>
      </c>
      <c r="I638" s="178">
        <v>0</v>
      </c>
      <c r="J638" s="176">
        <v>46029</v>
      </c>
      <c r="K638" s="172" t="s">
        <v>86</v>
      </c>
      <c r="L638" s="172" t="s">
        <v>86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143</v>
      </c>
      <c r="B639" s="176">
        <v>46029</v>
      </c>
      <c r="C639" s="172" t="s">
        <v>110</v>
      </c>
      <c r="D639" s="172" t="s">
        <v>144</v>
      </c>
      <c r="E639" s="172" t="s">
        <v>86</v>
      </c>
      <c r="F639" s="172" t="s">
        <v>86</v>
      </c>
      <c r="G639" s="172" t="s">
        <v>86</v>
      </c>
      <c r="H639" s="177">
        <v>0</v>
      </c>
      <c r="I639" s="178">
        <v>0</v>
      </c>
      <c r="J639" s="176">
        <v>46029</v>
      </c>
      <c r="K639" s="172" t="s">
        <v>86</v>
      </c>
      <c r="L639" s="172" t="s">
        <v>86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139</v>
      </c>
      <c r="B640" s="176">
        <v>46029</v>
      </c>
      <c r="C640" s="172" t="s">
        <v>110</v>
      </c>
      <c r="D640" s="172" t="s">
        <v>140</v>
      </c>
      <c r="E640" s="172" t="s">
        <v>86</v>
      </c>
      <c r="F640" s="172" t="s">
        <v>86</v>
      </c>
      <c r="G640" s="172" t="s">
        <v>86</v>
      </c>
      <c r="H640" s="177">
        <v>0</v>
      </c>
      <c r="I640" s="178">
        <v>0</v>
      </c>
      <c r="J640" s="176">
        <v>46029</v>
      </c>
      <c r="K640" s="172" t="s">
        <v>86</v>
      </c>
      <c r="L640" s="172" t="s">
        <v>86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145</v>
      </c>
      <c r="B641" s="176">
        <v>46029</v>
      </c>
      <c r="C641" s="172" t="s">
        <v>110</v>
      </c>
      <c r="D641" s="172" t="s">
        <v>140</v>
      </c>
      <c r="E641" s="172" t="s">
        <v>86</v>
      </c>
      <c r="F641" s="172" t="s">
        <v>86</v>
      </c>
      <c r="G641" s="172" t="s">
        <v>86</v>
      </c>
      <c r="H641" s="177">
        <v>0</v>
      </c>
      <c r="I641" s="178">
        <v>0</v>
      </c>
      <c r="J641" s="176">
        <v>46029</v>
      </c>
      <c r="K641" s="172" t="s">
        <v>86</v>
      </c>
      <c r="L641" s="172" t="s">
        <v>86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414</v>
      </c>
      <c r="B642" s="176">
        <v>46029</v>
      </c>
      <c r="C642" s="172" t="s">
        <v>110</v>
      </c>
      <c r="D642" s="172" t="s">
        <v>140</v>
      </c>
      <c r="E642" s="172" t="s">
        <v>86</v>
      </c>
      <c r="F642" s="172" t="s">
        <v>86</v>
      </c>
      <c r="G642" s="172" t="s">
        <v>86</v>
      </c>
      <c r="H642" s="177">
        <v>0</v>
      </c>
      <c r="I642" s="178">
        <v>0</v>
      </c>
      <c r="J642" s="176">
        <v>46029</v>
      </c>
      <c r="K642" s="172" t="s">
        <v>86</v>
      </c>
      <c r="L642" s="172" t="s">
        <v>86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917</v>
      </c>
      <c r="B643" s="176">
        <v>46030</v>
      </c>
      <c r="C643" s="172" t="s">
        <v>82</v>
      </c>
      <c r="D643" s="172" t="s">
        <v>83</v>
      </c>
      <c r="E643" s="172" t="s">
        <v>53</v>
      </c>
      <c r="F643" s="172" t="s">
        <v>91</v>
      </c>
      <c r="G643" s="172" t="s">
        <v>85</v>
      </c>
      <c r="H643" s="177">
        <v>1</v>
      </c>
      <c r="I643" s="178">
        <v>0</v>
      </c>
      <c r="J643" s="176">
        <v>46029</v>
      </c>
      <c r="K643" s="172" t="s">
        <v>86</v>
      </c>
      <c r="L643" s="172" t="s">
        <v>86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918</v>
      </c>
      <c r="B644" s="176">
        <v>46030</v>
      </c>
      <c r="C644" s="172" t="s">
        <v>93</v>
      </c>
      <c r="D644" s="172" t="s">
        <v>97</v>
      </c>
      <c r="E644" s="172" t="s">
        <v>54</v>
      </c>
      <c r="F644" s="172" t="s">
        <v>121</v>
      </c>
      <c r="G644" s="172" t="s">
        <v>85</v>
      </c>
      <c r="H644" s="177">
        <v>1</v>
      </c>
      <c r="I644" s="178">
        <v>0</v>
      </c>
      <c r="J644" s="176">
        <v>46011</v>
      </c>
      <c r="K644" s="172" t="s">
        <v>94</v>
      </c>
      <c r="L644" s="172" t="s">
        <v>95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918</v>
      </c>
      <c r="B645" s="176">
        <v>46030</v>
      </c>
      <c r="C645" s="172" t="s">
        <v>93</v>
      </c>
      <c r="D645" s="172" t="s">
        <v>98</v>
      </c>
      <c r="E645" s="172" t="s">
        <v>54</v>
      </c>
      <c r="F645" s="172" t="s">
        <v>121</v>
      </c>
      <c r="G645" s="172" t="s">
        <v>85</v>
      </c>
      <c r="H645" s="177">
        <v>1</v>
      </c>
      <c r="I645" s="178">
        <v>0</v>
      </c>
      <c r="J645" s="176">
        <v>46011</v>
      </c>
      <c r="K645" s="172" t="s">
        <v>94</v>
      </c>
      <c r="L645" s="172" t="s">
        <v>95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918</v>
      </c>
      <c r="B646" s="176">
        <v>46030</v>
      </c>
      <c r="C646" s="172" t="s">
        <v>93</v>
      </c>
      <c r="D646" s="172" t="s">
        <v>24</v>
      </c>
      <c r="E646" s="172" t="s">
        <v>54</v>
      </c>
      <c r="F646" s="172" t="s">
        <v>121</v>
      </c>
      <c r="G646" s="172" t="s">
        <v>85</v>
      </c>
      <c r="H646" s="177">
        <v>1</v>
      </c>
      <c r="I646" s="178">
        <v>0</v>
      </c>
      <c r="J646" s="176">
        <v>46011</v>
      </c>
      <c r="K646" s="172" t="s">
        <v>94</v>
      </c>
      <c r="L646" s="172" t="s">
        <v>95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918</v>
      </c>
      <c r="B647" s="176">
        <v>46030</v>
      </c>
      <c r="C647" s="172" t="s">
        <v>82</v>
      </c>
      <c r="D647" s="172" t="s">
        <v>96</v>
      </c>
      <c r="E647" s="172" t="s">
        <v>54</v>
      </c>
      <c r="F647" s="172" t="s">
        <v>121</v>
      </c>
      <c r="G647" s="172" t="s">
        <v>85</v>
      </c>
      <c r="H647" s="177">
        <v>1</v>
      </c>
      <c r="I647" s="178">
        <v>0</v>
      </c>
      <c r="J647" s="176">
        <v>46011</v>
      </c>
      <c r="K647" s="172" t="s">
        <v>94</v>
      </c>
      <c r="L647" s="172" t="s">
        <v>95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919</v>
      </c>
      <c r="B648" s="176">
        <v>46030</v>
      </c>
      <c r="C648" s="172" t="s">
        <v>82</v>
      </c>
      <c r="D648" s="172" t="s">
        <v>83</v>
      </c>
      <c r="E648" s="172" t="s">
        <v>42</v>
      </c>
      <c r="F648" s="172" t="s">
        <v>84</v>
      </c>
      <c r="G648" s="172" t="s">
        <v>85</v>
      </c>
      <c r="H648" s="177">
        <v>1</v>
      </c>
      <c r="I648" s="178">
        <v>0</v>
      </c>
      <c r="J648" s="176">
        <v>46030</v>
      </c>
      <c r="K648" s="172" t="s">
        <v>86</v>
      </c>
      <c r="L648" s="172" t="s">
        <v>86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920</v>
      </c>
      <c r="B649" s="176">
        <v>46030</v>
      </c>
      <c r="C649" s="172" t="s">
        <v>82</v>
      </c>
      <c r="D649" s="172" t="s">
        <v>83</v>
      </c>
      <c r="E649" s="172" t="s">
        <v>54</v>
      </c>
      <c r="F649" s="172" t="s">
        <v>121</v>
      </c>
      <c r="G649" s="172" t="s">
        <v>85</v>
      </c>
      <c r="H649" s="177">
        <v>1</v>
      </c>
      <c r="I649" s="178">
        <v>0</v>
      </c>
      <c r="J649" s="176">
        <v>46030</v>
      </c>
      <c r="K649" s="172" t="s">
        <v>86</v>
      </c>
      <c r="L649" s="172" t="s">
        <v>86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921</v>
      </c>
      <c r="B650" s="176">
        <v>46030</v>
      </c>
      <c r="C650" s="172" t="s">
        <v>93</v>
      </c>
      <c r="D650" s="172" t="s">
        <v>97</v>
      </c>
      <c r="E650" s="172" t="s">
        <v>43</v>
      </c>
      <c r="F650" s="172" t="s">
        <v>90</v>
      </c>
      <c r="G650" s="172" t="s">
        <v>85</v>
      </c>
      <c r="H650" s="177">
        <v>1</v>
      </c>
      <c r="I650" s="178">
        <v>0</v>
      </c>
      <c r="J650" s="176">
        <v>46026</v>
      </c>
      <c r="K650" s="172" t="s">
        <v>94</v>
      </c>
      <c r="L650" s="172" t="s">
        <v>95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921</v>
      </c>
      <c r="B651" s="176">
        <v>46030</v>
      </c>
      <c r="C651" s="172" t="s">
        <v>93</v>
      </c>
      <c r="D651" s="172" t="s">
        <v>98</v>
      </c>
      <c r="E651" s="172" t="s">
        <v>43</v>
      </c>
      <c r="F651" s="172" t="s">
        <v>90</v>
      </c>
      <c r="G651" s="172" t="s">
        <v>85</v>
      </c>
      <c r="H651" s="177">
        <v>1</v>
      </c>
      <c r="I651" s="178">
        <v>0</v>
      </c>
      <c r="J651" s="176">
        <v>46026</v>
      </c>
      <c r="K651" s="172" t="s">
        <v>94</v>
      </c>
      <c r="L651" s="172" t="s">
        <v>95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921</v>
      </c>
      <c r="B652" s="176">
        <v>46030</v>
      </c>
      <c r="C652" s="172" t="s">
        <v>82</v>
      </c>
      <c r="D652" s="172" t="s">
        <v>99</v>
      </c>
      <c r="E652" s="172" t="s">
        <v>43</v>
      </c>
      <c r="F652" s="172" t="s">
        <v>90</v>
      </c>
      <c r="G652" s="172" t="s">
        <v>85</v>
      </c>
      <c r="H652" s="177">
        <v>1</v>
      </c>
      <c r="I652" s="178">
        <v>0</v>
      </c>
      <c r="J652" s="176">
        <v>46026</v>
      </c>
      <c r="K652" s="172" t="s">
        <v>94</v>
      </c>
      <c r="L652" s="172" t="s">
        <v>95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921</v>
      </c>
      <c r="B653" s="176">
        <v>46030</v>
      </c>
      <c r="C653" s="172" t="s">
        <v>93</v>
      </c>
      <c r="D653" s="172" t="s">
        <v>24</v>
      </c>
      <c r="E653" s="172" t="s">
        <v>43</v>
      </c>
      <c r="F653" s="172" t="s">
        <v>90</v>
      </c>
      <c r="G653" s="172" t="s">
        <v>85</v>
      </c>
      <c r="H653" s="177">
        <v>1</v>
      </c>
      <c r="I653" s="178">
        <v>0</v>
      </c>
      <c r="J653" s="176">
        <v>46026</v>
      </c>
      <c r="K653" s="172" t="s">
        <v>94</v>
      </c>
      <c r="L653" s="172" t="s">
        <v>95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921</v>
      </c>
      <c r="B654" s="176">
        <v>46030</v>
      </c>
      <c r="C654" s="172" t="s">
        <v>82</v>
      </c>
      <c r="D654" s="172" t="s">
        <v>96</v>
      </c>
      <c r="E654" s="172" t="s">
        <v>43</v>
      </c>
      <c r="F654" s="172" t="s">
        <v>90</v>
      </c>
      <c r="G654" s="172" t="s">
        <v>85</v>
      </c>
      <c r="H654" s="177">
        <v>1</v>
      </c>
      <c r="I654" s="178">
        <v>0</v>
      </c>
      <c r="J654" s="176">
        <v>46026</v>
      </c>
      <c r="K654" s="172" t="s">
        <v>94</v>
      </c>
      <c r="L654" s="172" t="s">
        <v>95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922</v>
      </c>
      <c r="B655" s="176">
        <v>46030</v>
      </c>
      <c r="C655" s="172" t="s">
        <v>93</v>
      </c>
      <c r="D655" s="172" t="s">
        <v>97</v>
      </c>
      <c r="E655" s="172" t="s">
        <v>54</v>
      </c>
      <c r="F655" s="172" t="s">
        <v>121</v>
      </c>
      <c r="G655" s="172" t="s">
        <v>85</v>
      </c>
      <c r="H655" s="177">
        <v>1</v>
      </c>
      <c r="I655" s="178">
        <v>0</v>
      </c>
      <c r="J655" s="176">
        <v>46027</v>
      </c>
      <c r="K655" s="172" t="s">
        <v>94</v>
      </c>
      <c r="L655" s="172" t="s">
        <v>95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922</v>
      </c>
      <c r="B656" s="176">
        <v>46030</v>
      </c>
      <c r="C656" s="172" t="s">
        <v>93</v>
      </c>
      <c r="D656" s="172" t="s">
        <v>98</v>
      </c>
      <c r="E656" s="172" t="s">
        <v>54</v>
      </c>
      <c r="F656" s="172" t="s">
        <v>121</v>
      </c>
      <c r="G656" s="172" t="s">
        <v>85</v>
      </c>
      <c r="H656" s="177">
        <v>1</v>
      </c>
      <c r="I656" s="178">
        <v>0</v>
      </c>
      <c r="J656" s="176">
        <v>46027</v>
      </c>
      <c r="K656" s="172" t="s">
        <v>94</v>
      </c>
      <c r="L656" s="172" t="s">
        <v>95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922</v>
      </c>
      <c r="B657" s="176">
        <v>46030</v>
      </c>
      <c r="C657" s="172" t="s">
        <v>82</v>
      </c>
      <c r="D657" s="172" t="s">
        <v>99</v>
      </c>
      <c r="E657" s="172" t="s">
        <v>54</v>
      </c>
      <c r="F657" s="172" t="s">
        <v>121</v>
      </c>
      <c r="G657" s="172" t="s">
        <v>85</v>
      </c>
      <c r="H657" s="177">
        <v>1</v>
      </c>
      <c r="I657" s="178">
        <v>0</v>
      </c>
      <c r="J657" s="176">
        <v>46027</v>
      </c>
      <c r="K657" s="172" t="s">
        <v>94</v>
      </c>
      <c r="L657" s="172" t="s">
        <v>95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922</v>
      </c>
      <c r="B658" s="176">
        <v>46030</v>
      </c>
      <c r="C658" s="172" t="s">
        <v>93</v>
      </c>
      <c r="D658" s="172" t="s">
        <v>24</v>
      </c>
      <c r="E658" s="172" t="s">
        <v>54</v>
      </c>
      <c r="F658" s="172" t="s">
        <v>121</v>
      </c>
      <c r="G658" s="172" t="s">
        <v>85</v>
      </c>
      <c r="H658" s="177">
        <v>1</v>
      </c>
      <c r="I658" s="178">
        <v>0</v>
      </c>
      <c r="J658" s="176">
        <v>46027</v>
      </c>
      <c r="K658" s="172" t="s">
        <v>94</v>
      </c>
      <c r="L658" s="172" t="s">
        <v>95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922</v>
      </c>
      <c r="B659" s="176">
        <v>46030</v>
      </c>
      <c r="C659" s="172" t="s">
        <v>82</v>
      </c>
      <c r="D659" s="172" t="s">
        <v>96</v>
      </c>
      <c r="E659" s="172" t="s">
        <v>54</v>
      </c>
      <c r="F659" s="172" t="s">
        <v>121</v>
      </c>
      <c r="G659" s="172" t="s">
        <v>85</v>
      </c>
      <c r="H659" s="177">
        <v>1</v>
      </c>
      <c r="I659" s="178">
        <v>0</v>
      </c>
      <c r="J659" s="176">
        <v>46027</v>
      </c>
      <c r="K659" s="172" t="s">
        <v>94</v>
      </c>
      <c r="L659" s="172" t="s">
        <v>95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923</v>
      </c>
      <c r="B660" s="176">
        <v>46030</v>
      </c>
      <c r="C660" s="172" t="s">
        <v>93</v>
      </c>
      <c r="D660" s="172" t="s">
        <v>24</v>
      </c>
      <c r="E660" s="172" t="s">
        <v>54</v>
      </c>
      <c r="F660" s="172" t="s">
        <v>121</v>
      </c>
      <c r="G660" s="172" t="s">
        <v>85</v>
      </c>
      <c r="H660" s="177">
        <v>1</v>
      </c>
      <c r="I660" s="178">
        <v>0</v>
      </c>
      <c r="J660" s="176">
        <v>46012</v>
      </c>
      <c r="K660" s="172" t="s">
        <v>94</v>
      </c>
      <c r="L660" s="172" t="s">
        <v>95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923</v>
      </c>
      <c r="B661" s="176">
        <v>46030</v>
      </c>
      <c r="C661" s="172" t="s">
        <v>82</v>
      </c>
      <c r="D661" s="172" t="s">
        <v>96</v>
      </c>
      <c r="E661" s="172" t="s">
        <v>54</v>
      </c>
      <c r="F661" s="172" t="s">
        <v>121</v>
      </c>
      <c r="G661" s="172" t="s">
        <v>85</v>
      </c>
      <c r="H661" s="177">
        <v>1</v>
      </c>
      <c r="I661" s="178">
        <v>0</v>
      </c>
      <c r="J661" s="176">
        <v>46012</v>
      </c>
      <c r="K661" s="172" t="s">
        <v>94</v>
      </c>
      <c r="L661" s="172" t="s">
        <v>95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923</v>
      </c>
      <c r="B662" s="176">
        <v>46030</v>
      </c>
      <c r="C662" s="172" t="s">
        <v>93</v>
      </c>
      <c r="D662" s="172" t="s">
        <v>97</v>
      </c>
      <c r="E662" s="172" t="s">
        <v>54</v>
      </c>
      <c r="F662" s="172" t="s">
        <v>121</v>
      </c>
      <c r="G662" s="172" t="s">
        <v>85</v>
      </c>
      <c r="H662" s="177">
        <v>1</v>
      </c>
      <c r="I662" s="178">
        <v>0</v>
      </c>
      <c r="J662" s="176">
        <v>46012</v>
      </c>
      <c r="K662" s="172" t="s">
        <v>94</v>
      </c>
      <c r="L662" s="172" t="s">
        <v>95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923</v>
      </c>
      <c r="B663" s="176">
        <v>46030</v>
      </c>
      <c r="C663" s="172" t="s">
        <v>93</v>
      </c>
      <c r="D663" s="172" t="s">
        <v>98</v>
      </c>
      <c r="E663" s="172" t="s">
        <v>54</v>
      </c>
      <c r="F663" s="172" t="s">
        <v>121</v>
      </c>
      <c r="G663" s="172" t="s">
        <v>85</v>
      </c>
      <c r="H663" s="177">
        <v>1</v>
      </c>
      <c r="I663" s="178">
        <v>0</v>
      </c>
      <c r="J663" s="176">
        <v>46012</v>
      </c>
      <c r="K663" s="172" t="s">
        <v>94</v>
      </c>
      <c r="L663" s="172" t="s">
        <v>95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923</v>
      </c>
      <c r="B664" s="176">
        <v>46030</v>
      </c>
      <c r="C664" s="172" t="s">
        <v>82</v>
      </c>
      <c r="D664" s="172" t="s">
        <v>99</v>
      </c>
      <c r="E664" s="172" t="s">
        <v>54</v>
      </c>
      <c r="F664" s="172" t="s">
        <v>121</v>
      </c>
      <c r="G664" s="172" t="s">
        <v>85</v>
      </c>
      <c r="H664" s="177">
        <v>1</v>
      </c>
      <c r="I664" s="178">
        <v>0</v>
      </c>
      <c r="J664" s="176">
        <v>46012</v>
      </c>
      <c r="K664" s="172" t="s">
        <v>94</v>
      </c>
      <c r="L664" s="172" t="s">
        <v>95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924</v>
      </c>
      <c r="B665" s="176">
        <v>46030</v>
      </c>
      <c r="C665" s="172" t="s">
        <v>93</v>
      </c>
      <c r="D665" s="172" t="s">
        <v>24</v>
      </c>
      <c r="E665" s="172" t="s">
        <v>54</v>
      </c>
      <c r="F665" s="172" t="s">
        <v>121</v>
      </c>
      <c r="G665" s="172" t="s">
        <v>85</v>
      </c>
      <c r="H665" s="177">
        <v>1</v>
      </c>
      <c r="I665" s="178">
        <v>1845</v>
      </c>
      <c r="J665" s="176">
        <v>46021</v>
      </c>
      <c r="K665" s="172" t="s">
        <v>94</v>
      </c>
      <c r="L665" s="172" t="s">
        <v>95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924</v>
      </c>
      <c r="B666" s="176">
        <v>46030</v>
      </c>
      <c r="C666" s="172" t="s">
        <v>101</v>
      </c>
      <c r="D666" s="172" t="s">
        <v>102</v>
      </c>
      <c r="E666" s="172" t="s">
        <v>54</v>
      </c>
      <c r="F666" s="172" t="s">
        <v>121</v>
      </c>
      <c r="G666" s="172" t="s">
        <v>85</v>
      </c>
      <c r="H666" s="177">
        <v>1</v>
      </c>
      <c r="I666" s="178">
        <v>1845</v>
      </c>
      <c r="J666" s="176">
        <v>46021</v>
      </c>
      <c r="K666" s="172" t="s">
        <v>94</v>
      </c>
      <c r="L666" s="172" t="s">
        <v>95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924</v>
      </c>
      <c r="B667" s="176">
        <v>46030</v>
      </c>
      <c r="C667" s="172" t="s">
        <v>101</v>
      </c>
      <c r="D667" s="172" t="s">
        <v>103</v>
      </c>
      <c r="E667" s="172" t="s">
        <v>54</v>
      </c>
      <c r="F667" s="172" t="s">
        <v>121</v>
      </c>
      <c r="G667" s="172" t="s">
        <v>85</v>
      </c>
      <c r="H667" s="177">
        <v>1</v>
      </c>
      <c r="I667" s="178">
        <v>1845</v>
      </c>
      <c r="J667" s="176">
        <v>46021</v>
      </c>
      <c r="K667" s="172" t="s">
        <v>94</v>
      </c>
      <c r="L667" s="172" t="s">
        <v>95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924</v>
      </c>
      <c r="B668" s="176">
        <v>46030</v>
      </c>
      <c r="C668" s="172" t="s">
        <v>101</v>
      </c>
      <c r="D668" s="172" t="s">
        <v>104</v>
      </c>
      <c r="E668" s="172" t="s">
        <v>54</v>
      </c>
      <c r="F668" s="172" t="s">
        <v>121</v>
      </c>
      <c r="G668" s="172" t="s">
        <v>85</v>
      </c>
      <c r="H668" s="177">
        <v>1</v>
      </c>
      <c r="I668" s="178">
        <v>1845</v>
      </c>
      <c r="J668" s="176">
        <v>46021</v>
      </c>
      <c r="K668" s="172" t="s">
        <v>94</v>
      </c>
      <c r="L668" s="172" t="s">
        <v>95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924</v>
      </c>
      <c r="B669" s="176">
        <v>46030</v>
      </c>
      <c r="C669" s="172" t="s">
        <v>105</v>
      </c>
      <c r="D669" s="172" t="s">
        <v>106</v>
      </c>
      <c r="E669" s="172" t="s">
        <v>54</v>
      </c>
      <c r="F669" s="172" t="s">
        <v>121</v>
      </c>
      <c r="G669" s="172" t="s">
        <v>85</v>
      </c>
      <c r="H669" s="177">
        <v>1</v>
      </c>
      <c r="I669" s="178">
        <v>1845</v>
      </c>
      <c r="J669" s="176">
        <v>46021</v>
      </c>
      <c r="K669" s="172" t="s">
        <v>94</v>
      </c>
      <c r="L669" s="172" t="s">
        <v>95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924</v>
      </c>
      <c r="B670" s="176">
        <v>46030</v>
      </c>
      <c r="C670" s="172" t="s">
        <v>82</v>
      </c>
      <c r="D670" s="172" t="s">
        <v>96</v>
      </c>
      <c r="E670" s="172" t="s">
        <v>54</v>
      </c>
      <c r="F670" s="172" t="s">
        <v>121</v>
      </c>
      <c r="G670" s="172" t="s">
        <v>85</v>
      </c>
      <c r="H670" s="177">
        <v>1</v>
      </c>
      <c r="I670" s="178">
        <v>1845</v>
      </c>
      <c r="J670" s="176">
        <v>46021</v>
      </c>
      <c r="K670" s="172" t="s">
        <v>94</v>
      </c>
      <c r="L670" s="172" t="s">
        <v>95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925</v>
      </c>
      <c r="B671" s="176">
        <v>46030</v>
      </c>
      <c r="C671" s="172" t="s">
        <v>82</v>
      </c>
      <c r="D671" s="172" t="s">
        <v>83</v>
      </c>
      <c r="E671" s="172" t="s">
        <v>43</v>
      </c>
      <c r="F671" s="172" t="s">
        <v>90</v>
      </c>
      <c r="G671" s="172" t="s">
        <v>85</v>
      </c>
      <c r="H671" s="177">
        <v>1</v>
      </c>
      <c r="I671" s="178">
        <v>0</v>
      </c>
      <c r="J671" s="176">
        <v>46030</v>
      </c>
      <c r="K671" s="172" t="s">
        <v>86</v>
      </c>
      <c r="L671" s="172" t="s">
        <v>86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86</v>
      </c>
      <c r="B672" s="176">
        <v>46030</v>
      </c>
      <c r="C672" s="172" t="s">
        <v>110</v>
      </c>
      <c r="D672" s="172" t="s">
        <v>111</v>
      </c>
      <c r="E672" s="172" t="s">
        <v>86</v>
      </c>
      <c r="F672" s="172" t="s">
        <v>86</v>
      </c>
      <c r="G672" s="172" t="s">
        <v>926</v>
      </c>
      <c r="H672" s="177">
        <v>0</v>
      </c>
      <c r="I672" s="178">
        <v>0</v>
      </c>
      <c r="J672" s="176">
        <v>46030</v>
      </c>
      <c r="K672" s="172" t="s">
        <v>86</v>
      </c>
      <c r="L672" s="172" t="s">
        <v>86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927</v>
      </c>
      <c r="B673" s="176">
        <v>46030</v>
      </c>
      <c r="C673" s="172" t="s">
        <v>93</v>
      </c>
      <c r="D673" s="172" t="s">
        <v>24</v>
      </c>
      <c r="E673" s="172" t="s">
        <v>39</v>
      </c>
      <c r="F673" s="172" t="s">
        <v>88</v>
      </c>
      <c r="G673" s="172" t="s">
        <v>85</v>
      </c>
      <c r="H673" s="177">
        <v>1</v>
      </c>
      <c r="I673" s="178">
        <v>1046</v>
      </c>
      <c r="J673" s="176">
        <v>46006</v>
      </c>
      <c r="K673" s="172" t="s">
        <v>94</v>
      </c>
      <c r="L673" s="172" t="s">
        <v>95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927</v>
      </c>
      <c r="B674" s="176">
        <v>46030</v>
      </c>
      <c r="C674" s="172" t="s">
        <v>101</v>
      </c>
      <c r="D674" s="172" t="s">
        <v>102</v>
      </c>
      <c r="E674" s="172" t="s">
        <v>39</v>
      </c>
      <c r="F674" s="172" t="s">
        <v>88</v>
      </c>
      <c r="G674" s="172" t="s">
        <v>85</v>
      </c>
      <c r="H674" s="177">
        <v>1</v>
      </c>
      <c r="I674" s="178">
        <v>1046</v>
      </c>
      <c r="J674" s="176">
        <v>46006</v>
      </c>
      <c r="K674" s="172" t="s">
        <v>94</v>
      </c>
      <c r="L674" s="172" t="s">
        <v>95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927</v>
      </c>
      <c r="B675" s="176">
        <v>46030</v>
      </c>
      <c r="C675" s="172" t="s">
        <v>101</v>
      </c>
      <c r="D675" s="172" t="s">
        <v>103</v>
      </c>
      <c r="E675" s="172" t="s">
        <v>39</v>
      </c>
      <c r="F675" s="172" t="s">
        <v>88</v>
      </c>
      <c r="G675" s="172" t="s">
        <v>85</v>
      </c>
      <c r="H675" s="177">
        <v>1</v>
      </c>
      <c r="I675" s="178">
        <v>1046</v>
      </c>
      <c r="J675" s="176">
        <v>46006</v>
      </c>
      <c r="K675" s="172" t="s">
        <v>94</v>
      </c>
      <c r="L675" s="172" t="s">
        <v>95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927</v>
      </c>
      <c r="B676" s="176">
        <v>46030</v>
      </c>
      <c r="C676" s="172" t="s">
        <v>101</v>
      </c>
      <c r="D676" s="172" t="s">
        <v>104</v>
      </c>
      <c r="E676" s="172" t="s">
        <v>39</v>
      </c>
      <c r="F676" s="172" t="s">
        <v>88</v>
      </c>
      <c r="G676" s="172" t="s">
        <v>85</v>
      </c>
      <c r="H676" s="177">
        <v>1</v>
      </c>
      <c r="I676" s="178">
        <v>1046</v>
      </c>
      <c r="J676" s="176">
        <v>46006</v>
      </c>
      <c r="K676" s="172" t="s">
        <v>94</v>
      </c>
      <c r="L676" s="172" t="s">
        <v>95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927</v>
      </c>
      <c r="B677" s="176">
        <v>46030</v>
      </c>
      <c r="C677" s="172" t="s">
        <v>105</v>
      </c>
      <c r="D677" s="172" t="s">
        <v>106</v>
      </c>
      <c r="E677" s="172" t="s">
        <v>39</v>
      </c>
      <c r="F677" s="172" t="s">
        <v>88</v>
      </c>
      <c r="G677" s="172" t="s">
        <v>85</v>
      </c>
      <c r="H677" s="177">
        <v>1</v>
      </c>
      <c r="I677" s="178">
        <v>1046</v>
      </c>
      <c r="J677" s="176">
        <v>46006</v>
      </c>
      <c r="K677" s="172" t="s">
        <v>94</v>
      </c>
      <c r="L677" s="172" t="s">
        <v>95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927</v>
      </c>
      <c r="B678" s="176">
        <v>46030</v>
      </c>
      <c r="C678" s="172" t="s">
        <v>82</v>
      </c>
      <c r="D678" s="172" t="s">
        <v>96</v>
      </c>
      <c r="E678" s="172" t="s">
        <v>39</v>
      </c>
      <c r="F678" s="172" t="s">
        <v>88</v>
      </c>
      <c r="G678" s="172" t="s">
        <v>85</v>
      </c>
      <c r="H678" s="177">
        <v>1</v>
      </c>
      <c r="I678" s="178">
        <v>1046</v>
      </c>
      <c r="J678" s="176">
        <v>46006</v>
      </c>
      <c r="K678" s="172" t="s">
        <v>94</v>
      </c>
      <c r="L678" s="172" t="s">
        <v>95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927</v>
      </c>
      <c r="B679" s="176">
        <v>46030</v>
      </c>
      <c r="C679" s="172" t="s">
        <v>82</v>
      </c>
      <c r="D679" s="172" t="s">
        <v>83</v>
      </c>
      <c r="E679" s="172" t="s">
        <v>39</v>
      </c>
      <c r="F679" s="172" t="s">
        <v>88</v>
      </c>
      <c r="G679" s="172" t="s">
        <v>85</v>
      </c>
      <c r="H679" s="177">
        <v>1</v>
      </c>
      <c r="I679" s="178">
        <v>0</v>
      </c>
      <c r="J679" s="176">
        <v>46006</v>
      </c>
      <c r="K679" s="172" t="s">
        <v>86</v>
      </c>
      <c r="L679" s="172" t="s">
        <v>86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928</v>
      </c>
      <c r="B680" s="176">
        <v>46030</v>
      </c>
      <c r="C680" s="172" t="s">
        <v>93</v>
      </c>
      <c r="D680" s="172" t="s">
        <v>24</v>
      </c>
      <c r="E680" s="172" t="s">
        <v>53</v>
      </c>
      <c r="F680" s="172" t="s">
        <v>91</v>
      </c>
      <c r="G680" s="172" t="s">
        <v>85</v>
      </c>
      <c r="H680" s="177">
        <v>1</v>
      </c>
      <c r="I680" s="178">
        <v>1621</v>
      </c>
      <c r="J680" s="176">
        <v>46027</v>
      </c>
      <c r="K680" s="172" t="s">
        <v>94</v>
      </c>
      <c r="L680" s="172" t="s">
        <v>95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928</v>
      </c>
      <c r="B681" s="176">
        <v>46030</v>
      </c>
      <c r="C681" s="172" t="s">
        <v>101</v>
      </c>
      <c r="D681" s="172" t="s">
        <v>102</v>
      </c>
      <c r="E681" s="172" t="s">
        <v>53</v>
      </c>
      <c r="F681" s="172" t="s">
        <v>91</v>
      </c>
      <c r="G681" s="172" t="s">
        <v>85</v>
      </c>
      <c r="H681" s="177">
        <v>1</v>
      </c>
      <c r="I681" s="178">
        <v>1621</v>
      </c>
      <c r="J681" s="176">
        <v>46027</v>
      </c>
      <c r="K681" s="172" t="s">
        <v>94</v>
      </c>
      <c r="L681" s="172" t="s">
        <v>95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928</v>
      </c>
      <c r="B682" s="176">
        <v>46030</v>
      </c>
      <c r="C682" s="172" t="s">
        <v>101</v>
      </c>
      <c r="D682" s="172" t="s">
        <v>103</v>
      </c>
      <c r="E682" s="172" t="s">
        <v>53</v>
      </c>
      <c r="F682" s="172" t="s">
        <v>91</v>
      </c>
      <c r="G682" s="172" t="s">
        <v>85</v>
      </c>
      <c r="H682" s="177">
        <v>1</v>
      </c>
      <c r="I682" s="178">
        <v>1621</v>
      </c>
      <c r="J682" s="176">
        <v>46027</v>
      </c>
      <c r="K682" s="172" t="s">
        <v>94</v>
      </c>
      <c r="L682" s="172" t="s">
        <v>95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928</v>
      </c>
      <c r="B683" s="176">
        <v>46030</v>
      </c>
      <c r="C683" s="172" t="s">
        <v>101</v>
      </c>
      <c r="D683" s="172" t="s">
        <v>104</v>
      </c>
      <c r="E683" s="172" t="s">
        <v>53</v>
      </c>
      <c r="F683" s="172" t="s">
        <v>91</v>
      </c>
      <c r="G683" s="172" t="s">
        <v>85</v>
      </c>
      <c r="H683" s="177">
        <v>1</v>
      </c>
      <c r="I683" s="178">
        <v>1621</v>
      </c>
      <c r="J683" s="176">
        <v>46027</v>
      </c>
      <c r="K683" s="172" t="s">
        <v>94</v>
      </c>
      <c r="L683" s="172" t="s">
        <v>95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928</v>
      </c>
      <c r="B684" s="176">
        <v>46030</v>
      </c>
      <c r="C684" s="172" t="s">
        <v>105</v>
      </c>
      <c r="D684" s="172" t="s">
        <v>106</v>
      </c>
      <c r="E684" s="172" t="s">
        <v>53</v>
      </c>
      <c r="F684" s="172" t="s">
        <v>91</v>
      </c>
      <c r="G684" s="172" t="s">
        <v>85</v>
      </c>
      <c r="H684" s="177">
        <v>1</v>
      </c>
      <c r="I684" s="178">
        <v>1621</v>
      </c>
      <c r="J684" s="176">
        <v>46027</v>
      </c>
      <c r="K684" s="172" t="s">
        <v>94</v>
      </c>
      <c r="L684" s="172" t="s">
        <v>95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928</v>
      </c>
      <c r="B685" s="176">
        <v>46030</v>
      </c>
      <c r="C685" s="172" t="s">
        <v>82</v>
      </c>
      <c r="D685" s="172" t="s">
        <v>96</v>
      </c>
      <c r="E685" s="172" t="s">
        <v>53</v>
      </c>
      <c r="F685" s="172" t="s">
        <v>91</v>
      </c>
      <c r="G685" s="172" t="s">
        <v>85</v>
      </c>
      <c r="H685" s="177">
        <v>1</v>
      </c>
      <c r="I685" s="178">
        <v>1621</v>
      </c>
      <c r="J685" s="176">
        <v>46027</v>
      </c>
      <c r="K685" s="172" t="s">
        <v>94</v>
      </c>
      <c r="L685" s="172" t="s">
        <v>95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929</v>
      </c>
      <c r="B686" s="176">
        <v>46030</v>
      </c>
      <c r="C686" s="172" t="s">
        <v>129</v>
      </c>
      <c r="D686" s="172" t="s">
        <v>930</v>
      </c>
      <c r="E686" s="172" t="s">
        <v>42</v>
      </c>
      <c r="F686" s="172" t="s">
        <v>84</v>
      </c>
      <c r="G686" s="172" t="s">
        <v>85</v>
      </c>
      <c r="H686" s="177">
        <v>1</v>
      </c>
      <c r="I686" s="178">
        <v>0</v>
      </c>
      <c r="J686" s="176">
        <v>46030</v>
      </c>
      <c r="K686" s="172" t="s">
        <v>86</v>
      </c>
      <c r="L686" s="172" t="s">
        <v>86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928</v>
      </c>
      <c r="B687" s="176">
        <v>46030</v>
      </c>
      <c r="C687" s="172" t="s">
        <v>82</v>
      </c>
      <c r="D687" s="172" t="s">
        <v>83</v>
      </c>
      <c r="E687" s="172" t="s">
        <v>53</v>
      </c>
      <c r="F687" s="172" t="s">
        <v>91</v>
      </c>
      <c r="G687" s="172" t="s">
        <v>85</v>
      </c>
      <c r="H687" s="177">
        <v>1</v>
      </c>
      <c r="I687" s="178">
        <v>0</v>
      </c>
      <c r="J687" s="176">
        <v>46027</v>
      </c>
      <c r="K687" s="172" t="s">
        <v>86</v>
      </c>
      <c r="L687" s="172" t="s">
        <v>86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931</v>
      </c>
      <c r="B688" s="176">
        <v>46030</v>
      </c>
      <c r="C688" s="172" t="s">
        <v>93</v>
      </c>
      <c r="D688" s="172" t="s">
        <v>24</v>
      </c>
      <c r="E688" s="172" t="s">
        <v>53</v>
      </c>
      <c r="F688" s="172" t="s">
        <v>91</v>
      </c>
      <c r="G688" s="172" t="s">
        <v>85</v>
      </c>
      <c r="H688" s="177">
        <v>1</v>
      </c>
      <c r="I688" s="178">
        <v>1621</v>
      </c>
      <c r="J688" s="176">
        <v>46026</v>
      </c>
      <c r="K688" s="172" t="s">
        <v>94</v>
      </c>
      <c r="L688" s="172" t="s">
        <v>95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931</v>
      </c>
      <c r="B689" s="176">
        <v>46030</v>
      </c>
      <c r="C689" s="172" t="s">
        <v>101</v>
      </c>
      <c r="D689" s="172" t="s">
        <v>102</v>
      </c>
      <c r="E689" s="172" t="s">
        <v>53</v>
      </c>
      <c r="F689" s="172" t="s">
        <v>91</v>
      </c>
      <c r="G689" s="172" t="s">
        <v>85</v>
      </c>
      <c r="H689" s="177">
        <v>1</v>
      </c>
      <c r="I689" s="178">
        <v>1621</v>
      </c>
      <c r="J689" s="176">
        <v>46026</v>
      </c>
      <c r="K689" s="172" t="s">
        <v>94</v>
      </c>
      <c r="L689" s="172" t="s">
        <v>95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931</v>
      </c>
      <c r="B690" s="176">
        <v>46030</v>
      </c>
      <c r="C690" s="172" t="s">
        <v>101</v>
      </c>
      <c r="D690" s="172" t="s">
        <v>103</v>
      </c>
      <c r="E690" s="172" t="s">
        <v>53</v>
      </c>
      <c r="F690" s="172" t="s">
        <v>91</v>
      </c>
      <c r="G690" s="172" t="s">
        <v>85</v>
      </c>
      <c r="H690" s="177">
        <v>1</v>
      </c>
      <c r="I690" s="178">
        <v>1621</v>
      </c>
      <c r="J690" s="176">
        <v>46026</v>
      </c>
      <c r="K690" s="172" t="s">
        <v>94</v>
      </c>
      <c r="L690" s="172" t="s">
        <v>95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931</v>
      </c>
      <c r="B691" s="176">
        <v>46030</v>
      </c>
      <c r="C691" s="172" t="s">
        <v>101</v>
      </c>
      <c r="D691" s="172" t="s">
        <v>104</v>
      </c>
      <c r="E691" s="172" t="s">
        <v>53</v>
      </c>
      <c r="F691" s="172" t="s">
        <v>91</v>
      </c>
      <c r="G691" s="172" t="s">
        <v>85</v>
      </c>
      <c r="H691" s="177">
        <v>1</v>
      </c>
      <c r="I691" s="178">
        <v>1621</v>
      </c>
      <c r="J691" s="176">
        <v>46026</v>
      </c>
      <c r="K691" s="172" t="s">
        <v>94</v>
      </c>
      <c r="L691" s="172" t="s">
        <v>95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931</v>
      </c>
      <c r="B692" s="176">
        <v>46030</v>
      </c>
      <c r="C692" s="172" t="s">
        <v>105</v>
      </c>
      <c r="D692" s="172" t="s">
        <v>106</v>
      </c>
      <c r="E692" s="172" t="s">
        <v>53</v>
      </c>
      <c r="F692" s="172" t="s">
        <v>91</v>
      </c>
      <c r="G692" s="172" t="s">
        <v>85</v>
      </c>
      <c r="H692" s="177">
        <v>1</v>
      </c>
      <c r="I692" s="178">
        <v>1621</v>
      </c>
      <c r="J692" s="176">
        <v>46026</v>
      </c>
      <c r="K692" s="172" t="s">
        <v>94</v>
      </c>
      <c r="L692" s="172" t="s">
        <v>95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931</v>
      </c>
      <c r="B693" s="176">
        <v>46030</v>
      </c>
      <c r="C693" s="172" t="s">
        <v>82</v>
      </c>
      <c r="D693" s="172" t="s">
        <v>96</v>
      </c>
      <c r="E693" s="172" t="s">
        <v>53</v>
      </c>
      <c r="F693" s="172" t="s">
        <v>91</v>
      </c>
      <c r="G693" s="172" t="s">
        <v>85</v>
      </c>
      <c r="H693" s="177">
        <v>1</v>
      </c>
      <c r="I693" s="178">
        <v>1621</v>
      </c>
      <c r="J693" s="176">
        <v>46026</v>
      </c>
      <c r="K693" s="172" t="s">
        <v>94</v>
      </c>
      <c r="L693" s="172" t="s">
        <v>95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932</v>
      </c>
      <c r="B694" s="176">
        <v>46030</v>
      </c>
      <c r="C694" s="172" t="s">
        <v>93</v>
      </c>
      <c r="D694" s="172" t="s">
        <v>24</v>
      </c>
      <c r="E694" s="172" t="s">
        <v>53</v>
      </c>
      <c r="F694" s="172" t="s">
        <v>91</v>
      </c>
      <c r="G694" s="172" t="s">
        <v>85</v>
      </c>
      <c r="H694" s="177">
        <v>1</v>
      </c>
      <c r="I694" s="178">
        <v>1621</v>
      </c>
      <c r="J694" s="176">
        <v>46023</v>
      </c>
      <c r="K694" s="172" t="s">
        <v>94</v>
      </c>
      <c r="L694" s="172" t="s">
        <v>95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932</v>
      </c>
      <c r="B695" s="176">
        <v>46030</v>
      </c>
      <c r="C695" s="172" t="s">
        <v>101</v>
      </c>
      <c r="D695" s="172" t="s">
        <v>102</v>
      </c>
      <c r="E695" s="172" t="s">
        <v>53</v>
      </c>
      <c r="F695" s="172" t="s">
        <v>91</v>
      </c>
      <c r="G695" s="172" t="s">
        <v>85</v>
      </c>
      <c r="H695" s="177">
        <v>1</v>
      </c>
      <c r="I695" s="178">
        <v>1621</v>
      </c>
      <c r="J695" s="176">
        <v>46023</v>
      </c>
      <c r="K695" s="172" t="s">
        <v>94</v>
      </c>
      <c r="L695" s="172" t="s">
        <v>95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932</v>
      </c>
      <c r="B696" s="176">
        <v>46030</v>
      </c>
      <c r="C696" s="172" t="s">
        <v>101</v>
      </c>
      <c r="D696" s="172" t="s">
        <v>103</v>
      </c>
      <c r="E696" s="172" t="s">
        <v>53</v>
      </c>
      <c r="F696" s="172" t="s">
        <v>91</v>
      </c>
      <c r="G696" s="172" t="s">
        <v>85</v>
      </c>
      <c r="H696" s="177">
        <v>1</v>
      </c>
      <c r="I696" s="178">
        <v>1621</v>
      </c>
      <c r="J696" s="176">
        <v>46023</v>
      </c>
      <c r="K696" s="172" t="s">
        <v>94</v>
      </c>
      <c r="L696" s="172" t="s">
        <v>95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932</v>
      </c>
      <c r="B697" s="176">
        <v>46030</v>
      </c>
      <c r="C697" s="172" t="s">
        <v>101</v>
      </c>
      <c r="D697" s="172" t="s">
        <v>104</v>
      </c>
      <c r="E697" s="172" t="s">
        <v>53</v>
      </c>
      <c r="F697" s="172" t="s">
        <v>91</v>
      </c>
      <c r="G697" s="172" t="s">
        <v>85</v>
      </c>
      <c r="H697" s="177">
        <v>1</v>
      </c>
      <c r="I697" s="178">
        <v>1621</v>
      </c>
      <c r="J697" s="176">
        <v>46023</v>
      </c>
      <c r="K697" s="172" t="s">
        <v>94</v>
      </c>
      <c r="L697" s="172" t="s">
        <v>95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932</v>
      </c>
      <c r="B698" s="176">
        <v>46030</v>
      </c>
      <c r="C698" s="172" t="s">
        <v>105</v>
      </c>
      <c r="D698" s="172" t="s">
        <v>106</v>
      </c>
      <c r="E698" s="172" t="s">
        <v>53</v>
      </c>
      <c r="F698" s="172" t="s">
        <v>91</v>
      </c>
      <c r="G698" s="172" t="s">
        <v>85</v>
      </c>
      <c r="H698" s="177">
        <v>1</v>
      </c>
      <c r="I698" s="178">
        <v>1621</v>
      </c>
      <c r="J698" s="176">
        <v>46023</v>
      </c>
      <c r="K698" s="172" t="s">
        <v>94</v>
      </c>
      <c r="L698" s="172" t="s">
        <v>95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932</v>
      </c>
      <c r="B699" s="176">
        <v>46030</v>
      </c>
      <c r="C699" s="172" t="s">
        <v>82</v>
      </c>
      <c r="D699" s="172" t="s">
        <v>96</v>
      </c>
      <c r="E699" s="172" t="s">
        <v>53</v>
      </c>
      <c r="F699" s="172" t="s">
        <v>91</v>
      </c>
      <c r="G699" s="172" t="s">
        <v>85</v>
      </c>
      <c r="H699" s="177">
        <v>1</v>
      </c>
      <c r="I699" s="178">
        <v>1621</v>
      </c>
      <c r="J699" s="176">
        <v>46023</v>
      </c>
      <c r="K699" s="172" t="s">
        <v>94</v>
      </c>
      <c r="L699" s="172" t="s">
        <v>95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933</v>
      </c>
      <c r="B700" s="176">
        <v>46030</v>
      </c>
      <c r="C700" s="172" t="s">
        <v>93</v>
      </c>
      <c r="D700" s="172" t="s">
        <v>24</v>
      </c>
      <c r="E700" s="172" t="s">
        <v>42</v>
      </c>
      <c r="F700" s="172" t="s">
        <v>84</v>
      </c>
      <c r="G700" s="172" t="s">
        <v>85</v>
      </c>
      <c r="H700" s="177">
        <v>1</v>
      </c>
      <c r="I700" s="178">
        <v>1600</v>
      </c>
      <c r="J700" s="176">
        <v>46024</v>
      </c>
      <c r="K700" s="172" t="s">
        <v>94</v>
      </c>
      <c r="L700" s="172" t="s">
        <v>95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933</v>
      </c>
      <c r="B701" s="176">
        <v>46030</v>
      </c>
      <c r="C701" s="172" t="s">
        <v>101</v>
      </c>
      <c r="D701" s="172" t="s">
        <v>102</v>
      </c>
      <c r="E701" s="172" t="s">
        <v>42</v>
      </c>
      <c r="F701" s="172" t="s">
        <v>84</v>
      </c>
      <c r="G701" s="172" t="s">
        <v>85</v>
      </c>
      <c r="H701" s="177">
        <v>1</v>
      </c>
      <c r="I701" s="178">
        <v>1600</v>
      </c>
      <c r="J701" s="176">
        <v>46024</v>
      </c>
      <c r="K701" s="172" t="s">
        <v>94</v>
      </c>
      <c r="L701" s="172" t="s">
        <v>95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933</v>
      </c>
      <c r="B702" s="176">
        <v>46030</v>
      </c>
      <c r="C702" s="172" t="s">
        <v>101</v>
      </c>
      <c r="D702" s="172" t="s">
        <v>103</v>
      </c>
      <c r="E702" s="172" t="s">
        <v>42</v>
      </c>
      <c r="F702" s="172" t="s">
        <v>84</v>
      </c>
      <c r="G702" s="172" t="s">
        <v>85</v>
      </c>
      <c r="H702" s="177">
        <v>1</v>
      </c>
      <c r="I702" s="178">
        <v>1600</v>
      </c>
      <c r="J702" s="176">
        <v>46024</v>
      </c>
      <c r="K702" s="172" t="s">
        <v>94</v>
      </c>
      <c r="L702" s="172" t="s">
        <v>95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933</v>
      </c>
      <c r="B703" s="176">
        <v>46030</v>
      </c>
      <c r="C703" s="172" t="s">
        <v>101</v>
      </c>
      <c r="D703" s="172" t="s">
        <v>104</v>
      </c>
      <c r="E703" s="172" t="s">
        <v>42</v>
      </c>
      <c r="F703" s="172" t="s">
        <v>84</v>
      </c>
      <c r="G703" s="172" t="s">
        <v>85</v>
      </c>
      <c r="H703" s="177">
        <v>1</v>
      </c>
      <c r="I703" s="178">
        <v>1600</v>
      </c>
      <c r="J703" s="176">
        <v>46024</v>
      </c>
      <c r="K703" s="172" t="s">
        <v>94</v>
      </c>
      <c r="L703" s="172" t="s">
        <v>95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933</v>
      </c>
      <c r="B704" s="176">
        <v>46030</v>
      </c>
      <c r="C704" s="172" t="s">
        <v>105</v>
      </c>
      <c r="D704" s="172" t="s">
        <v>106</v>
      </c>
      <c r="E704" s="172" t="s">
        <v>42</v>
      </c>
      <c r="F704" s="172" t="s">
        <v>84</v>
      </c>
      <c r="G704" s="172" t="s">
        <v>85</v>
      </c>
      <c r="H704" s="177">
        <v>1</v>
      </c>
      <c r="I704" s="178">
        <v>1600</v>
      </c>
      <c r="J704" s="176">
        <v>46024</v>
      </c>
      <c r="K704" s="172" t="s">
        <v>94</v>
      </c>
      <c r="L704" s="172" t="s">
        <v>95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933</v>
      </c>
      <c r="B705" s="176">
        <v>46030</v>
      </c>
      <c r="C705" s="172" t="s">
        <v>82</v>
      </c>
      <c r="D705" s="172" t="s">
        <v>96</v>
      </c>
      <c r="E705" s="172" t="s">
        <v>42</v>
      </c>
      <c r="F705" s="172" t="s">
        <v>84</v>
      </c>
      <c r="G705" s="172" t="s">
        <v>85</v>
      </c>
      <c r="H705" s="177">
        <v>1</v>
      </c>
      <c r="I705" s="178">
        <v>1600</v>
      </c>
      <c r="J705" s="176">
        <v>46024</v>
      </c>
      <c r="K705" s="172" t="s">
        <v>94</v>
      </c>
      <c r="L705" s="172" t="s">
        <v>95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931</v>
      </c>
      <c r="B706" s="176">
        <v>46030</v>
      </c>
      <c r="C706" s="172" t="s">
        <v>82</v>
      </c>
      <c r="D706" s="172" t="s">
        <v>83</v>
      </c>
      <c r="E706" s="172" t="s">
        <v>53</v>
      </c>
      <c r="F706" s="172" t="s">
        <v>91</v>
      </c>
      <c r="G706" s="172" t="s">
        <v>85</v>
      </c>
      <c r="H706" s="177">
        <v>1</v>
      </c>
      <c r="I706" s="178">
        <v>0</v>
      </c>
      <c r="J706" s="176">
        <v>46026</v>
      </c>
      <c r="K706" s="172" t="s">
        <v>86</v>
      </c>
      <c r="L706" s="172" t="s">
        <v>86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932</v>
      </c>
      <c r="B707" s="176">
        <v>46030</v>
      </c>
      <c r="C707" s="172" t="s">
        <v>82</v>
      </c>
      <c r="D707" s="172" t="s">
        <v>83</v>
      </c>
      <c r="E707" s="172" t="s">
        <v>53</v>
      </c>
      <c r="F707" s="172" t="s">
        <v>91</v>
      </c>
      <c r="G707" s="172" t="s">
        <v>85</v>
      </c>
      <c r="H707" s="177">
        <v>1</v>
      </c>
      <c r="I707" s="178">
        <v>0</v>
      </c>
      <c r="J707" s="176">
        <v>46023</v>
      </c>
      <c r="K707" s="172" t="s">
        <v>86</v>
      </c>
      <c r="L707" s="172" t="s">
        <v>86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934</v>
      </c>
      <c r="B708" s="176">
        <v>46030</v>
      </c>
      <c r="C708" s="172" t="s">
        <v>93</v>
      </c>
      <c r="D708" s="172" t="s">
        <v>24</v>
      </c>
      <c r="E708" s="172" t="s">
        <v>54</v>
      </c>
      <c r="F708" s="172" t="s">
        <v>121</v>
      </c>
      <c r="G708" s="172" t="s">
        <v>85</v>
      </c>
      <c r="H708" s="177">
        <v>1</v>
      </c>
      <c r="I708" s="178">
        <v>0</v>
      </c>
      <c r="J708" s="176">
        <v>46019</v>
      </c>
      <c r="K708" s="172" t="s">
        <v>94</v>
      </c>
      <c r="L708" s="172" t="s">
        <v>95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934</v>
      </c>
      <c r="B709" s="176">
        <v>46030</v>
      </c>
      <c r="C709" s="172" t="s">
        <v>82</v>
      </c>
      <c r="D709" s="172" t="s">
        <v>96</v>
      </c>
      <c r="E709" s="172" t="s">
        <v>54</v>
      </c>
      <c r="F709" s="172" t="s">
        <v>121</v>
      </c>
      <c r="G709" s="172" t="s">
        <v>85</v>
      </c>
      <c r="H709" s="177">
        <v>1</v>
      </c>
      <c r="I709" s="178">
        <v>0</v>
      </c>
      <c r="J709" s="176">
        <v>46019</v>
      </c>
      <c r="K709" s="172" t="s">
        <v>94</v>
      </c>
      <c r="L709" s="172" t="s">
        <v>95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934</v>
      </c>
      <c r="B710" s="176">
        <v>46030</v>
      </c>
      <c r="C710" s="172" t="s">
        <v>93</v>
      </c>
      <c r="D710" s="172" t="s">
        <v>97</v>
      </c>
      <c r="E710" s="172" t="s">
        <v>54</v>
      </c>
      <c r="F710" s="172" t="s">
        <v>121</v>
      </c>
      <c r="G710" s="172" t="s">
        <v>85</v>
      </c>
      <c r="H710" s="177">
        <v>1</v>
      </c>
      <c r="I710" s="178">
        <v>0</v>
      </c>
      <c r="J710" s="176">
        <v>46019</v>
      </c>
      <c r="K710" s="172" t="s">
        <v>94</v>
      </c>
      <c r="L710" s="172" t="s">
        <v>95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934</v>
      </c>
      <c r="B711" s="176">
        <v>46030</v>
      </c>
      <c r="C711" s="172" t="s">
        <v>93</v>
      </c>
      <c r="D711" s="172" t="s">
        <v>98</v>
      </c>
      <c r="E711" s="172" t="s">
        <v>54</v>
      </c>
      <c r="F711" s="172" t="s">
        <v>121</v>
      </c>
      <c r="G711" s="172" t="s">
        <v>85</v>
      </c>
      <c r="H711" s="177">
        <v>1</v>
      </c>
      <c r="I711" s="178">
        <v>0</v>
      </c>
      <c r="J711" s="176">
        <v>46019</v>
      </c>
      <c r="K711" s="172" t="s">
        <v>94</v>
      </c>
      <c r="L711" s="172" t="s">
        <v>95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934</v>
      </c>
      <c r="B712" s="176">
        <v>46030</v>
      </c>
      <c r="C712" s="172" t="s">
        <v>82</v>
      </c>
      <c r="D712" s="172" t="s">
        <v>99</v>
      </c>
      <c r="E712" s="172" t="s">
        <v>54</v>
      </c>
      <c r="F712" s="172" t="s">
        <v>121</v>
      </c>
      <c r="G712" s="172" t="s">
        <v>85</v>
      </c>
      <c r="H712" s="177">
        <v>1</v>
      </c>
      <c r="I712" s="178">
        <v>0</v>
      </c>
      <c r="J712" s="176">
        <v>46019</v>
      </c>
      <c r="K712" s="172" t="s">
        <v>94</v>
      </c>
      <c r="L712" s="172" t="s">
        <v>95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935</v>
      </c>
      <c r="B713" s="176">
        <v>46030</v>
      </c>
      <c r="C713" s="172" t="s">
        <v>93</v>
      </c>
      <c r="D713" s="172" t="s">
        <v>24</v>
      </c>
      <c r="E713" s="172" t="s">
        <v>54</v>
      </c>
      <c r="F713" s="172" t="s">
        <v>121</v>
      </c>
      <c r="G713" s="172" t="s">
        <v>85</v>
      </c>
      <c r="H713" s="177">
        <v>1</v>
      </c>
      <c r="I713" s="178">
        <v>1845</v>
      </c>
      <c r="J713" s="176">
        <v>46029</v>
      </c>
      <c r="K713" s="172" t="s">
        <v>94</v>
      </c>
      <c r="L713" s="172" t="s">
        <v>95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935</v>
      </c>
      <c r="B714" s="176">
        <v>46030</v>
      </c>
      <c r="C714" s="172" t="s">
        <v>101</v>
      </c>
      <c r="D714" s="172" t="s">
        <v>102</v>
      </c>
      <c r="E714" s="172" t="s">
        <v>54</v>
      </c>
      <c r="F714" s="172" t="s">
        <v>121</v>
      </c>
      <c r="G714" s="172" t="s">
        <v>85</v>
      </c>
      <c r="H714" s="177">
        <v>1</v>
      </c>
      <c r="I714" s="178">
        <v>1845</v>
      </c>
      <c r="J714" s="176">
        <v>46029</v>
      </c>
      <c r="K714" s="172" t="s">
        <v>94</v>
      </c>
      <c r="L714" s="172" t="s">
        <v>95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935</v>
      </c>
      <c r="B715" s="176">
        <v>46030</v>
      </c>
      <c r="C715" s="172" t="s">
        <v>101</v>
      </c>
      <c r="D715" s="172" t="s">
        <v>103</v>
      </c>
      <c r="E715" s="172" t="s">
        <v>54</v>
      </c>
      <c r="F715" s="172" t="s">
        <v>121</v>
      </c>
      <c r="G715" s="172" t="s">
        <v>85</v>
      </c>
      <c r="H715" s="177">
        <v>1</v>
      </c>
      <c r="I715" s="178">
        <v>1845</v>
      </c>
      <c r="J715" s="176">
        <v>46029</v>
      </c>
      <c r="K715" s="172" t="s">
        <v>94</v>
      </c>
      <c r="L715" s="172" t="s">
        <v>95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935</v>
      </c>
      <c r="B716" s="176">
        <v>46030</v>
      </c>
      <c r="C716" s="172" t="s">
        <v>101</v>
      </c>
      <c r="D716" s="172" t="s">
        <v>104</v>
      </c>
      <c r="E716" s="172" t="s">
        <v>54</v>
      </c>
      <c r="F716" s="172" t="s">
        <v>121</v>
      </c>
      <c r="G716" s="172" t="s">
        <v>85</v>
      </c>
      <c r="H716" s="177">
        <v>1</v>
      </c>
      <c r="I716" s="178">
        <v>1845</v>
      </c>
      <c r="J716" s="176">
        <v>46029</v>
      </c>
      <c r="K716" s="172" t="s">
        <v>94</v>
      </c>
      <c r="L716" s="172" t="s">
        <v>95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935</v>
      </c>
      <c r="B717" s="176">
        <v>46030</v>
      </c>
      <c r="C717" s="172" t="s">
        <v>105</v>
      </c>
      <c r="D717" s="172" t="s">
        <v>106</v>
      </c>
      <c r="E717" s="172" t="s">
        <v>54</v>
      </c>
      <c r="F717" s="172" t="s">
        <v>121</v>
      </c>
      <c r="G717" s="172" t="s">
        <v>85</v>
      </c>
      <c r="H717" s="177">
        <v>1</v>
      </c>
      <c r="I717" s="178">
        <v>1845</v>
      </c>
      <c r="J717" s="176">
        <v>46029</v>
      </c>
      <c r="K717" s="172" t="s">
        <v>94</v>
      </c>
      <c r="L717" s="172" t="s">
        <v>95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935</v>
      </c>
      <c r="B718" s="176">
        <v>46030</v>
      </c>
      <c r="C718" s="172" t="s">
        <v>82</v>
      </c>
      <c r="D718" s="172" t="s">
        <v>96</v>
      </c>
      <c r="E718" s="172" t="s">
        <v>54</v>
      </c>
      <c r="F718" s="172" t="s">
        <v>121</v>
      </c>
      <c r="G718" s="172" t="s">
        <v>85</v>
      </c>
      <c r="H718" s="177">
        <v>1</v>
      </c>
      <c r="I718" s="178">
        <v>1845</v>
      </c>
      <c r="J718" s="176">
        <v>46029</v>
      </c>
      <c r="K718" s="172" t="s">
        <v>94</v>
      </c>
      <c r="L718" s="172" t="s">
        <v>95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935</v>
      </c>
      <c r="B719" s="176">
        <v>46030</v>
      </c>
      <c r="C719" s="172" t="s">
        <v>82</v>
      </c>
      <c r="D719" s="172" t="s">
        <v>83</v>
      </c>
      <c r="E719" s="172" t="s">
        <v>54</v>
      </c>
      <c r="F719" s="172" t="s">
        <v>121</v>
      </c>
      <c r="G719" s="172" t="s">
        <v>85</v>
      </c>
      <c r="H719" s="177">
        <v>1</v>
      </c>
      <c r="I719" s="178">
        <v>0</v>
      </c>
      <c r="J719" s="176">
        <v>46029</v>
      </c>
      <c r="K719" s="172" t="s">
        <v>86</v>
      </c>
      <c r="L719" s="172" t="s">
        <v>86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936</v>
      </c>
      <c r="B720" s="176">
        <v>46030</v>
      </c>
      <c r="C720" s="172" t="s">
        <v>93</v>
      </c>
      <c r="D720" s="172" t="s">
        <v>273</v>
      </c>
      <c r="E720" s="172" t="s">
        <v>53</v>
      </c>
      <c r="F720" s="172" t="s">
        <v>91</v>
      </c>
      <c r="G720" s="172" t="s">
        <v>85</v>
      </c>
      <c r="H720" s="177">
        <v>1</v>
      </c>
      <c r="I720" s="178">
        <v>0</v>
      </c>
      <c r="J720" s="176">
        <v>46007</v>
      </c>
      <c r="K720" s="172" t="s">
        <v>94</v>
      </c>
      <c r="L720" s="172" t="s">
        <v>95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936</v>
      </c>
      <c r="B721" s="176">
        <v>46030</v>
      </c>
      <c r="C721" s="172" t="s">
        <v>93</v>
      </c>
      <c r="D721" s="172" t="s">
        <v>98</v>
      </c>
      <c r="E721" s="172" t="s">
        <v>53</v>
      </c>
      <c r="F721" s="172" t="s">
        <v>91</v>
      </c>
      <c r="G721" s="172" t="s">
        <v>85</v>
      </c>
      <c r="H721" s="177">
        <v>1</v>
      </c>
      <c r="I721" s="178">
        <v>0</v>
      </c>
      <c r="J721" s="176">
        <v>46007</v>
      </c>
      <c r="K721" s="172" t="s">
        <v>94</v>
      </c>
      <c r="L721" s="172" t="s">
        <v>95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936</v>
      </c>
      <c r="B722" s="176">
        <v>46030</v>
      </c>
      <c r="C722" s="172" t="s">
        <v>82</v>
      </c>
      <c r="D722" s="172" t="s">
        <v>99</v>
      </c>
      <c r="E722" s="172" t="s">
        <v>53</v>
      </c>
      <c r="F722" s="172" t="s">
        <v>91</v>
      </c>
      <c r="G722" s="172" t="s">
        <v>85</v>
      </c>
      <c r="H722" s="177">
        <v>1</v>
      </c>
      <c r="I722" s="178">
        <v>0</v>
      </c>
      <c r="J722" s="176">
        <v>46007</v>
      </c>
      <c r="K722" s="172" t="s">
        <v>94</v>
      </c>
      <c r="L722" s="172" t="s">
        <v>95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937</v>
      </c>
      <c r="B723" s="176">
        <v>46030</v>
      </c>
      <c r="C723" s="172" t="s">
        <v>93</v>
      </c>
      <c r="D723" s="172" t="s">
        <v>24</v>
      </c>
      <c r="E723" s="172" t="s">
        <v>53</v>
      </c>
      <c r="F723" s="172" t="s">
        <v>91</v>
      </c>
      <c r="G723" s="172" t="s">
        <v>85</v>
      </c>
      <c r="H723" s="177">
        <v>1</v>
      </c>
      <c r="I723" s="178">
        <v>1621</v>
      </c>
      <c r="J723" s="176">
        <v>46028</v>
      </c>
      <c r="K723" s="172" t="s">
        <v>94</v>
      </c>
      <c r="L723" s="172" t="s">
        <v>95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937</v>
      </c>
      <c r="B724" s="176">
        <v>46030</v>
      </c>
      <c r="C724" s="172" t="s">
        <v>101</v>
      </c>
      <c r="D724" s="172" t="s">
        <v>102</v>
      </c>
      <c r="E724" s="172" t="s">
        <v>53</v>
      </c>
      <c r="F724" s="172" t="s">
        <v>91</v>
      </c>
      <c r="G724" s="172" t="s">
        <v>85</v>
      </c>
      <c r="H724" s="177">
        <v>1</v>
      </c>
      <c r="I724" s="178">
        <v>1621</v>
      </c>
      <c r="J724" s="176">
        <v>46028</v>
      </c>
      <c r="K724" s="172" t="s">
        <v>94</v>
      </c>
      <c r="L724" s="172" t="s">
        <v>95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937</v>
      </c>
      <c r="B725" s="176">
        <v>46030</v>
      </c>
      <c r="C725" s="172" t="s">
        <v>101</v>
      </c>
      <c r="D725" s="172" t="s">
        <v>103</v>
      </c>
      <c r="E725" s="172" t="s">
        <v>53</v>
      </c>
      <c r="F725" s="172" t="s">
        <v>91</v>
      </c>
      <c r="G725" s="172" t="s">
        <v>85</v>
      </c>
      <c r="H725" s="177">
        <v>1</v>
      </c>
      <c r="I725" s="178">
        <v>1621</v>
      </c>
      <c r="J725" s="176">
        <v>46028</v>
      </c>
      <c r="K725" s="172" t="s">
        <v>94</v>
      </c>
      <c r="L725" s="172" t="s">
        <v>95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937</v>
      </c>
      <c r="B726" s="176">
        <v>46030</v>
      </c>
      <c r="C726" s="172" t="s">
        <v>101</v>
      </c>
      <c r="D726" s="172" t="s">
        <v>104</v>
      </c>
      <c r="E726" s="172" t="s">
        <v>53</v>
      </c>
      <c r="F726" s="172" t="s">
        <v>91</v>
      </c>
      <c r="G726" s="172" t="s">
        <v>85</v>
      </c>
      <c r="H726" s="177">
        <v>1</v>
      </c>
      <c r="I726" s="178">
        <v>1621</v>
      </c>
      <c r="J726" s="176">
        <v>46028</v>
      </c>
      <c r="K726" s="172" t="s">
        <v>94</v>
      </c>
      <c r="L726" s="172" t="s">
        <v>95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937</v>
      </c>
      <c r="B727" s="176">
        <v>46030</v>
      </c>
      <c r="C727" s="172" t="s">
        <v>105</v>
      </c>
      <c r="D727" s="172" t="s">
        <v>106</v>
      </c>
      <c r="E727" s="172" t="s">
        <v>53</v>
      </c>
      <c r="F727" s="172" t="s">
        <v>91</v>
      </c>
      <c r="G727" s="172" t="s">
        <v>85</v>
      </c>
      <c r="H727" s="177">
        <v>1</v>
      </c>
      <c r="I727" s="178">
        <v>1621</v>
      </c>
      <c r="J727" s="176">
        <v>46028</v>
      </c>
      <c r="K727" s="172" t="s">
        <v>94</v>
      </c>
      <c r="L727" s="172" t="s">
        <v>95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937</v>
      </c>
      <c r="B728" s="176">
        <v>46030</v>
      </c>
      <c r="C728" s="172" t="s">
        <v>82</v>
      </c>
      <c r="D728" s="172" t="s">
        <v>96</v>
      </c>
      <c r="E728" s="172" t="s">
        <v>53</v>
      </c>
      <c r="F728" s="172" t="s">
        <v>91</v>
      </c>
      <c r="G728" s="172" t="s">
        <v>85</v>
      </c>
      <c r="H728" s="177">
        <v>1</v>
      </c>
      <c r="I728" s="178">
        <v>1621</v>
      </c>
      <c r="J728" s="176">
        <v>46028</v>
      </c>
      <c r="K728" s="172" t="s">
        <v>94</v>
      </c>
      <c r="L728" s="172" t="s">
        <v>95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938</v>
      </c>
      <c r="B729" s="176">
        <v>46030</v>
      </c>
      <c r="C729" s="172" t="s">
        <v>93</v>
      </c>
      <c r="D729" s="172" t="s">
        <v>24</v>
      </c>
      <c r="E729" s="172" t="s">
        <v>40</v>
      </c>
      <c r="F729" s="172" t="s">
        <v>118</v>
      </c>
      <c r="G729" s="172" t="s">
        <v>85</v>
      </c>
      <c r="H729" s="177">
        <v>1</v>
      </c>
      <c r="I729" s="178">
        <v>0</v>
      </c>
      <c r="J729" s="176">
        <v>46024</v>
      </c>
      <c r="K729" s="172" t="s">
        <v>94</v>
      </c>
      <c r="L729" s="172" t="s">
        <v>95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938</v>
      </c>
      <c r="B730" s="176">
        <v>46030</v>
      </c>
      <c r="C730" s="172" t="s">
        <v>82</v>
      </c>
      <c r="D730" s="172" t="s">
        <v>96</v>
      </c>
      <c r="E730" s="172" t="s">
        <v>40</v>
      </c>
      <c r="F730" s="172" t="s">
        <v>118</v>
      </c>
      <c r="G730" s="172" t="s">
        <v>85</v>
      </c>
      <c r="H730" s="177">
        <v>1</v>
      </c>
      <c r="I730" s="178">
        <v>0</v>
      </c>
      <c r="J730" s="176">
        <v>46024</v>
      </c>
      <c r="K730" s="172" t="s">
        <v>94</v>
      </c>
      <c r="L730" s="172" t="s">
        <v>95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938</v>
      </c>
      <c r="B731" s="176">
        <v>46030</v>
      </c>
      <c r="C731" s="172" t="s">
        <v>93</v>
      </c>
      <c r="D731" s="172" t="s">
        <v>97</v>
      </c>
      <c r="E731" s="172" t="s">
        <v>40</v>
      </c>
      <c r="F731" s="172" t="s">
        <v>118</v>
      </c>
      <c r="G731" s="172" t="s">
        <v>85</v>
      </c>
      <c r="H731" s="177">
        <v>1</v>
      </c>
      <c r="I731" s="178">
        <v>0</v>
      </c>
      <c r="J731" s="176">
        <v>46024</v>
      </c>
      <c r="K731" s="172" t="s">
        <v>94</v>
      </c>
      <c r="L731" s="172" t="s">
        <v>95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938</v>
      </c>
      <c r="B732" s="176">
        <v>46030</v>
      </c>
      <c r="C732" s="172" t="s">
        <v>93</v>
      </c>
      <c r="D732" s="172" t="s">
        <v>98</v>
      </c>
      <c r="E732" s="172" t="s">
        <v>40</v>
      </c>
      <c r="F732" s="172" t="s">
        <v>118</v>
      </c>
      <c r="G732" s="172" t="s">
        <v>85</v>
      </c>
      <c r="H732" s="177">
        <v>1</v>
      </c>
      <c r="I732" s="178">
        <v>0</v>
      </c>
      <c r="J732" s="176">
        <v>46024</v>
      </c>
      <c r="K732" s="172" t="s">
        <v>94</v>
      </c>
      <c r="L732" s="172" t="s">
        <v>95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938</v>
      </c>
      <c r="B733" s="176">
        <v>46030</v>
      </c>
      <c r="C733" s="172" t="s">
        <v>82</v>
      </c>
      <c r="D733" s="172" t="s">
        <v>99</v>
      </c>
      <c r="E733" s="172" t="s">
        <v>40</v>
      </c>
      <c r="F733" s="172" t="s">
        <v>118</v>
      </c>
      <c r="G733" s="172" t="s">
        <v>85</v>
      </c>
      <c r="H733" s="177">
        <v>1</v>
      </c>
      <c r="I733" s="178">
        <v>0</v>
      </c>
      <c r="J733" s="176">
        <v>46024</v>
      </c>
      <c r="K733" s="172" t="s">
        <v>94</v>
      </c>
      <c r="L733" s="172" t="s">
        <v>95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939</v>
      </c>
      <c r="B734" s="176">
        <v>46030</v>
      </c>
      <c r="C734" s="172" t="s">
        <v>93</v>
      </c>
      <c r="D734" s="172" t="s">
        <v>24</v>
      </c>
      <c r="E734" s="172" t="s">
        <v>53</v>
      </c>
      <c r="F734" s="172" t="s">
        <v>91</v>
      </c>
      <c r="G734" s="172" t="s">
        <v>85</v>
      </c>
      <c r="H734" s="177">
        <v>1</v>
      </c>
      <c r="I734" s="178">
        <v>1621</v>
      </c>
      <c r="J734" s="176">
        <v>46024</v>
      </c>
      <c r="K734" s="172" t="s">
        <v>94</v>
      </c>
      <c r="L734" s="172" t="s">
        <v>95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939</v>
      </c>
      <c r="B735" s="176">
        <v>46030</v>
      </c>
      <c r="C735" s="172" t="s">
        <v>101</v>
      </c>
      <c r="D735" s="172" t="s">
        <v>102</v>
      </c>
      <c r="E735" s="172" t="s">
        <v>53</v>
      </c>
      <c r="F735" s="172" t="s">
        <v>91</v>
      </c>
      <c r="G735" s="172" t="s">
        <v>85</v>
      </c>
      <c r="H735" s="177">
        <v>1</v>
      </c>
      <c r="I735" s="178">
        <v>1621</v>
      </c>
      <c r="J735" s="176">
        <v>46024</v>
      </c>
      <c r="K735" s="172" t="s">
        <v>94</v>
      </c>
      <c r="L735" s="172" t="s">
        <v>95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939</v>
      </c>
      <c r="B736" s="176">
        <v>46030</v>
      </c>
      <c r="C736" s="172" t="s">
        <v>101</v>
      </c>
      <c r="D736" s="172" t="s">
        <v>103</v>
      </c>
      <c r="E736" s="172" t="s">
        <v>53</v>
      </c>
      <c r="F736" s="172" t="s">
        <v>91</v>
      </c>
      <c r="G736" s="172" t="s">
        <v>85</v>
      </c>
      <c r="H736" s="177">
        <v>1</v>
      </c>
      <c r="I736" s="178">
        <v>1621</v>
      </c>
      <c r="J736" s="176">
        <v>46024</v>
      </c>
      <c r="K736" s="172" t="s">
        <v>94</v>
      </c>
      <c r="L736" s="172" t="s">
        <v>95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939</v>
      </c>
      <c r="B737" s="176">
        <v>46030</v>
      </c>
      <c r="C737" s="172" t="s">
        <v>101</v>
      </c>
      <c r="D737" s="172" t="s">
        <v>104</v>
      </c>
      <c r="E737" s="172" t="s">
        <v>53</v>
      </c>
      <c r="F737" s="172" t="s">
        <v>91</v>
      </c>
      <c r="G737" s="172" t="s">
        <v>85</v>
      </c>
      <c r="H737" s="177">
        <v>1</v>
      </c>
      <c r="I737" s="178">
        <v>1621</v>
      </c>
      <c r="J737" s="176">
        <v>46024</v>
      </c>
      <c r="K737" s="172" t="s">
        <v>94</v>
      </c>
      <c r="L737" s="172" t="s">
        <v>95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939</v>
      </c>
      <c r="B738" s="176">
        <v>46030</v>
      </c>
      <c r="C738" s="172" t="s">
        <v>105</v>
      </c>
      <c r="D738" s="172" t="s">
        <v>106</v>
      </c>
      <c r="E738" s="172" t="s">
        <v>53</v>
      </c>
      <c r="F738" s="172" t="s">
        <v>91</v>
      </c>
      <c r="G738" s="172" t="s">
        <v>85</v>
      </c>
      <c r="H738" s="177">
        <v>1</v>
      </c>
      <c r="I738" s="178">
        <v>1621</v>
      </c>
      <c r="J738" s="176">
        <v>46024</v>
      </c>
      <c r="K738" s="172" t="s">
        <v>94</v>
      </c>
      <c r="L738" s="172" t="s">
        <v>95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940</v>
      </c>
      <c r="B739" s="176">
        <v>46030</v>
      </c>
      <c r="C739" s="172" t="s">
        <v>93</v>
      </c>
      <c r="D739" s="172" t="s">
        <v>24</v>
      </c>
      <c r="E739" s="172" t="s">
        <v>54</v>
      </c>
      <c r="F739" s="172" t="s">
        <v>121</v>
      </c>
      <c r="G739" s="172" t="s">
        <v>85</v>
      </c>
      <c r="H739" s="177">
        <v>1</v>
      </c>
      <c r="I739" s="178">
        <v>1845</v>
      </c>
      <c r="J739" s="176">
        <v>46028</v>
      </c>
      <c r="K739" s="172" t="s">
        <v>94</v>
      </c>
      <c r="L739" s="172" t="s">
        <v>95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940</v>
      </c>
      <c r="B740" s="176">
        <v>46030</v>
      </c>
      <c r="C740" s="172" t="s">
        <v>101</v>
      </c>
      <c r="D740" s="172" t="s">
        <v>102</v>
      </c>
      <c r="E740" s="172" t="s">
        <v>54</v>
      </c>
      <c r="F740" s="172" t="s">
        <v>121</v>
      </c>
      <c r="G740" s="172" t="s">
        <v>85</v>
      </c>
      <c r="H740" s="177">
        <v>1</v>
      </c>
      <c r="I740" s="178">
        <v>1845</v>
      </c>
      <c r="J740" s="176">
        <v>46028</v>
      </c>
      <c r="K740" s="172" t="s">
        <v>94</v>
      </c>
      <c r="L740" s="172" t="s">
        <v>95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940</v>
      </c>
      <c r="B741" s="176">
        <v>46030</v>
      </c>
      <c r="C741" s="172" t="s">
        <v>101</v>
      </c>
      <c r="D741" s="172" t="s">
        <v>103</v>
      </c>
      <c r="E741" s="172" t="s">
        <v>54</v>
      </c>
      <c r="F741" s="172" t="s">
        <v>121</v>
      </c>
      <c r="G741" s="172" t="s">
        <v>85</v>
      </c>
      <c r="H741" s="177">
        <v>1</v>
      </c>
      <c r="I741" s="178">
        <v>1845</v>
      </c>
      <c r="J741" s="176">
        <v>46028</v>
      </c>
      <c r="K741" s="172" t="s">
        <v>94</v>
      </c>
      <c r="L741" s="172" t="s">
        <v>95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940</v>
      </c>
      <c r="B742" s="176">
        <v>46030</v>
      </c>
      <c r="C742" s="172" t="s">
        <v>101</v>
      </c>
      <c r="D742" s="172" t="s">
        <v>104</v>
      </c>
      <c r="E742" s="172" t="s">
        <v>54</v>
      </c>
      <c r="F742" s="172" t="s">
        <v>121</v>
      </c>
      <c r="G742" s="172" t="s">
        <v>85</v>
      </c>
      <c r="H742" s="177">
        <v>1</v>
      </c>
      <c r="I742" s="178">
        <v>1845</v>
      </c>
      <c r="J742" s="176">
        <v>46028</v>
      </c>
      <c r="K742" s="172" t="s">
        <v>94</v>
      </c>
      <c r="L742" s="172" t="s">
        <v>95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940</v>
      </c>
      <c r="B743" s="176">
        <v>46030</v>
      </c>
      <c r="C743" s="172" t="s">
        <v>105</v>
      </c>
      <c r="D743" s="172" t="s">
        <v>106</v>
      </c>
      <c r="E743" s="172" t="s">
        <v>54</v>
      </c>
      <c r="F743" s="172" t="s">
        <v>121</v>
      </c>
      <c r="G743" s="172" t="s">
        <v>85</v>
      </c>
      <c r="H743" s="177">
        <v>1</v>
      </c>
      <c r="I743" s="178">
        <v>1845</v>
      </c>
      <c r="J743" s="176">
        <v>46028</v>
      </c>
      <c r="K743" s="172" t="s">
        <v>94</v>
      </c>
      <c r="L743" s="172" t="s">
        <v>95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940</v>
      </c>
      <c r="B744" s="176">
        <v>46030</v>
      </c>
      <c r="C744" s="172" t="s">
        <v>82</v>
      </c>
      <c r="D744" s="172" t="s">
        <v>96</v>
      </c>
      <c r="E744" s="172" t="s">
        <v>54</v>
      </c>
      <c r="F744" s="172" t="s">
        <v>121</v>
      </c>
      <c r="G744" s="172" t="s">
        <v>85</v>
      </c>
      <c r="H744" s="177">
        <v>1</v>
      </c>
      <c r="I744" s="178">
        <v>1845</v>
      </c>
      <c r="J744" s="176">
        <v>46028</v>
      </c>
      <c r="K744" s="172" t="s">
        <v>94</v>
      </c>
      <c r="L744" s="172" t="s">
        <v>95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941</v>
      </c>
      <c r="B745" s="176">
        <v>46030</v>
      </c>
      <c r="C745" s="172" t="s">
        <v>93</v>
      </c>
      <c r="D745" s="172" t="s">
        <v>24</v>
      </c>
      <c r="E745" s="172" t="s">
        <v>42</v>
      </c>
      <c r="F745" s="172" t="s">
        <v>84</v>
      </c>
      <c r="G745" s="172" t="s">
        <v>85</v>
      </c>
      <c r="H745" s="177">
        <v>1</v>
      </c>
      <c r="I745" s="178">
        <v>1600</v>
      </c>
      <c r="J745" s="176">
        <v>46028</v>
      </c>
      <c r="K745" s="172" t="s">
        <v>94</v>
      </c>
      <c r="L745" s="172" t="s">
        <v>95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941</v>
      </c>
      <c r="B746" s="176">
        <v>46030</v>
      </c>
      <c r="C746" s="172" t="s">
        <v>101</v>
      </c>
      <c r="D746" s="172" t="s">
        <v>102</v>
      </c>
      <c r="E746" s="172" t="s">
        <v>42</v>
      </c>
      <c r="F746" s="172" t="s">
        <v>84</v>
      </c>
      <c r="G746" s="172" t="s">
        <v>85</v>
      </c>
      <c r="H746" s="177">
        <v>1</v>
      </c>
      <c r="I746" s="178">
        <v>1600</v>
      </c>
      <c r="J746" s="176">
        <v>46028</v>
      </c>
      <c r="K746" s="172" t="s">
        <v>94</v>
      </c>
      <c r="L746" s="172" t="s">
        <v>95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941</v>
      </c>
      <c r="B747" s="176">
        <v>46030</v>
      </c>
      <c r="C747" s="172" t="s">
        <v>101</v>
      </c>
      <c r="D747" s="172" t="s">
        <v>103</v>
      </c>
      <c r="E747" s="172" t="s">
        <v>42</v>
      </c>
      <c r="F747" s="172" t="s">
        <v>84</v>
      </c>
      <c r="G747" s="172" t="s">
        <v>85</v>
      </c>
      <c r="H747" s="177">
        <v>1</v>
      </c>
      <c r="I747" s="178">
        <v>1600</v>
      </c>
      <c r="J747" s="176">
        <v>46028</v>
      </c>
      <c r="K747" s="172" t="s">
        <v>94</v>
      </c>
      <c r="L747" s="172" t="s">
        <v>95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941</v>
      </c>
      <c r="B748" s="176">
        <v>46030</v>
      </c>
      <c r="C748" s="172" t="s">
        <v>101</v>
      </c>
      <c r="D748" s="172" t="s">
        <v>104</v>
      </c>
      <c r="E748" s="172" t="s">
        <v>42</v>
      </c>
      <c r="F748" s="172" t="s">
        <v>84</v>
      </c>
      <c r="G748" s="172" t="s">
        <v>85</v>
      </c>
      <c r="H748" s="177">
        <v>1</v>
      </c>
      <c r="I748" s="178">
        <v>1600</v>
      </c>
      <c r="J748" s="176">
        <v>46028</v>
      </c>
      <c r="K748" s="172" t="s">
        <v>94</v>
      </c>
      <c r="L748" s="172" t="s">
        <v>95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941</v>
      </c>
      <c r="B749" s="176">
        <v>46030</v>
      </c>
      <c r="C749" s="172" t="s">
        <v>105</v>
      </c>
      <c r="D749" s="172" t="s">
        <v>106</v>
      </c>
      <c r="E749" s="172" t="s">
        <v>42</v>
      </c>
      <c r="F749" s="172" t="s">
        <v>84</v>
      </c>
      <c r="G749" s="172" t="s">
        <v>85</v>
      </c>
      <c r="H749" s="177">
        <v>1</v>
      </c>
      <c r="I749" s="178">
        <v>1600</v>
      </c>
      <c r="J749" s="176">
        <v>46028</v>
      </c>
      <c r="K749" s="172" t="s">
        <v>94</v>
      </c>
      <c r="L749" s="172" t="s">
        <v>95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941</v>
      </c>
      <c r="B750" s="176">
        <v>46030</v>
      </c>
      <c r="C750" s="172" t="s">
        <v>82</v>
      </c>
      <c r="D750" s="172" t="s">
        <v>96</v>
      </c>
      <c r="E750" s="172" t="s">
        <v>42</v>
      </c>
      <c r="F750" s="172" t="s">
        <v>84</v>
      </c>
      <c r="G750" s="172" t="s">
        <v>85</v>
      </c>
      <c r="H750" s="177">
        <v>1</v>
      </c>
      <c r="I750" s="178">
        <v>1600</v>
      </c>
      <c r="J750" s="176">
        <v>46028</v>
      </c>
      <c r="K750" s="172" t="s">
        <v>94</v>
      </c>
      <c r="L750" s="172" t="s">
        <v>95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942</v>
      </c>
      <c r="B751" s="176">
        <v>46030</v>
      </c>
      <c r="C751" s="172" t="s">
        <v>82</v>
      </c>
      <c r="D751" s="172" t="s">
        <v>83</v>
      </c>
      <c r="E751" s="172" t="s">
        <v>42</v>
      </c>
      <c r="F751" s="172" t="s">
        <v>84</v>
      </c>
      <c r="G751" s="172" t="s">
        <v>85</v>
      </c>
      <c r="H751" s="177">
        <v>1</v>
      </c>
      <c r="I751" s="178">
        <v>0</v>
      </c>
      <c r="J751" s="176">
        <v>46030</v>
      </c>
      <c r="K751" s="172" t="s">
        <v>86</v>
      </c>
      <c r="L751" s="172" t="s">
        <v>86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943</v>
      </c>
      <c r="B752" s="176">
        <v>46030</v>
      </c>
      <c r="C752" s="172" t="s">
        <v>93</v>
      </c>
      <c r="D752" s="172" t="s">
        <v>24</v>
      </c>
      <c r="E752" s="172" t="s">
        <v>42</v>
      </c>
      <c r="F752" s="172" t="s">
        <v>84</v>
      </c>
      <c r="G752" s="172" t="s">
        <v>85</v>
      </c>
      <c r="H752" s="177">
        <v>1</v>
      </c>
      <c r="I752" s="178">
        <v>1600</v>
      </c>
      <c r="J752" s="176">
        <v>46026</v>
      </c>
      <c r="K752" s="172" t="s">
        <v>94</v>
      </c>
      <c r="L752" s="172" t="s">
        <v>95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943</v>
      </c>
      <c r="B753" s="176">
        <v>46030</v>
      </c>
      <c r="C753" s="172" t="s">
        <v>101</v>
      </c>
      <c r="D753" s="172" t="s">
        <v>102</v>
      </c>
      <c r="E753" s="172" t="s">
        <v>42</v>
      </c>
      <c r="F753" s="172" t="s">
        <v>84</v>
      </c>
      <c r="G753" s="172" t="s">
        <v>85</v>
      </c>
      <c r="H753" s="177">
        <v>1</v>
      </c>
      <c r="I753" s="178">
        <v>1600</v>
      </c>
      <c r="J753" s="176">
        <v>46026</v>
      </c>
      <c r="K753" s="172" t="s">
        <v>94</v>
      </c>
      <c r="L753" s="172" t="s">
        <v>95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943</v>
      </c>
      <c r="B754" s="176">
        <v>46030</v>
      </c>
      <c r="C754" s="172" t="s">
        <v>101</v>
      </c>
      <c r="D754" s="172" t="s">
        <v>103</v>
      </c>
      <c r="E754" s="172" t="s">
        <v>42</v>
      </c>
      <c r="F754" s="172" t="s">
        <v>84</v>
      </c>
      <c r="G754" s="172" t="s">
        <v>85</v>
      </c>
      <c r="H754" s="177">
        <v>1</v>
      </c>
      <c r="I754" s="178">
        <v>1600</v>
      </c>
      <c r="J754" s="176">
        <v>46026</v>
      </c>
      <c r="K754" s="172" t="s">
        <v>94</v>
      </c>
      <c r="L754" s="172" t="s">
        <v>95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943</v>
      </c>
      <c r="B755" s="176">
        <v>46030</v>
      </c>
      <c r="C755" s="172" t="s">
        <v>101</v>
      </c>
      <c r="D755" s="172" t="s">
        <v>104</v>
      </c>
      <c r="E755" s="172" t="s">
        <v>42</v>
      </c>
      <c r="F755" s="172" t="s">
        <v>84</v>
      </c>
      <c r="G755" s="172" t="s">
        <v>85</v>
      </c>
      <c r="H755" s="177">
        <v>1</v>
      </c>
      <c r="I755" s="178">
        <v>1600</v>
      </c>
      <c r="J755" s="176">
        <v>46026</v>
      </c>
      <c r="K755" s="172" t="s">
        <v>94</v>
      </c>
      <c r="L755" s="172" t="s">
        <v>95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943</v>
      </c>
      <c r="B756" s="176">
        <v>46030</v>
      </c>
      <c r="C756" s="172" t="s">
        <v>105</v>
      </c>
      <c r="D756" s="172" t="s">
        <v>106</v>
      </c>
      <c r="E756" s="172" t="s">
        <v>42</v>
      </c>
      <c r="F756" s="172" t="s">
        <v>84</v>
      </c>
      <c r="G756" s="172" t="s">
        <v>85</v>
      </c>
      <c r="H756" s="177">
        <v>1</v>
      </c>
      <c r="I756" s="178">
        <v>1600</v>
      </c>
      <c r="J756" s="176">
        <v>46026</v>
      </c>
      <c r="K756" s="172" t="s">
        <v>94</v>
      </c>
      <c r="L756" s="172" t="s">
        <v>95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943</v>
      </c>
      <c r="B757" s="176">
        <v>46030</v>
      </c>
      <c r="C757" s="172" t="s">
        <v>82</v>
      </c>
      <c r="D757" s="172" t="s">
        <v>96</v>
      </c>
      <c r="E757" s="172" t="s">
        <v>42</v>
      </c>
      <c r="F757" s="172" t="s">
        <v>84</v>
      </c>
      <c r="G757" s="172" t="s">
        <v>85</v>
      </c>
      <c r="H757" s="177">
        <v>1</v>
      </c>
      <c r="I757" s="178">
        <v>1600</v>
      </c>
      <c r="J757" s="176">
        <v>46026</v>
      </c>
      <c r="K757" s="172" t="s">
        <v>94</v>
      </c>
      <c r="L757" s="172" t="s">
        <v>95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944</v>
      </c>
      <c r="B758" s="176">
        <v>46030</v>
      </c>
      <c r="C758" s="172" t="s">
        <v>93</v>
      </c>
      <c r="D758" s="172" t="s">
        <v>24</v>
      </c>
      <c r="E758" s="172" t="s">
        <v>53</v>
      </c>
      <c r="F758" s="172" t="s">
        <v>91</v>
      </c>
      <c r="G758" s="172" t="s">
        <v>85</v>
      </c>
      <c r="H758" s="177">
        <v>1</v>
      </c>
      <c r="I758" s="178">
        <v>1621</v>
      </c>
      <c r="J758" s="176">
        <v>46027</v>
      </c>
      <c r="K758" s="172" t="s">
        <v>94</v>
      </c>
      <c r="L758" s="172" t="s">
        <v>95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944</v>
      </c>
      <c r="B759" s="176">
        <v>46030</v>
      </c>
      <c r="C759" s="172" t="s">
        <v>101</v>
      </c>
      <c r="D759" s="172" t="s">
        <v>102</v>
      </c>
      <c r="E759" s="172" t="s">
        <v>53</v>
      </c>
      <c r="F759" s="172" t="s">
        <v>91</v>
      </c>
      <c r="G759" s="172" t="s">
        <v>85</v>
      </c>
      <c r="H759" s="177">
        <v>1</v>
      </c>
      <c r="I759" s="178">
        <v>1621</v>
      </c>
      <c r="J759" s="176">
        <v>46027</v>
      </c>
      <c r="K759" s="172" t="s">
        <v>94</v>
      </c>
      <c r="L759" s="172" t="s">
        <v>95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944</v>
      </c>
      <c r="B760" s="176">
        <v>46030</v>
      </c>
      <c r="C760" s="172" t="s">
        <v>101</v>
      </c>
      <c r="D760" s="172" t="s">
        <v>103</v>
      </c>
      <c r="E760" s="172" t="s">
        <v>53</v>
      </c>
      <c r="F760" s="172" t="s">
        <v>91</v>
      </c>
      <c r="G760" s="172" t="s">
        <v>85</v>
      </c>
      <c r="H760" s="177">
        <v>1</v>
      </c>
      <c r="I760" s="178">
        <v>1621</v>
      </c>
      <c r="J760" s="176">
        <v>46027</v>
      </c>
      <c r="K760" s="172" t="s">
        <v>94</v>
      </c>
      <c r="L760" s="172" t="s">
        <v>95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944</v>
      </c>
      <c r="B761" s="176">
        <v>46030</v>
      </c>
      <c r="C761" s="172" t="s">
        <v>101</v>
      </c>
      <c r="D761" s="172" t="s">
        <v>104</v>
      </c>
      <c r="E761" s="172" t="s">
        <v>53</v>
      </c>
      <c r="F761" s="172" t="s">
        <v>91</v>
      </c>
      <c r="G761" s="172" t="s">
        <v>85</v>
      </c>
      <c r="H761" s="177">
        <v>1</v>
      </c>
      <c r="I761" s="178">
        <v>1621</v>
      </c>
      <c r="J761" s="176">
        <v>46027</v>
      </c>
      <c r="K761" s="172" t="s">
        <v>94</v>
      </c>
      <c r="L761" s="172" t="s">
        <v>95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944</v>
      </c>
      <c r="B762" s="176">
        <v>46030</v>
      </c>
      <c r="C762" s="172" t="s">
        <v>105</v>
      </c>
      <c r="D762" s="172" t="s">
        <v>106</v>
      </c>
      <c r="E762" s="172" t="s">
        <v>53</v>
      </c>
      <c r="F762" s="172" t="s">
        <v>91</v>
      </c>
      <c r="G762" s="172" t="s">
        <v>85</v>
      </c>
      <c r="H762" s="177">
        <v>1</v>
      </c>
      <c r="I762" s="178">
        <v>1621</v>
      </c>
      <c r="J762" s="176">
        <v>46027</v>
      </c>
      <c r="K762" s="172" t="s">
        <v>94</v>
      </c>
      <c r="L762" s="172" t="s">
        <v>95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944</v>
      </c>
      <c r="B763" s="176">
        <v>46030</v>
      </c>
      <c r="C763" s="172" t="s">
        <v>82</v>
      </c>
      <c r="D763" s="172" t="s">
        <v>96</v>
      </c>
      <c r="E763" s="172" t="s">
        <v>53</v>
      </c>
      <c r="F763" s="172" t="s">
        <v>91</v>
      </c>
      <c r="G763" s="172" t="s">
        <v>85</v>
      </c>
      <c r="H763" s="177">
        <v>1</v>
      </c>
      <c r="I763" s="178">
        <v>1621</v>
      </c>
      <c r="J763" s="176">
        <v>46027</v>
      </c>
      <c r="K763" s="172" t="s">
        <v>94</v>
      </c>
      <c r="L763" s="172" t="s">
        <v>95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945</v>
      </c>
      <c r="B764" s="176">
        <v>46030</v>
      </c>
      <c r="C764" s="172" t="s">
        <v>93</v>
      </c>
      <c r="D764" s="172" t="s">
        <v>24</v>
      </c>
      <c r="E764" s="172" t="s">
        <v>54</v>
      </c>
      <c r="F764" s="172" t="s">
        <v>121</v>
      </c>
      <c r="G764" s="172" t="s">
        <v>85</v>
      </c>
      <c r="H764" s="177">
        <v>1</v>
      </c>
      <c r="I764" s="178">
        <v>1845</v>
      </c>
      <c r="J764" s="176">
        <v>46025</v>
      </c>
      <c r="K764" s="172" t="s">
        <v>94</v>
      </c>
      <c r="L764" s="172" t="s">
        <v>95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945</v>
      </c>
      <c r="B765" s="176">
        <v>46030</v>
      </c>
      <c r="C765" s="172" t="s">
        <v>101</v>
      </c>
      <c r="D765" s="172" t="s">
        <v>102</v>
      </c>
      <c r="E765" s="172" t="s">
        <v>54</v>
      </c>
      <c r="F765" s="172" t="s">
        <v>121</v>
      </c>
      <c r="G765" s="172" t="s">
        <v>85</v>
      </c>
      <c r="H765" s="177">
        <v>1</v>
      </c>
      <c r="I765" s="178">
        <v>1845</v>
      </c>
      <c r="J765" s="176">
        <v>46025</v>
      </c>
      <c r="K765" s="172" t="s">
        <v>94</v>
      </c>
      <c r="L765" s="172" t="s">
        <v>95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945</v>
      </c>
      <c r="B766" s="176">
        <v>46030</v>
      </c>
      <c r="C766" s="172" t="s">
        <v>101</v>
      </c>
      <c r="D766" s="172" t="s">
        <v>103</v>
      </c>
      <c r="E766" s="172" t="s">
        <v>54</v>
      </c>
      <c r="F766" s="172" t="s">
        <v>121</v>
      </c>
      <c r="G766" s="172" t="s">
        <v>85</v>
      </c>
      <c r="H766" s="177">
        <v>1</v>
      </c>
      <c r="I766" s="178">
        <v>1845</v>
      </c>
      <c r="J766" s="176">
        <v>46025</v>
      </c>
      <c r="K766" s="172" t="s">
        <v>94</v>
      </c>
      <c r="L766" s="172" t="s">
        <v>95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945</v>
      </c>
      <c r="B767" s="176">
        <v>46030</v>
      </c>
      <c r="C767" s="172" t="s">
        <v>101</v>
      </c>
      <c r="D767" s="172" t="s">
        <v>104</v>
      </c>
      <c r="E767" s="172" t="s">
        <v>54</v>
      </c>
      <c r="F767" s="172" t="s">
        <v>121</v>
      </c>
      <c r="G767" s="172" t="s">
        <v>85</v>
      </c>
      <c r="H767" s="177">
        <v>1</v>
      </c>
      <c r="I767" s="178">
        <v>1845</v>
      </c>
      <c r="J767" s="176">
        <v>46025</v>
      </c>
      <c r="K767" s="172" t="s">
        <v>94</v>
      </c>
      <c r="L767" s="172" t="s">
        <v>95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945</v>
      </c>
      <c r="B768" s="176">
        <v>46030</v>
      </c>
      <c r="C768" s="172" t="s">
        <v>105</v>
      </c>
      <c r="D768" s="172" t="s">
        <v>106</v>
      </c>
      <c r="E768" s="172" t="s">
        <v>54</v>
      </c>
      <c r="F768" s="172" t="s">
        <v>121</v>
      </c>
      <c r="G768" s="172" t="s">
        <v>85</v>
      </c>
      <c r="H768" s="177">
        <v>1</v>
      </c>
      <c r="I768" s="178">
        <v>1845</v>
      </c>
      <c r="J768" s="176">
        <v>46025</v>
      </c>
      <c r="K768" s="172" t="s">
        <v>94</v>
      </c>
      <c r="L768" s="172" t="s">
        <v>95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945</v>
      </c>
      <c r="B769" s="176">
        <v>46030</v>
      </c>
      <c r="C769" s="172" t="s">
        <v>82</v>
      </c>
      <c r="D769" s="172" t="s">
        <v>96</v>
      </c>
      <c r="E769" s="172" t="s">
        <v>54</v>
      </c>
      <c r="F769" s="172" t="s">
        <v>121</v>
      </c>
      <c r="G769" s="172" t="s">
        <v>85</v>
      </c>
      <c r="H769" s="177">
        <v>1</v>
      </c>
      <c r="I769" s="178">
        <v>1845</v>
      </c>
      <c r="J769" s="176">
        <v>46025</v>
      </c>
      <c r="K769" s="172" t="s">
        <v>94</v>
      </c>
      <c r="L769" s="172" t="s">
        <v>95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946</v>
      </c>
      <c r="B770" s="176">
        <v>46030</v>
      </c>
      <c r="C770" s="172" t="s">
        <v>93</v>
      </c>
      <c r="D770" s="172" t="s">
        <v>24</v>
      </c>
      <c r="E770" s="172" t="s">
        <v>42</v>
      </c>
      <c r="F770" s="172" t="s">
        <v>84</v>
      </c>
      <c r="G770" s="172" t="s">
        <v>85</v>
      </c>
      <c r="H770" s="177">
        <v>1</v>
      </c>
      <c r="I770" s="178">
        <v>1600</v>
      </c>
      <c r="J770" s="176">
        <v>46028</v>
      </c>
      <c r="K770" s="172" t="s">
        <v>94</v>
      </c>
      <c r="L770" s="172" t="s">
        <v>95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946</v>
      </c>
      <c r="B771" s="176">
        <v>46030</v>
      </c>
      <c r="C771" s="172" t="s">
        <v>101</v>
      </c>
      <c r="D771" s="172" t="s">
        <v>102</v>
      </c>
      <c r="E771" s="172" t="s">
        <v>42</v>
      </c>
      <c r="F771" s="172" t="s">
        <v>84</v>
      </c>
      <c r="G771" s="172" t="s">
        <v>85</v>
      </c>
      <c r="H771" s="177">
        <v>1</v>
      </c>
      <c r="I771" s="178">
        <v>1600</v>
      </c>
      <c r="J771" s="176">
        <v>46028</v>
      </c>
      <c r="K771" s="172" t="s">
        <v>94</v>
      </c>
      <c r="L771" s="172" t="s">
        <v>95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946</v>
      </c>
      <c r="B772" s="176">
        <v>46030</v>
      </c>
      <c r="C772" s="172" t="s">
        <v>101</v>
      </c>
      <c r="D772" s="172" t="s">
        <v>103</v>
      </c>
      <c r="E772" s="172" t="s">
        <v>42</v>
      </c>
      <c r="F772" s="172" t="s">
        <v>84</v>
      </c>
      <c r="G772" s="172" t="s">
        <v>85</v>
      </c>
      <c r="H772" s="177">
        <v>1</v>
      </c>
      <c r="I772" s="178">
        <v>1600</v>
      </c>
      <c r="J772" s="176">
        <v>46028</v>
      </c>
      <c r="K772" s="172" t="s">
        <v>94</v>
      </c>
      <c r="L772" s="172" t="s">
        <v>95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946</v>
      </c>
      <c r="B773" s="176">
        <v>46030</v>
      </c>
      <c r="C773" s="172" t="s">
        <v>101</v>
      </c>
      <c r="D773" s="172" t="s">
        <v>104</v>
      </c>
      <c r="E773" s="172" t="s">
        <v>42</v>
      </c>
      <c r="F773" s="172" t="s">
        <v>84</v>
      </c>
      <c r="G773" s="172" t="s">
        <v>85</v>
      </c>
      <c r="H773" s="177">
        <v>1</v>
      </c>
      <c r="I773" s="178">
        <v>1600</v>
      </c>
      <c r="J773" s="176">
        <v>46028</v>
      </c>
      <c r="K773" s="172" t="s">
        <v>94</v>
      </c>
      <c r="L773" s="172" t="s">
        <v>95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946</v>
      </c>
      <c r="B774" s="176">
        <v>46030</v>
      </c>
      <c r="C774" s="172" t="s">
        <v>105</v>
      </c>
      <c r="D774" s="172" t="s">
        <v>106</v>
      </c>
      <c r="E774" s="172" t="s">
        <v>42</v>
      </c>
      <c r="F774" s="172" t="s">
        <v>84</v>
      </c>
      <c r="G774" s="172" t="s">
        <v>85</v>
      </c>
      <c r="H774" s="177">
        <v>1</v>
      </c>
      <c r="I774" s="178">
        <v>1600</v>
      </c>
      <c r="J774" s="176">
        <v>46028</v>
      </c>
      <c r="K774" s="172" t="s">
        <v>94</v>
      </c>
      <c r="L774" s="172" t="s">
        <v>95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946</v>
      </c>
      <c r="B775" s="176">
        <v>46030</v>
      </c>
      <c r="C775" s="172" t="s">
        <v>82</v>
      </c>
      <c r="D775" s="172" t="s">
        <v>96</v>
      </c>
      <c r="E775" s="172" t="s">
        <v>42</v>
      </c>
      <c r="F775" s="172" t="s">
        <v>84</v>
      </c>
      <c r="G775" s="172" t="s">
        <v>85</v>
      </c>
      <c r="H775" s="177">
        <v>1</v>
      </c>
      <c r="I775" s="178">
        <v>1600</v>
      </c>
      <c r="J775" s="176">
        <v>46028</v>
      </c>
      <c r="K775" s="172" t="s">
        <v>94</v>
      </c>
      <c r="L775" s="172" t="s">
        <v>95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947</v>
      </c>
      <c r="B776" s="176">
        <v>46030</v>
      </c>
      <c r="C776" s="172" t="s">
        <v>93</v>
      </c>
      <c r="D776" s="172" t="s">
        <v>24</v>
      </c>
      <c r="E776" s="172" t="s">
        <v>42</v>
      </c>
      <c r="F776" s="172" t="s">
        <v>84</v>
      </c>
      <c r="G776" s="172" t="s">
        <v>85</v>
      </c>
      <c r="H776" s="177">
        <v>1</v>
      </c>
      <c r="I776" s="178">
        <v>1600</v>
      </c>
      <c r="J776" s="176">
        <v>46029</v>
      </c>
      <c r="K776" s="172" t="s">
        <v>94</v>
      </c>
      <c r="L776" s="172" t="s">
        <v>95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947</v>
      </c>
      <c r="B777" s="176">
        <v>46030</v>
      </c>
      <c r="C777" s="172" t="s">
        <v>101</v>
      </c>
      <c r="D777" s="172" t="s">
        <v>102</v>
      </c>
      <c r="E777" s="172" t="s">
        <v>42</v>
      </c>
      <c r="F777" s="172" t="s">
        <v>84</v>
      </c>
      <c r="G777" s="172" t="s">
        <v>85</v>
      </c>
      <c r="H777" s="177">
        <v>1</v>
      </c>
      <c r="I777" s="178">
        <v>1600</v>
      </c>
      <c r="J777" s="176">
        <v>46029</v>
      </c>
      <c r="K777" s="172" t="s">
        <v>94</v>
      </c>
      <c r="L777" s="172" t="s">
        <v>95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947</v>
      </c>
      <c r="B778" s="176">
        <v>46030</v>
      </c>
      <c r="C778" s="172" t="s">
        <v>101</v>
      </c>
      <c r="D778" s="172" t="s">
        <v>103</v>
      </c>
      <c r="E778" s="172" t="s">
        <v>42</v>
      </c>
      <c r="F778" s="172" t="s">
        <v>84</v>
      </c>
      <c r="G778" s="172" t="s">
        <v>85</v>
      </c>
      <c r="H778" s="177">
        <v>1</v>
      </c>
      <c r="I778" s="178">
        <v>1600</v>
      </c>
      <c r="J778" s="176">
        <v>46029</v>
      </c>
      <c r="K778" s="172" t="s">
        <v>94</v>
      </c>
      <c r="L778" s="172" t="s">
        <v>95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947</v>
      </c>
      <c r="B779" s="176">
        <v>46030</v>
      </c>
      <c r="C779" s="172" t="s">
        <v>101</v>
      </c>
      <c r="D779" s="172" t="s">
        <v>104</v>
      </c>
      <c r="E779" s="172" t="s">
        <v>42</v>
      </c>
      <c r="F779" s="172" t="s">
        <v>84</v>
      </c>
      <c r="G779" s="172" t="s">
        <v>85</v>
      </c>
      <c r="H779" s="177">
        <v>1</v>
      </c>
      <c r="I779" s="178">
        <v>1600</v>
      </c>
      <c r="J779" s="176">
        <v>46029</v>
      </c>
      <c r="K779" s="172" t="s">
        <v>94</v>
      </c>
      <c r="L779" s="172" t="s">
        <v>95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947</v>
      </c>
      <c r="B780" s="176">
        <v>46030</v>
      </c>
      <c r="C780" s="172" t="s">
        <v>105</v>
      </c>
      <c r="D780" s="172" t="s">
        <v>106</v>
      </c>
      <c r="E780" s="172" t="s">
        <v>42</v>
      </c>
      <c r="F780" s="172" t="s">
        <v>84</v>
      </c>
      <c r="G780" s="172" t="s">
        <v>85</v>
      </c>
      <c r="H780" s="177">
        <v>1</v>
      </c>
      <c r="I780" s="178">
        <v>1600</v>
      </c>
      <c r="J780" s="176">
        <v>46029</v>
      </c>
      <c r="K780" s="172" t="s">
        <v>94</v>
      </c>
      <c r="L780" s="172" t="s">
        <v>95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947</v>
      </c>
      <c r="B781" s="176">
        <v>46030</v>
      </c>
      <c r="C781" s="172" t="s">
        <v>82</v>
      </c>
      <c r="D781" s="172" t="s">
        <v>96</v>
      </c>
      <c r="E781" s="172" t="s">
        <v>42</v>
      </c>
      <c r="F781" s="172" t="s">
        <v>84</v>
      </c>
      <c r="G781" s="172" t="s">
        <v>85</v>
      </c>
      <c r="H781" s="177">
        <v>1</v>
      </c>
      <c r="I781" s="178">
        <v>1600</v>
      </c>
      <c r="J781" s="176">
        <v>46029</v>
      </c>
      <c r="K781" s="172" t="s">
        <v>94</v>
      </c>
      <c r="L781" s="172" t="s">
        <v>95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948</v>
      </c>
      <c r="B782" s="176">
        <v>46030</v>
      </c>
      <c r="C782" s="172" t="s">
        <v>93</v>
      </c>
      <c r="D782" s="172" t="s">
        <v>24</v>
      </c>
      <c r="E782" s="172" t="s">
        <v>40</v>
      </c>
      <c r="F782" s="172" t="s">
        <v>118</v>
      </c>
      <c r="G782" s="172" t="s">
        <v>85</v>
      </c>
      <c r="H782" s="177">
        <v>1</v>
      </c>
      <c r="I782" s="178">
        <v>1650</v>
      </c>
      <c r="J782" s="176">
        <v>46026</v>
      </c>
      <c r="K782" s="172" t="s">
        <v>94</v>
      </c>
      <c r="L782" s="172" t="s">
        <v>95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948</v>
      </c>
      <c r="B783" s="176">
        <v>46030</v>
      </c>
      <c r="C783" s="172" t="s">
        <v>101</v>
      </c>
      <c r="D783" s="172" t="s">
        <v>102</v>
      </c>
      <c r="E783" s="172" t="s">
        <v>40</v>
      </c>
      <c r="F783" s="172" t="s">
        <v>118</v>
      </c>
      <c r="G783" s="172" t="s">
        <v>85</v>
      </c>
      <c r="H783" s="177">
        <v>1</v>
      </c>
      <c r="I783" s="178">
        <v>1650</v>
      </c>
      <c r="J783" s="176">
        <v>46026</v>
      </c>
      <c r="K783" s="172" t="s">
        <v>94</v>
      </c>
      <c r="L783" s="172" t="s">
        <v>95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948</v>
      </c>
      <c r="B784" s="176">
        <v>46030</v>
      </c>
      <c r="C784" s="172" t="s">
        <v>101</v>
      </c>
      <c r="D784" s="172" t="s">
        <v>103</v>
      </c>
      <c r="E784" s="172" t="s">
        <v>40</v>
      </c>
      <c r="F784" s="172" t="s">
        <v>118</v>
      </c>
      <c r="G784" s="172" t="s">
        <v>85</v>
      </c>
      <c r="H784" s="177">
        <v>1</v>
      </c>
      <c r="I784" s="178">
        <v>1650</v>
      </c>
      <c r="J784" s="176">
        <v>46026</v>
      </c>
      <c r="K784" s="172" t="s">
        <v>94</v>
      </c>
      <c r="L784" s="172" t="s">
        <v>95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948</v>
      </c>
      <c r="B785" s="176">
        <v>46030</v>
      </c>
      <c r="C785" s="172" t="s">
        <v>101</v>
      </c>
      <c r="D785" s="172" t="s">
        <v>104</v>
      </c>
      <c r="E785" s="172" t="s">
        <v>40</v>
      </c>
      <c r="F785" s="172" t="s">
        <v>118</v>
      </c>
      <c r="G785" s="172" t="s">
        <v>85</v>
      </c>
      <c r="H785" s="177">
        <v>1</v>
      </c>
      <c r="I785" s="178">
        <v>1650</v>
      </c>
      <c r="J785" s="176">
        <v>46026</v>
      </c>
      <c r="K785" s="172" t="s">
        <v>94</v>
      </c>
      <c r="L785" s="172" t="s">
        <v>95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948</v>
      </c>
      <c r="B786" s="176">
        <v>46030</v>
      </c>
      <c r="C786" s="172" t="s">
        <v>105</v>
      </c>
      <c r="D786" s="172" t="s">
        <v>106</v>
      </c>
      <c r="E786" s="172" t="s">
        <v>40</v>
      </c>
      <c r="F786" s="172" t="s">
        <v>118</v>
      </c>
      <c r="G786" s="172" t="s">
        <v>85</v>
      </c>
      <c r="H786" s="177">
        <v>1</v>
      </c>
      <c r="I786" s="178">
        <v>1650</v>
      </c>
      <c r="J786" s="176">
        <v>46026</v>
      </c>
      <c r="K786" s="172" t="s">
        <v>94</v>
      </c>
      <c r="L786" s="172" t="s">
        <v>95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948</v>
      </c>
      <c r="B787" s="176">
        <v>46030</v>
      </c>
      <c r="C787" s="172" t="s">
        <v>82</v>
      </c>
      <c r="D787" s="172" t="s">
        <v>96</v>
      </c>
      <c r="E787" s="172" t="s">
        <v>40</v>
      </c>
      <c r="F787" s="172" t="s">
        <v>118</v>
      </c>
      <c r="G787" s="172" t="s">
        <v>85</v>
      </c>
      <c r="H787" s="177">
        <v>1</v>
      </c>
      <c r="I787" s="178">
        <v>1650</v>
      </c>
      <c r="J787" s="176">
        <v>46026</v>
      </c>
      <c r="K787" s="172" t="s">
        <v>94</v>
      </c>
      <c r="L787" s="172" t="s">
        <v>95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484</v>
      </c>
      <c r="B788" s="176">
        <v>46030</v>
      </c>
      <c r="C788" s="172" t="s">
        <v>93</v>
      </c>
      <c r="D788" s="172" t="s">
        <v>24</v>
      </c>
      <c r="E788" s="172" t="s">
        <v>42</v>
      </c>
      <c r="F788" s="172" t="s">
        <v>84</v>
      </c>
      <c r="G788" s="172" t="s">
        <v>85</v>
      </c>
      <c r="H788" s="177">
        <v>1</v>
      </c>
      <c r="I788" s="178">
        <v>1600</v>
      </c>
      <c r="J788" s="176">
        <v>46027</v>
      </c>
      <c r="K788" s="172" t="s">
        <v>94</v>
      </c>
      <c r="L788" s="172" t="s">
        <v>95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484</v>
      </c>
      <c r="B789" s="176">
        <v>46030</v>
      </c>
      <c r="C789" s="172" t="s">
        <v>101</v>
      </c>
      <c r="D789" s="172" t="s">
        <v>102</v>
      </c>
      <c r="E789" s="172" t="s">
        <v>42</v>
      </c>
      <c r="F789" s="172" t="s">
        <v>84</v>
      </c>
      <c r="G789" s="172" t="s">
        <v>85</v>
      </c>
      <c r="H789" s="177">
        <v>1</v>
      </c>
      <c r="I789" s="178">
        <v>1600</v>
      </c>
      <c r="J789" s="176">
        <v>46027</v>
      </c>
      <c r="K789" s="172" t="s">
        <v>94</v>
      </c>
      <c r="L789" s="172" t="s">
        <v>95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484</v>
      </c>
      <c r="B790" s="176">
        <v>46030</v>
      </c>
      <c r="C790" s="172" t="s">
        <v>101</v>
      </c>
      <c r="D790" s="172" t="s">
        <v>103</v>
      </c>
      <c r="E790" s="172" t="s">
        <v>42</v>
      </c>
      <c r="F790" s="172" t="s">
        <v>84</v>
      </c>
      <c r="G790" s="172" t="s">
        <v>85</v>
      </c>
      <c r="H790" s="177">
        <v>1</v>
      </c>
      <c r="I790" s="178">
        <v>1600</v>
      </c>
      <c r="J790" s="176">
        <v>46027</v>
      </c>
      <c r="K790" s="172" t="s">
        <v>94</v>
      </c>
      <c r="L790" s="172" t="s">
        <v>95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484</v>
      </c>
      <c r="B791" s="176">
        <v>46030</v>
      </c>
      <c r="C791" s="172" t="s">
        <v>101</v>
      </c>
      <c r="D791" s="172" t="s">
        <v>104</v>
      </c>
      <c r="E791" s="172" t="s">
        <v>42</v>
      </c>
      <c r="F791" s="172" t="s">
        <v>84</v>
      </c>
      <c r="G791" s="172" t="s">
        <v>85</v>
      </c>
      <c r="H791" s="177">
        <v>1</v>
      </c>
      <c r="I791" s="178">
        <v>1600</v>
      </c>
      <c r="J791" s="176">
        <v>46027</v>
      </c>
      <c r="K791" s="172" t="s">
        <v>94</v>
      </c>
      <c r="L791" s="172" t="s">
        <v>95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484</v>
      </c>
      <c r="B792" s="176">
        <v>46030</v>
      </c>
      <c r="C792" s="172" t="s">
        <v>105</v>
      </c>
      <c r="D792" s="172" t="s">
        <v>106</v>
      </c>
      <c r="E792" s="172" t="s">
        <v>42</v>
      </c>
      <c r="F792" s="172" t="s">
        <v>84</v>
      </c>
      <c r="G792" s="172" t="s">
        <v>85</v>
      </c>
      <c r="H792" s="177">
        <v>1</v>
      </c>
      <c r="I792" s="178">
        <v>1600</v>
      </c>
      <c r="J792" s="176">
        <v>46027</v>
      </c>
      <c r="K792" s="172" t="s">
        <v>94</v>
      </c>
      <c r="L792" s="172" t="s">
        <v>95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484</v>
      </c>
      <c r="B793" s="176">
        <v>46030</v>
      </c>
      <c r="C793" s="172" t="s">
        <v>82</v>
      </c>
      <c r="D793" s="172" t="s">
        <v>96</v>
      </c>
      <c r="E793" s="172" t="s">
        <v>42</v>
      </c>
      <c r="F793" s="172" t="s">
        <v>84</v>
      </c>
      <c r="G793" s="172" t="s">
        <v>85</v>
      </c>
      <c r="H793" s="177">
        <v>1</v>
      </c>
      <c r="I793" s="178">
        <v>1600</v>
      </c>
      <c r="J793" s="176">
        <v>46027</v>
      </c>
      <c r="K793" s="172" t="s">
        <v>94</v>
      </c>
      <c r="L793" s="172" t="s">
        <v>95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949</v>
      </c>
      <c r="B794" s="176">
        <v>46030</v>
      </c>
      <c r="C794" s="172" t="s">
        <v>82</v>
      </c>
      <c r="D794" s="172" t="s">
        <v>83</v>
      </c>
      <c r="E794" s="172" t="s">
        <v>42</v>
      </c>
      <c r="F794" s="172" t="s">
        <v>84</v>
      </c>
      <c r="G794" s="172" t="s">
        <v>85</v>
      </c>
      <c r="H794" s="177">
        <v>1</v>
      </c>
      <c r="I794" s="178">
        <v>0</v>
      </c>
      <c r="J794" s="176">
        <v>46030</v>
      </c>
      <c r="K794" s="172" t="s">
        <v>86</v>
      </c>
      <c r="L794" s="172" t="s">
        <v>86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947</v>
      </c>
      <c r="B795" s="176">
        <v>46030</v>
      </c>
      <c r="C795" s="172" t="s">
        <v>82</v>
      </c>
      <c r="D795" s="172" t="s">
        <v>83</v>
      </c>
      <c r="E795" s="172" t="s">
        <v>42</v>
      </c>
      <c r="F795" s="172" t="s">
        <v>84</v>
      </c>
      <c r="G795" s="172" t="s">
        <v>85</v>
      </c>
      <c r="H795" s="177">
        <v>1</v>
      </c>
      <c r="I795" s="178">
        <v>0</v>
      </c>
      <c r="J795" s="176">
        <v>46029</v>
      </c>
      <c r="K795" s="172" t="s">
        <v>86</v>
      </c>
      <c r="L795" s="172" t="s">
        <v>86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950</v>
      </c>
      <c r="B796" s="176">
        <v>46030</v>
      </c>
      <c r="C796" s="172" t="s">
        <v>93</v>
      </c>
      <c r="D796" s="172" t="s">
        <v>24</v>
      </c>
      <c r="E796" s="172" t="s">
        <v>53</v>
      </c>
      <c r="F796" s="172" t="s">
        <v>91</v>
      </c>
      <c r="G796" s="172" t="s">
        <v>85</v>
      </c>
      <c r="H796" s="177">
        <v>1</v>
      </c>
      <c r="I796" s="178">
        <v>1621</v>
      </c>
      <c r="J796" s="176">
        <v>46026</v>
      </c>
      <c r="K796" s="172" t="s">
        <v>94</v>
      </c>
      <c r="L796" s="172" t="s">
        <v>95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950</v>
      </c>
      <c r="B797" s="176">
        <v>46030</v>
      </c>
      <c r="C797" s="172" t="s">
        <v>101</v>
      </c>
      <c r="D797" s="172" t="s">
        <v>102</v>
      </c>
      <c r="E797" s="172" t="s">
        <v>53</v>
      </c>
      <c r="F797" s="172" t="s">
        <v>91</v>
      </c>
      <c r="G797" s="172" t="s">
        <v>85</v>
      </c>
      <c r="H797" s="177">
        <v>1</v>
      </c>
      <c r="I797" s="178">
        <v>1621</v>
      </c>
      <c r="J797" s="176">
        <v>46026</v>
      </c>
      <c r="K797" s="172" t="s">
        <v>94</v>
      </c>
      <c r="L797" s="172" t="s">
        <v>95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950</v>
      </c>
      <c r="B798" s="176">
        <v>46030</v>
      </c>
      <c r="C798" s="172" t="s">
        <v>101</v>
      </c>
      <c r="D798" s="172" t="s">
        <v>103</v>
      </c>
      <c r="E798" s="172" t="s">
        <v>53</v>
      </c>
      <c r="F798" s="172" t="s">
        <v>91</v>
      </c>
      <c r="G798" s="172" t="s">
        <v>85</v>
      </c>
      <c r="H798" s="177">
        <v>1</v>
      </c>
      <c r="I798" s="178">
        <v>1621</v>
      </c>
      <c r="J798" s="176">
        <v>46026</v>
      </c>
      <c r="K798" s="172" t="s">
        <v>94</v>
      </c>
      <c r="L798" s="172" t="s">
        <v>95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950</v>
      </c>
      <c r="B799" s="176">
        <v>46030</v>
      </c>
      <c r="C799" s="172" t="s">
        <v>101</v>
      </c>
      <c r="D799" s="172" t="s">
        <v>104</v>
      </c>
      <c r="E799" s="172" t="s">
        <v>53</v>
      </c>
      <c r="F799" s="172" t="s">
        <v>91</v>
      </c>
      <c r="G799" s="172" t="s">
        <v>85</v>
      </c>
      <c r="H799" s="177">
        <v>1</v>
      </c>
      <c r="I799" s="178">
        <v>1621</v>
      </c>
      <c r="J799" s="176">
        <v>46026</v>
      </c>
      <c r="K799" s="172" t="s">
        <v>94</v>
      </c>
      <c r="L799" s="172" t="s">
        <v>95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950</v>
      </c>
      <c r="B800" s="176">
        <v>46030</v>
      </c>
      <c r="C800" s="172" t="s">
        <v>105</v>
      </c>
      <c r="D800" s="172" t="s">
        <v>106</v>
      </c>
      <c r="E800" s="172" t="s">
        <v>53</v>
      </c>
      <c r="F800" s="172" t="s">
        <v>91</v>
      </c>
      <c r="G800" s="172" t="s">
        <v>85</v>
      </c>
      <c r="H800" s="177">
        <v>1</v>
      </c>
      <c r="I800" s="178">
        <v>1621</v>
      </c>
      <c r="J800" s="176">
        <v>46026</v>
      </c>
      <c r="K800" s="172" t="s">
        <v>94</v>
      </c>
      <c r="L800" s="172" t="s">
        <v>95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950</v>
      </c>
      <c r="B801" s="176">
        <v>46030</v>
      </c>
      <c r="C801" s="172" t="s">
        <v>82</v>
      </c>
      <c r="D801" s="172" t="s">
        <v>96</v>
      </c>
      <c r="E801" s="172" t="s">
        <v>53</v>
      </c>
      <c r="F801" s="172" t="s">
        <v>91</v>
      </c>
      <c r="G801" s="172" t="s">
        <v>85</v>
      </c>
      <c r="H801" s="177">
        <v>1</v>
      </c>
      <c r="I801" s="178">
        <v>1621</v>
      </c>
      <c r="J801" s="176">
        <v>46026</v>
      </c>
      <c r="K801" s="172" t="s">
        <v>94</v>
      </c>
      <c r="L801" s="172" t="s">
        <v>95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951</v>
      </c>
      <c r="B802" s="176">
        <v>46030</v>
      </c>
      <c r="C802" s="172" t="s">
        <v>93</v>
      </c>
      <c r="D802" s="172" t="s">
        <v>24</v>
      </c>
      <c r="E802" s="172" t="s">
        <v>54</v>
      </c>
      <c r="F802" s="172" t="s">
        <v>121</v>
      </c>
      <c r="G802" s="172" t="s">
        <v>85</v>
      </c>
      <c r="H802" s="177">
        <v>1</v>
      </c>
      <c r="I802" s="178">
        <v>0</v>
      </c>
      <c r="J802" s="176">
        <v>46026</v>
      </c>
      <c r="K802" s="172" t="s">
        <v>94</v>
      </c>
      <c r="L802" s="172" t="s">
        <v>95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951</v>
      </c>
      <c r="B803" s="176">
        <v>46030</v>
      </c>
      <c r="C803" s="172" t="s">
        <v>82</v>
      </c>
      <c r="D803" s="172" t="s">
        <v>96</v>
      </c>
      <c r="E803" s="172" t="s">
        <v>54</v>
      </c>
      <c r="F803" s="172" t="s">
        <v>121</v>
      </c>
      <c r="G803" s="172" t="s">
        <v>85</v>
      </c>
      <c r="H803" s="177">
        <v>1</v>
      </c>
      <c r="I803" s="178">
        <v>0</v>
      </c>
      <c r="J803" s="176">
        <v>46026</v>
      </c>
      <c r="K803" s="172" t="s">
        <v>94</v>
      </c>
      <c r="L803" s="172" t="s">
        <v>95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481</v>
      </c>
      <c r="B804" s="176">
        <v>46030</v>
      </c>
      <c r="C804" s="172" t="s">
        <v>93</v>
      </c>
      <c r="D804" s="172" t="s">
        <v>24</v>
      </c>
      <c r="E804" s="172" t="s">
        <v>42</v>
      </c>
      <c r="F804" s="172" t="s">
        <v>84</v>
      </c>
      <c r="G804" s="172" t="s">
        <v>85</v>
      </c>
      <c r="H804" s="177">
        <v>1</v>
      </c>
      <c r="I804" s="178">
        <v>1600</v>
      </c>
      <c r="J804" s="176">
        <v>46028</v>
      </c>
      <c r="K804" s="172" t="s">
        <v>94</v>
      </c>
      <c r="L804" s="172" t="s">
        <v>95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481</v>
      </c>
      <c r="B805" s="176">
        <v>46030</v>
      </c>
      <c r="C805" s="172" t="s">
        <v>101</v>
      </c>
      <c r="D805" s="172" t="s">
        <v>102</v>
      </c>
      <c r="E805" s="172" t="s">
        <v>42</v>
      </c>
      <c r="F805" s="172" t="s">
        <v>84</v>
      </c>
      <c r="G805" s="172" t="s">
        <v>85</v>
      </c>
      <c r="H805" s="177">
        <v>1</v>
      </c>
      <c r="I805" s="178">
        <v>1600</v>
      </c>
      <c r="J805" s="176">
        <v>46028</v>
      </c>
      <c r="K805" s="172" t="s">
        <v>94</v>
      </c>
      <c r="L805" s="172" t="s">
        <v>95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481</v>
      </c>
      <c r="B806" s="176">
        <v>46030</v>
      </c>
      <c r="C806" s="172" t="s">
        <v>101</v>
      </c>
      <c r="D806" s="172" t="s">
        <v>103</v>
      </c>
      <c r="E806" s="172" t="s">
        <v>42</v>
      </c>
      <c r="F806" s="172" t="s">
        <v>84</v>
      </c>
      <c r="G806" s="172" t="s">
        <v>85</v>
      </c>
      <c r="H806" s="177">
        <v>1</v>
      </c>
      <c r="I806" s="178">
        <v>1600</v>
      </c>
      <c r="J806" s="176">
        <v>46028</v>
      </c>
      <c r="K806" s="172" t="s">
        <v>94</v>
      </c>
      <c r="L806" s="172" t="s">
        <v>95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481</v>
      </c>
      <c r="B807" s="176">
        <v>46030</v>
      </c>
      <c r="C807" s="172" t="s">
        <v>101</v>
      </c>
      <c r="D807" s="172" t="s">
        <v>104</v>
      </c>
      <c r="E807" s="172" t="s">
        <v>42</v>
      </c>
      <c r="F807" s="172" t="s">
        <v>84</v>
      </c>
      <c r="G807" s="172" t="s">
        <v>85</v>
      </c>
      <c r="H807" s="177">
        <v>1</v>
      </c>
      <c r="I807" s="178">
        <v>1600</v>
      </c>
      <c r="J807" s="176">
        <v>46028</v>
      </c>
      <c r="K807" s="172" t="s">
        <v>94</v>
      </c>
      <c r="L807" s="172" t="s">
        <v>95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481</v>
      </c>
      <c r="B808" s="176">
        <v>46030</v>
      </c>
      <c r="C808" s="172" t="s">
        <v>105</v>
      </c>
      <c r="D808" s="172" t="s">
        <v>106</v>
      </c>
      <c r="E808" s="172" t="s">
        <v>42</v>
      </c>
      <c r="F808" s="172" t="s">
        <v>84</v>
      </c>
      <c r="G808" s="172" t="s">
        <v>85</v>
      </c>
      <c r="H808" s="177">
        <v>1</v>
      </c>
      <c r="I808" s="178">
        <v>1600</v>
      </c>
      <c r="J808" s="176">
        <v>46028</v>
      </c>
      <c r="K808" s="172" t="s">
        <v>94</v>
      </c>
      <c r="L808" s="172" t="s">
        <v>95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481</v>
      </c>
      <c r="B809" s="176">
        <v>46030</v>
      </c>
      <c r="C809" s="172" t="s">
        <v>82</v>
      </c>
      <c r="D809" s="172" t="s">
        <v>96</v>
      </c>
      <c r="E809" s="172" t="s">
        <v>42</v>
      </c>
      <c r="F809" s="172" t="s">
        <v>84</v>
      </c>
      <c r="G809" s="172" t="s">
        <v>85</v>
      </c>
      <c r="H809" s="177">
        <v>1</v>
      </c>
      <c r="I809" s="178">
        <v>1600</v>
      </c>
      <c r="J809" s="176">
        <v>46028</v>
      </c>
      <c r="K809" s="172" t="s">
        <v>94</v>
      </c>
      <c r="L809" s="172" t="s">
        <v>95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951</v>
      </c>
      <c r="B810" s="176">
        <v>46030</v>
      </c>
      <c r="C810" s="172" t="s">
        <v>93</v>
      </c>
      <c r="D810" s="172" t="s">
        <v>97</v>
      </c>
      <c r="E810" s="172" t="s">
        <v>54</v>
      </c>
      <c r="F810" s="172" t="s">
        <v>121</v>
      </c>
      <c r="G810" s="172" t="s">
        <v>85</v>
      </c>
      <c r="H810" s="177">
        <v>1</v>
      </c>
      <c r="I810" s="178">
        <v>0</v>
      </c>
      <c r="J810" s="176">
        <v>46026</v>
      </c>
      <c r="K810" s="172" t="s">
        <v>94</v>
      </c>
      <c r="L810" s="172" t="s">
        <v>95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951</v>
      </c>
      <c r="B811" s="176">
        <v>46030</v>
      </c>
      <c r="C811" s="172" t="s">
        <v>93</v>
      </c>
      <c r="D811" s="172" t="s">
        <v>98</v>
      </c>
      <c r="E811" s="172" t="s">
        <v>54</v>
      </c>
      <c r="F811" s="172" t="s">
        <v>121</v>
      </c>
      <c r="G811" s="172" t="s">
        <v>85</v>
      </c>
      <c r="H811" s="177">
        <v>1</v>
      </c>
      <c r="I811" s="178">
        <v>0</v>
      </c>
      <c r="J811" s="176">
        <v>46026</v>
      </c>
      <c r="K811" s="172" t="s">
        <v>94</v>
      </c>
      <c r="L811" s="172" t="s">
        <v>95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951</v>
      </c>
      <c r="B812" s="176">
        <v>46030</v>
      </c>
      <c r="C812" s="172" t="s">
        <v>82</v>
      </c>
      <c r="D812" s="172" t="s">
        <v>99</v>
      </c>
      <c r="E812" s="172" t="s">
        <v>54</v>
      </c>
      <c r="F812" s="172" t="s">
        <v>121</v>
      </c>
      <c r="G812" s="172" t="s">
        <v>85</v>
      </c>
      <c r="H812" s="177">
        <v>1</v>
      </c>
      <c r="I812" s="178">
        <v>0</v>
      </c>
      <c r="J812" s="176">
        <v>46026</v>
      </c>
      <c r="K812" s="172" t="s">
        <v>94</v>
      </c>
      <c r="L812" s="172" t="s">
        <v>95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950</v>
      </c>
      <c r="B813" s="176">
        <v>46030</v>
      </c>
      <c r="C813" s="172" t="s">
        <v>82</v>
      </c>
      <c r="D813" s="172" t="s">
        <v>83</v>
      </c>
      <c r="E813" s="172" t="s">
        <v>53</v>
      </c>
      <c r="F813" s="172" t="s">
        <v>91</v>
      </c>
      <c r="G813" s="172" t="s">
        <v>85</v>
      </c>
      <c r="H813" s="177">
        <v>1</v>
      </c>
      <c r="I813" s="178">
        <v>0</v>
      </c>
      <c r="J813" s="176">
        <v>46026</v>
      </c>
      <c r="K813" s="172" t="s">
        <v>86</v>
      </c>
      <c r="L813" s="172" t="s">
        <v>86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952</v>
      </c>
      <c r="B814" s="176">
        <v>46030</v>
      </c>
      <c r="C814" s="172" t="s">
        <v>93</v>
      </c>
      <c r="D814" s="172" t="s">
        <v>24</v>
      </c>
      <c r="E814" s="172" t="s">
        <v>54</v>
      </c>
      <c r="F814" s="172" t="s">
        <v>121</v>
      </c>
      <c r="G814" s="172" t="s">
        <v>85</v>
      </c>
      <c r="H814" s="177">
        <v>1</v>
      </c>
      <c r="I814" s="178">
        <v>0</v>
      </c>
      <c r="J814" s="176">
        <v>46020</v>
      </c>
      <c r="K814" s="172" t="s">
        <v>94</v>
      </c>
      <c r="L814" s="172" t="s">
        <v>95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952</v>
      </c>
      <c r="B815" s="176">
        <v>46030</v>
      </c>
      <c r="C815" s="172" t="s">
        <v>82</v>
      </c>
      <c r="D815" s="172" t="s">
        <v>96</v>
      </c>
      <c r="E815" s="172" t="s">
        <v>54</v>
      </c>
      <c r="F815" s="172" t="s">
        <v>121</v>
      </c>
      <c r="G815" s="172" t="s">
        <v>85</v>
      </c>
      <c r="H815" s="177">
        <v>1</v>
      </c>
      <c r="I815" s="178">
        <v>0</v>
      </c>
      <c r="J815" s="176">
        <v>46020</v>
      </c>
      <c r="K815" s="172" t="s">
        <v>94</v>
      </c>
      <c r="L815" s="172" t="s">
        <v>95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952</v>
      </c>
      <c r="B816" s="176">
        <v>46030</v>
      </c>
      <c r="C816" s="172" t="s">
        <v>93</v>
      </c>
      <c r="D816" s="172" t="s">
        <v>97</v>
      </c>
      <c r="E816" s="172" t="s">
        <v>54</v>
      </c>
      <c r="F816" s="172" t="s">
        <v>121</v>
      </c>
      <c r="G816" s="172" t="s">
        <v>85</v>
      </c>
      <c r="H816" s="177">
        <v>1</v>
      </c>
      <c r="I816" s="178">
        <v>0</v>
      </c>
      <c r="J816" s="176">
        <v>46020</v>
      </c>
      <c r="K816" s="172" t="s">
        <v>94</v>
      </c>
      <c r="L816" s="172" t="s">
        <v>95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952</v>
      </c>
      <c r="B817" s="176">
        <v>46030</v>
      </c>
      <c r="C817" s="172" t="s">
        <v>93</v>
      </c>
      <c r="D817" s="172" t="s">
        <v>98</v>
      </c>
      <c r="E817" s="172" t="s">
        <v>54</v>
      </c>
      <c r="F817" s="172" t="s">
        <v>121</v>
      </c>
      <c r="G817" s="172" t="s">
        <v>85</v>
      </c>
      <c r="H817" s="177">
        <v>1</v>
      </c>
      <c r="I817" s="178">
        <v>0</v>
      </c>
      <c r="J817" s="176">
        <v>46020</v>
      </c>
      <c r="K817" s="172" t="s">
        <v>94</v>
      </c>
      <c r="L817" s="172" t="s">
        <v>95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952</v>
      </c>
      <c r="B818" s="176">
        <v>46030</v>
      </c>
      <c r="C818" s="172" t="s">
        <v>82</v>
      </c>
      <c r="D818" s="172" t="s">
        <v>99</v>
      </c>
      <c r="E818" s="172" t="s">
        <v>54</v>
      </c>
      <c r="F818" s="172" t="s">
        <v>121</v>
      </c>
      <c r="G818" s="172" t="s">
        <v>85</v>
      </c>
      <c r="H818" s="177">
        <v>1</v>
      </c>
      <c r="I818" s="178">
        <v>0</v>
      </c>
      <c r="J818" s="176">
        <v>46020</v>
      </c>
      <c r="K818" s="172" t="s">
        <v>94</v>
      </c>
      <c r="L818" s="172" t="s">
        <v>95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953</v>
      </c>
      <c r="B819" s="176">
        <v>46030</v>
      </c>
      <c r="C819" s="172" t="s">
        <v>82</v>
      </c>
      <c r="D819" s="172" t="s">
        <v>83</v>
      </c>
      <c r="E819" s="172" t="s">
        <v>54</v>
      </c>
      <c r="F819" s="172" t="s">
        <v>121</v>
      </c>
      <c r="G819" s="172" t="s">
        <v>85</v>
      </c>
      <c r="H819" s="177">
        <v>1</v>
      </c>
      <c r="I819" s="178">
        <v>0</v>
      </c>
      <c r="J819" s="176">
        <v>46030</v>
      </c>
      <c r="K819" s="172" t="s">
        <v>86</v>
      </c>
      <c r="L819" s="172" t="s">
        <v>86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954</v>
      </c>
      <c r="B820" s="176">
        <v>46030</v>
      </c>
      <c r="C820" s="172" t="s">
        <v>82</v>
      </c>
      <c r="D820" s="172" t="s">
        <v>83</v>
      </c>
      <c r="E820" s="172" t="s">
        <v>42</v>
      </c>
      <c r="F820" s="172" t="s">
        <v>84</v>
      </c>
      <c r="G820" s="172" t="s">
        <v>85</v>
      </c>
      <c r="H820" s="177">
        <v>1</v>
      </c>
      <c r="I820" s="178">
        <v>0</v>
      </c>
      <c r="J820" s="176">
        <v>46030</v>
      </c>
      <c r="K820" s="172" t="s">
        <v>86</v>
      </c>
      <c r="L820" s="172" t="s">
        <v>86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955</v>
      </c>
      <c r="B821" s="176">
        <v>46030</v>
      </c>
      <c r="C821" s="172" t="s">
        <v>93</v>
      </c>
      <c r="D821" s="172" t="s">
        <v>24</v>
      </c>
      <c r="E821" s="172" t="s">
        <v>53</v>
      </c>
      <c r="F821" s="172" t="s">
        <v>91</v>
      </c>
      <c r="G821" s="172" t="s">
        <v>85</v>
      </c>
      <c r="H821" s="177">
        <v>1</v>
      </c>
      <c r="I821" s="178">
        <v>1621</v>
      </c>
      <c r="J821" s="176">
        <v>46028</v>
      </c>
      <c r="K821" s="172" t="s">
        <v>94</v>
      </c>
      <c r="L821" s="172" t="s">
        <v>95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955</v>
      </c>
      <c r="B822" s="176">
        <v>46030</v>
      </c>
      <c r="C822" s="172" t="s">
        <v>101</v>
      </c>
      <c r="D822" s="172" t="s">
        <v>102</v>
      </c>
      <c r="E822" s="172" t="s">
        <v>53</v>
      </c>
      <c r="F822" s="172" t="s">
        <v>91</v>
      </c>
      <c r="G822" s="172" t="s">
        <v>85</v>
      </c>
      <c r="H822" s="177">
        <v>1</v>
      </c>
      <c r="I822" s="178">
        <v>1621</v>
      </c>
      <c r="J822" s="176">
        <v>46028</v>
      </c>
      <c r="K822" s="172" t="s">
        <v>94</v>
      </c>
      <c r="L822" s="172" t="s">
        <v>95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955</v>
      </c>
      <c r="B823" s="176">
        <v>46030</v>
      </c>
      <c r="C823" s="172" t="s">
        <v>101</v>
      </c>
      <c r="D823" s="172" t="s">
        <v>103</v>
      </c>
      <c r="E823" s="172" t="s">
        <v>53</v>
      </c>
      <c r="F823" s="172" t="s">
        <v>91</v>
      </c>
      <c r="G823" s="172" t="s">
        <v>85</v>
      </c>
      <c r="H823" s="177">
        <v>1</v>
      </c>
      <c r="I823" s="178">
        <v>1621</v>
      </c>
      <c r="J823" s="176">
        <v>46028</v>
      </c>
      <c r="K823" s="172" t="s">
        <v>94</v>
      </c>
      <c r="L823" s="172" t="s">
        <v>95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955</v>
      </c>
      <c r="B824" s="176">
        <v>46030</v>
      </c>
      <c r="C824" s="172" t="s">
        <v>101</v>
      </c>
      <c r="D824" s="172" t="s">
        <v>104</v>
      </c>
      <c r="E824" s="172" t="s">
        <v>53</v>
      </c>
      <c r="F824" s="172" t="s">
        <v>91</v>
      </c>
      <c r="G824" s="172" t="s">
        <v>85</v>
      </c>
      <c r="H824" s="177">
        <v>1</v>
      </c>
      <c r="I824" s="178">
        <v>1621</v>
      </c>
      <c r="J824" s="176">
        <v>46028</v>
      </c>
      <c r="K824" s="172" t="s">
        <v>94</v>
      </c>
      <c r="L824" s="172" t="s">
        <v>95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955</v>
      </c>
      <c r="B825" s="176">
        <v>46030</v>
      </c>
      <c r="C825" s="172" t="s">
        <v>105</v>
      </c>
      <c r="D825" s="172" t="s">
        <v>106</v>
      </c>
      <c r="E825" s="172" t="s">
        <v>53</v>
      </c>
      <c r="F825" s="172" t="s">
        <v>91</v>
      </c>
      <c r="G825" s="172" t="s">
        <v>85</v>
      </c>
      <c r="H825" s="177">
        <v>1</v>
      </c>
      <c r="I825" s="178">
        <v>1621</v>
      </c>
      <c r="J825" s="176">
        <v>46028</v>
      </c>
      <c r="K825" s="172" t="s">
        <v>94</v>
      </c>
      <c r="L825" s="172" t="s">
        <v>95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955</v>
      </c>
      <c r="B826" s="176">
        <v>46030</v>
      </c>
      <c r="C826" s="172" t="s">
        <v>82</v>
      </c>
      <c r="D826" s="172" t="s">
        <v>96</v>
      </c>
      <c r="E826" s="172" t="s">
        <v>53</v>
      </c>
      <c r="F826" s="172" t="s">
        <v>91</v>
      </c>
      <c r="G826" s="172" t="s">
        <v>85</v>
      </c>
      <c r="H826" s="177">
        <v>1</v>
      </c>
      <c r="I826" s="178">
        <v>1621</v>
      </c>
      <c r="J826" s="176">
        <v>46028</v>
      </c>
      <c r="K826" s="172" t="s">
        <v>94</v>
      </c>
      <c r="L826" s="172" t="s">
        <v>95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956</v>
      </c>
      <c r="B827" s="176">
        <v>46030</v>
      </c>
      <c r="C827" s="172" t="s">
        <v>93</v>
      </c>
      <c r="D827" s="172" t="s">
        <v>24</v>
      </c>
      <c r="E827" s="172" t="s">
        <v>42</v>
      </c>
      <c r="F827" s="172" t="s">
        <v>84</v>
      </c>
      <c r="G827" s="172" t="s">
        <v>85</v>
      </c>
      <c r="H827" s="177">
        <v>1</v>
      </c>
      <c r="I827" s="178">
        <v>1600</v>
      </c>
      <c r="J827" s="176">
        <v>46029</v>
      </c>
      <c r="K827" s="172" t="s">
        <v>94</v>
      </c>
      <c r="L827" s="172" t="s">
        <v>95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956</v>
      </c>
      <c r="B828" s="176">
        <v>46030</v>
      </c>
      <c r="C828" s="172" t="s">
        <v>101</v>
      </c>
      <c r="D828" s="172" t="s">
        <v>102</v>
      </c>
      <c r="E828" s="172" t="s">
        <v>42</v>
      </c>
      <c r="F828" s="172" t="s">
        <v>84</v>
      </c>
      <c r="G828" s="172" t="s">
        <v>85</v>
      </c>
      <c r="H828" s="177">
        <v>1</v>
      </c>
      <c r="I828" s="178">
        <v>1600</v>
      </c>
      <c r="J828" s="176">
        <v>46029</v>
      </c>
      <c r="K828" s="172" t="s">
        <v>94</v>
      </c>
      <c r="L828" s="172" t="s">
        <v>95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956</v>
      </c>
      <c r="B829" s="176">
        <v>46030</v>
      </c>
      <c r="C829" s="172" t="s">
        <v>101</v>
      </c>
      <c r="D829" s="172" t="s">
        <v>103</v>
      </c>
      <c r="E829" s="172" t="s">
        <v>42</v>
      </c>
      <c r="F829" s="172" t="s">
        <v>84</v>
      </c>
      <c r="G829" s="172" t="s">
        <v>85</v>
      </c>
      <c r="H829" s="177">
        <v>1</v>
      </c>
      <c r="I829" s="178">
        <v>1600</v>
      </c>
      <c r="J829" s="176">
        <v>46029</v>
      </c>
      <c r="K829" s="172" t="s">
        <v>94</v>
      </c>
      <c r="L829" s="172" t="s">
        <v>95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956</v>
      </c>
      <c r="B830" s="176">
        <v>46030</v>
      </c>
      <c r="C830" s="172" t="s">
        <v>101</v>
      </c>
      <c r="D830" s="172" t="s">
        <v>104</v>
      </c>
      <c r="E830" s="172" t="s">
        <v>42</v>
      </c>
      <c r="F830" s="172" t="s">
        <v>84</v>
      </c>
      <c r="G830" s="172" t="s">
        <v>85</v>
      </c>
      <c r="H830" s="177">
        <v>1</v>
      </c>
      <c r="I830" s="178">
        <v>1600</v>
      </c>
      <c r="J830" s="176">
        <v>46029</v>
      </c>
      <c r="K830" s="172" t="s">
        <v>94</v>
      </c>
      <c r="L830" s="172" t="s">
        <v>95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956</v>
      </c>
      <c r="B831" s="176">
        <v>46030</v>
      </c>
      <c r="C831" s="172" t="s">
        <v>105</v>
      </c>
      <c r="D831" s="172" t="s">
        <v>106</v>
      </c>
      <c r="E831" s="172" t="s">
        <v>42</v>
      </c>
      <c r="F831" s="172" t="s">
        <v>84</v>
      </c>
      <c r="G831" s="172" t="s">
        <v>85</v>
      </c>
      <c r="H831" s="177">
        <v>1</v>
      </c>
      <c r="I831" s="178">
        <v>1600</v>
      </c>
      <c r="J831" s="176">
        <v>46029</v>
      </c>
      <c r="K831" s="172" t="s">
        <v>94</v>
      </c>
      <c r="L831" s="172" t="s">
        <v>95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956</v>
      </c>
      <c r="B832" s="176">
        <v>46030</v>
      </c>
      <c r="C832" s="172" t="s">
        <v>82</v>
      </c>
      <c r="D832" s="172" t="s">
        <v>96</v>
      </c>
      <c r="E832" s="172" t="s">
        <v>42</v>
      </c>
      <c r="F832" s="172" t="s">
        <v>84</v>
      </c>
      <c r="G832" s="172" t="s">
        <v>85</v>
      </c>
      <c r="H832" s="177">
        <v>1</v>
      </c>
      <c r="I832" s="178">
        <v>1600</v>
      </c>
      <c r="J832" s="176">
        <v>46029</v>
      </c>
      <c r="K832" s="172" t="s">
        <v>94</v>
      </c>
      <c r="L832" s="172" t="s">
        <v>95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957</v>
      </c>
      <c r="B833" s="176">
        <v>46030</v>
      </c>
      <c r="C833" s="172" t="s">
        <v>93</v>
      </c>
      <c r="D833" s="172" t="s">
        <v>24</v>
      </c>
      <c r="E833" s="172" t="s">
        <v>54</v>
      </c>
      <c r="F833" s="172" t="s">
        <v>121</v>
      </c>
      <c r="G833" s="172" t="s">
        <v>85</v>
      </c>
      <c r="H833" s="177">
        <v>1</v>
      </c>
      <c r="I833" s="178">
        <v>0</v>
      </c>
      <c r="J833" s="176">
        <v>46024</v>
      </c>
      <c r="K833" s="172" t="s">
        <v>94</v>
      </c>
      <c r="L833" s="172" t="s">
        <v>95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957</v>
      </c>
      <c r="B834" s="176">
        <v>46030</v>
      </c>
      <c r="C834" s="172" t="s">
        <v>82</v>
      </c>
      <c r="D834" s="172" t="s">
        <v>96</v>
      </c>
      <c r="E834" s="172" t="s">
        <v>54</v>
      </c>
      <c r="F834" s="172" t="s">
        <v>121</v>
      </c>
      <c r="G834" s="172" t="s">
        <v>85</v>
      </c>
      <c r="H834" s="177">
        <v>1</v>
      </c>
      <c r="I834" s="178">
        <v>0</v>
      </c>
      <c r="J834" s="176">
        <v>46024</v>
      </c>
      <c r="K834" s="172" t="s">
        <v>94</v>
      </c>
      <c r="L834" s="172" t="s">
        <v>95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957</v>
      </c>
      <c r="B835" s="176">
        <v>46030</v>
      </c>
      <c r="C835" s="172" t="s">
        <v>93</v>
      </c>
      <c r="D835" s="172" t="s">
        <v>97</v>
      </c>
      <c r="E835" s="172" t="s">
        <v>54</v>
      </c>
      <c r="F835" s="172" t="s">
        <v>121</v>
      </c>
      <c r="G835" s="172" t="s">
        <v>85</v>
      </c>
      <c r="H835" s="177">
        <v>1</v>
      </c>
      <c r="I835" s="178">
        <v>0</v>
      </c>
      <c r="J835" s="176">
        <v>46024</v>
      </c>
      <c r="K835" s="172" t="s">
        <v>94</v>
      </c>
      <c r="L835" s="172" t="s">
        <v>95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957</v>
      </c>
      <c r="B836" s="176">
        <v>46030</v>
      </c>
      <c r="C836" s="172" t="s">
        <v>93</v>
      </c>
      <c r="D836" s="172" t="s">
        <v>98</v>
      </c>
      <c r="E836" s="172" t="s">
        <v>54</v>
      </c>
      <c r="F836" s="172" t="s">
        <v>121</v>
      </c>
      <c r="G836" s="172" t="s">
        <v>85</v>
      </c>
      <c r="H836" s="177">
        <v>1</v>
      </c>
      <c r="I836" s="178">
        <v>0</v>
      </c>
      <c r="J836" s="176">
        <v>46024</v>
      </c>
      <c r="K836" s="172" t="s">
        <v>94</v>
      </c>
      <c r="L836" s="172" t="s">
        <v>95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957</v>
      </c>
      <c r="B837" s="176">
        <v>46030</v>
      </c>
      <c r="C837" s="172" t="s">
        <v>82</v>
      </c>
      <c r="D837" s="172" t="s">
        <v>99</v>
      </c>
      <c r="E837" s="172" t="s">
        <v>54</v>
      </c>
      <c r="F837" s="172" t="s">
        <v>121</v>
      </c>
      <c r="G837" s="172" t="s">
        <v>85</v>
      </c>
      <c r="H837" s="177">
        <v>1</v>
      </c>
      <c r="I837" s="178">
        <v>0</v>
      </c>
      <c r="J837" s="176">
        <v>46024</v>
      </c>
      <c r="K837" s="172" t="s">
        <v>94</v>
      </c>
      <c r="L837" s="172" t="s">
        <v>95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955</v>
      </c>
      <c r="B838" s="176">
        <v>46030</v>
      </c>
      <c r="C838" s="172" t="s">
        <v>82</v>
      </c>
      <c r="D838" s="172" t="s">
        <v>83</v>
      </c>
      <c r="E838" s="172" t="s">
        <v>53</v>
      </c>
      <c r="F838" s="172" t="s">
        <v>91</v>
      </c>
      <c r="G838" s="172" t="s">
        <v>85</v>
      </c>
      <c r="H838" s="177">
        <v>1</v>
      </c>
      <c r="I838" s="178">
        <v>0</v>
      </c>
      <c r="J838" s="176">
        <v>46028</v>
      </c>
      <c r="K838" s="172" t="s">
        <v>86</v>
      </c>
      <c r="L838" s="172" t="s">
        <v>86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958</v>
      </c>
      <c r="B839" s="176">
        <v>46030</v>
      </c>
      <c r="C839" s="172" t="s">
        <v>93</v>
      </c>
      <c r="D839" s="172" t="s">
        <v>24</v>
      </c>
      <c r="E839" s="172" t="s">
        <v>53</v>
      </c>
      <c r="F839" s="172" t="s">
        <v>91</v>
      </c>
      <c r="G839" s="172" t="s">
        <v>85</v>
      </c>
      <c r="H839" s="177">
        <v>1</v>
      </c>
      <c r="I839" s="178">
        <v>1621</v>
      </c>
      <c r="J839" s="176">
        <v>46027</v>
      </c>
      <c r="K839" s="172" t="s">
        <v>94</v>
      </c>
      <c r="L839" s="172" t="s">
        <v>95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958</v>
      </c>
      <c r="B840" s="176">
        <v>46030</v>
      </c>
      <c r="C840" s="172" t="s">
        <v>101</v>
      </c>
      <c r="D840" s="172" t="s">
        <v>102</v>
      </c>
      <c r="E840" s="172" t="s">
        <v>53</v>
      </c>
      <c r="F840" s="172" t="s">
        <v>91</v>
      </c>
      <c r="G840" s="172" t="s">
        <v>85</v>
      </c>
      <c r="H840" s="177">
        <v>1</v>
      </c>
      <c r="I840" s="178">
        <v>1621</v>
      </c>
      <c r="J840" s="176">
        <v>46027</v>
      </c>
      <c r="K840" s="172" t="s">
        <v>94</v>
      </c>
      <c r="L840" s="172" t="s">
        <v>95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958</v>
      </c>
      <c r="B841" s="176">
        <v>46030</v>
      </c>
      <c r="C841" s="172" t="s">
        <v>101</v>
      </c>
      <c r="D841" s="172" t="s">
        <v>103</v>
      </c>
      <c r="E841" s="172" t="s">
        <v>53</v>
      </c>
      <c r="F841" s="172" t="s">
        <v>91</v>
      </c>
      <c r="G841" s="172" t="s">
        <v>85</v>
      </c>
      <c r="H841" s="177">
        <v>1</v>
      </c>
      <c r="I841" s="178">
        <v>1621</v>
      </c>
      <c r="J841" s="176">
        <v>46027</v>
      </c>
      <c r="K841" s="172" t="s">
        <v>94</v>
      </c>
      <c r="L841" s="172" t="s">
        <v>95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958</v>
      </c>
      <c r="B842" s="176">
        <v>46030</v>
      </c>
      <c r="C842" s="172" t="s">
        <v>101</v>
      </c>
      <c r="D842" s="172" t="s">
        <v>104</v>
      </c>
      <c r="E842" s="172" t="s">
        <v>53</v>
      </c>
      <c r="F842" s="172" t="s">
        <v>91</v>
      </c>
      <c r="G842" s="172" t="s">
        <v>85</v>
      </c>
      <c r="H842" s="177">
        <v>1</v>
      </c>
      <c r="I842" s="178">
        <v>1621</v>
      </c>
      <c r="J842" s="176">
        <v>46027</v>
      </c>
      <c r="K842" s="172" t="s">
        <v>94</v>
      </c>
      <c r="L842" s="172" t="s">
        <v>95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958</v>
      </c>
      <c r="B843" s="176">
        <v>46030</v>
      </c>
      <c r="C843" s="172" t="s">
        <v>105</v>
      </c>
      <c r="D843" s="172" t="s">
        <v>106</v>
      </c>
      <c r="E843" s="172" t="s">
        <v>53</v>
      </c>
      <c r="F843" s="172" t="s">
        <v>91</v>
      </c>
      <c r="G843" s="172" t="s">
        <v>85</v>
      </c>
      <c r="H843" s="177">
        <v>1</v>
      </c>
      <c r="I843" s="178">
        <v>1621</v>
      </c>
      <c r="J843" s="176">
        <v>46027</v>
      </c>
      <c r="K843" s="172" t="s">
        <v>94</v>
      </c>
      <c r="L843" s="172" t="s">
        <v>95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958</v>
      </c>
      <c r="B844" s="176">
        <v>46030</v>
      </c>
      <c r="C844" s="172" t="s">
        <v>82</v>
      </c>
      <c r="D844" s="172" t="s">
        <v>96</v>
      </c>
      <c r="E844" s="172" t="s">
        <v>53</v>
      </c>
      <c r="F844" s="172" t="s">
        <v>91</v>
      </c>
      <c r="G844" s="172" t="s">
        <v>85</v>
      </c>
      <c r="H844" s="177">
        <v>1</v>
      </c>
      <c r="I844" s="178">
        <v>1621</v>
      </c>
      <c r="J844" s="176">
        <v>46027</v>
      </c>
      <c r="K844" s="172" t="s">
        <v>94</v>
      </c>
      <c r="L844" s="172" t="s">
        <v>95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958</v>
      </c>
      <c r="B845" s="176">
        <v>46030</v>
      </c>
      <c r="C845" s="172" t="s">
        <v>82</v>
      </c>
      <c r="D845" s="172" t="s">
        <v>83</v>
      </c>
      <c r="E845" s="172" t="s">
        <v>53</v>
      </c>
      <c r="F845" s="172" t="s">
        <v>91</v>
      </c>
      <c r="G845" s="172" t="s">
        <v>85</v>
      </c>
      <c r="H845" s="177">
        <v>1</v>
      </c>
      <c r="I845" s="178">
        <v>0</v>
      </c>
      <c r="J845" s="176">
        <v>46027</v>
      </c>
      <c r="K845" s="172" t="s">
        <v>86</v>
      </c>
      <c r="L845" s="172" t="s">
        <v>86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959</v>
      </c>
      <c r="B846" s="176">
        <v>46030</v>
      </c>
      <c r="C846" s="172" t="s">
        <v>93</v>
      </c>
      <c r="D846" s="172" t="s">
        <v>24</v>
      </c>
      <c r="E846" s="172" t="s">
        <v>42</v>
      </c>
      <c r="F846" s="172" t="s">
        <v>84</v>
      </c>
      <c r="G846" s="172" t="s">
        <v>85</v>
      </c>
      <c r="H846" s="177">
        <v>1</v>
      </c>
      <c r="I846" s="178">
        <v>1600</v>
      </c>
      <c r="J846" s="176">
        <v>46029</v>
      </c>
      <c r="K846" s="172" t="s">
        <v>94</v>
      </c>
      <c r="L846" s="172" t="s">
        <v>95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959</v>
      </c>
      <c r="B847" s="176">
        <v>46030</v>
      </c>
      <c r="C847" s="172" t="s">
        <v>101</v>
      </c>
      <c r="D847" s="172" t="s">
        <v>102</v>
      </c>
      <c r="E847" s="172" t="s">
        <v>42</v>
      </c>
      <c r="F847" s="172" t="s">
        <v>84</v>
      </c>
      <c r="G847" s="172" t="s">
        <v>85</v>
      </c>
      <c r="H847" s="177">
        <v>1</v>
      </c>
      <c r="I847" s="178">
        <v>1600</v>
      </c>
      <c r="J847" s="176">
        <v>46029</v>
      </c>
      <c r="K847" s="172" t="s">
        <v>94</v>
      </c>
      <c r="L847" s="172" t="s">
        <v>95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959</v>
      </c>
      <c r="B848" s="176">
        <v>46030</v>
      </c>
      <c r="C848" s="172" t="s">
        <v>101</v>
      </c>
      <c r="D848" s="172" t="s">
        <v>103</v>
      </c>
      <c r="E848" s="172" t="s">
        <v>42</v>
      </c>
      <c r="F848" s="172" t="s">
        <v>84</v>
      </c>
      <c r="G848" s="172" t="s">
        <v>85</v>
      </c>
      <c r="H848" s="177">
        <v>1</v>
      </c>
      <c r="I848" s="178">
        <v>1600</v>
      </c>
      <c r="J848" s="176">
        <v>46029</v>
      </c>
      <c r="K848" s="172" t="s">
        <v>94</v>
      </c>
      <c r="L848" s="172" t="s">
        <v>95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959</v>
      </c>
      <c r="B849" s="176">
        <v>46030</v>
      </c>
      <c r="C849" s="172" t="s">
        <v>101</v>
      </c>
      <c r="D849" s="172" t="s">
        <v>104</v>
      </c>
      <c r="E849" s="172" t="s">
        <v>42</v>
      </c>
      <c r="F849" s="172" t="s">
        <v>84</v>
      </c>
      <c r="G849" s="172" t="s">
        <v>85</v>
      </c>
      <c r="H849" s="177">
        <v>1</v>
      </c>
      <c r="I849" s="178">
        <v>1600</v>
      </c>
      <c r="J849" s="176">
        <v>46029</v>
      </c>
      <c r="K849" s="172" t="s">
        <v>94</v>
      </c>
      <c r="L849" s="172" t="s">
        <v>95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959</v>
      </c>
      <c r="B850" s="176">
        <v>46030</v>
      </c>
      <c r="C850" s="172" t="s">
        <v>105</v>
      </c>
      <c r="D850" s="172" t="s">
        <v>106</v>
      </c>
      <c r="E850" s="172" t="s">
        <v>42</v>
      </c>
      <c r="F850" s="172" t="s">
        <v>84</v>
      </c>
      <c r="G850" s="172" t="s">
        <v>85</v>
      </c>
      <c r="H850" s="177">
        <v>1</v>
      </c>
      <c r="I850" s="178">
        <v>1600</v>
      </c>
      <c r="J850" s="176">
        <v>46029</v>
      </c>
      <c r="K850" s="172" t="s">
        <v>94</v>
      </c>
      <c r="L850" s="172" t="s">
        <v>95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959</v>
      </c>
      <c r="B851" s="176">
        <v>46030</v>
      </c>
      <c r="C851" s="172" t="s">
        <v>82</v>
      </c>
      <c r="D851" s="172" t="s">
        <v>96</v>
      </c>
      <c r="E851" s="172" t="s">
        <v>42</v>
      </c>
      <c r="F851" s="172" t="s">
        <v>84</v>
      </c>
      <c r="G851" s="172" t="s">
        <v>85</v>
      </c>
      <c r="H851" s="177">
        <v>1</v>
      </c>
      <c r="I851" s="178">
        <v>1600</v>
      </c>
      <c r="J851" s="176">
        <v>46029</v>
      </c>
      <c r="K851" s="172" t="s">
        <v>94</v>
      </c>
      <c r="L851" s="172" t="s">
        <v>95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960</v>
      </c>
      <c r="B852" s="176">
        <v>46030</v>
      </c>
      <c r="C852" s="172" t="s">
        <v>93</v>
      </c>
      <c r="D852" s="172" t="s">
        <v>24</v>
      </c>
      <c r="E852" s="172" t="s">
        <v>54</v>
      </c>
      <c r="F852" s="172" t="s">
        <v>121</v>
      </c>
      <c r="G852" s="172" t="s">
        <v>85</v>
      </c>
      <c r="H852" s="177">
        <v>1</v>
      </c>
      <c r="I852" s="178">
        <v>0</v>
      </c>
      <c r="J852" s="176">
        <v>46009</v>
      </c>
      <c r="K852" s="172" t="s">
        <v>94</v>
      </c>
      <c r="L852" s="172" t="s">
        <v>95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960</v>
      </c>
      <c r="B853" s="176">
        <v>46030</v>
      </c>
      <c r="C853" s="172" t="s">
        <v>82</v>
      </c>
      <c r="D853" s="172" t="s">
        <v>96</v>
      </c>
      <c r="E853" s="172" t="s">
        <v>54</v>
      </c>
      <c r="F853" s="172" t="s">
        <v>121</v>
      </c>
      <c r="G853" s="172" t="s">
        <v>85</v>
      </c>
      <c r="H853" s="177">
        <v>1</v>
      </c>
      <c r="I853" s="178">
        <v>0</v>
      </c>
      <c r="J853" s="176">
        <v>46009</v>
      </c>
      <c r="K853" s="172" t="s">
        <v>94</v>
      </c>
      <c r="L853" s="172" t="s">
        <v>95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960</v>
      </c>
      <c r="B854" s="176">
        <v>46030</v>
      </c>
      <c r="C854" s="172" t="s">
        <v>93</v>
      </c>
      <c r="D854" s="172" t="s">
        <v>97</v>
      </c>
      <c r="E854" s="172" t="s">
        <v>54</v>
      </c>
      <c r="F854" s="172" t="s">
        <v>121</v>
      </c>
      <c r="G854" s="172" t="s">
        <v>85</v>
      </c>
      <c r="H854" s="177">
        <v>1</v>
      </c>
      <c r="I854" s="178">
        <v>0</v>
      </c>
      <c r="J854" s="176">
        <v>46009</v>
      </c>
      <c r="K854" s="172" t="s">
        <v>94</v>
      </c>
      <c r="L854" s="172" t="s">
        <v>95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960</v>
      </c>
      <c r="B855" s="176">
        <v>46030</v>
      </c>
      <c r="C855" s="172" t="s">
        <v>93</v>
      </c>
      <c r="D855" s="172" t="s">
        <v>98</v>
      </c>
      <c r="E855" s="172" t="s">
        <v>54</v>
      </c>
      <c r="F855" s="172" t="s">
        <v>121</v>
      </c>
      <c r="G855" s="172" t="s">
        <v>85</v>
      </c>
      <c r="H855" s="177">
        <v>1</v>
      </c>
      <c r="I855" s="178">
        <v>0</v>
      </c>
      <c r="J855" s="176">
        <v>46009</v>
      </c>
      <c r="K855" s="172" t="s">
        <v>94</v>
      </c>
      <c r="L855" s="172" t="s">
        <v>95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960</v>
      </c>
      <c r="B856" s="176">
        <v>46030</v>
      </c>
      <c r="C856" s="172" t="s">
        <v>82</v>
      </c>
      <c r="D856" s="172" t="s">
        <v>99</v>
      </c>
      <c r="E856" s="172" t="s">
        <v>54</v>
      </c>
      <c r="F856" s="172" t="s">
        <v>121</v>
      </c>
      <c r="G856" s="172" t="s">
        <v>85</v>
      </c>
      <c r="H856" s="177">
        <v>1</v>
      </c>
      <c r="I856" s="178">
        <v>0</v>
      </c>
      <c r="J856" s="176">
        <v>46009</v>
      </c>
      <c r="K856" s="172" t="s">
        <v>94</v>
      </c>
      <c r="L856" s="172" t="s">
        <v>95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959</v>
      </c>
      <c r="B857" s="176">
        <v>46030</v>
      </c>
      <c r="C857" s="172" t="s">
        <v>82</v>
      </c>
      <c r="D857" s="172" t="s">
        <v>83</v>
      </c>
      <c r="E857" s="172" t="s">
        <v>42</v>
      </c>
      <c r="F857" s="172" t="s">
        <v>84</v>
      </c>
      <c r="G857" s="172" t="s">
        <v>85</v>
      </c>
      <c r="H857" s="177">
        <v>1</v>
      </c>
      <c r="I857" s="178">
        <v>0</v>
      </c>
      <c r="J857" s="176">
        <v>46029</v>
      </c>
      <c r="K857" s="172" t="s">
        <v>86</v>
      </c>
      <c r="L857" s="172" t="s">
        <v>86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961</v>
      </c>
      <c r="B858" s="176">
        <v>46030</v>
      </c>
      <c r="C858" s="172" t="s">
        <v>82</v>
      </c>
      <c r="D858" s="172" t="s">
        <v>83</v>
      </c>
      <c r="E858" s="172" t="s">
        <v>54</v>
      </c>
      <c r="F858" s="172" t="s">
        <v>121</v>
      </c>
      <c r="G858" s="172" t="s">
        <v>85</v>
      </c>
      <c r="H858" s="177">
        <v>1</v>
      </c>
      <c r="I858" s="178">
        <v>0</v>
      </c>
      <c r="J858" s="176">
        <v>46030</v>
      </c>
      <c r="K858" s="172" t="s">
        <v>86</v>
      </c>
      <c r="L858" s="172" t="s">
        <v>86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962</v>
      </c>
      <c r="B859" s="176">
        <v>46030</v>
      </c>
      <c r="C859" s="172" t="s">
        <v>82</v>
      </c>
      <c r="D859" s="172" t="s">
        <v>83</v>
      </c>
      <c r="E859" s="172" t="s">
        <v>42</v>
      </c>
      <c r="F859" s="172" t="s">
        <v>84</v>
      </c>
      <c r="G859" s="172" t="s">
        <v>85</v>
      </c>
      <c r="H859" s="177">
        <v>1</v>
      </c>
      <c r="I859" s="178">
        <v>0</v>
      </c>
      <c r="J859" s="176">
        <v>46030</v>
      </c>
      <c r="K859" s="172" t="s">
        <v>86</v>
      </c>
      <c r="L859" s="172" t="s">
        <v>86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963</v>
      </c>
      <c r="B860" s="176">
        <v>46030</v>
      </c>
      <c r="C860" s="172" t="s">
        <v>82</v>
      </c>
      <c r="D860" s="172" t="s">
        <v>83</v>
      </c>
      <c r="E860" s="172" t="s">
        <v>53</v>
      </c>
      <c r="F860" s="172" t="s">
        <v>91</v>
      </c>
      <c r="G860" s="172" t="s">
        <v>85</v>
      </c>
      <c r="H860" s="177">
        <v>1</v>
      </c>
      <c r="I860" s="178">
        <v>0</v>
      </c>
      <c r="J860" s="176">
        <v>46030</v>
      </c>
      <c r="K860" s="172" t="s">
        <v>86</v>
      </c>
      <c r="L860" s="172" t="s">
        <v>86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964</v>
      </c>
      <c r="B861" s="176">
        <v>46030</v>
      </c>
      <c r="C861" s="172" t="s">
        <v>82</v>
      </c>
      <c r="D861" s="172" t="s">
        <v>83</v>
      </c>
      <c r="E861" s="172" t="s">
        <v>43</v>
      </c>
      <c r="F861" s="172" t="s">
        <v>90</v>
      </c>
      <c r="G861" s="172" t="s">
        <v>85</v>
      </c>
      <c r="H861" s="177">
        <v>1</v>
      </c>
      <c r="I861" s="178">
        <v>0</v>
      </c>
      <c r="J861" s="176">
        <v>46030</v>
      </c>
      <c r="K861" s="172" t="s">
        <v>86</v>
      </c>
      <c r="L861" s="172" t="s">
        <v>86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143</v>
      </c>
      <c r="B862" s="176">
        <v>46030</v>
      </c>
      <c r="C862" s="172" t="s">
        <v>110</v>
      </c>
      <c r="D862" s="172" t="s">
        <v>144</v>
      </c>
      <c r="E862" s="172" t="s">
        <v>86</v>
      </c>
      <c r="F862" s="172" t="s">
        <v>86</v>
      </c>
      <c r="G862" s="172" t="s">
        <v>86</v>
      </c>
      <c r="H862" s="177">
        <v>0</v>
      </c>
      <c r="I862" s="178">
        <v>0</v>
      </c>
      <c r="J862" s="176">
        <v>46030</v>
      </c>
      <c r="K862" s="172" t="s">
        <v>86</v>
      </c>
      <c r="L862" s="172" t="s">
        <v>86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139</v>
      </c>
      <c r="B863" s="176">
        <v>46030</v>
      </c>
      <c r="C863" s="172" t="s">
        <v>110</v>
      </c>
      <c r="D863" s="172" t="s">
        <v>140</v>
      </c>
      <c r="E863" s="172" t="s">
        <v>86</v>
      </c>
      <c r="F863" s="172" t="s">
        <v>86</v>
      </c>
      <c r="G863" s="172" t="s">
        <v>86</v>
      </c>
      <c r="H863" s="177">
        <v>0</v>
      </c>
      <c r="I863" s="178">
        <v>0</v>
      </c>
      <c r="J863" s="176">
        <v>46030</v>
      </c>
      <c r="K863" s="172" t="s">
        <v>86</v>
      </c>
      <c r="L863" s="172" t="s">
        <v>86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414</v>
      </c>
      <c r="B864" s="176">
        <v>46030</v>
      </c>
      <c r="C864" s="172" t="s">
        <v>110</v>
      </c>
      <c r="D864" s="172" t="s">
        <v>140</v>
      </c>
      <c r="E864" s="172" t="s">
        <v>86</v>
      </c>
      <c r="F864" s="172" t="s">
        <v>86</v>
      </c>
      <c r="G864" s="172" t="s">
        <v>86</v>
      </c>
      <c r="H864" s="177">
        <v>0</v>
      </c>
      <c r="I864" s="178">
        <v>0</v>
      </c>
      <c r="J864" s="176">
        <v>46030</v>
      </c>
      <c r="K864" s="172" t="s">
        <v>86</v>
      </c>
      <c r="L864" s="172" t="s">
        <v>86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145</v>
      </c>
      <c r="B865" s="176">
        <v>46030</v>
      </c>
      <c r="C865" s="172" t="s">
        <v>110</v>
      </c>
      <c r="D865" s="172" t="s">
        <v>140</v>
      </c>
      <c r="E865" s="172" t="s">
        <v>86</v>
      </c>
      <c r="F865" s="172" t="s">
        <v>86</v>
      </c>
      <c r="G865" s="172" t="s">
        <v>86</v>
      </c>
      <c r="H865" s="177">
        <v>0</v>
      </c>
      <c r="I865" s="178">
        <v>0</v>
      </c>
      <c r="J865" s="176">
        <v>46030</v>
      </c>
      <c r="K865" s="172" t="s">
        <v>86</v>
      </c>
      <c r="L865" s="172" t="s">
        <v>86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965</v>
      </c>
      <c r="B866" s="176">
        <v>46031</v>
      </c>
      <c r="C866" s="172" t="s">
        <v>82</v>
      </c>
      <c r="D866" s="172" t="s">
        <v>83</v>
      </c>
      <c r="E866" s="172" t="s">
        <v>43</v>
      </c>
      <c r="F866" s="172" t="s">
        <v>90</v>
      </c>
      <c r="G866" s="172" t="s">
        <v>85</v>
      </c>
      <c r="H866" s="177">
        <v>1</v>
      </c>
      <c r="I866" s="178">
        <v>0</v>
      </c>
      <c r="J866" s="176">
        <v>46031</v>
      </c>
      <c r="K866" s="172" t="s">
        <v>86</v>
      </c>
      <c r="L866" s="172" t="s">
        <v>86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966</v>
      </c>
      <c r="B867" s="176">
        <v>46031</v>
      </c>
      <c r="C867" s="172" t="s">
        <v>93</v>
      </c>
      <c r="D867" s="172" t="s">
        <v>24</v>
      </c>
      <c r="E867" s="172" t="s">
        <v>54</v>
      </c>
      <c r="F867" s="172" t="s">
        <v>121</v>
      </c>
      <c r="G867" s="172" t="s">
        <v>85</v>
      </c>
      <c r="H867" s="177">
        <v>1</v>
      </c>
      <c r="I867" s="178">
        <v>0</v>
      </c>
      <c r="J867" s="176">
        <v>46020</v>
      </c>
      <c r="K867" s="172" t="s">
        <v>94</v>
      </c>
      <c r="L867" s="172" t="s">
        <v>95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966</v>
      </c>
      <c r="B868" s="176">
        <v>46031</v>
      </c>
      <c r="C868" s="172" t="s">
        <v>82</v>
      </c>
      <c r="D868" s="172" t="s">
        <v>96</v>
      </c>
      <c r="E868" s="172" t="s">
        <v>54</v>
      </c>
      <c r="F868" s="172" t="s">
        <v>121</v>
      </c>
      <c r="G868" s="172" t="s">
        <v>85</v>
      </c>
      <c r="H868" s="177">
        <v>1</v>
      </c>
      <c r="I868" s="178">
        <v>0</v>
      </c>
      <c r="J868" s="176">
        <v>46020</v>
      </c>
      <c r="K868" s="172" t="s">
        <v>94</v>
      </c>
      <c r="L868" s="172" t="s">
        <v>95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966</v>
      </c>
      <c r="B869" s="176">
        <v>46031</v>
      </c>
      <c r="C869" s="172" t="s">
        <v>93</v>
      </c>
      <c r="D869" s="172" t="s">
        <v>97</v>
      </c>
      <c r="E869" s="172" t="s">
        <v>54</v>
      </c>
      <c r="F869" s="172" t="s">
        <v>121</v>
      </c>
      <c r="G869" s="172" t="s">
        <v>85</v>
      </c>
      <c r="H869" s="177">
        <v>1</v>
      </c>
      <c r="I869" s="178">
        <v>0</v>
      </c>
      <c r="J869" s="176">
        <v>46020</v>
      </c>
      <c r="K869" s="172" t="s">
        <v>94</v>
      </c>
      <c r="L869" s="172" t="s">
        <v>95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966</v>
      </c>
      <c r="B870" s="176">
        <v>46031</v>
      </c>
      <c r="C870" s="172" t="s">
        <v>93</v>
      </c>
      <c r="D870" s="172" t="s">
        <v>98</v>
      </c>
      <c r="E870" s="172" t="s">
        <v>54</v>
      </c>
      <c r="F870" s="172" t="s">
        <v>121</v>
      </c>
      <c r="G870" s="172" t="s">
        <v>85</v>
      </c>
      <c r="H870" s="177">
        <v>1</v>
      </c>
      <c r="I870" s="178">
        <v>0</v>
      </c>
      <c r="J870" s="176">
        <v>46020</v>
      </c>
      <c r="K870" s="172" t="s">
        <v>94</v>
      </c>
      <c r="L870" s="172" t="s">
        <v>95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966</v>
      </c>
      <c r="B871" s="176">
        <v>46031</v>
      </c>
      <c r="C871" s="172" t="s">
        <v>82</v>
      </c>
      <c r="D871" s="172" t="s">
        <v>99</v>
      </c>
      <c r="E871" s="172" t="s">
        <v>54</v>
      </c>
      <c r="F871" s="172" t="s">
        <v>121</v>
      </c>
      <c r="G871" s="172" t="s">
        <v>85</v>
      </c>
      <c r="H871" s="177">
        <v>1</v>
      </c>
      <c r="I871" s="178">
        <v>0</v>
      </c>
      <c r="J871" s="176">
        <v>46020</v>
      </c>
      <c r="K871" s="172" t="s">
        <v>94</v>
      </c>
      <c r="L871" s="172" t="s">
        <v>95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967</v>
      </c>
      <c r="B872" s="176">
        <v>46031</v>
      </c>
      <c r="C872" s="172" t="s">
        <v>93</v>
      </c>
      <c r="D872" s="172" t="s">
        <v>24</v>
      </c>
      <c r="E872" s="172" t="s">
        <v>42</v>
      </c>
      <c r="F872" s="172" t="s">
        <v>84</v>
      </c>
      <c r="G872" s="172" t="s">
        <v>85</v>
      </c>
      <c r="H872" s="177">
        <v>1</v>
      </c>
      <c r="I872" s="178">
        <v>1600</v>
      </c>
      <c r="J872" s="176">
        <v>46023</v>
      </c>
      <c r="K872" s="172" t="s">
        <v>94</v>
      </c>
      <c r="L872" s="172" t="s">
        <v>95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967</v>
      </c>
      <c r="B873" s="176">
        <v>46031</v>
      </c>
      <c r="C873" s="172" t="s">
        <v>101</v>
      </c>
      <c r="D873" s="172" t="s">
        <v>102</v>
      </c>
      <c r="E873" s="172" t="s">
        <v>42</v>
      </c>
      <c r="F873" s="172" t="s">
        <v>84</v>
      </c>
      <c r="G873" s="172" t="s">
        <v>85</v>
      </c>
      <c r="H873" s="177">
        <v>1</v>
      </c>
      <c r="I873" s="178">
        <v>1600</v>
      </c>
      <c r="J873" s="176">
        <v>46023</v>
      </c>
      <c r="K873" s="172" t="s">
        <v>94</v>
      </c>
      <c r="L873" s="172" t="s">
        <v>95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967</v>
      </c>
      <c r="B874" s="176">
        <v>46031</v>
      </c>
      <c r="C874" s="172" t="s">
        <v>101</v>
      </c>
      <c r="D874" s="172" t="s">
        <v>103</v>
      </c>
      <c r="E874" s="172" t="s">
        <v>42</v>
      </c>
      <c r="F874" s="172" t="s">
        <v>84</v>
      </c>
      <c r="G874" s="172" t="s">
        <v>85</v>
      </c>
      <c r="H874" s="177">
        <v>1</v>
      </c>
      <c r="I874" s="178">
        <v>1600</v>
      </c>
      <c r="J874" s="176">
        <v>46023</v>
      </c>
      <c r="K874" s="172" t="s">
        <v>94</v>
      </c>
      <c r="L874" s="172" t="s">
        <v>95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967</v>
      </c>
      <c r="B875" s="176">
        <v>46031</v>
      </c>
      <c r="C875" s="172" t="s">
        <v>101</v>
      </c>
      <c r="D875" s="172" t="s">
        <v>104</v>
      </c>
      <c r="E875" s="172" t="s">
        <v>42</v>
      </c>
      <c r="F875" s="172" t="s">
        <v>84</v>
      </c>
      <c r="G875" s="172" t="s">
        <v>85</v>
      </c>
      <c r="H875" s="177">
        <v>1</v>
      </c>
      <c r="I875" s="178">
        <v>1600</v>
      </c>
      <c r="J875" s="176">
        <v>46023</v>
      </c>
      <c r="K875" s="172" t="s">
        <v>94</v>
      </c>
      <c r="L875" s="172" t="s">
        <v>95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967</v>
      </c>
      <c r="B876" s="176">
        <v>46031</v>
      </c>
      <c r="C876" s="172" t="s">
        <v>105</v>
      </c>
      <c r="D876" s="172" t="s">
        <v>106</v>
      </c>
      <c r="E876" s="172" t="s">
        <v>42</v>
      </c>
      <c r="F876" s="172" t="s">
        <v>84</v>
      </c>
      <c r="G876" s="172" t="s">
        <v>85</v>
      </c>
      <c r="H876" s="177">
        <v>1</v>
      </c>
      <c r="I876" s="178">
        <v>1600</v>
      </c>
      <c r="J876" s="176">
        <v>46023</v>
      </c>
      <c r="K876" s="172" t="s">
        <v>94</v>
      </c>
      <c r="L876" s="172" t="s">
        <v>95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968</v>
      </c>
      <c r="B877" s="176">
        <v>46031</v>
      </c>
      <c r="C877" s="172" t="s">
        <v>93</v>
      </c>
      <c r="D877" s="172" t="s">
        <v>24</v>
      </c>
      <c r="E877" s="172" t="s">
        <v>54</v>
      </c>
      <c r="F877" s="172" t="s">
        <v>121</v>
      </c>
      <c r="G877" s="172" t="s">
        <v>85</v>
      </c>
      <c r="H877" s="177">
        <v>1</v>
      </c>
      <c r="I877" s="178">
        <v>0</v>
      </c>
      <c r="J877" s="176">
        <v>46021</v>
      </c>
      <c r="K877" s="172" t="s">
        <v>94</v>
      </c>
      <c r="L877" s="172" t="s">
        <v>95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968</v>
      </c>
      <c r="B878" s="176">
        <v>46031</v>
      </c>
      <c r="C878" s="172" t="s">
        <v>82</v>
      </c>
      <c r="D878" s="172" t="s">
        <v>96</v>
      </c>
      <c r="E878" s="172" t="s">
        <v>54</v>
      </c>
      <c r="F878" s="172" t="s">
        <v>121</v>
      </c>
      <c r="G878" s="172" t="s">
        <v>85</v>
      </c>
      <c r="H878" s="177">
        <v>1</v>
      </c>
      <c r="I878" s="178">
        <v>0</v>
      </c>
      <c r="J878" s="176">
        <v>46021</v>
      </c>
      <c r="K878" s="172" t="s">
        <v>94</v>
      </c>
      <c r="L878" s="172" t="s">
        <v>95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968</v>
      </c>
      <c r="B879" s="176">
        <v>46031</v>
      </c>
      <c r="C879" s="172" t="s">
        <v>93</v>
      </c>
      <c r="D879" s="172" t="s">
        <v>97</v>
      </c>
      <c r="E879" s="172" t="s">
        <v>54</v>
      </c>
      <c r="F879" s="172" t="s">
        <v>121</v>
      </c>
      <c r="G879" s="172" t="s">
        <v>85</v>
      </c>
      <c r="H879" s="177">
        <v>1</v>
      </c>
      <c r="I879" s="178">
        <v>0</v>
      </c>
      <c r="J879" s="176">
        <v>46021</v>
      </c>
      <c r="K879" s="172" t="s">
        <v>94</v>
      </c>
      <c r="L879" s="172" t="s">
        <v>95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968</v>
      </c>
      <c r="B880" s="176">
        <v>46031</v>
      </c>
      <c r="C880" s="172" t="s">
        <v>93</v>
      </c>
      <c r="D880" s="172" t="s">
        <v>98</v>
      </c>
      <c r="E880" s="172" t="s">
        <v>54</v>
      </c>
      <c r="F880" s="172" t="s">
        <v>121</v>
      </c>
      <c r="G880" s="172" t="s">
        <v>85</v>
      </c>
      <c r="H880" s="177">
        <v>1</v>
      </c>
      <c r="I880" s="178">
        <v>0</v>
      </c>
      <c r="J880" s="176">
        <v>46021</v>
      </c>
      <c r="K880" s="172" t="s">
        <v>94</v>
      </c>
      <c r="L880" s="172" t="s">
        <v>95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968</v>
      </c>
      <c r="B881" s="176">
        <v>46031</v>
      </c>
      <c r="C881" s="172" t="s">
        <v>82</v>
      </c>
      <c r="D881" s="172" t="s">
        <v>99</v>
      </c>
      <c r="E881" s="172" t="s">
        <v>54</v>
      </c>
      <c r="F881" s="172" t="s">
        <v>121</v>
      </c>
      <c r="G881" s="172" t="s">
        <v>85</v>
      </c>
      <c r="H881" s="177">
        <v>1</v>
      </c>
      <c r="I881" s="178">
        <v>0</v>
      </c>
      <c r="J881" s="176">
        <v>46021</v>
      </c>
      <c r="K881" s="172" t="s">
        <v>94</v>
      </c>
      <c r="L881" s="172" t="s">
        <v>95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969</v>
      </c>
      <c r="B882" s="176">
        <v>46031</v>
      </c>
      <c r="C882" s="172" t="s">
        <v>82</v>
      </c>
      <c r="D882" s="172" t="s">
        <v>83</v>
      </c>
      <c r="E882" s="172" t="s">
        <v>44</v>
      </c>
      <c r="F882" s="172" t="s">
        <v>126</v>
      </c>
      <c r="G882" s="172" t="s">
        <v>85</v>
      </c>
      <c r="H882" s="177">
        <v>1</v>
      </c>
      <c r="I882" s="178">
        <v>0</v>
      </c>
      <c r="J882" s="176">
        <v>46031</v>
      </c>
      <c r="K882" s="172" t="s">
        <v>86</v>
      </c>
      <c r="L882" s="172" t="s">
        <v>86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970</v>
      </c>
      <c r="B883" s="176">
        <v>46031</v>
      </c>
      <c r="C883" s="172" t="s">
        <v>82</v>
      </c>
      <c r="D883" s="172" t="s">
        <v>83</v>
      </c>
      <c r="E883" s="172" t="s">
        <v>54</v>
      </c>
      <c r="F883" s="172" t="s">
        <v>121</v>
      </c>
      <c r="G883" s="172" t="s">
        <v>85</v>
      </c>
      <c r="H883" s="177">
        <v>1</v>
      </c>
      <c r="I883" s="178">
        <v>0</v>
      </c>
      <c r="J883" s="176">
        <v>46031</v>
      </c>
      <c r="K883" s="172" t="s">
        <v>86</v>
      </c>
      <c r="L883" s="172" t="s">
        <v>86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971</v>
      </c>
      <c r="B884" s="176">
        <v>46031</v>
      </c>
      <c r="C884" s="172" t="s">
        <v>93</v>
      </c>
      <c r="D884" s="172" t="s">
        <v>24</v>
      </c>
      <c r="E884" s="172" t="s">
        <v>42</v>
      </c>
      <c r="F884" s="172" t="s">
        <v>84</v>
      </c>
      <c r="G884" s="172" t="s">
        <v>85</v>
      </c>
      <c r="H884" s="177">
        <v>1</v>
      </c>
      <c r="I884" s="178">
        <v>1600</v>
      </c>
      <c r="J884" s="176">
        <v>46028</v>
      </c>
      <c r="K884" s="172" t="s">
        <v>94</v>
      </c>
      <c r="L884" s="172" t="s">
        <v>95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971</v>
      </c>
      <c r="B885" s="176">
        <v>46031</v>
      </c>
      <c r="C885" s="172" t="s">
        <v>101</v>
      </c>
      <c r="D885" s="172" t="s">
        <v>102</v>
      </c>
      <c r="E885" s="172" t="s">
        <v>42</v>
      </c>
      <c r="F885" s="172" t="s">
        <v>84</v>
      </c>
      <c r="G885" s="172" t="s">
        <v>85</v>
      </c>
      <c r="H885" s="177">
        <v>1</v>
      </c>
      <c r="I885" s="178">
        <v>1600</v>
      </c>
      <c r="J885" s="176">
        <v>46028</v>
      </c>
      <c r="K885" s="172" t="s">
        <v>94</v>
      </c>
      <c r="L885" s="172" t="s">
        <v>95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971</v>
      </c>
      <c r="B886" s="176">
        <v>46031</v>
      </c>
      <c r="C886" s="172" t="s">
        <v>101</v>
      </c>
      <c r="D886" s="172" t="s">
        <v>103</v>
      </c>
      <c r="E886" s="172" t="s">
        <v>42</v>
      </c>
      <c r="F886" s="172" t="s">
        <v>84</v>
      </c>
      <c r="G886" s="172" t="s">
        <v>85</v>
      </c>
      <c r="H886" s="177">
        <v>1</v>
      </c>
      <c r="I886" s="178">
        <v>1600</v>
      </c>
      <c r="J886" s="176">
        <v>46028</v>
      </c>
      <c r="K886" s="172" t="s">
        <v>94</v>
      </c>
      <c r="L886" s="172" t="s">
        <v>95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971</v>
      </c>
      <c r="B887" s="176">
        <v>46031</v>
      </c>
      <c r="C887" s="172" t="s">
        <v>101</v>
      </c>
      <c r="D887" s="172" t="s">
        <v>104</v>
      </c>
      <c r="E887" s="172" t="s">
        <v>42</v>
      </c>
      <c r="F887" s="172" t="s">
        <v>84</v>
      </c>
      <c r="G887" s="172" t="s">
        <v>85</v>
      </c>
      <c r="H887" s="177">
        <v>1</v>
      </c>
      <c r="I887" s="178">
        <v>1600</v>
      </c>
      <c r="J887" s="176">
        <v>46028</v>
      </c>
      <c r="K887" s="172" t="s">
        <v>94</v>
      </c>
      <c r="L887" s="172" t="s">
        <v>95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971</v>
      </c>
      <c r="B888" s="176">
        <v>46031</v>
      </c>
      <c r="C888" s="172" t="s">
        <v>105</v>
      </c>
      <c r="D888" s="172" t="s">
        <v>106</v>
      </c>
      <c r="E888" s="172" t="s">
        <v>42</v>
      </c>
      <c r="F888" s="172" t="s">
        <v>84</v>
      </c>
      <c r="G888" s="172" t="s">
        <v>85</v>
      </c>
      <c r="H888" s="177">
        <v>1</v>
      </c>
      <c r="I888" s="178">
        <v>1600</v>
      </c>
      <c r="J888" s="176">
        <v>46028</v>
      </c>
      <c r="K888" s="172" t="s">
        <v>94</v>
      </c>
      <c r="L888" s="172" t="s">
        <v>95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971</v>
      </c>
      <c r="B889" s="176">
        <v>46031</v>
      </c>
      <c r="C889" s="172" t="s">
        <v>82</v>
      </c>
      <c r="D889" s="172" t="s">
        <v>96</v>
      </c>
      <c r="E889" s="172" t="s">
        <v>42</v>
      </c>
      <c r="F889" s="172" t="s">
        <v>84</v>
      </c>
      <c r="G889" s="172" t="s">
        <v>85</v>
      </c>
      <c r="H889" s="177">
        <v>1</v>
      </c>
      <c r="I889" s="178">
        <v>1600</v>
      </c>
      <c r="J889" s="176">
        <v>46028</v>
      </c>
      <c r="K889" s="172" t="s">
        <v>94</v>
      </c>
      <c r="L889" s="172" t="s">
        <v>95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86</v>
      </c>
      <c r="B890" s="176">
        <v>46031</v>
      </c>
      <c r="C890" s="172" t="s">
        <v>110</v>
      </c>
      <c r="D890" s="172" t="s">
        <v>111</v>
      </c>
      <c r="E890" s="172" t="s">
        <v>86</v>
      </c>
      <c r="F890" s="172" t="s">
        <v>86</v>
      </c>
      <c r="G890" s="172" t="s">
        <v>972</v>
      </c>
      <c r="H890" s="177">
        <v>0</v>
      </c>
      <c r="I890" s="178">
        <v>0</v>
      </c>
      <c r="J890" s="176">
        <v>46031</v>
      </c>
      <c r="K890" s="172" t="s">
        <v>86</v>
      </c>
      <c r="L890" s="172" t="s">
        <v>86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973</v>
      </c>
      <c r="B891" s="176">
        <v>46031</v>
      </c>
      <c r="C891" s="172" t="s">
        <v>93</v>
      </c>
      <c r="D891" s="172" t="s">
        <v>24</v>
      </c>
      <c r="E891" s="172" t="s">
        <v>44</v>
      </c>
      <c r="F891" s="172" t="s">
        <v>126</v>
      </c>
      <c r="G891" s="172" t="s">
        <v>85</v>
      </c>
      <c r="H891" s="177">
        <v>1</v>
      </c>
      <c r="I891" s="178">
        <v>1202</v>
      </c>
      <c r="J891" s="176">
        <v>46026</v>
      </c>
      <c r="K891" s="172" t="s">
        <v>94</v>
      </c>
      <c r="L891" s="172" t="s">
        <v>95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973</v>
      </c>
      <c r="B892" s="176">
        <v>46031</v>
      </c>
      <c r="C892" s="172" t="s">
        <v>101</v>
      </c>
      <c r="D892" s="172" t="s">
        <v>102</v>
      </c>
      <c r="E892" s="172" t="s">
        <v>44</v>
      </c>
      <c r="F892" s="172" t="s">
        <v>126</v>
      </c>
      <c r="G892" s="172" t="s">
        <v>85</v>
      </c>
      <c r="H892" s="177">
        <v>1</v>
      </c>
      <c r="I892" s="178">
        <v>1202</v>
      </c>
      <c r="J892" s="176">
        <v>46026</v>
      </c>
      <c r="K892" s="172" t="s">
        <v>94</v>
      </c>
      <c r="L892" s="172" t="s">
        <v>95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973</v>
      </c>
      <c r="B893" s="176">
        <v>46031</v>
      </c>
      <c r="C893" s="172" t="s">
        <v>101</v>
      </c>
      <c r="D893" s="172" t="s">
        <v>103</v>
      </c>
      <c r="E893" s="172" t="s">
        <v>44</v>
      </c>
      <c r="F893" s="172" t="s">
        <v>126</v>
      </c>
      <c r="G893" s="172" t="s">
        <v>85</v>
      </c>
      <c r="H893" s="177">
        <v>1</v>
      </c>
      <c r="I893" s="178">
        <v>1202</v>
      </c>
      <c r="J893" s="176">
        <v>46026</v>
      </c>
      <c r="K893" s="172" t="s">
        <v>94</v>
      </c>
      <c r="L893" s="172" t="s">
        <v>95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973</v>
      </c>
      <c r="B894" s="176">
        <v>46031</v>
      </c>
      <c r="C894" s="172" t="s">
        <v>101</v>
      </c>
      <c r="D894" s="172" t="s">
        <v>104</v>
      </c>
      <c r="E894" s="172" t="s">
        <v>44</v>
      </c>
      <c r="F894" s="172" t="s">
        <v>126</v>
      </c>
      <c r="G894" s="172" t="s">
        <v>85</v>
      </c>
      <c r="H894" s="177">
        <v>1</v>
      </c>
      <c r="I894" s="178">
        <v>1202</v>
      </c>
      <c r="J894" s="176">
        <v>46026</v>
      </c>
      <c r="K894" s="172" t="s">
        <v>94</v>
      </c>
      <c r="L894" s="172" t="s">
        <v>95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973</v>
      </c>
      <c r="B895" s="176">
        <v>46031</v>
      </c>
      <c r="C895" s="172" t="s">
        <v>105</v>
      </c>
      <c r="D895" s="172" t="s">
        <v>106</v>
      </c>
      <c r="E895" s="172" t="s">
        <v>44</v>
      </c>
      <c r="F895" s="172" t="s">
        <v>126</v>
      </c>
      <c r="G895" s="172" t="s">
        <v>85</v>
      </c>
      <c r="H895" s="177">
        <v>1</v>
      </c>
      <c r="I895" s="178">
        <v>1202</v>
      </c>
      <c r="J895" s="176">
        <v>46026</v>
      </c>
      <c r="K895" s="172" t="s">
        <v>94</v>
      </c>
      <c r="L895" s="172" t="s">
        <v>95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973</v>
      </c>
      <c r="B896" s="176">
        <v>46031</v>
      </c>
      <c r="C896" s="172" t="s">
        <v>82</v>
      </c>
      <c r="D896" s="172" t="s">
        <v>96</v>
      </c>
      <c r="E896" s="172" t="s">
        <v>44</v>
      </c>
      <c r="F896" s="172" t="s">
        <v>126</v>
      </c>
      <c r="G896" s="172" t="s">
        <v>85</v>
      </c>
      <c r="H896" s="177">
        <v>1</v>
      </c>
      <c r="I896" s="178">
        <v>1202</v>
      </c>
      <c r="J896" s="176">
        <v>46026</v>
      </c>
      <c r="K896" s="172" t="s">
        <v>94</v>
      </c>
      <c r="L896" s="172" t="s">
        <v>95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974</v>
      </c>
      <c r="B897" s="176">
        <v>46031</v>
      </c>
      <c r="C897" s="172" t="s">
        <v>93</v>
      </c>
      <c r="D897" s="172" t="s">
        <v>24</v>
      </c>
      <c r="E897" s="172" t="s">
        <v>54</v>
      </c>
      <c r="F897" s="172" t="s">
        <v>121</v>
      </c>
      <c r="G897" s="172" t="s">
        <v>85</v>
      </c>
      <c r="H897" s="177">
        <v>1</v>
      </c>
      <c r="I897" s="178">
        <v>1845</v>
      </c>
      <c r="J897" s="176">
        <v>46025</v>
      </c>
      <c r="K897" s="172" t="s">
        <v>94</v>
      </c>
      <c r="L897" s="172" t="s">
        <v>95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974</v>
      </c>
      <c r="B898" s="176">
        <v>46031</v>
      </c>
      <c r="C898" s="172" t="s">
        <v>101</v>
      </c>
      <c r="D898" s="172" t="s">
        <v>102</v>
      </c>
      <c r="E898" s="172" t="s">
        <v>54</v>
      </c>
      <c r="F898" s="172" t="s">
        <v>121</v>
      </c>
      <c r="G898" s="172" t="s">
        <v>85</v>
      </c>
      <c r="H898" s="177">
        <v>1</v>
      </c>
      <c r="I898" s="178">
        <v>1845</v>
      </c>
      <c r="J898" s="176">
        <v>46025</v>
      </c>
      <c r="K898" s="172" t="s">
        <v>94</v>
      </c>
      <c r="L898" s="172" t="s">
        <v>95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974</v>
      </c>
      <c r="B899" s="176">
        <v>46031</v>
      </c>
      <c r="C899" s="172" t="s">
        <v>101</v>
      </c>
      <c r="D899" s="172" t="s">
        <v>103</v>
      </c>
      <c r="E899" s="172" t="s">
        <v>54</v>
      </c>
      <c r="F899" s="172" t="s">
        <v>121</v>
      </c>
      <c r="G899" s="172" t="s">
        <v>85</v>
      </c>
      <c r="H899" s="177">
        <v>1</v>
      </c>
      <c r="I899" s="178">
        <v>1845</v>
      </c>
      <c r="J899" s="176">
        <v>46025</v>
      </c>
      <c r="K899" s="172" t="s">
        <v>94</v>
      </c>
      <c r="L899" s="172" t="s">
        <v>95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974</v>
      </c>
      <c r="B900" s="176">
        <v>46031</v>
      </c>
      <c r="C900" s="172" t="s">
        <v>101</v>
      </c>
      <c r="D900" s="172" t="s">
        <v>104</v>
      </c>
      <c r="E900" s="172" t="s">
        <v>54</v>
      </c>
      <c r="F900" s="172" t="s">
        <v>121</v>
      </c>
      <c r="G900" s="172" t="s">
        <v>85</v>
      </c>
      <c r="H900" s="177">
        <v>1</v>
      </c>
      <c r="I900" s="178">
        <v>1845</v>
      </c>
      <c r="J900" s="176">
        <v>46025</v>
      </c>
      <c r="K900" s="172" t="s">
        <v>94</v>
      </c>
      <c r="L900" s="172" t="s">
        <v>95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974</v>
      </c>
      <c r="B901" s="176">
        <v>46031</v>
      </c>
      <c r="C901" s="172" t="s">
        <v>105</v>
      </c>
      <c r="D901" s="172" t="s">
        <v>106</v>
      </c>
      <c r="E901" s="172" t="s">
        <v>54</v>
      </c>
      <c r="F901" s="172" t="s">
        <v>121</v>
      </c>
      <c r="G901" s="172" t="s">
        <v>85</v>
      </c>
      <c r="H901" s="177">
        <v>1</v>
      </c>
      <c r="I901" s="178">
        <v>1845</v>
      </c>
      <c r="J901" s="176">
        <v>46025</v>
      </c>
      <c r="K901" s="172" t="s">
        <v>94</v>
      </c>
      <c r="L901" s="172" t="s">
        <v>95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974</v>
      </c>
      <c r="B902" s="176">
        <v>46031</v>
      </c>
      <c r="C902" s="172" t="s">
        <v>82</v>
      </c>
      <c r="D902" s="172" t="s">
        <v>96</v>
      </c>
      <c r="E902" s="172" t="s">
        <v>54</v>
      </c>
      <c r="F902" s="172" t="s">
        <v>121</v>
      </c>
      <c r="G902" s="172" t="s">
        <v>85</v>
      </c>
      <c r="H902" s="177">
        <v>1</v>
      </c>
      <c r="I902" s="178">
        <v>1845</v>
      </c>
      <c r="J902" s="176">
        <v>46025</v>
      </c>
      <c r="K902" s="172" t="s">
        <v>94</v>
      </c>
      <c r="L902" s="172" t="s">
        <v>95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973</v>
      </c>
      <c r="B903" s="176">
        <v>46031</v>
      </c>
      <c r="C903" s="172" t="s">
        <v>82</v>
      </c>
      <c r="D903" s="172" t="s">
        <v>83</v>
      </c>
      <c r="E903" s="172" t="s">
        <v>44</v>
      </c>
      <c r="F903" s="172" t="s">
        <v>126</v>
      </c>
      <c r="G903" s="172" t="s">
        <v>85</v>
      </c>
      <c r="H903" s="177">
        <v>1</v>
      </c>
      <c r="I903" s="178">
        <v>0</v>
      </c>
      <c r="J903" s="176">
        <v>46026</v>
      </c>
      <c r="K903" s="172" t="s">
        <v>86</v>
      </c>
      <c r="L903" s="172" t="s">
        <v>86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975</v>
      </c>
      <c r="B904" s="176">
        <v>46031</v>
      </c>
      <c r="C904" s="172" t="s">
        <v>93</v>
      </c>
      <c r="D904" s="172" t="s">
        <v>24</v>
      </c>
      <c r="E904" s="172" t="s">
        <v>42</v>
      </c>
      <c r="F904" s="172" t="s">
        <v>84</v>
      </c>
      <c r="G904" s="172" t="s">
        <v>85</v>
      </c>
      <c r="H904" s="177">
        <v>1</v>
      </c>
      <c r="I904" s="178">
        <v>1600</v>
      </c>
      <c r="J904" s="176">
        <v>46029</v>
      </c>
      <c r="K904" s="172" t="s">
        <v>94</v>
      </c>
      <c r="L904" s="172" t="s">
        <v>95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975</v>
      </c>
      <c r="B905" s="176">
        <v>46031</v>
      </c>
      <c r="C905" s="172" t="s">
        <v>101</v>
      </c>
      <c r="D905" s="172" t="s">
        <v>102</v>
      </c>
      <c r="E905" s="172" t="s">
        <v>42</v>
      </c>
      <c r="F905" s="172" t="s">
        <v>84</v>
      </c>
      <c r="G905" s="172" t="s">
        <v>85</v>
      </c>
      <c r="H905" s="177">
        <v>1</v>
      </c>
      <c r="I905" s="178">
        <v>1600</v>
      </c>
      <c r="J905" s="176">
        <v>46029</v>
      </c>
      <c r="K905" s="172" t="s">
        <v>94</v>
      </c>
      <c r="L905" s="172" t="s">
        <v>95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975</v>
      </c>
      <c r="B906" s="176">
        <v>46031</v>
      </c>
      <c r="C906" s="172" t="s">
        <v>101</v>
      </c>
      <c r="D906" s="172" t="s">
        <v>103</v>
      </c>
      <c r="E906" s="172" t="s">
        <v>42</v>
      </c>
      <c r="F906" s="172" t="s">
        <v>84</v>
      </c>
      <c r="G906" s="172" t="s">
        <v>85</v>
      </c>
      <c r="H906" s="177">
        <v>1</v>
      </c>
      <c r="I906" s="178">
        <v>1600</v>
      </c>
      <c r="J906" s="176">
        <v>46029</v>
      </c>
      <c r="K906" s="172" t="s">
        <v>94</v>
      </c>
      <c r="L906" s="172" t="s">
        <v>95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975</v>
      </c>
      <c r="B907" s="176">
        <v>46031</v>
      </c>
      <c r="C907" s="172" t="s">
        <v>101</v>
      </c>
      <c r="D907" s="172" t="s">
        <v>104</v>
      </c>
      <c r="E907" s="172" t="s">
        <v>42</v>
      </c>
      <c r="F907" s="172" t="s">
        <v>84</v>
      </c>
      <c r="G907" s="172" t="s">
        <v>85</v>
      </c>
      <c r="H907" s="177">
        <v>1</v>
      </c>
      <c r="I907" s="178">
        <v>1600</v>
      </c>
      <c r="J907" s="176">
        <v>46029</v>
      </c>
      <c r="K907" s="172" t="s">
        <v>94</v>
      </c>
      <c r="L907" s="172" t="s">
        <v>95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975</v>
      </c>
      <c r="B908" s="176">
        <v>46031</v>
      </c>
      <c r="C908" s="172" t="s">
        <v>105</v>
      </c>
      <c r="D908" s="172" t="s">
        <v>106</v>
      </c>
      <c r="E908" s="172" t="s">
        <v>42</v>
      </c>
      <c r="F908" s="172" t="s">
        <v>84</v>
      </c>
      <c r="G908" s="172" t="s">
        <v>85</v>
      </c>
      <c r="H908" s="177">
        <v>1</v>
      </c>
      <c r="I908" s="178">
        <v>1600</v>
      </c>
      <c r="J908" s="176">
        <v>46029</v>
      </c>
      <c r="K908" s="172" t="s">
        <v>94</v>
      </c>
      <c r="L908" s="172" t="s">
        <v>95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975</v>
      </c>
      <c r="B909" s="176">
        <v>46031</v>
      </c>
      <c r="C909" s="172" t="s">
        <v>82</v>
      </c>
      <c r="D909" s="172" t="s">
        <v>96</v>
      </c>
      <c r="E909" s="172" t="s">
        <v>42</v>
      </c>
      <c r="F909" s="172" t="s">
        <v>84</v>
      </c>
      <c r="G909" s="172" t="s">
        <v>85</v>
      </c>
      <c r="H909" s="177">
        <v>1</v>
      </c>
      <c r="I909" s="178">
        <v>1600</v>
      </c>
      <c r="J909" s="176">
        <v>46029</v>
      </c>
      <c r="K909" s="172" t="s">
        <v>94</v>
      </c>
      <c r="L909" s="172" t="s">
        <v>95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976</v>
      </c>
      <c r="B910" s="176">
        <v>46031</v>
      </c>
      <c r="C910" s="172" t="s">
        <v>82</v>
      </c>
      <c r="D910" s="172" t="s">
        <v>83</v>
      </c>
      <c r="E910" s="172" t="s">
        <v>53</v>
      </c>
      <c r="F910" s="172" t="s">
        <v>91</v>
      </c>
      <c r="G910" s="172" t="s">
        <v>85</v>
      </c>
      <c r="H910" s="177">
        <v>1</v>
      </c>
      <c r="I910" s="178">
        <v>0</v>
      </c>
      <c r="J910" s="176">
        <v>46031</v>
      </c>
      <c r="K910" s="172" t="s">
        <v>86</v>
      </c>
      <c r="L910" s="172" t="s">
        <v>86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977</v>
      </c>
      <c r="B911" s="176">
        <v>46031</v>
      </c>
      <c r="C911" s="172" t="s">
        <v>93</v>
      </c>
      <c r="D911" s="172" t="s">
        <v>24</v>
      </c>
      <c r="E911" s="172" t="s">
        <v>53</v>
      </c>
      <c r="F911" s="172" t="s">
        <v>91</v>
      </c>
      <c r="G911" s="172" t="s">
        <v>85</v>
      </c>
      <c r="H911" s="177">
        <v>1</v>
      </c>
      <c r="I911" s="178">
        <v>1621</v>
      </c>
      <c r="J911" s="176">
        <v>46024</v>
      </c>
      <c r="K911" s="172" t="s">
        <v>94</v>
      </c>
      <c r="L911" s="172" t="s">
        <v>95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977</v>
      </c>
      <c r="B912" s="176">
        <v>46031</v>
      </c>
      <c r="C912" s="172" t="s">
        <v>101</v>
      </c>
      <c r="D912" s="172" t="s">
        <v>102</v>
      </c>
      <c r="E912" s="172" t="s">
        <v>53</v>
      </c>
      <c r="F912" s="172" t="s">
        <v>91</v>
      </c>
      <c r="G912" s="172" t="s">
        <v>85</v>
      </c>
      <c r="H912" s="177">
        <v>1</v>
      </c>
      <c r="I912" s="178">
        <v>1621</v>
      </c>
      <c r="J912" s="176">
        <v>46024</v>
      </c>
      <c r="K912" s="172" t="s">
        <v>94</v>
      </c>
      <c r="L912" s="172" t="s">
        <v>95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977</v>
      </c>
      <c r="B913" s="176">
        <v>46031</v>
      </c>
      <c r="C913" s="172" t="s">
        <v>101</v>
      </c>
      <c r="D913" s="172" t="s">
        <v>103</v>
      </c>
      <c r="E913" s="172" t="s">
        <v>53</v>
      </c>
      <c r="F913" s="172" t="s">
        <v>91</v>
      </c>
      <c r="G913" s="172" t="s">
        <v>85</v>
      </c>
      <c r="H913" s="177">
        <v>1</v>
      </c>
      <c r="I913" s="178">
        <v>1621</v>
      </c>
      <c r="J913" s="176">
        <v>46024</v>
      </c>
      <c r="K913" s="172" t="s">
        <v>94</v>
      </c>
      <c r="L913" s="172" t="s">
        <v>95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977</v>
      </c>
      <c r="B914" s="176">
        <v>46031</v>
      </c>
      <c r="C914" s="172" t="s">
        <v>101</v>
      </c>
      <c r="D914" s="172" t="s">
        <v>104</v>
      </c>
      <c r="E914" s="172" t="s">
        <v>53</v>
      </c>
      <c r="F914" s="172" t="s">
        <v>91</v>
      </c>
      <c r="G914" s="172" t="s">
        <v>85</v>
      </c>
      <c r="H914" s="177">
        <v>1</v>
      </c>
      <c r="I914" s="178">
        <v>1621</v>
      </c>
      <c r="J914" s="176">
        <v>46024</v>
      </c>
      <c r="K914" s="172" t="s">
        <v>94</v>
      </c>
      <c r="L914" s="172" t="s">
        <v>95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977</v>
      </c>
      <c r="B915" s="176">
        <v>46031</v>
      </c>
      <c r="C915" s="172" t="s">
        <v>105</v>
      </c>
      <c r="D915" s="172" t="s">
        <v>106</v>
      </c>
      <c r="E915" s="172" t="s">
        <v>53</v>
      </c>
      <c r="F915" s="172" t="s">
        <v>91</v>
      </c>
      <c r="G915" s="172" t="s">
        <v>85</v>
      </c>
      <c r="H915" s="177">
        <v>1</v>
      </c>
      <c r="I915" s="178">
        <v>1621</v>
      </c>
      <c r="J915" s="176">
        <v>46024</v>
      </c>
      <c r="K915" s="172" t="s">
        <v>94</v>
      </c>
      <c r="L915" s="172" t="s">
        <v>95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977</v>
      </c>
      <c r="B916" s="176">
        <v>46031</v>
      </c>
      <c r="C916" s="172" t="s">
        <v>82</v>
      </c>
      <c r="D916" s="172" t="s">
        <v>96</v>
      </c>
      <c r="E916" s="172" t="s">
        <v>53</v>
      </c>
      <c r="F916" s="172" t="s">
        <v>91</v>
      </c>
      <c r="G916" s="172" t="s">
        <v>85</v>
      </c>
      <c r="H916" s="177">
        <v>1</v>
      </c>
      <c r="I916" s="178">
        <v>1621</v>
      </c>
      <c r="J916" s="176">
        <v>46024</v>
      </c>
      <c r="K916" s="172" t="s">
        <v>94</v>
      </c>
      <c r="L916" s="172" t="s">
        <v>95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977</v>
      </c>
      <c r="B917" s="176">
        <v>46031</v>
      </c>
      <c r="C917" s="172" t="s">
        <v>82</v>
      </c>
      <c r="D917" s="172" t="s">
        <v>83</v>
      </c>
      <c r="E917" s="172" t="s">
        <v>53</v>
      </c>
      <c r="F917" s="172" t="s">
        <v>91</v>
      </c>
      <c r="G917" s="172" t="s">
        <v>85</v>
      </c>
      <c r="H917" s="177">
        <v>1</v>
      </c>
      <c r="I917" s="178">
        <v>0</v>
      </c>
      <c r="J917" s="176">
        <v>46024</v>
      </c>
      <c r="K917" s="172" t="s">
        <v>86</v>
      </c>
      <c r="L917" s="172" t="s">
        <v>86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978</v>
      </c>
      <c r="B918" s="176">
        <v>46031</v>
      </c>
      <c r="C918" s="172" t="s">
        <v>82</v>
      </c>
      <c r="D918" s="172" t="s">
        <v>83</v>
      </c>
      <c r="E918" s="172" t="s">
        <v>43</v>
      </c>
      <c r="F918" s="172" t="s">
        <v>90</v>
      </c>
      <c r="G918" s="172" t="s">
        <v>85</v>
      </c>
      <c r="H918" s="177">
        <v>1</v>
      </c>
      <c r="I918" s="178">
        <v>0</v>
      </c>
      <c r="J918" s="176">
        <v>46031</v>
      </c>
      <c r="K918" s="172" t="s">
        <v>86</v>
      </c>
      <c r="L918" s="172" t="s">
        <v>86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979</v>
      </c>
      <c r="B919" s="176">
        <v>46031</v>
      </c>
      <c r="C919" s="172" t="s">
        <v>93</v>
      </c>
      <c r="D919" s="172" t="s">
        <v>24</v>
      </c>
      <c r="E919" s="172" t="s">
        <v>54</v>
      </c>
      <c r="F919" s="172" t="s">
        <v>121</v>
      </c>
      <c r="G919" s="172" t="s">
        <v>85</v>
      </c>
      <c r="H919" s="177">
        <v>1</v>
      </c>
      <c r="I919" s="178">
        <v>1845</v>
      </c>
      <c r="J919" s="176">
        <v>46026</v>
      </c>
      <c r="K919" s="172" t="s">
        <v>94</v>
      </c>
      <c r="L919" s="172" t="s">
        <v>95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979</v>
      </c>
      <c r="B920" s="176">
        <v>46031</v>
      </c>
      <c r="C920" s="172" t="s">
        <v>101</v>
      </c>
      <c r="D920" s="172" t="s">
        <v>102</v>
      </c>
      <c r="E920" s="172" t="s">
        <v>54</v>
      </c>
      <c r="F920" s="172" t="s">
        <v>121</v>
      </c>
      <c r="G920" s="172" t="s">
        <v>85</v>
      </c>
      <c r="H920" s="177">
        <v>1</v>
      </c>
      <c r="I920" s="178">
        <v>1845</v>
      </c>
      <c r="J920" s="176">
        <v>46026</v>
      </c>
      <c r="K920" s="172" t="s">
        <v>94</v>
      </c>
      <c r="L920" s="172" t="s">
        <v>95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979</v>
      </c>
      <c r="B921" s="176">
        <v>46031</v>
      </c>
      <c r="C921" s="172" t="s">
        <v>101</v>
      </c>
      <c r="D921" s="172" t="s">
        <v>103</v>
      </c>
      <c r="E921" s="172" t="s">
        <v>54</v>
      </c>
      <c r="F921" s="172" t="s">
        <v>121</v>
      </c>
      <c r="G921" s="172" t="s">
        <v>85</v>
      </c>
      <c r="H921" s="177">
        <v>1</v>
      </c>
      <c r="I921" s="178">
        <v>1845</v>
      </c>
      <c r="J921" s="176">
        <v>46026</v>
      </c>
      <c r="K921" s="172" t="s">
        <v>94</v>
      </c>
      <c r="L921" s="172" t="s">
        <v>95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979</v>
      </c>
      <c r="B922" s="176">
        <v>46031</v>
      </c>
      <c r="C922" s="172" t="s">
        <v>101</v>
      </c>
      <c r="D922" s="172" t="s">
        <v>104</v>
      </c>
      <c r="E922" s="172" t="s">
        <v>54</v>
      </c>
      <c r="F922" s="172" t="s">
        <v>121</v>
      </c>
      <c r="G922" s="172" t="s">
        <v>85</v>
      </c>
      <c r="H922" s="177">
        <v>1</v>
      </c>
      <c r="I922" s="178">
        <v>1845</v>
      </c>
      <c r="J922" s="176">
        <v>46026</v>
      </c>
      <c r="K922" s="172" t="s">
        <v>94</v>
      </c>
      <c r="L922" s="172" t="s">
        <v>95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979</v>
      </c>
      <c r="B923" s="176">
        <v>46031</v>
      </c>
      <c r="C923" s="172" t="s">
        <v>105</v>
      </c>
      <c r="D923" s="172" t="s">
        <v>106</v>
      </c>
      <c r="E923" s="172" t="s">
        <v>54</v>
      </c>
      <c r="F923" s="172" t="s">
        <v>121</v>
      </c>
      <c r="G923" s="172" t="s">
        <v>85</v>
      </c>
      <c r="H923" s="177">
        <v>1</v>
      </c>
      <c r="I923" s="178">
        <v>1845</v>
      </c>
      <c r="J923" s="176">
        <v>46026</v>
      </c>
      <c r="K923" s="172" t="s">
        <v>94</v>
      </c>
      <c r="L923" s="172" t="s">
        <v>95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979</v>
      </c>
      <c r="B924" s="176">
        <v>46031</v>
      </c>
      <c r="C924" s="172" t="s">
        <v>82</v>
      </c>
      <c r="D924" s="172" t="s">
        <v>96</v>
      </c>
      <c r="E924" s="172" t="s">
        <v>54</v>
      </c>
      <c r="F924" s="172" t="s">
        <v>121</v>
      </c>
      <c r="G924" s="172" t="s">
        <v>85</v>
      </c>
      <c r="H924" s="177">
        <v>1</v>
      </c>
      <c r="I924" s="178">
        <v>1845</v>
      </c>
      <c r="J924" s="176">
        <v>46026</v>
      </c>
      <c r="K924" s="172" t="s">
        <v>94</v>
      </c>
      <c r="L924" s="172" t="s">
        <v>95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980</v>
      </c>
      <c r="B925" s="176">
        <v>46031</v>
      </c>
      <c r="C925" s="172" t="s">
        <v>82</v>
      </c>
      <c r="D925" s="172" t="s">
        <v>83</v>
      </c>
      <c r="E925" s="172" t="s">
        <v>44</v>
      </c>
      <c r="F925" s="172" t="s">
        <v>126</v>
      </c>
      <c r="G925" s="172" t="s">
        <v>85</v>
      </c>
      <c r="H925" s="177">
        <v>1</v>
      </c>
      <c r="I925" s="178">
        <v>0</v>
      </c>
      <c r="J925" s="176">
        <v>46031</v>
      </c>
      <c r="K925" s="172" t="s">
        <v>86</v>
      </c>
      <c r="L925" s="172" t="s">
        <v>86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981</v>
      </c>
      <c r="B926" s="176">
        <v>46031</v>
      </c>
      <c r="C926" s="172" t="s">
        <v>93</v>
      </c>
      <c r="D926" s="172" t="s">
        <v>24</v>
      </c>
      <c r="E926" s="172" t="s">
        <v>53</v>
      </c>
      <c r="F926" s="172" t="s">
        <v>91</v>
      </c>
      <c r="G926" s="172" t="s">
        <v>85</v>
      </c>
      <c r="H926" s="177">
        <v>1</v>
      </c>
      <c r="I926" s="178">
        <v>1621</v>
      </c>
      <c r="J926" s="176">
        <v>46029</v>
      </c>
      <c r="K926" s="172" t="s">
        <v>94</v>
      </c>
      <c r="L926" s="172" t="s">
        <v>95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981</v>
      </c>
      <c r="B927" s="176">
        <v>46031</v>
      </c>
      <c r="C927" s="172" t="s">
        <v>101</v>
      </c>
      <c r="D927" s="172" t="s">
        <v>102</v>
      </c>
      <c r="E927" s="172" t="s">
        <v>53</v>
      </c>
      <c r="F927" s="172" t="s">
        <v>91</v>
      </c>
      <c r="G927" s="172" t="s">
        <v>85</v>
      </c>
      <c r="H927" s="177">
        <v>1</v>
      </c>
      <c r="I927" s="178">
        <v>1621</v>
      </c>
      <c r="J927" s="176">
        <v>46029</v>
      </c>
      <c r="K927" s="172" t="s">
        <v>94</v>
      </c>
      <c r="L927" s="172" t="s">
        <v>95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981</v>
      </c>
      <c r="B928" s="176">
        <v>46031</v>
      </c>
      <c r="C928" s="172" t="s">
        <v>101</v>
      </c>
      <c r="D928" s="172" t="s">
        <v>103</v>
      </c>
      <c r="E928" s="172" t="s">
        <v>53</v>
      </c>
      <c r="F928" s="172" t="s">
        <v>91</v>
      </c>
      <c r="G928" s="172" t="s">
        <v>85</v>
      </c>
      <c r="H928" s="177">
        <v>1</v>
      </c>
      <c r="I928" s="178">
        <v>1621</v>
      </c>
      <c r="J928" s="176">
        <v>46029</v>
      </c>
      <c r="K928" s="172" t="s">
        <v>94</v>
      </c>
      <c r="L928" s="172" t="s">
        <v>95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981</v>
      </c>
      <c r="B929" s="176">
        <v>46031</v>
      </c>
      <c r="C929" s="172" t="s">
        <v>101</v>
      </c>
      <c r="D929" s="172" t="s">
        <v>104</v>
      </c>
      <c r="E929" s="172" t="s">
        <v>53</v>
      </c>
      <c r="F929" s="172" t="s">
        <v>91</v>
      </c>
      <c r="G929" s="172" t="s">
        <v>85</v>
      </c>
      <c r="H929" s="177">
        <v>1</v>
      </c>
      <c r="I929" s="178">
        <v>1621</v>
      </c>
      <c r="J929" s="176">
        <v>46029</v>
      </c>
      <c r="K929" s="172" t="s">
        <v>94</v>
      </c>
      <c r="L929" s="172" t="s">
        <v>95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981</v>
      </c>
      <c r="B930" s="176">
        <v>46031</v>
      </c>
      <c r="C930" s="172" t="s">
        <v>105</v>
      </c>
      <c r="D930" s="172" t="s">
        <v>106</v>
      </c>
      <c r="E930" s="172" t="s">
        <v>53</v>
      </c>
      <c r="F930" s="172" t="s">
        <v>91</v>
      </c>
      <c r="G930" s="172" t="s">
        <v>85</v>
      </c>
      <c r="H930" s="177">
        <v>1</v>
      </c>
      <c r="I930" s="178">
        <v>1621</v>
      </c>
      <c r="J930" s="176">
        <v>46029</v>
      </c>
      <c r="K930" s="172" t="s">
        <v>94</v>
      </c>
      <c r="L930" s="172" t="s">
        <v>95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981</v>
      </c>
      <c r="B931" s="176">
        <v>46031</v>
      </c>
      <c r="C931" s="172" t="s">
        <v>82</v>
      </c>
      <c r="D931" s="172" t="s">
        <v>96</v>
      </c>
      <c r="E931" s="172" t="s">
        <v>53</v>
      </c>
      <c r="F931" s="172" t="s">
        <v>91</v>
      </c>
      <c r="G931" s="172" t="s">
        <v>85</v>
      </c>
      <c r="H931" s="177">
        <v>1</v>
      </c>
      <c r="I931" s="178">
        <v>1621</v>
      </c>
      <c r="J931" s="176">
        <v>46029</v>
      </c>
      <c r="K931" s="172" t="s">
        <v>94</v>
      </c>
      <c r="L931" s="172" t="s">
        <v>95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982</v>
      </c>
      <c r="B932" s="176">
        <v>46031</v>
      </c>
      <c r="C932" s="172" t="s">
        <v>82</v>
      </c>
      <c r="D932" s="172" t="s">
        <v>83</v>
      </c>
      <c r="E932" s="172" t="s">
        <v>43</v>
      </c>
      <c r="F932" s="172" t="s">
        <v>90</v>
      </c>
      <c r="G932" s="172" t="s">
        <v>85</v>
      </c>
      <c r="H932" s="177">
        <v>1</v>
      </c>
      <c r="I932" s="178">
        <v>0</v>
      </c>
      <c r="J932" s="176">
        <v>46031</v>
      </c>
      <c r="K932" s="172" t="s">
        <v>86</v>
      </c>
      <c r="L932" s="172" t="s">
        <v>86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983</v>
      </c>
      <c r="B933" s="176">
        <v>46031</v>
      </c>
      <c r="C933" s="172" t="s">
        <v>93</v>
      </c>
      <c r="D933" s="172" t="s">
        <v>97</v>
      </c>
      <c r="E933" s="172" t="s">
        <v>54</v>
      </c>
      <c r="F933" s="172" t="s">
        <v>121</v>
      </c>
      <c r="G933" s="172" t="s">
        <v>85</v>
      </c>
      <c r="H933" s="177">
        <v>1</v>
      </c>
      <c r="I933" s="178">
        <v>0</v>
      </c>
      <c r="J933" s="176">
        <v>46013</v>
      </c>
      <c r="K933" s="172" t="s">
        <v>94</v>
      </c>
      <c r="L933" s="172" t="s">
        <v>95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983</v>
      </c>
      <c r="B934" s="176">
        <v>46031</v>
      </c>
      <c r="C934" s="172" t="s">
        <v>93</v>
      </c>
      <c r="D934" s="172" t="s">
        <v>98</v>
      </c>
      <c r="E934" s="172" t="s">
        <v>54</v>
      </c>
      <c r="F934" s="172" t="s">
        <v>121</v>
      </c>
      <c r="G934" s="172" t="s">
        <v>85</v>
      </c>
      <c r="H934" s="177">
        <v>1</v>
      </c>
      <c r="I934" s="178">
        <v>0</v>
      </c>
      <c r="J934" s="176">
        <v>46013</v>
      </c>
      <c r="K934" s="172" t="s">
        <v>94</v>
      </c>
      <c r="L934" s="172" t="s">
        <v>95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983</v>
      </c>
      <c r="B935" s="176">
        <v>46031</v>
      </c>
      <c r="C935" s="172" t="s">
        <v>93</v>
      </c>
      <c r="D935" s="172" t="s">
        <v>24</v>
      </c>
      <c r="E935" s="172" t="s">
        <v>54</v>
      </c>
      <c r="F935" s="172" t="s">
        <v>121</v>
      </c>
      <c r="G935" s="172" t="s">
        <v>85</v>
      </c>
      <c r="H935" s="177">
        <v>1</v>
      </c>
      <c r="I935" s="178">
        <v>0</v>
      </c>
      <c r="J935" s="176">
        <v>46013</v>
      </c>
      <c r="K935" s="172" t="s">
        <v>94</v>
      </c>
      <c r="L935" s="172" t="s">
        <v>95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983</v>
      </c>
      <c r="B936" s="176">
        <v>46031</v>
      </c>
      <c r="C936" s="172" t="s">
        <v>82</v>
      </c>
      <c r="D936" s="172" t="s">
        <v>96</v>
      </c>
      <c r="E936" s="172" t="s">
        <v>54</v>
      </c>
      <c r="F936" s="172" t="s">
        <v>121</v>
      </c>
      <c r="G936" s="172" t="s">
        <v>85</v>
      </c>
      <c r="H936" s="177">
        <v>1</v>
      </c>
      <c r="I936" s="178">
        <v>0</v>
      </c>
      <c r="J936" s="176">
        <v>46013</v>
      </c>
      <c r="K936" s="172" t="s">
        <v>94</v>
      </c>
      <c r="L936" s="172" t="s">
        <v>95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981</v>
      </c>
      <c r="B937" s="176">
        <v>46031</v>
      </c>
      <c r="C937" s="172" t="s">
        <v>82</v>
      </c>
      <c r="D937" s="172" t="s">
        <v>83</v>
      </c>
      <c r="E937" s="172" t="s">
        <v>53</v>
      </c>
      <c r="F937" s="172" t="s">
        <v>91</v>
      </c>
      <c r="G937" s="172" t="s">
        <v>85</v>
      </c>
      <c r="H937" s="177">
        <v>1</v>
      </c>
      <c r="I937" s="178">
        <v>0</v>
      </c>
      <c r="J937" s="176">
        <v>46029</v>
      </c>
      <c r="K937" s="172" t="s">
        <v>86</v>
      </c>
      <c r="L937" s="172" t="s">
        <v>86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984</v>
      </c>
      <c r="B938" s="176">
        <v>46031</v>
      </c>
      <c r="C938" s="172" t="s">
        <v>82</v>
      </c>
      <c r="D938" s="172" t="s">
        <v>83</v>
      </c>
      <c r="E938" s="172" t="s">
        <v>53</v>
      </c>
      <c r="F938" s="172" t="s">
        <v>91</v>
      </c>
      <c r="G938" s="172" t="s">
        <v>85</v>
      </c>
      <c r="H938" s="177">
        <v>1</v>
      </c>
      <c r="I938" s="178">
        <v>0</v>
      </c>
      <c r="J938" s="176">
        <v>46031</v>
      </c>
      <c r="K938" s="172" t="s">
        <v>86</v>
      </c>
      <c r="L938" s="172" t="s">
        <v>86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985</v>
      </c>
      <c r="B939" s="176">
        <v>46031</v>
      </c>
      <c r="C939" s="172" t="s">
        <v>93</v>
      </c>
      <c r="D939" s="172" t="s">
        <v>24</v>
      </c>
      <c r="E939" s="172" t="s">
        <v>42</v>
      </c>
      <c r="F939" s="172" t="s">
        <v>84</v>
      </c>
      <c r="G939" s="172" t="s">
        <v>85</v>
      </c>
      <c r="H939" s="177">
        <v>1</v>
      </c>
      <c r="I939" s="178">
        <v>1600</v>
      </c>
      <c r="J939" s="176">
        <v>46027</v>
      </c>
      <c r="K939" s="172" t="s">
        <v>94</v>
      </c>
      <c r="L939" s="172" t="s">
        <v>95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985</v>
      </c>
      <c r="B940" s="176">
        <v>46031</v>
      </c>
      <c r="C940" s="172" t="s">
        <v>101</v>
      </c>
      <c r="D940" s="172" t="s">
        <v>102</v>
      </c>
      <c r="E940" s="172" t="s">
        <v>42</v>
      </c>
      <c r="F940" s="172" t="s">
        <v>84</v>
      </c>
      <c r="G940" s="172" t="s">
        <v>85</v>
      </c>
      <c r="H940" s="177">
        <v>1</v>
      </c>
      <c r="I940" s="178">
        <v>1600</v>
      </c>
      <c r="J940" s="176">
        <v>46027</v>
      </c>
      <c r="K940" s="172" t="s">
        <v>94</v>
      </c>
      <c r="L940" s="172" t="s">
        <v>95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985</v>
      </c>
      <c r="B941" s="176">
        <v>46031</v>
      </c>
      <c r="C941" s="172" t="s">
        <v>101</v>
      </c>
      <c r="D941" s="172" t="s">
        <v>103</v>
      </c>
      <c r="E941" s="172" t="s">
        <v>42</v>
      </c>
      <c r="F941" s="172" t="s">
        <v>84</v>
      </c>
      <c r="G941" s="172" t="s">
        <v>85</v>
      </c>
      <c r="H941" s="177">
        <v>1</v>
      </c>
      <c r="I941" s="178">
        <v>1600</v>
      </c>
      <c r="J941" s="176">
        <v>46027</v>
      </c>
      <c r="K941" s="172" t="s">
        <v>94</v>
      </c>
      <c r="L941" s="172" t="s">
        <v>95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985</v>
      </c>
      <c r="B942" s="176">
        <v>46031</v>
      </c>
      <c r="C942" s="172" t="s">
        <v>101</v>
      </c>
      <c r="D942" s="172" t="s">
        <v>104</v>
      </c>
      <c r="E942" s="172" t="s">
        <v>42</v>
      </c>
      <c r="F942" s="172" t="s">
        <v>84</v>
      </c>
      <c r="G942" s="172" t="s">
        <v>85</v>
      </c>
      <c r="H942" s="177">
        <v>1</v>
      </c>
      <c r="I942" s="178">
        <v>1600</v>
      </c>
      <c r="J942" s="176">
        <v>46027</v>
      </c>
      <c r="K942" s="172" t="s">
        <v>94</v>
      </c>
      <c r="L942" s="172" t="s">
        <v>95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985</v>
      </c>
      <c r="B943" s="176">
        <v>46031</v>
      </c>
      <c r="C943" s="172" t="s">
        <v>105</v>
      </c>
      <c r="D943" s="172" t="s">
        <v>106</v>
      </c>
      <c r="E943" s="172" t="s">
        <v>42</v>
      </c>
      <c r="F943" s="172" t="s">
        <v>84</v>
      </c>
      <c r="G943" s="172" t="s">
        <v>85</v>
      </c>
      <c r="H943" s="177">
        <v>1</v>
      </c>
      <c r="I943" s="178">
        <v>1600</v>
      </c>
      <c r="J943" s="176">
        <v>46027</v>
      </c>
      <c r="K943" s="172" t="s">
        <v>94</v>
      </c>
      <c r="L943" s="172" t="s">
        <v>95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986</v>
      </c>
      <c r="B944" s="176">
        <v>46031</v>
      </c>
      <c r="C944" s="172" t="s">
        <v>93</v>
      </c>
      <c r="D944" s="172" t="s">
        <v>24</v>
      </c>
      <c r="E944" s="172" t="s">
        <v>53</v>
      </c>
      <c r="F944" s="172" t="s">
        <v>91</v>
      </c>
      <c r="G944" s="172" t="s">
        <v>85</v>
      </c>
      <c r="H944" s="177">
        <v>1</v>
      </c>
      <c r="I944" s="178">
        <v>1621</v>
      </c>
      <c r="J944" s="176">
        <v>46027</v>
      </c>
      <c r="K944" s="172" t="s">
        <v>94</v>
      </c>
      <c r="L944" s="172" t="s">
        <v>95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986</v>
      </c>
      <c r="B945" s="176">
        <v>46031</v>
      </c>
      <c r="C945" s="172" t="s">
        <v>101</v>
      </c>
      <c r="D945" s="172" t="s">
        <v>102</v>
      </c>
      <c r="E945" s="172" t="s">
        <v>53</v>
      </c>
      <c r="F945" s="172" t="s">
        <v>91</v>
      </c>
      <c r="G945" s="172" t="s">
        <v>85</v>
      </c>
      <c r="H945" s="177">
        <v>1</v>
      </c>
      <c r="I945" s="178">
        <v>1621</v>
      </c>
      <c r="J945" s="176">
        <v>46027</v>
      </c>
      <c r="K945" s="172" t="s">
        <v>94</v>
      </c>
      <c r="L945" s="172" t="s">
        <v>95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986</v>
      </c>
      <c r="B946" s="176">
        <v>46031</v>
      </c>
      <c r="C946" s="172" t="s">
        <v>101</v>
      </c>
      <c r="D946" s="172" t="s">
        <v>103</v>
      </c>
      <c r="E946" s="172" t="s">
        <v>53</v>
      </c>
      <c r="F946" s="172" t="s">
        <v>91</v>
      </c>
      <c r="G946" s="172" t="s">
        <v>85</v>
      </c>
      <c r="H946" s="177">
        <v>1</v>
      </c>
      <c r="I946" s="178">
        <v>1621</v>
      </c>
      <c r="J946" s="176">
        <v>46027</v>
      </c>
      <c r="K946" s="172" t="s">
        <v>94</v>
      </c>
      <c r="L946" s="172" t="s">
        <v>95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986</v>
      </c>
      <c r="B947" s="176">
        <v>46031</v>
      </c>
      <c r="C947" s="172" t="s">
        <v>101</v>
      </c>
      <c r="D947" s="172" t="s">
        <v>104</v>
      </c>
      <c r="E947" s="172" t="s">
        <v>53</v>
      </c>
      <c r="F947" s="172" t="s">
        <v>91</v>
      </c>
      <c r="G947" s="172" t="s">
        <v>85</v>
      </c>
      <c r="H947" s="177">
        <v>1</v>
      </c>
      <c r="I947" s="178">
        <v>1621</v>
      </c>
      <c r="J947" s="176">
        <v>46027</v>
      </c>
      <c r="K947" s="172" t="s">
        <v>94</v>
      </c>
      <c r="L947" s="172" t="s">
        <v>95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986</v>
      </c>
      <c r="B948" s="176">
        <v>46031</v>
      </c>
      <c r="C948" s="172" t="s">
        <v>105</v>
      </c>
      <c r="D948" s="172" t="s">
        <v>106</v>
      </c>
      <c r="E948" s="172" t="s">
        <v>53</v>
      </c>
      <c r="F948" s="172" t="s">
        <v>91</v>
      </c>
      <c r="G948" s="172" t="s">
        <v>85</v>
      </c>
      <c r="H948" s="177">
        <v>1</v>
      </c>
      <c r="I948" s="178">
        <v>1621</v>
      </c>
      <c r="J948" s="176">
        <v>46027</v>
      </c>
      <c r="K948" s="172" t="s">
        <v>94</v>
      </c>
      <c r="L948" s="172" t="s">
        <v>95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986</v>
      </c>
      <c r="B949" s="176">
        <v>46031</v>
      </c>
      <c r="C949" s="172" t="s">
        <v>82</v>
      </c>
      <c r="D949" s="172" t="s">
        <v>96</v>
      </c>
      <c r="E949" s="172" t="s">
        <v>53</v>
      </c>
      <c r="F949" s="172" t="s">
        <v>91</v>
      </c>
      <c r="G949" s="172" t="s">
        <v>85</v>
      </c>
      <c r="H949" s="177">
        <v>1</v>
      </c>
      <c r="I949" s="178">
        <v>1621</v>
      </c>
      <c r="J949" s="176">
        <v>46027</v>
      </c>
      <c r="K949" s="172" t="s">
        <v>94</v>
      </c>
      <c r="L949" s="172" t="s">
        <v>95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987</v>
      </c>
      <c r="B950" s="176">
        <v>46031</v>
      </c>
      <c r="C950" s="172" t="s">
        <v>93</v>
      </c>
      <c r="D950" s="172" t="s">
        <v>24</v>
      </c>
      <c r="E950" s="172" t="s">
        <v>53</v>
      </c>
      <c r="F950" s="172" t="s">
        <v>91</v>
      </c>
      <c r="G950" s="172" t="s">
        <v>85</v>
      </c>
      <c r="H950" s="177">
        <v>1</v>
      </c>
      <c r="I950" s="178">
        <v>1621</v>
      </c>
      <c r="J950" s="176">
        <v>46028</v>
      </c>
      <c r="K950" s="172" t="s">
        <v>94</v>
      </c>
      <c r="L950" s="172" t="s">
        <v>95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987</v>
      </c>
      <c r="B951" s="176">
        <v>46031</v>
      </c>
      <c r="C951" s="172" t="s">
        <v>101</v>
      </c>
      <c r="D951" s="172" t="s">
        <v>102</v>
      </c>
      <c r="E951" s="172" t="s">
        <v>53</v>
      </c>
      <c r="F951" s="172" t="s">
        <v>91</v>
      </c>
      <c r="G951" s="172" t="s">
        <v>85</v>
      </c>
      <c r="H951" s="177">
        <v>1</v>
      </c>
      <c r="I951" s="178">
        <v>1621</v>
      </c>
      <c r="J951" s="176">
        <v>46028</v>
      </c>
      <c r="K951" s="172" t="s">
        <v>94</v>
      </c>
      <c r="L951" s="172" t="s">
        <v>95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987</v>
      </c>
      <c r="B952" s="176">
        <v>46031</v>
      </c>
      <c r="C952" s="172" t="s">
        <v>101</v>
      </c>
      <c r="D952" s="172" t="s">
        <v>103</v>
      </c>
      <c r="E952" s="172" t="s">
        <v>53</v>
      </c>
      <c r="F952" s="172" t="s">
        <v>91</v>
      </c>
      <c r="G952" s="172" t="s">
        <v>85</v>
      </c>
      <c r="H952" s="177">
        <v>1</v>
      </c>
      <c r="I952" s="178">
        <v>1621</v>
      </c>
      <c r="J952" s="176">
        <v>46028</v>
      </c>
      <c r="K952" s="172" t="s">
        <v>94</v>
      </c>
      <c r="L952" s="172" t="s">
        <v>95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987</v>
      </c>
      <c r="B953" s="176">
        <v>46031</v>
      </c>
      <c r="C953" s="172" t="s">
        <v>101</v>
      </c>
      <c r="D953" s="172" t="s">
        <v>104</v>
      </c>
      <c r="E953" s="172" t="s">
        <v>53</v>
      </c>
      <c r="F953" s="172" t="s">
        <v>91</v>
      </c>
      <c r="G953" s="172" t="s">
        <v>85</v>
      </c>
      <c r="H953" s="177">
        <v>1</v>
      </c>
      <c r="I953" s="178">
        <v>1621</v>
      </c>
      <c r="J953" s="176">
        <v>46028</v>
      </c>
      <c r="K953" s="172" t="s">
        <v>94</v>
      </c>
      <c r="L953" s="172" t="s">
        <v>95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987</v>
      </c>
      <c r="B954" s="176">
        <v>46031</v>
      </c>
      <c r="C954" s="172" t="s">
        <v>105</v>
      </c>
      <c r="D954" s="172" t="s">
        <v>106</v>
      </c>
      <c r="E954" s="172" t="s">
        <v>53</v>
      </c>
      <c r="F954" s="172" t="s">
        <v>91</v>
      </c>
      <c r="G954" s="172" t="s">
        <v>85</v>
      </c>
      <c r="H954" s="177">
        <v>1</v>
      </c>
      <c r="I954" s="178">
        <v>1621</v>
      </c>
      <c r="J954" s="176">
        <v>46028</v>
      </c>
      <c r="K954" s="172" t="s">
        <v>94</v>
      </c>
      <c r="L954" s="172" t="s">
        <v>95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987</v>
      </c>
      <c r="B955" s="176">
        <v>46031</v>
      </c>
      <c r="C955" s="172" t="s">
        <v>82</v>
      </c>
      <c r="D955" s="172" t="s">
        <v>96</v>
      </c>
      <c r="E955" s="172" t="s">
        <v>53</v>
      </c>
      <c r="F955" s="172" t="s">
        <v>91</v>
      </c>
      <c r="G955" s="172" t="s">
        <v>85</v>
      </c>
      <c r="H955" s="177">
        <v>1</v>
      </c>
      <c r="I955" s="178">
        <v>1621</v>
      </c>
      <c r="J955" s="176">
        <v>46028</v>
      </c>
      <c r="K955" s="172" t="s">
        <v>94</v>
      </c>
      <c r="L955" s="172" t="s">
        <v>95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988</v>
      </c>
      <c r="B956" s="176">
        <v>46031</v>
      </c>
      <c r="C956" s="172" t="s">
        <v>82</v>
      </c>
      <c r="D956" s="172" t="s">
        <v>83</v>
      </c>
      <c r="E956" s="172" t="s">
        <v>42</v>
      </c>
      <c r="F956" s="172" t="s">
        <v>84</v>
      </c>
      <c r="G956" s="172" t="s">
        <v>85</v>
      </c>
      <c r="H956" s="177">
        <v>1</v>
      </c>
      <c r="I956" s="178">
        <v>0</v>
      </c>
      <c r="J956" s="176">
        <v>46031</v>
      </c>
      <c r="K956" s="172" t="s">
        <v>86</v>
      </c>
      <c r="L956" s="172" t="s">
        <v>86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989</v>
      </c>
      <c r="B957" s="176">
        <v>46031</v>
      </c>
      <c r="C957" s="172" t="s">
        <v>93</v>
      </c>
      <c r="D957" s="172" t="s">
        <v>24</v>
      </c>
      <c r="E957" s="172" t="s">
        <v>54</v>
      </c>
      <c r="F957" s="172" t="s">
        <v>121</v>
      </c>
      <c r="G957" s="172" t="s">
        <v>85</v>
      </c>
      <c r="H957" s="177">
        <v>1</v>
      </c>
      <c r="I957" s="178">
        <v>0</v>
      </c>
      <c r="J957" s="176">
        <v>46022</v>
      </c>
      <c r="K957" s="172" t="s">
        <v>94</v>
      </c>
      <c r="L957" s="172" t="s">
        <v>95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990</v>
      </c>
      <c r="B958" s="176">
        <v>46031</v>
      </c>
      <c r="C958" s="172" t="s">
        <v>93</v>
      </c>
      <c r="D958" s="172" t="s">
        <v>24</v>
      </c>
      <c r="E958" s="172" t="s">
        <v>40</v>
      </c>
      <c r="F958" s="172" t="s">
        <v>118</v>
      </c>
      <c r="G958" s="172" t="s">
        <v>85</v>
      </c>
      <c r="H958" s="177">
        <v>1</v>
      </c>
      <c r="I958" s="178">
        <v>1650</v>
      </c>
      <c r="J958" s="176">
        <v>46026</v>
      </c>
      <c r="K958" s="172" t="s">
        <v>94</v>
      </c>
      <c r="L958" s="172" t="s">
        <v>95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990</v>
      </c>
      <c r="B959" s="176">
        <v>46031</v>
      </c>
      <c r="C959" s="172" t="s">
        <v>101</v>
      </c>
      <c r="D959" s="172" t="s">
        <v>102</v>
      </c>
      <c r="E959" s="172" t="s">
        <v>40</v>
      </c>
      <c r="F959" s="172" t="s">
        <v>118</v>
      </c>
      <c r="G959" s="172" t="s">
        <v>85</v>
      </c>
      <c r="H959" s="177">
        <v>1</v>
      </c>
      <c r="I959" s="178">
        <v>1650</v>
      </c>
      <c r="J959" s="176">
        <v>46026</v>
      </c>
      <c r="K959" s="172" t="s">
        <v>94</v>
      </c>
      <c r="L959" s="172" t="s">
        <v>95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990</v>
      </c>
      <c r="B960" s="176">
        <v>46031</v>
      </c>
      <c r="C960" s="172" t="s">
        <v>101</v>
      </c>
      <c r="D960" s="172" t="s">
        <v>103</v>
      </c>
      <c r="E960" s="172" t="s">
        <v>40</v>
      </c>
      <c r="F960" s="172" t="s">
        <v>118</v>
      </c>
      <c r="G960" s="172" t="s">
        <v>85</v>
      </c>
      <c r="H960" s="177">
        <v>1</v>
      </c>
      <c r="I960" s="178">
        <v>1650</v>
      </c>
      <c r="J960" s="176">
        <v>46026</v>
      </c>
      <c r="K960" s="172" t="s">
        <v>94</v>
      </c>
      <c r="L960" s="172" t="s">
        <v>95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990</v>
      </c>
      <c r="B961" s="176">
        <v>46031</v>
      </c>
      <c r="C961" s="172" t="s">
        <v>101</v>
      </c>
      <c r="D961" s="172" t="s">
        <v>104</v>
      </c>
      <c r="E961" s="172" t="s">
        <v>40</v>
      </c>
      <c r="F961" s="172" t="s">
        <v>118</v>
      </c>
      <c r="G961" s="172" t="s">
        <v>85</v>
      </c>
      <c r="H961" s="177">
        <v>1</v>
      </c>
      <c r="I961" s="178">
        <v>1650</v>
      </c>
      <c r="J961" s="176">
        <v>46026</v>
      </c>
      <c r="K961" s="172" t="s">
        <v>94</v>
      </c>
      <c r="L961" s="172" t="s">
        <v>95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990</v>
      </c>
      <c r="B962" s="176">
        <v>46031</v>
      </c>
      <c r="C962" s="172" t="s">
        <v>105</v>
      </c>
      <c r="D962" s="172" t="s">
        <v>106</v>
      </c>
      <c r="E962" s="172" t="s">
        <v>40</v>
      </c>
      <c r="F962" s="172" t="s">
        <v>118</v>
      </c>
      <c r="G962" s="172" t="s">
        <v>85</v>
      </c>
      <c r="H962" s="177">
        <v>1</v>
      </c>
      <c r="I962" s="178">
        <v>1650</v>
      </c>
      <c r="J962" s="176">
        <v>46026</v>
      </c>
      <c r="K962" s="172" t="s">
        <v>94</v>
      </c>
      <c r="L962" s="172" t="s">
        <v>95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990</v>
      </c>
      <c r="B963" s="176">
        <v>46031</v>
      </c>
      <c r="C963" s="172" t="s">
        <v>82</v>
      </c>
      <c r="D963" s="172" t="s">
        <v>96</v>
      </c>
      <c r="E963" s="172" t="s">
        <v>40</v>
      </c>
      <c r="F963" s="172" t="s">
        <v>118</v>
      </c>
      <c r="G963" s="172" t="s">
        <v>85</v>
      </c>
      <c r="H963" s="177">
        <v>1</v>
      </c>
      <c r="I963" s="178">
        <v>1650</v>
      </c>
      <c r="J963" s="176">
        <v>46026</v>
      </c>
      <c r="K963" s="172" t="s">
        <v>94</v>
      </c>
      <c r="L963" s="172" t="s">
        <v>95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989</v>
      </c>
      <c r="B964" s="176">
        <v>46031</v>
      </c>
      <c r="C964" s="172" t="s">
        <v>93</v>
      </c>
      <c r="D964" s="172" t="s">
        <v>97</v>
      </c>
      <c r="E964" s="172" t="s">
        <v>54</v>
      </c>
      <c r="F964" s="172" t="s">
        <v>121</v>
      </c>
      <c r="G964" s="172" t="s">
        <v>85</v>
      </c>
      <c r="H964" s="177">
        <v>1</v>
      </c>
      <c r="I964" s="178">
        <v>0</v>
      </c>
      <c r="J964" s="176">
        <v>46022</v>
      </c>
      <c r="K964" s="172" t="s">
        <v>94</v>
      </c>
      <c r="L964" s="172" t="s">
        <v>95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989</v>
      </c>
      <c r="B965" s="176">
        <v>46031</v>
      </c>
      <c r="C965" s="172" t="s">
        <v>93</v>
      </c>
      <c r="D965" s="172" t="s">
        <v>98</v>
      </c>
      <c r="E965" s="172" t="s">
        <v>54</v>
      </c>
      <c r="F965" s="172" t="s">
        <v>121</v>
      </c>
      <c r="G965" s="172" t="s">
        <v>85</v>
      </c>
      <c r="H965" s="177">
        <v>1</v>
      </c>
      <c r="I965" s="178">
        <v>0</v>
      </c>
      <c r="J965" s="176">
        <v>46022</v>
      </c>
      <c r="K965" s="172" t="s">
        <v>94</v>
      </c>
      <c r="L965" s="172" t="s">
        <v>95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991</v>
      </c>
      <c r="B966" s="176">
        <v>46031</v>
      </c>
      <c r="C966" s="172" t="s">
        <v>93</v>
      </c>
      <c r="D966" s="172" t="s">
        <v>24</v>
      </c>
      <c r="E966" s="172" t="s">
        <v>42</v>
      </c>
      <c r="F966" s="172" t="s">
        <v>84</v>
      </c>
      <c r="G966" s="172" t="s">
        <v>85</v>
      </c>
      <c r="H966" s="177">
        <v>1</v>
      </c>
      <c r="I966" s="178">
        <v>1600</v>
      </c>
      <c r="J966" s="176">
        <v>46028</v>
      </c>
      <c r="K966" s="172" t="s">
        <v>94</v>
      </c>
      <c r="L966" s="172" t="s">
        <v>95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991</v>
      </c>
      <c r="B967" s="176">
        <v>46031</v>
      </c>
      <c r="C967" s="172" t="s">
        <v>101</v>
      </c>
      <c r="D967" s="172" t="s">
        <v>102</v>
      </c>
      <c r="E967" s="172" t="s">
        <v>42</v>
      </c>
      <c r="F967" s="172" t="s">
        <v>84</v>
      </c>
      <c r="G967" s="172" t="s">
        <v>85</v>
      </c>
      <c r="H967" s="177">
        <v>1</v>
      </c>
      <c r="I967" s="178">
        <v>1600</v>
      </c>
      <c r="J967" s="176">
        <v>46028</v>
      </c>
      <c r="K967" s="172" t="s">
        <v>94</v>
      </c>
      <c r="L967" s="172" t="s">
        <v>95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991</v>
      </c>
      <c r="B968" s="176">
        <v>46031</v>
      </c>
      <c r="C968" s="172" t="s">
        <v>101</v>
      </c>
      <c r="D968" s="172" t="s">
        <v>103</v>
      </c>
      <c r="E968" s="172" t="s">
        <v>42</v>
      </c>
      <c r="F968" s="172" t="s">
        <v>84</v>
      </c>
      <c r="G968" s="172" t="s">
        <v>85</v>
      </c>
      <c r="H968" s="177">
        <v>1</v>
      </c>
      <c r="I968" s="178">
        <v>1600</v>
      </c>
      <c r="J968" s="176">
        <v>46028</v>
      </c>
      <c r="K968" s="172" t="s">
        <v>94</v>
      </c>
      <c r="L968" s="172" t="s">
        <v>95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991</v>
      </c>
      <c r="B969" s="176">
        <v>46031</v>
      </c>
      <c r="C969" s="172" t="s">
        <v>101</v>
      </c>
      <c r="D969" s="172" t="s">
        <v>104</v>
      </c>
      <c r="E969" s="172" t="s">
        <v>42</v>
      </c>
      <c r="F969" s="172" t="s">
        <v>84</v>
      </c>
      <c r="G969" s="172" t="s">
        <v>85</v>
      </c>
      <c r="H969" s="177">
        <v>1</v>
      </c>
      <c r="I969" s="178">
        <v>1600</v>
      </c>
      <c r="J969" s="176">
        <v>46028</v>
      </c>
      <c r="K969" s="172" t="s">
        <v>94</v>
      </c>
      <c r="L969" s="172" t="s">
        <v>95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991</v>
      </c>
      <c r="B970" s="176">
        <v>46031</v>
      </c>
      <c r="C970" s="172" t="s">
        <v>105</v>
      </c>
      <c r="D970" s="172" t="s">
        <v>106</v>
      </c>
      <c r="E970" s="172" t="s">
        <v>42</v>
      </c>
      <c r="F970" s="172" t="s">
        <v>84</v>
      </c>
      <c r="G970" s="172" t="s">
        <v>85</v>
      </c>
      <c r="H970" s="177">
        <v>1</v>
      </c>
      <c r="I970" s="178">
        <v>1600</v>
      </c>
      <c r="J970" s="176">
        <v>46028</v>
      </c>
      <c r="K970" s="172" t="s">
        <v>94</v>
      </c>
      <c r="L970" s="172" t="s">
        <v>95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991</v>
      </c>
      <c r="B971" s="176">
        <v>46031</v>
      </c>
      <c r="C971" s="172" t="s">
        <v>82</v>
      </c>
      <c r="D971" s="172" t="s">
        <v>96</v>
      </c>
      <c r="E971" s="172" t="s">
        <v>42</v>
      </c>
      <c r="F971" s="172" t="s">
        <v>84</v>
      </c>
      <c r="G971" s="172" t="s">
        <v>85</v>
      </c>
      <c r="H971" s="177">
        <v>1</v>
      </c>
      <c r="I971" s="178">
        <v>1600</v>
      </c>
      <c r="J971" s="176">
        <v>46028</v>
      </c>
      <c r="K971" s="172" t="s">
        <v>94</v>
      </c>
      <c r="L971" s="172" t="s">
        <v>95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990</v>
      </c>
      <c r="B972" s="176">
        <v>46031</v>
      </c>
      <c r="C972" s="172" t="s">
        <v>82</v>
      </c>
      <c r="D972" s="172" t="s">
        <v>83</v>
      </c>
      <c r="E972" s="172" t="s">
        <v>40</v>
      </c>
      <c r="F972" s="172" t="s">
        <v>118</v>
      </c>
      <c r="G972" s="172" t="s">
        <v>85</v>
      </c>
      <c r="H972" s="177">
        <v>1</v>
      </c>
      <c r="I972" s="178">
        <v>0</v>
      </c>
      <c r="J972" s="176">
        <v>46026</v>
      </c>
      <c r="K972" s="172" t="s">
        <v>86</v>
      </c>
      <c r="L972" s="172" t="s">
        <v>86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991</v>
      </c>
      <c r="B973" s="176">
        <v>46031</v>
      </c>
      <c r="C973" s="172" t="s">
        <v>82</v>
      </c>
      <c r="D973" s="172" t="s">
        <v>83</v>
      </c>
      <c r="E973" s="172" t="s">
        <v>42</v>
      </c>
      <c r="F973" s="172" t="s">
        <v>84</v>
      </c>
      <c r="G973" s="172" t="s">
        <v>85</v>
      </c>
      <c r="H973" s="177">
        <v>1</v>
      </c>
      <c r="I973" s="178">
        <v>0</v>
      </c>
      <c r="J973" s="176">
        <v>46028</v>
      </c>
      <c r="K973" s="172" t="s">
        <v>86</v>
      </c>
      <c r="L973" s="172" t="s">
        <v>86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248</v>
      </c>
      <c r="B974" s="176">
        <v>46031</v>
      </c>
      <c r="C974" s="172" t="s">
        <v>93</v>
      </c>
      <c r="D974" s="172" t="s">
        <v>24</v>
      </c>
      <c r="E974" s="172" t="s">
        <v>44</v>
      </c>
      <c r="F974" s="172" t="s">
        <v>126</v>
      </c>
      <c r="G974" s="172" t="s">
        <v>85</v>
      </c>
      <c r="H974" s="177">
        <v>1</v>
      </c>
      <c r="I974" s="178">
        <v>1202</v>
      </c>
      <c r="J974" s="176">
        <v>46025</v>
      </c>
      <c r="K974" s="172" t="s">
        <v>94</v>
      </c>
      <c r="L974" s="172" t="s">
        <v>95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248</v>
      </c>
      <c r="B975" s="176">
        <v>46031</v>
      </c>
      <c r="C975" s="172" t="s">
        <v>101</v>
      </c>
      <c r="D975" s="172" t="s">
        <v>102</v>
      </c>
      <c r="E975" s="172" t="s">
        <v>44</v>
      </c>
      <c r="F975" s="172" t="s">
        <v>126</v>
      </c>
      <c r="G975" s="172" t="s">
        <v>85</v>
      </c>
      <c r="H975" s="177">
        <v>1</v>
      </c>
      <c r="I975" s="178">
        <v>1202</v>
      </c>
      <c r="J975" s="176">
        <v>46025</v>
      </c>
      <c r="K975" s="172" t="s">
        <v>94</v>
      </c>
      <c r="L975" s="172" t="s">
        <v>95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248</v>
      </c>
      <c r="B976" s="176">
        <v>46031</v>
      </c>
      <c r="C976" s="172" t="s">
        <v>101</v>
      </c>
      <c r="D976" s="172" t="s">
        <v>103</v>
      </c>
      <c r="E976" s="172" t="s">
        <v>44</v>
      </c>
      <c r="F976" s="172" t="s">
        <v>126</v>
      </c>
      <c r="G976" s="172" t="s">
        <v>85</v>
      </c>
      <c r="H976" s="177">
        <v>1</v>
      </c>
      <c r="I976" s="178">
        <v>1202</v>
      </c>
      <c r="J976" s="176">
        <v>46025</v>
      </c>
      <c r="K976" s="172" t="s">
        <v>94</v>
      </c>
      <c r="L976" s="172" t="s">
        <v>95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248</v>
      </c>
      <c r="B977" s="176">
        <v>46031</v>
      </c>
      <c r="C977" s="172" t="s">
        <v>101</v>
      </c>
      <c r="D977" s="172" t="s">
        <v>104</v>
      </c>
      <c r="E977" s="172" t="s">
        <v>44</v>
      </c>
      <c r="F977" s="172" t="s">
        <v>126</v>
      </c>
      <c r="G977" s="172" t="s">
        <v>85</v>
      </c>
      <c r="H977" s="177">
        <v>1</v>
      </c>
      <c r="I977" s="178">
        <v>1202</v>
      </c>
      <c r="J977" s="176">
        <v>46025</v>
      </c>
      <c r="K977" s="172" t="s">
        <v>94</v>
      </c>
      <c r="L977" s="172" t="s">
        <v>95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248</v>
      </c>
      <c r="B978" s="176">
        <v>46031</v>
      </c>
      <c r="C978" s="172" t="s">
        <v>105</v>
      </c>
      <c r="D978" s="172" t="s">
        <v>106</v>
      </c>
      <c r="E978" s="172" t="s">
        <v>44</v>
      </c>
      <c r="F978" s="172" t="s">
        <v>126</v>
      </c>
      <c r="G978" s="172" t="s">
        <v>85</v>
      </c>
      <c r="H978" s="177">
        <v>1</v>
      </c>
      <c r="I978" s="178">
        <v>1202</v>
      </c>
      <c r="J978" s="176">
        <v>46025</v>
      </c>
      <c r="K978" s="172" t="s">
        <v>94</v>
      </c>
      <c r="L978" s="172" t="s">
        <v>95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248</v>
      </c>
      <c r="B979" s="176">
        <v>46031</v>
      </c>
      <c r="C979" s="172" t="s">
        <v>82</v>
      </c>
      <c r="D979" s="172" t="s">
        <v>96</v>
      </c>
      <c r="E979" s="172" t="s">
        <v>44</v>
      </c>
      <c r="F979" s="172" t="s">
        <v>126</v>
      </c>
      <c r="G979" s="172" t="s">
        <v>85</v>
      </c>
      <c r="H979" s="177">
        <v>1</v>
      </c>
      <c r="I979" s="178">
        <v>1202</v>
      </c>
      <c r="J979" s="176">
        <v>46025</v>
      </c>
      <c r="K979" s="172" t="s">
        <v>94</v>
      </c>
      <c r="L979" s="172" t="s">
        <v>95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992</v>
      </c>
      <c r="B980" s="176">
        <v>46031</v>
      </c>
      <c r="C980" s="172" t="s">
        <v>93</v>
      </c>
      <c r="D980" s="172" t="s">
        <v>24</v>
      </c>
      <c r="E980" s="172" t="s">
        <v>42</v>
      </c>
      <c r="F980" s="172" t="s">
        <v>84</v>
      </c>
      <c r="G980" s="172" t="s">
        <v>85</v>
      </c>
      <c r="H980" s="177">
        <v>1</v>
      </c>
      <c r="I980" s="178">
        <v>1600</v>
      </c>
      <c r="J980" s="176">
        <v>46029</v>
      </c>
      <c r="K980" s="172" t="s">
        <v>94</v>
      </c>
      <c r="L980" s="172" t="s">
        <v>95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992</v>
      </c>
      <c r="B981" s="176">
        <v>46031</v>
      </c>
      <c r="C981" s="172" t="s">
        <v>101</v>
      </c>
      <c r="D981" s="172" t="s">
        <v>102</v>
      </c>
      <c r="E981" s="172" t="s">
        <v>42</v>
      </c>
      <c r="F981" s="172" t="s">
        <v>84</v>
      </c>
      <c r="G981" s="172" t="s">
        <v>85</v>
      </c>
      <c r="H981" s="177">
        <v>1</v>
      </c>
      <c r="I981" s="178">
        <v>1600</v>
      </c>
      <c r="J981" s="176">
        <v>46029</v>
      </c>
      <c r="K981" s="172" t="s">
        <v>94</v>
      </c>
      <c r="L981" s="172" t="s">
        <v>95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992</v>
      </c>
      <c r="B982" s="176">
        <v>46031</v>
      </c>
      <c r="C982" s="172" t="s">
        <v>101</v>
      </c>
      <c r="D982" s="172" t="s">
        <v>103</v>
      </c>
      <c r="E982" s="172" t="s">
        <v>42</v>
      </c>
      <c r="F982" s="172" t="s">
        <v>84</v>
      </c>
      <c r="G982" s="172" t="s">
        <v>85</v>
      </c>
      <c r="H982" s="177">
        <v>1</v>
      </c>
      <c r="I982" s="178">
        <v>1600</v>
      </c>
      <c r="J982" s="176">
        <v>46029</v>
      </c>
      <c r="K982" s="172" t="s">
        <v>94</v>
      </c>
      <c r="L982" s="172" t="s">
        <v>95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992</v>
      </c>
      <c r="B983" s="176">
        <v>46031</v>
      </c>
      <c r="C983" s="172" t="s">
        <v>101</v>
      </c>
      <c r="D983" s="172" t="s">
        <v>104</v>
      </c>
      <c r="E983" s="172" t="s">
        <v>42</v>
      </c>
      <c r="F983" s="172" t="s">
        <v>84</v>
      </c>
      <c r="G983" s="172" t="s">
        <v>85</v>
      </c>
      <c r="H983" s="177">
        <v>1</v>
      </c>
      <c r="I983" s="178">
        <v>1600</v>
      </c>
      <c r="J983" s="176">
        <v>46029</v>
      </c>
      <c r="K983" s="172" t="s">
        <v>94</v>
      </c>
      <c r="L983" s="172" t="s">
        <v>95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992</v>
      </c>
      <c r="B984" s="176">
        <v>46031</v>
      </c>
      <c r="C984" s="172" t="s">
        <v>105</v>
      </c>
      <c r="D984" s="172" t="s">
        <v>106</v>
      </c>
      <c r="E984" s="172" t="s">
        <v>42</v>
      </c>
      <c r="F984" s="172" t="s">
        <v>84</v>
      </c>
      <c r="G984" s="172" t="s">
        <v>85</v>
      </c>
      <c r="H984" s="177">
        <v>1</v>
      </c>
      <c r="I984" s="178">
        <v>1600</v>
      </c>
      <c r="J984" s="176">
        <v>46029</v>
      </c>
      <c r="K984" s="172" t="s">
        <v>94</v>
      </c>
      <c r="L984" s="172" t="s">
        <v>95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992</v>
      </c>
      <c r="B985" s="176">
        <v>46031</v>
      </c>
      <c r="C985" s="172" t="s">
        <v>82</v>
      </c>
      <c r="D985" s="172" t="s">
        <v>96</v>
      </c>
      <c r="E985" s="172" t="s">
        <v>42</v>
      </c>
      <c r="F985" s="172" t="s">
        <v>84</v>
      </c>
      <c r="G985" s="172" t="s">
        <v>85</v>
      </c>
      <c r="H985" s="177">
        <v>1</v>
      </c>
      <c r="I985" s="178">
        <v>1600</v>
      </c>
      <c r="J985" s="176">
        <v>46029</v>
      </c>
      <c r="K985" s="172" t="s">
        <v>94</v>
      </c>
      <c r="L985" s="172" t="s">
        <v>95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993</v>
      </c>
      <c r="B986" s="176">
        <v>46031</v>
      </c>
      <c r="C986" s="172" t="s">
        <v>93</v>
      </c>
      <c r="D986" s="172" t="s">
        <v>24</v>
      </c>
      <c r="E986" s="172" t="s">
        <v>54</v>
      </c>
      <c r="F986" s="172" t="s">
        <v>121</v>
      </c>
      <c r="G986" s="172" t="s">
        <v>85</v>
      </c>
      <c r="H986" s="177">
        <v>1</v>
      </c>
      <c r="I986" s="178">
        <v>1845</v>
      </c>
      <c r="J986" s="176">
        <v>46022</v>
      </c>
      <c r="K986" s="172" t="s">
        <v>94</v>
      </c>
      <c r="L986" s="172" t="s">
        <v>95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993</v>
      </c>
      <c r="B987" s="176">
        <v>46031</v>
      </c>
      <c r="C987" s="172" t="s">
        <v>101</v>
      </c>
      <c r="D987" s="172" t="s">
        <v>102</v>
      </c>
      <c r="E987" s="172" t="s">
        <v>54</v>
      </c>
      <c r="F987" s="172" t="s">
        <v>121</v>
      </c>
      <c r="G987" s="172" t="s">
        <v>85</v>
      </c>
      <c r="H987" s="177">
        <v>1</v>
      </c>
      <c r="I987" s="178">
        <v>1845</v>
      </c>
      <c r="J987" s="176">
        <v>46022</v>
      </c>
      <c r="K987" s="172" t="s">
        <v>94</v>
      </c>
      <c r="L987" s="172" t="s">
        <v>95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993</v>
      </c>
      <c r="B988" s="176">
        <v>46031</v>
      </c>
      <c r="C988" s="172" t="s">
        <v>101</v>
      </c>
      <c r="D988" s="172" t="s">
        <v>103</v>
      </c>
      <c r="E988" s="172" t="s">
        <v>54</v>
      </c>
      <c r="F988" s="172" t="s">
        <v>121</v>
      </c>
      <c r="G988" s="172" t="s">
        <v>85</v>
      </c>
      <c r="H988" s="177">
        <v>1</v>
      </c>
      <c r="I988" s="178">
        <v>1845</v>
      </c>
      <c r="J988" s="176">
        <v>46022</v>
      </c>
      <c r="K988" s="172" t="s">
        <v>94</v>
      </c>
      <c r="L988" s="172" t="s">
        <v>95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993</v>
      </c>
      <c r="B989" s="176">
        <v>46031</v>
      </c>
      <c r="C989" s="172" t="s">
        <v>101</v>
      </c>
      <c r="D989" s="172" t="s">
        <v>104</v>
      </c>
      <c r="E989" s="172" t="s">
        <v>54</v>
      </c>
      <c r="F989" s="172" t="s">
        <v>121</v>
      </c>
      <c r="G989" s="172" t="s">
        <v>85</v>
      </c>
      <c r="H989" s="177">
        <v>1</v>
      </c>
      <c r="I989" s="178">
        <v>1845</v>
      </c>
      <c r="J989" s="176">
        <v>46022</v>
      </c>
      <c r="K989" s="172" t="s">
        <v>94</v>
      </c>
      <c r="L989" s="172" t="s">
        <v>95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993</v>
      </c>
      <c r="B990" s="176">
        <v>46031</v>
      </c>
      <c r="C990" s="172" t="s">
        <v>105</v>
      </c>
      <c r="D990" s="172" t="s">
        <v>106</v>
      </c>
      <c r="E990" s="172" t="s">
        <v>54</v>
      </c>
      <c r="F990" s="172" t="s">
        <v>121</v>
      </c>
      <c r="G990" s="172" t="s">
        <v>85</v>
      </c>
      <c r="H990" s="177">
        <v>1</v>
      </c>
      <c r="I990" s="178">
        <v>1845</v>
      </c>
      <c r="J990" s="176">
        <v>46022</v>
      </c>
      <c r="K990" s="172" t="s">
        <v>94</v>
      </c>
      <c r="L990" s="172" t="s">
        <v>95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993</v>
      </c>
      <c r="B991" s="176">
        <v>46031</v>
      </c>
      <c r="C991" s="172" t="s">
        <v>82</v>
      </c>
      <c r="D991" s="172" t="s">
        <v>96</v>
      </c>
      <c r="E991" s="172" t="s">
        <v>54</v>
      </c>
      <c r="F991" s="172" t="s">
        <v>121</v>
      </c>
      <c r="G991" s="172" t="s">
        <v>85</v>
      </c>
      <c r="H991" s="177">
        <v>1</v>
      </c>
      <c r="I991" s="178">
        <v>1845</v>
      </c>
      <c r="J991" s="176">
        <v>46022</v>
      </c>
      <c r="K991" s="172" t="s">
        <v>94</v>
      </c>
      <c r="L991" s="172" t="s">
        <v>95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994</v>
      </c>
      <c r="B992" s="176">
        <v>46031</v>
      </c>
      <c r="C992" s="172" t="s">
        <v>93</v>
      </c>
      <c r="D992" s="172" t="s">
        <v>24</v>
      </c>
      <c r="E992" s="172" t="s">
        <v>39</v>
      </c>
      <c r="F992" s="172" t="s">
        <v>88</v>
      </c>
      <c r="G992" s="172" t="s">
        <v>85</v>
      </c>
      <c r="H992" s="177">
        <v>1</v>
      </c>
      <c r="I992" s="178">
        <v>1650</v>
      </c>
      <c r="J992" s="176">
        <v>46028</v>
      </c>
      <c r="K992" s="172" t="s">
        <v>94</v>
      </c>
      <c r="L992" s="172" t="s">
        <v>95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994</v>
      </c>
      <c r="B993" s="176">
        <v>46031</v>
      </c>
      <c r="C993" s="172" t="s">
        <v>101</v>
      </c>
      <c r="D993" s="172" t="s">
        <v>102</v>
      </c>
      <c r="E993" s="172" t="s">
        <v>39</v>
      </c>
      <c r="F993" s="172" t="s">
        <v>88</v>
      </c>
      <c r="G993" s="172" t="s">
        <v>85</v>
      </c>
      <c r="H993" s="177">
        <v>1</v>
      </c>
      <c r="I993" s="178">
        <v>1650</v>
      </c>
      <c r="J993" s="176">
        <v>46028</v>
      </c>
      <c r="K993" s="172" t="s">
        <v>94</v>
      </c>
      <c r="L993" s="172" t="s">
        <v>95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994</v>
      </c>
      <c r="B994" s="176">
        <v>46031</v>
      </c>
      <c r="C994" s="172" t="s">
        <v>101</v>
      </c>
      <c r="D994" s="172" t="s">
        <v>103</v>
      </c>
      <c r="E994" s="172" t="s">
        <v>39</v>
      </c>
      <c r="F994" s="172" t="s">
        <v>88</v>
      </c>
      <c r="G994" s="172" t="s">
        <v>85</v>
      </c>
      <c r="H994" s="177">
        <v>1</v>
      </c>
      <c r="I994" s="178">
        <v>1650</v>
      </c>
      <c r="J994" s="176">
        <v>46028</v>
      </c>
      <c r="K994" s="172" t="s">
        <v>94</v>
      </c>
      <c r="L994" s="172" t="s">
        <v>95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994</v>
      </c>
      <c r="B995" s="176">
        <v>46031</v>
      </c>
      <c r="C995" s="172" t="s">
        <v>101</v>
      </c>
      <c r="D995" s="172" t="s">
        <v>104</v>
      </c>
      <c r="E995" s="172" t="s">
        <v>39</v>
      </c>
      <c r="F995" s="172" t="s">
        <v>88</v>
      </c>
      <c r="G995" s="172" t="s">
        <v>85</v>
      </c>
      <c r="H995" s="177">
        <v>1</v>
      </c>
      <c r="I995" s="178">
        <v>1650</v>
      </c>
      <c r="J995" s="176">
        <v>46028</v>
      </c>
      <c r="K995" s="172" t="s">
        <v>94</v>
      </c>
      <c r="L995" s="172" t="s">
        <v>95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994</v>
      </c>
      <c r="B996" s="176">
        <v>46031</v>
      </c>
      <c r="C996" s="172" t="s">
        <v>105</v>
      </c>
      <c r="D996" s="172" t="s">
        <v>106</v>
      </c>
      <c r="E996" s="172" t="s">
        <v>39</v>
      </c>
      <c r="F996" s="172" t="s">
        <v>88</v>
      </c>
      <c r="G996" s="172" t="s">
        <v>85</v>
      </c>
      <c r="H996" s="177">
        <v>1</v>
      </c>
      <c r="I996" s="178">
        <v>1650</v>
      </c>
      <c r="J996" s="176">
        <v>46028</v>
      </c>
      <c r="K996" s="172" t="s">
        <v>94</v>
      </c>
      <c r="L996" s="172" t="s">
        <v>95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994</v>
      </c>
      <c r="B997" s="176">
        <v>46031</v>
      </c>
      <c r="C997" s="172" t="s">
        <v>82</v>
      </c>
      <c r="D997" s="172" t="s">
        <v>96</v>
      </c>
      <c r="E997" s="172" t="s">
        <v>39</v>
      </c>
      <c r="F997" s="172" t="s">
        <v>88</v>
      </c>
      <c r="G997" s="172" t="s">
        <v>85</v>
      </c>
      <c r="H997" s="177">
        <v>1</v>
      </c>
      <c r="I997" s="178">
        <v>1650</v>
      </c>
      <c r="J997" s="176">
        <v>46028</v>
      </c>
      <c r="K997" s="172" t="s">
        <v>94</v>
      </c>
      <c r="L997" s="172" t="s">
        <v>95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995</v>
      </c>
      <c r="B998" s="176">
        <v>46031</v>
      </c>
      <c r="C998" s="172" t="s">
        <v>93</v>
      </c>
      <c r="D998" s="172" t="s">
        <v>24</v>
      </c>
      <c r="E998" s="172" t="s">
        <v>54</v>
      </c>
      <c r="F998" s="172" t="s">
        <v>121</v>
      </c>
      <c r="G998" s="172" t="s">
        <v>85</v>
      </c>
      <c r="H998" s="177">
        <v>1</v>
      </c>
      <c r="I998" s="178">
        <v>1845</v>
      </c>
      <c r="J998" s="176">
        <v>46028</v>
      </c>
      <c r="K998" s="172" t="s">
        <v>94</v>
      </c>
      <c r="L998" s="172" t="s">
        <v>95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995</v>
      </c>
      <c r="B999" s="176">
        <v>46031</v>
      </c>
      <c r="C999" s="172" t="s">
        <v>101</v>
      </c>
      <c r="D999" s="172" t="s">
        <v>102</v>
      </c>
      <c r="E999" s="172" t="s">
        <v>54</v>
      </c>
      <c r="F999" s="172" t="s">
        <v>121</v>
      </c>
      <c r="G999" s="172" t="s">
        <v>85</v>
      </c>
      <c r="H999" s="177">
        <v>1</v>
      </c>
      <c r="I999" s="178">
        <v>1845</v>
      </c>
      <c r="J999" s="176">
        <v>46028</v>
      </c>
      <c r="K999" s="172" t="s">
        <v>94</v>
      </c>
      <c r="L999" s="172" t="s">
        <v>95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995</v>
      </c>
      <c r="B1000" s="176">
        <v>46031</v>
      </c>
      <c r="C1000" s="172" t="s">
        <v>101</v>
      </c>
      <c r="D1000" s="172" t="s">
        <v>103</v>
      </c>
      <c r="E1000" s="172" t="s">
        <v>54</v>
      </c>
      <c r="F1000" s="172" t="s">
        <v>121</v>
      </c>
      <c r="G1000" s="172" t="s">
        <v>85</v>
      </c>
      <c r="H1000" s="177">
        <v>1</v>
      </c>
      <c r="I1000" s="178">
        <v>1845</v>
      </c>
      <c r="J1000" s="176">
        <v>46028</v>
      </c>
      <c r="K1000" s="172" t="s">
        <v>94</v>
      </c>
      <c r="L1000" s="172" t="s">
        <v>95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995</v>
      </c>
      <c r="B1001" s="176">
        <v>46031</v>
      </c>
      <c r="C1001" s="172" t="s">
        <v>101</v>
      </c>
      <c r="D1001" s="172" t="s">
        <v>104</v>
      </c>
      <c r="E1001" s="172" t="s">
        <v>54</v>
      </c>
      <c r="F1001" s="172" t="s">
        <v>121</v>
      </c>
      <c r="G1001" s="172" t="s">
        <v>85</v>
      </c>
      <c r="H1001" s="177">
        <v>1</v>
      </c>
      <c r="I1001" s="178">
        <v>1845</v>
      </c>
      <c r="J1001" s="176">
        <v>46028</v>
      </c>
      <c r="K1001" s="172" t="s">
        <v>94</v>
      </c>
      <c r="L1001" s="172" t="s">
        <v>95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995</v>
      </c>
      <c r="B1002" s="176">
        <v>46031</v>
      </c>
      <c r="C1002" s="172" t="s">
        <v>105</v>
      </c>
      <c r="D1002" s="172" t="s">
        <v>106</v>
      </c>
      <c r="E1002" s="172" t="s">
        <v>54</v>
      </c>
      <c r="F1002" s="172" t="s">
        <v>121</v>
      </c>
      <c r="G1002" s="172" t="s">
        <v>85</v>
      </c>
      <c r="H1002" s="177">
        <v>1</v>
      </c>
      <c r="I1002" s="178">
        <v>1845</v>
      </c>
      <c r="J1002" s="176">
        <v>46028</v>
      </c>
      <c r="K1002" s="172" t="s">
        <v>94</v>
      </c>
      <c r="L1002" s="172" t="s">
        <v>95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995</v>
      </c>
      <c r="B1003" s="176">
        <v>46031</v>
      </c>
      <c r="C1003" s="172" t="s">
        <v>82</v>
      </c>
      <c r="D1003" s="172" t="s">
        <v>96</v>
      </c>
      <c r="E1003" s="172" t="s">
        <v>54</v>
      </c>
      <c r="F1003" s="172" t="s">
        <v>121</v>
      </c>
      <c r="G1003" s="172" t="s">
        <v>85</v>
      </c>
      <c r="H1003" s="177">
        <v>1</v>
      </c>
      <c r="I1003" s="178">
        <v>1845</v>
      </c>
      <c r="J1003" s="176">
        <v>46028</v>
      </c>
      <c r="K1003" s="172" t="s">
        <v>94</v>
      </c>
      <c r="L1003" s="172" t="s">
        <v>95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996</v>
      </c>
      <c r="B1004" s="176">
        <v>46031</v>
      </c>
      <c r="C1004" s="172" t="s">
        <v>93</v>
      </c>
      <c r="D1004" s="172" t="s">
        <v>24</v>
      </c>
      <c r="E1004" s="172" t="s">
        <v>42</v>
      </c>
      <c r="F1004" s="172" t="s">
        <v>84</v>
      </c>
      <c r="G1004" s="172" t="s">
        <v>85</v>
      </c>
      <c r="H1004" s="177">
        <v>1</v>
      </c>
      <c r="I1004" s="178">
        <v>1600</v>
      </c>
      <c r="J1004" s="176">
        <v>46030</v>
      </c>
      <c r="K1004" s="172" t="s">
        <v>94</v>
      </c>
      <c r="L1004" s="172" t="s">
        <v>95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996</v>
      </c>
      <c r="B1005" s="176">
        <v>46031</v>
      </c>
      <c r="C1005" s="172" t="s">
        <v>101</v>
      </c>
      <c r="D1005" s="172" t="s">
        <v>102</v>
      </c>
      <c r="E1005" s="172" t="s">
        <v>42</v>
      </c>
      <c r="F1005" s="172" t="s">
        <v>84</v>
      </c>
      <c r="G1005" s="172" t="s">
        <v>85</v>
      </c>
      <c r="H1005" s="177">
        <v>1</v>
      </c>
      <c r="I1005" s="178">
        <v>1600</v>
      </c>
      <c r="J1005" s="176">
        <v>46030</v>
      </c>
      <c r="K1005" s="172" t="s">
        <v>94</v>
      </c>
      <c r="L1005" s="172" t="s">
        <v>95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996</v>
      </c>
      <c r="B1006" s="176">
        <v>46031</v>
      </c>
      <c r="C1006" s="172" t="s">
        <v>101</v>
      </c>
      <c r="D1006" s="172" t="s">
        <v>103</v>
      </c>
      <c r="E1006" s="172" t="s">
        <v>42</v>
      </c>
      <c r="F1006" s="172" t="s">
        <v>84</v>
      </c>
      <c r="G1006" s="172" t="s">
        <v>85</v>
      </c>
      <c r="H1006" s="177">
        <v>1</v>
      </c>
      <c r="I1006" s="178">
        <v>1600</v>
      </c>
      <c r="J1006" s="176">
        <v>46030</v>
      </c>
      <c r="K1006" s="172" t="s">
        <v>94</v>
      </c>
      <c r="L1006" s="172" t="s">
        <v>95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996</v>
      </c>
      <c r="B1007" s="176">
        <v>46031</v>
      </c>
      <c r="C1007" s="172" t="s">
        <v>101</v>
      </c>
      <c r="D1007" s="172" t="s">
        <v>104</v>
      </c>
      <c r="E1007" s="172" t="s">
        <v>42</v>
      </c>
      <c r="F1007" s="172" t="s">
        <v>84</v>
      </c>
      <c r="G1007" s="172" t="s">
        <v>85</v>
      </c>
      <c r="H1007" s="177">
        <v>1</v>
      </c>
      <c r="I1007" s="178">
        <v>1600</v>
      </c>
      <c r="J1007" s="176">
        <v>46030</v>
      </c>
      <c r="K1007" s="172" t="s">
        <v>94</v>
      </c>
      <c r="L1007" s="172" t="s">
        <v>95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996</v>
      </c>
      <c r="B1008" s="176">
        <v>46031</v>
      </c>
      <c r="C1008" s="172" t="s">
        <v>105</v>
      </c>
      <c r="D1008" s="172" t="s">
        <v>106</v>
      </c>
      <c r="E1008" s="172" t="s">
        <v>42</v>
      </c>
      <c r="F1008" s="172" t="s">
        <v>84</v>
      </c>
      <c r="G1008" s="172" t="s">
        <v>85</v>
      </c>
      <c r="H1008" s="177">
        <v>1</v>
      </c>
      <c r="I1008" s="178">
        <v>1600</v>
      </c>
      <c r="J1008" s="176">
        <v>46030</v>
      </c>
      <c r="K1008" s="172" t="s">
        <v>94</v>
      </c>
      <c r="L1008" s="172" t="s">
        <v>95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996</v>
      </c>
      <c r="B1009" s="176">
        <v>46031</v>
      </c>
      <c r="C1009" s="172" t="s">
        <v>82</v>
      </c>
      <c r="D1009" s="172" t="s">
        <v>96</v>
      </c>
      <c r="E1009" s="172" t="s">
        <v>42</v>
      </c>
      <c r="F1009" s="172" t="s">
        <v>84</v>
      </c>
      <c r="G1009" s="172" t="s">
        <v>85</v>
      </c>
      <c r="H1009" s="177">
        <v>1</v>
      </c>
      <c r="I1009" s="178">
        <v>1600</v>
      </c>
      <c r="J1009" s="176">
        <v>46030</v>
      </c>
      <c r="K1009" s="172" t="s">
        <v>94</v>
      </c>
      <c r="L1009" s="172" t="s">
        <v>95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997</v>
      </c>
      <c r="B1010" s="176">
        <v>46031</v>
      </c>
      <c r="C1010" s="172" t="s">
        <v>93</v>
      </c>
      <c r="D1010" s="172" t="s">
        <v>24</v>
      </c>
      <c r="E1010" s="172" t="s">
        <v>42</v>
      </c>
      <c r="F1010" s="172" t="s">
        <v>84</v>
      </c>
      <c r="G1010" s="172" t="s">
        <v>85</v>
      </c>
      <c r="H1010" s="177">
        <v>1</v>
      </c>
      <c r="I1010" s="178">
        <v>1600</v>
      </c>
      <c r="J1010" s="176">
        <v>46028</v>
      </c>
      <c r="K1010" s="172" t="s">
        <v>94</v>
      </c>
      <c r="L1010" s="172" t="s">
        <v>95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997</v>
      </c>
      <c r="B1011" s="176">
        <v>46031</v>
      </c>
      <c r="C1011" s="172" t="s">
        <v>101</v>
      </c>
      <c r="D1011" s="172" t="s">
        <v>102</v>
      </c>
      <c r="E1011" s="172" t="s">
        <v>42</v>
      </c>
      <c r="F1011" s="172" t="s">
        <v>84</v>
      </c>
      <c r="G1011" s="172" t="s">
        <v>85</v>
      </c>
      <c r="H1011" s="177">
        <v>1</v>
      </c>
      <c r="I1011" s="178">
        <v>1600</v>
      </c>
      <c r="J1011" s="176">
        <v>46028</v>
      </c>
      <c r="K1011" s="172" t="s">
        <v>94</v>
      </c>
      <c r="L1011" s="172" t="s">
        <v>95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997</v>
      </c>
      <c r="B1012" s="176">
        <v>46031</v>
      </c>
      <c r="C1012" s="172" t="s">
        <v>101</v>
      </c>
      <c r="D1012" s="172" t="s">
        <v>103</v>
      </c>
      <c r="E1012" s="172" t="s">
        <v>42</v>
      </c>
      <c r="F1012" s="172" t="s">
        <v>84</v>
      </c>
      <c r="G1012" s="172" t="s">
        <v>85</v>
      </c>
      <c r="H1012" s="177">
        <v>1</v>
      </c>
      <c r="I1012" s="178">
        <v>1600</v>
      </c>
      <c r="J1012" s="176">
        <v>46028</v>
      </c>
      <c r="K1012" s="172" t="s">
        <v>94</v>
      </c>
      <c r="L1012" s="172" t="s">
        <v>95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997</v>
      </c>
      <c r="B1013" s="176">
        <v>46031</v>
      </c>
      <c r="C1013" s="172" t="s">
        <v>101</v>
      </c>
      <c r="D1013" s="172" t="s">
        <v>104</v>
      </c>
      <c r="E1013" s="172" t="s">
        <v>42</v>
      </c>
      <c r="F1013" s="172" t="s">
        <v>84</v>
      </c>
      <c r="G1013" s="172" t="s">
        <v>85</v>
      </c>
      <c r="H1013" s="177">
        <v>1</v>
      </c>
      <c r="I1013" s="178">
        <v>1600</v>
      </c>
      <c r="J1013" s="176">
        <v>46028</v>
      </c>
      <c r="K1013" s="172" t="s">
        <v>94</v>
      </c>
      <c r="L1013" s="172" t="s">
        <v>95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997</v>
      </c>
      <c r="B1014" s="176">
        <v>46031</v>
      </c>
      <c r="C1014" s="172" t="s">
        <v>105</v>
      </c>
      <c r="D1014" s="172" t="s">
        <v>106</v>
      </c>
      <c r="E1014" s="172" t="s">
        <v>42</v>
      </c>
      <c r="F1014" s="172" t="s">
        <v>84</v>
      </c>
      <c r="G1014" s="172" t="s">
        <v>85</v>
      </c>
      <c r="H1014" s="177">
        <v>1</v>
      </c>
      <c r="I1014" s="178">
        <v>1600</v>
      </c>
      <c r="J1014" s="176">
        <v>46028</v>
      </c>
      <c r="K1014" s="172" t="s">
        <v>94</v>
      </c>
      <c r="L1014" s="172" t="s">
        <v>95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997</v>
      </c>
      <c r="B1015" s="176">
        <v>46031</v>
      </c>
      <c r="C1015" s="172" t="s">
        <v>82</v>
      </c>
      <c r="D1015" s="172" t="s">
        <v>96</v>
      </c>
      <c r="E1015" s="172" t="s">
        <v>42</v>
      </c>
      <c r="F1015" s="172" t="s">
        <v>84</v>
      </c>
      <c r="G1015" s="172" t="s">
        <v>85</v>
      </c>
      <c r="H1015" s="177">
        <v>1</v>
      </c>
      <c r="I1015" s="178">
        <v>1600</v>
      </c>
      <c r="J1015" s="176">
        <v>46028</v>
      </c>
      <c r="K1015" s="172" t="s">
        <v>94</v>
      </c>
      <c r="L1015" s="172" t="s">
        <v>95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995</v>
      </c>
      <c r="B1016" s="176">
        <v>46031</v>
      </c>
      <c r="C1016" s="172" t="s">
        <v>82</v>
      </c>
      <c r="D1016" s="172" t="s">
        <v>83</v>
      </c>
      <c r="E1016" s="172" t="s">
        <v>54</v>
      </c>
      <c r="F1016" s="172" t="s">
        <v>121</v>
      </c>
      <c r="G1016" s="172" t="s">
        <v>85</v>
      </c>
      <c r="H1016" s="177">
        <v>1</v>
      </c>
      <c r="I1016" s="178">
        <v>0</v>
      </c>
      <c r="J1016" s="176">
        <v>46028</v>
      </c>
      <c r="K1016" s="172" t="s">
        <v>86</v>
      </c>
      <c r="L1016" s="172" t="s">
        <v>86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994</v>
      </c>
      <c r="B1017" s="176">
        <v>46031</v>
      </c>
      <c r="C1017" s="172" t="s">
        <v>82</v>
      </c>
      <c r="D1017" s="172" t="s">
        <v>83</v>
      </c>
      <c r="E1017" s="172" t="s">
        <v>39</v>
      </c>
      <c r="F1017" s="172" t="s">
        <v>88</v>
      </c>
      <c r="G1017" s="172" t="s">
        <v>85</v>
      </c>
      <c r="H1017" s="177">
        <v>1</v>
      </c>
      <c r="I1017" s="178">
        <v>0</v>
      </c>
      <c r="J1017" s="176">
        <v>46028</v>
      </c>
      <c r="K1017" s="172" t="s">
        <v>86</v>
      </c>
      <c r="L1017" s="172" t="s">
        <v>86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439</v>
      </c>
      <c r="B1018" s="176">
        <v>46031</v>
      </c>
      <c r="C1018" s="172" t="s">
        <v>167</v>
      </c>
      <c r="D1018" s="172" t="s">
        <v>168</v>
      </c>
      <c r="E1018" s="172" t="s">
        <v>53</v>
      </c>
      <c r="F1018" s="172" t="s">
        <v>91</v>
      </c>
      <c r="G1018" s="172" t="s">
        <v>85</v>
      </c>
      <c r="H1018" s="177">
        <v>1</v>
      </c>
      <c r="I1018" s="178">
        <v>-1621</v>
      </c>
      <c r="J1018" s="176">
        <v>46027</v>
      </c>
      <c r="K1018" s="172" t="s">
        <v>94</v>
      </c>
      <c r="L1018" s="172" t="s">
        <v>95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439</v>
      </c>
      <c r="B1019" s="176">
        <v>46031</v>
      </c>
      <c r="C1019" s="172" t="s">
        <v>167</v>
      </c>
      <c r="D1019" s="172" t="s">
        <v>103</v>
      </c>
      <c r="E1019" s="172" t="s">
        <v>53</v>
      </c>
      <c r="F1019" s="172" t="s">
        <v>91</v>
      </c>
      <c r="G1019" s="172" t="s">
        <v>85</v>
      </c>
      <c r="H1019" s="177">
        <v>1</v>
      </c>
      <c r="I1019" s="178">
        <v>-1621</v>
      </c>
      <c r="J1019" s="176">
        <v>46027</v>
      </c>
      <c r="K1019" s="172" t="s">
        <v>94</v>
      </c>
      <c r="L1019" s="172" t="s">
        <v>95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439</v>
      </c>
      <c r="B1020" s="176">
        <v>46031</v>
      </c>
      <c r="C1020" s="172" t="s">
        <v>167</v>
      </c>
      <c r="D1020" s="172" t="s">
        <v>104</v>
      </c>
      <c r="E1020" s="172" t="s">
        <v>53</v>
      </c>
      <c r="F1020" s="172" t="s">
        <v>91</v>
      </c>
      <c r="G1020" s="172" t="s">
        <v>85</v>
      </c>
      <c r="H1020" s="177">
        <v>1</v>
      </c>
      <c r="I1020" s="178">
        <v>-1621</v>
      </c>
      <c r="J1020" s="176">
        <v>46027</v>
      </c>
      <c r="K1020" s="172" t="s">
        <v>94</v>
      </c>
      <c r="L1020" s="172" t="s">
        <v>95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439</v>
      </c>
      <c r="B1021" s="176">
        <v>46031</v>
      </c>
      <c r="C1021" s="172" t="s">
        <v>105</v>
      </c>
      <c r="D1021" s="172" t="s">
        <v>169</v>
      </c>
      <c r="E1021" s="172" t="s">
        <v>53</v>
      </c>
      <c r="F1021" s="172" t="s">
        <v>91</v>
      </c>
      <c r="G1021" s="172" t="s">
        <v>85</v>
      </c>
      <c r="H1021" s="177">
        <v>1</v>
      </c>
      <c r="I1021" s="178">
        <v>-1621</v>
      </c>
      <c r="J1021" s="176">
        <v>46027</v>
      </c>
      <c r="K1021" s="172" t="s">
        <v>94</v>
      </c>
      <c r="L1021" s="172" t="s">
        <v>95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998</v>
      </c>
      <c r="B1022" s="176">
        <v>46031</v>
      </c>
      <c r="C1022" s="172" t="s">
        <v>93</v>
      </c>
      <c r="D1022" s="172" t="s">
        <v>24</v>
      </c>
      <c r="E1022" s="172" t="s">
        <v>42</v>
      </c>
      <c r="F1022" s="172" t="s">
        <v>84</v>
      </c>
      <c r="G1022" s="172" t="s">
        <v>85</v>
      </c>
      <c r="H1022" s="177">
        <v>1</v>
      </c>
      <c r="I1022" s="178">
        <v>1600</v>
      </c>
      <c r="J1022" s="176">
        <v>46029</v>
      </c>
      <c r="K1022" s="172" t="s">
        <v>94</v>
      </c>
      <c r="L1022" s="172" t="s">
        <v>95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998</v>
      </c>
      <c r="B1023" s="176">
        <v>46031</v>
      </c>
      <c r="C1023" s="172" t="s">
        <v>101</v>
      </c>
      <c r="D1023" s="172" t="s">
        <v>102</v>
      </c>
      <c r="E1023" s="172" t="s">
        <v>42</v>
      </c>
      <c r="F1023" s="172" t="s">
        <v>84</v>
      </c>
      <c r="G1023" s="172" t="s">
        <v>85</v>
      </c>
      <c r="H1023" s="177">
        <v>1</v>
      </c>
      <c r="I1023" s="178">
        <v>1600</v>
      </c>
      <c r="J1023" s="176">
        <v>46029</v>
      </c>
      <c r="K1023" s="172" t="s">
        <v>94</v>
      </c>
      <c r="L1023" s="172" t="s">
        <v>95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998</v>
      </c>
      <c r="B1024" s="176">
        <v>46031</v>
      </c>
      <c r="C1024" s="172" t="s">
        <v>101</v>
      </c>
      <c r="D1024" s="172" t="s">
        <v>103</v>
      </c>
      <c r="E1024" s="172" t="s">
        <v>42</v>
      </c>
      <c r="F1024" s="172" t="s">
        <v>84</v>
      </c>
      <c r="G1024" s="172" t="s">
        <v>85</v>
      </c>
      <c r="H1024" s="177">
        <v>1</v>
      </c>
      <c r="I1024" s="178">
        <v>1600</v>
      </c>
      <c r="J1024" s="176">
        <v>46029</v>
      </c>
      <c r="K1024" s="172" t="s">
        <v>94</v>
      </c>
      <c r="L1024" s="172" t="s">
        <v>95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998</v>
      </c>
      <c r="B1025" s="176">
        <v>46031</v>
      </c>
      <c r="C1025" s="172" t="s">
        <v>101</v>
      </c>
      <c r="D1025" s="172" t="s">
        <v>104</v>
      </c>
      <c r="E1025" s="172" t="s">
        <v>42</v>
      </c>
      <c r="F1025" s="172" t="s">
        <v>84</v>
      </c>
      <c r="G1025" s="172" t="s">
        <v>85</v>
      </c>
      <c r="H1025" s="177">
        <v>1</v>
      </c>
      <c r="I1025" s="178">
        <v>1600</v>
      </c>
      <c r="J1025" s="176">
        <v>46029</v>
      </c>
      <c r="K1025" s="172" t="s">
        <v>94</v>
      </c>
      <c r="L1025" s="172" t="s">
        <v>95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998</v>
      </c>
      <c r="B1026" s="176">
        <v>46031</v>
      </c>
      <c r="C1026" s="172" t="s">
        <v>105</v>
      </c>
      <c r="D1026" s="172" t="s">
        <v>106</v>
      </c>
      <c r="E1026" s="172" t="s">
        <v>42</v>
      </c>
      <c r="F1026" s="172" t="s">
        <v>84</v>
      </c>
      <c r="G1026" s="172" t="s">
        <v>85</v>
      </c>
      <c r="H1026" s="177">
        <v>1</v>
      </c>
      <c r="I1026" s="178">
        <v>1600</v>
      </c>
      <c r="J1026" s="176">
        <v>46029</v>
      </c>
      <c r="K1026" s="172" t="s">
        <v>94</v>
      </c>
      <c r="L1026" s="172" t="s">
        <v>95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998</v>
      </c>
      <c r="B1027" s="176">
        <v>46031</v>
      </c>
      <c r="C1027" s="172" t="s">
        <v>82</v>
      </c>
      <c r="D1027" s="172" t="s">
        <v>96</v>
      </c>
      <c r="E1027" s="172" t="s">
        <v>42</v>
      </c>
      <c r="F1027" s="172" t="s">
        <v>84</v>
      </c>
      <c r="G1027" s="172" t="s">
        <v>85</v>
      </c>
      <c r="H1027" s="177">
        <v>1</v>
      </c>
      <c r="I1027" s="178">
        <v>1600</v>
      </c>
      <c r="J1027" s="176">
        <v>46029</v>
      </c>
      <c r="K1027" s="172" t="s">
        <v>94</v>
      </c>
      <c r="L1027" s="172" t="s">
        <v>95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999</v>
      </c>
      <c r="B1028" s="176">
        <v>46031</v>
      </c>
      <c r="C1028" s="172" t="s">
        <v>93</v>
      </c>
      <c r="D1028" s="172" t="s">
        <v>24</v>
      </c>
      <c r="E1028" s="172" t="s">
        <v>42</v>
      </c>
      <c r="F1028" s="172" t="s">
        <v>84</v>
      </c>
      <c r="G1028" s="172" t="s">
        <v>85</v>
      </c>
      <c r="H1028" s="177">
        <v>1</v>
      </c>
      <c r="I1028" s="178">
        <v>1600</v>
      </c>
      <c r="J1028" s="176">
        <v>46027</v>
      </c>
      <c r="K1028" s="172" t="s">
        <v>94</v>
      </c>
      <c r="L1028" s="172" t="s">
        <v>95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999</v>
      </c>
      <c r="B1029" s="176">
        <v>46031</v>
      </c>
      <c r="C1029" s="172" t="s">
        <v>101</v>
      </c>
      <c r="D1029" s="172" t="s">
        <v>102</v>
      </c>
      <c r="E1029" s="172" t="s">
        <v>42</v>
      </c>
      <c r="F1029" s="172" t="s">
        <v>84</v>
      </c>
      <c r="G1029" s="172" t="s">
        <v>85</v>
      </c>
      <c r="H1029" s="177">
        <v>1</v>
      </c>
      <c r="I1029" s="178">
        <v>1600</v>
      </c>
      <c r="J1029" s="176">
        <v>46027</v>
      </c>
      <c r="K1029" s="172" t="s">
        <v>94</v>
      </c>
      <c r="L1029" s="172" t="s">
        <v>95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999</v>
      </c>
      <c r="B1030" s="176">
        <v>46031</v>
      </c>
      <c r="C1030" s="172" t="s">
        <v>101</v>
      </c>
      <c r="D1030" s="172" t="s">
        <v>103</v>
      </c>
      <c r="E1030" s="172" t="s">
        <v>42</v>
      </c>
      <c r="F1030" s="172" t="s">
        <v>84</v>
      </c>
      <c r="G1030" s="172" t="s">
        <v>85</v>
      </c>
      <c r="H1030" s="177">
        <v>1</v>
      </c>
      <c r="I1030" s="178">
        <v>1600</v>
      </c>
      <c r="J1030" s="176">
        <v>46027</v>
      </c>
      <c r="K1030" s="172" t="s">
        <v>94</v>
      </c>
      <c r="L1030" s="172" t="s">
        <v>95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999</v>
      </c>
      <c r="B1031" s="176">
        <v>46031</v>
      </c>
      <c r="C1031" s="172" t="s">
        <v>101</v>
      </c>
      <c r="D1031" s="172" t="s">
        <v>104</v>
      </c>
      <c r="E1031" s="172" t="s">
        <v>42</v>
      </c>
      <c r="F1031" s="172" t="s">
        <v>84</v>
      </c>
      <c r="G1031" s="172" t="s">
        <v>85</v>
      </c>
      <c r="H1031" s="177">
        <v>1</v>
      </c>
      <c r="I1031" s="178">
        <v>1600</v>
      </c>
      <c r="J1031" s="176">
        <v>46027</v>
      </c>
      <c r="K1031" s="172" t="s">
        <v>94</v>
      </c>
      <c r="L1031" s="172" t="s">
        <v>95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999</v>
      </c>
      <c r="B1032" s="176">
        <v>46031</v>
      </c>
      <c r="C1032" s="172" t="s">
        <v>105</v>
      </c>
      <c r="D1032" s="172" t="s">
        <v>106</v>
      </c>
      <c r="E1032" s="172" t="s">
        <v>42</v>
      </c>
      <c r="F1032" s="172" t="s">
        <v>84</v>
      </c>
      <c r="G1032" s="172" t="s">
        <v>85</v>
      </c>
      <c r="H1032" s="177">
        <v>1</v>
      </c>
      <c r="I1032" s="178">
        <v>1600</v>
      </c>
      <c r="J1032" s="176">
        <v>46027</v>
      </c>
      <c r="K1032" s="172" t="s">
        <v>94</v>
      </c>
      <c r="L1032" s="172" t="s">
        <v>95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999</v>
      </c>
      <c r="B1033" s="176">
        <v>46031</v>
      </c>
      <c r="C1033" s="172" t="s">
        <v>82</v>
      </c>
      <c r="D1033" s="172" t="s">
        <v>96</v>
      </c>
      <c r="E1033" s="172" t="s">
        <v>42</v>
      </c>
      <c r="F1033" s="172" t="s">
        <v>84</v>
      </c>
      <c r="G1033" s="172" t="s">
        <v>85</v>
      </c>
      <c r="H1033" s="177">
        <v>1</v>
      </c>
      <c r="I1033" s="178">
        <v>1600</v>
      </c>
      <c r="J1033" s="176">
        <v>46027</v>
      </c>
      <c r="K1033" s="172" t="s">
        <v>94</v>
      </c>
      <c r="L1033" s="172" t="s">
        <v>95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1000</v>
      </c>
      <c r="B1034" s="176">
        <v>46031</v>
      </c>
      <c r="C1034" s="172" t="s">
        <v>93</v>
      </c>
      <c r="D1034" s="172" t="s">
        <v>24</v>
      </c>
      <c r="E1034" s="172" t="s">
        <v>54</v>
      </c>
      <c r="F1034" s="172" t="s">
        <v>121</v>
      </c>
      <c r="G1034" s="172" t="s">
        <v>85</v>
      </c>
      <c r="H1034" s="177">
        <v>1</v>
      </c>
      <c r="I1034" s="178">
        <v>1845</v>
      </c>
      <c r="J1034" s="176">
        <v>46030</v>
      </c>
      <c r="K1034" s="172" t="s">
        <v>94</v>
      </c>
      <c r="L1034" s="172" t="s">
        <v>95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1000</v>
      </c>
      <c r="B1035" s="176">
        <v>46031</v>
      </c>
      <c r="C1035" s="172" t="s">
        <v>101</v>
      </c>
      <c r="D1035" s="172" t="s">
        <v>102</v>
      </c>
      <c r="E1035" s="172" t="s">
        <v>54</v>
      </c>
      <c r="F1035" s="172" t="s">
        <v>121</v>
      </c>
      <c r="G1035" s="172" t="s">
        <v>85</v>
      </c>
      <c r="H1035" s="177">
        <v>1</v>
      </c>
      <c r="I1035" s="178">
        <v>1845</v>
      </c>
      <c r="J1035" s="176">
        <v>46030</v>
      </c>
      <c r="K1035" s="172" t="s">
        <v>94</v>
      </c>
      <c r="L1035" s="172" t="s">
        <v>95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1000</v>
      </c>
      <c r="B1036" s="176">
        <v>46031</v>
      </c>
      <c r="C1036" s="172" t="s">
        <v>101</v>
      </c>
      <c r="D1036" s="172" t="s">
        <v>103</v>
      </c>
      <c r="E1036" s="172" t="s">
        <v>54</v>
      </c>
      <c r="F1036" s="172" t="s">
        <v>121</v>
      </c>
      <c r="G1036" s="172" t="s">
        <v>85</v>
      </c>
      <c r="H1036" s="177">
        <v>1</v>
      </c>
      <c r="I1036" s="178">
        <v>1845</v>
      </c>
      <c r="J1036" s="176">
        <v>46030</v>
      </c>
      <c r="K1036" s="172" t="s">
        <v>94</v>
      </c>
      <c r="L1036" s="172" t="s">
        <v>95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1000</v>
      </c>
      <c r="B1037" s="176">
        <v>46031</v>
      </c>
      <c r="C1037" s="172" t="s">
        <v>101</v>
      </c>
      <c r="D1037" s="172" t="s">
        <v>104</v>
      </c>
      <c r="E1037" s="172" t="s">
        <v>54</v>
      </c>
      <c r="F1037" s="172" t="s">
        <v>121</v>
      </c>
      <c r="G1037" s="172" t="s">
        <v>85</v>
      </c>
      <c r="H1037" s="177">
        <v>1</v>
      </c>
      <c r="I1037" s="178">
        <v>1845</v>
      </c>
      <c r="J1037" s="176">
        <v>46030</v>
      </c>
      <c r="K1037" s="172" t="s">
        <v>94</v>
      </c>
      <c r="L1037" s="172" t="s">
        <v>95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1000</v>
      </c>
      <c r="B1038" s="176">
        <v>46031</v>
      </c>
      <c r="C1038" s="172" t="s">
        <v>105</v>
      </c>
      <c r="D1038" s="172" t="s">
        <v>106</v>
      </c>
      <c r="E1038" s="172" t="s">
        <v>54</v>
      </c>
      <c r="F1038" s="172" t="s">
        <v>121</v>
      </c>
      <c r="G1038" s="172" t="s">
        <v>85</v>
      </c>
      <c r="H1038" s="177">
        <v>1</v>
      </c>
      <c r="I1038" s="178">
        <v>1845</v>
      </c>
      <c r="J1038" s="176">
        <v>46030</v>
      </c>
      <c r="K1038" s="172" t="s">
        <v>94</v>
      </c>
      <c r="L1038" s="172" t="s">
        <v>95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439</v>
      </c>
      <c r="B1039" s="176">
        <v>46031</v>
      </c>
      <c r="C1039" s="172" t="s">
        <v>82</v>
      </c>
      <c r="D1039" s="172" t="s">
        <v>83</v>
      </c>
      <c r="E1039" s="172" t="s">
        <v>53</v>
      </c>
      <c r="F1039" s="172" t="s">
        <v>91</v>
      </c>
      <c r="G1039" s="172" t="s">
        <v>85</v>
      </c>
      <c r="H1039" s="177">
        <v>1</v>
      </c>
      <c r="I1039" s="178">
        <v>0</v>
      </c>
      <c r="J1039" s="176">
        <v>46027</v>
      </c>
      <c r="K1039" s="172" t="s">
        <v>86</v>
      </c>
      <c r="L1039" s="172" t="s">
        <v>86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1001</v>
      </c>
      <c r="B1040" s="176">
        <v>46031</v>
      </c>
      <c r="C1040" s="172" t="s">
        <v>93</v>
      </c>
      <c r="D1040" s="172" t="s">
        <v>24</v>
      </c>
      <c r="E1040" s="172" t="s">
        <v>42</v>
      </c>
      <c r="F1040" s="172" t="s">
        <v>84</v>
      </c>
      <c r="G1040" s="172" t="s">
        <v>85</v>
      </c>
      <c r="H1040" s="177">
        <v>1</v>
      </c>
      <c r="I1040" s="178">
        <v>0</v>
      </c>
      <c r="J1040" s="176">
        <v>46025</v>
      </c>
      <c r="K1040" s="172" t="s">
        <v>94</v>
      </c>
      <c r="L1040" s="172" t="s">
        <v>95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1001</v>
      </c>
      <c r="B1041" s="176">
        <v>46031</v>
      </c>
      <c r="C1041" s="172" t="s">
        <v>82</v>
      </c>
      <c r="D1041" s="172" t="s">
        <v>96</v>
      </c>
      <c r="E1041" s="172" t="s">
        <v>42</v>
      </c>
      <c r="F1041" s="172" t="s">
        <v>84</v>
      </c>
      <c r="G1041" s="172" t="s">
        <v>85</v>
      </c>
      <c r="H1041" s="177">
        <v>1</v>
      </c>
      <c r="I1041" s="178">
        <v>0</v>
      </c>
      <c r="J1041" s="176">
        <v>46025</v>
      </c>
      <c r="K1041" s="172" t="s">
        <v>94</v>
      </c>
      <c r="L1041" s="172" t="s">
        <v>95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998</v>
      </c>
      <c r="B1042" s="176">
        <v>46031</v>
      </c>
      <c r="C1042" s="172" t="s">
        <v>82</v>
      </c>
      <c r="D1042" s="172" t="s">
        <v>83</v>
      </c>
      <c r="E1042" s="172" t="s">
        <v>42</v>
      </c>
      <c r="F1042" s="172" t="s">
        <v>84</v>
      </c>
      <c r="G1042" s="172" t="s">
        <v>85</v>
      </c>
      <c r="H1042" s="177">
        <v>1</v>
      </c>
      <c r="I1042" s="178">
        <v>0</v>
      </c>
      <c r="J1042" s="176">
        <v>46029</v>
      </c>
      <c r="K1042" s="172" t="s">
        <v>86</v>
      </c>
      <c r="L1042" s="172" t="s">
        <v>86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1001</v>
      </c>
      <c r="B1043" s="176">
        <v>46031</v>
      </c>
      <c r="C1043" s="172" t="s">
        <v>93</v>
      </c>
      <c r="D1043" s="172" t="s">
        <v>97</v>
      </c>
      <c r="E1043" s="172" t="s">
        <v>42</v>
      </c>
      <c r="F1043" s="172" t="s">
        <v>84</v>
      </c>
      <c r="G1043" s="172" t="s">
        <v>85</v>
      </c>
      <c r="H1043" s="177">
        <v>1</v>
      </c>
      <c r="I1043" s="178">
        <v>0</v>
      </c>
      <c r="J1043" s="176">
        <v>46025</v>
      </c>
      <c r="K1043" s="172" t="s">
        <v>94</v>
      </c>
      <c r="L1043" s="172" t="s">
        <v>95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1001</v>
      </c>
      <c r="B1044" s="176">
        <v>46031</v>
      </c>
      <c r="C1044" s="172" t="s">
        <v>93</v>
      </c>
      <c r="D1044" s="172" t="s">
        <v>98</v>
      </c>
      <c r="E1044" s="172" t="s">
        <v>42</v>
      </c>
      <c r="F1044" s="172" t="s">
        <v>84</v>
      </c>
      <c r="G1044" s="172" t="s">
        <v>85</v>
      </c>
      <c r="H1044" s="177">
        <v>1</v>
      </c>
      <c r="I1044" s="178">
        <v>0</v>
      </c>
      <c r="J1044" s="176">
        <v>46025</v>
      </c>
      <c r="K1044" s="172" t="s">
        <v>94</v>
      </c>
      <c r="L1044" s="172" t="s">
        <v>95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1001</v>
      </c>
      <c r="B1045" s="176">
        <v>46031</v>
      </c>
      <c r="C1045" s="172" t="s">
        <v>82</v>
      </c>
      <c r="D1045" s="172" t="s">
        <v>99</v>
      </c>
      <c r="E1045" s="172" t="s">
        <v>42</v>
      </c>
      <c r="F1045" s="172" t="s">
        <v>84</v>
      </c>
      <c r="G1045" s="172" t="s">
        <v>85</v>
      </c>
      <c r="H1045" s="177">
        <v>1</v>
      </c>
      <c r="I1045" s="178">
        <v>0</v>
      </c>
      <c r="J1045" s="176">
        <v>46025</v>
      </c>
      <c r="K1045" s="172" t="s">
        <v>94</v>
      </c>
      <c r="L1045" s="172" t="s">
        <v>95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484</v>
      </c>
      <c r="B1046" s="176">
        <v>46031</v>
      </c>
      <c r="C1046" s="172" t="s">
        <v>167</v>
      </c>
      <c r="D1046" s="172" t="s">
        <v>168</v>
      </c>
      <c r="E1046" s="172" t="s">
        <v>42</v>
      </c>
      <c r="F1046" s="172" t="s">
        <v>84</v>
      </c>
      <c r="G1046" s="172" t="s">
        <v>85</v>
      </c>
      <c r="H1046" s="177">
        <v>1</v>
      </c>
      <c r="I1046" s="178">
        <v>-1600</v>
      </c>
      <c r="J1046" s="176">
        <v>46027</v>
      </c>
      <c r="K1046" s="172" t="s">
        <v>94</v>
      </c>
      <c r="L1046" s="172" t="s">
        <v>95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484</v>
      </c>
      <c r="B1047" s="176">
        <v>46031</v>
      </c>
      <c r="C1047" s="172" t="s">
        <v>167</v>
      </c>
      <c r="D1047" s="172" t="s">
        <v>103</v>
      </c>
      <c r="E1047" s="172" t="s">
        <v>42</v>
      </c>
      <c r="F1047" s="172" t="s">
        <v>84</v>
      </c>
      <c r="G1047" s="172" t="s">
        <v>85</v>
      </c>
      <c r="H1047" s="177">
        <v>1</v>
      </c>
      <c r="I1047" s="178">
        <v>-1600</v>
      </c>
      <c r="J1047" s="176">
        <v>46027</v>
      </c>
      <c r="K1047" s="172" t="s">
        <v>94</v>
      </c>
      <c r="L1047" s="172" t="s">
        <v>95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484</v>
      </c>
      <c r="B1048" s="176">
        <v>46031</v>
      </c>
      <c r="C1048" s="172" t="s">
        <v>167</v>
      </c>
      <c r="D1048" s="172" t="s">
        <v>104</v>
      </c>
      <c r="E1048" s="172" t="s">
        <v>42</v>
      </c>
      <c r="F1048" s="172" t="s">
        <v>84</v>
      </c>
      <c r="G1048" s="172" t="s">
        <v>85</v>
      </c>
      <c r="H1048" s="177">
        <v>1</v>
      </c>
      <c r="I1048" s="178">
        <v>-1600</v>
      </c>
      <c r="J1048" s="176">
        <v>46027</v>
      </c>
      <c r="K1048" s="172" t="s">
        <v>94</v>
      </c>
      <c r="L1048" s="172" t="s">
        <v>95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484</v>
      </c>
      <c r="B1049" s="176">
        <v>46031</v>
      </c>
      <c r="C1049" s="172" t="s">
        <v>105</v>
      </c>
      <c r="D1049" s="172" t="s">
        <v>169</v>
      </c>
      <c r="E1049" s="172" t="s">
        <v>42</v>
      </c>
      <c r="F1049" s="172" t="s">
        <v>84</v>
      </c>
      <c r="G1049" s="172" t="s">
        <v>85</v>
      </c>
      <c r="H1049" s="177">
        <v>1</v>
      </c>
      <c r="I1049" s="178">
        <v>-1600</v>
      </c>
      <c r="J1049" s="176">
        <v>46027</v>
      </c>
      <c r="K1049" s="172" t="s">
        <v>94</v>
      </c>
      <c r="L1049" s="172" t="s">
        <v>95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805</v>
      </c>
      <c r="B1050" s="176">
        <v>46031</v>
      </c>
      <c r="C1050" s="172" t="s">
        <v>82</v>
      </c>
      <c r="D1050" s="172" t="s">
        <v>83</v>
      </c>
      <c r="E1050" s="172" t="s">
        <v>42</v>
      </c>
      <c r="F1050" s="172" t="s">
        <v>84</v>
      </c>
      <c r="G1050" s="172" t="s">
        <v>85</v>
      </c>
      <c r="H1050" s="177">
        <v>1</v>
      </c>
      <c r="I1050" s="178">
        <v>0</v>
      </c>
      <c r="J1050" s="176">
        <v>46027</v>
      </c>
      <c r="K1050" s="172" t="s">
        <v>86</v>
      </c>
      <c r="L1050" s="172" t="s">
        <v>86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1002</v>
      </c>
      <c r="B1051" s="176">
        <v>46031</v>
      </c>
      <c r="C1051" s="172" t="s">
        <v>93</v>
      </c>
      <c r="D1051" s="172" t="s">
        <v>24</v>
      </c>
      <c r="E1051" s="172" t="s">
        <v>54</v>
      </c>
      <c r="F1051" s="172" t="s">
        <v>121</v>
      </c>
      <c r="G1051" s="172" t="s">
        <v>85</v>
      </c>
      <c r="H1051" s="177">
        <v>1</v>
      </c>
      <c r="I1051" s="178">
        <v>0</v>
      </c>
      <c r="J1051" s="176">
        <v>46024</v>
      </c>
      <c r="K1051" s="172" t="s">
        <v>94</v>
      </c>
      <c r="L1051" s="172" t="s">
        <v>95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1002</v>
      </c>
      <c r="B1052" s="176">
        <v>46031</v>
      </c>
      <c r="C1052" s="172" t="s">
        <v>93</v>
      </c>
      <c r="D1052" s="172" t="s">
        <v>97</v>
      </c>
      <c r="E1052" s="172" t="s">
        <v>54</v>
      </c>
      <c r="F1052" s="172" t="s">
        <v>121</v>
      </c>
      <c r="G1052" s="172" t="s">
        <v>85</v>
      </c>
      <c r="H1052" s="177">
        <v>1</v>
      </c>
      <c r="I1052" s="178">
        <v>0</v>
      </c>
      <c r="J1052" s="176">
        <v>46024</v>
      </c>
      <c r="K1052" s="172" t="s">
        <v>94</v>
      </c>
      <c r="L1052" s="172" t="s">
        <v>95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1002</v>
      </c>
      <c r="B1053" s="176">
        <v>46031</v>
      </c>
      <c r="C1053" s="172" t="s">
        <v>93</v>
      </c>
      <c r="D1053" s="172" t="s">
        <v>98</v>
      </c>
      <c r="E1053" s="172" t="s">
        <v>54</v>
      </c>
      <c r="F1053" s="172" t="s">
        <v>121</v>
      </c>
      <c r="G1053" s="172" t="s">
        <v>85</v>
      </c>
      <c r="H1053" s="177">
        <v>1</v>
      </c>
      <c r="I1053" s="178">
        <v>0</v>
      </c>
      <c r="J1053" s="176">
        <v>46024</v>
      </c>
      <c r="K1053" s="172" t="s">
        <v>94</v>
      </c>
      <c r="L1053" s="172" t="s">
        <v>95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768</v>
      </c>
      <c r="B1054" s="176">
        <v>46031</v>
      </c>
      <c r="C1054" s="172" t="s">
        <v>93</v>
      </c>
      <c r="D1054" s="172" t="s">
        <v>273</v>
      </c>
      <c r="E1054" s="172" t="s">
        <v>42</v>
      </c>
      <c r="F1054" s="172" t="s">
        <v>84</v>
      </c>
      <c r="G1054" s="172" t="s">
        <v>85</v>
      </c>
      <c r="H1054" s="177">
        <v>1</v>
      </c>
      <c r="I1054" s="178">
        <v>0</v>
      </c>
      <c r="J1054" s="176">
        <v>46020</v>
      </c>
      <c r="K1054" s="172" t="s">
        <v>94</v>
      </c>
      <c r="L1054" s="172" t="s">
        <v>95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768</v>
      </c>
      <c r="B1055" s="176">
        <v>46031</v>
      </c>
      <c r="C1055" s="172" t="s">
        <v>93</v>
      </c>
      <c r="D1055" s="172" t="s">
        <v>98</v>
      </c>
      <c r="E1055" s="172" t="s">
        <v>42</v>
      </c>
      <c r="F1055" s="172" t="s">
        <v>84</v>
      </c>
      <c r="G1055" s="172" t="s">
        <v>85</v>
      </c>
      <c r="H1055" s="177">
        <v>1</v>
      </c>
      <c r="I1055" s="178">
        <v>0</v>
      </c>
      <c r="J1055" s="176">
        <v>46020</v>
      </c>
      <c r="K1055" s="172" t="s">
        <v>94</v>
      </c>
      <c r="L1055" s="172" t="s">
        <v>95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768</v>
      </c>
      <c r="B1056" s="176">
        <v>46031</v>
      </c>
      <c r="C1056" s="172" t="s">
        <v>82</v>
      </c>
      <c r="D1056" s="172" t="s">
        <v>99</v>
      </c>
      <c r="E1056" s="172" t="s">
        <v>42</v>
      </c>
      <c r="F1056" s="172" t="s">
        <v>84</v>
      </c>
      <c r="G1056" s="172" t="s">
        <v>85</v>
      </c>
      <c r="H1056" s="177">
        <v>1</v>
      </c>
      <c r="I1056" s="178">
        <v>0</v>
      </c>
      <c r="J1056" s="176">
        <v>46020</v>
      </c>
      <c r="K1056" s="172" t="s">
        <v>94</v>
      </c>
      <c r="L1056" s="172" t="s">
        <v>95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494</v>
      </c>
      <c r="B1057" s="176">
        <v>46031</v>
      </c>
      <c r="C1057" s="172" t="s">
        <v>93</v>
      </c>
      <c r="D1057" s="172" t="s">
        <v>24</v>
      </c>
      <c r="E1057" s="172" t="s">
        <v>53</v>
      </c>
      <c r="F1057" s="172" t="s">
        <v>91</v>
      </c>
      <c r="G1057" s="172" t="s">
        <v>85</v>
      </c>
      <c r="H1057" s="177">
        <v>1</v>
      </c>
      <c r="I1057" s="178">
        <v>1621</v>
      </c>
      <c r="J1057" s="176">
        <v>46030</v>
      </c>
      <c r="K1057" s="172" t="s">
        <v>94</v>
      </c>
      <c r="L1057" s="172" t="s">
        <v>95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494</v>
      </c>
      <c r="B1058" s="176">
        <v>46031</v>
      </c>
      <c r="C1058" s="172" t="s">
        <v>101</v>
      </c>
      <c r="D1058" s="172" t="s">
        <v>102</v>
      </c>
      <c r="E1058" s="172" t="s">
        <v>53</v>
      </c>
      <c r="F1058" s="172" t="s">
        <v>91</v>
      </c>
      <c r="G1058" s="172" t="s">
        <v>85</v>
      </c>
      <c r="H1058" s="177">
        <v>1</v>
      </c>
      <c r="I1058" s="178">
        <v>1621</v>
      </c>
      <c r="J1058" s="176">
        <v>46030</v>
      </c>
      <c r="K1058" s="172" t="s">
        <v>94</v>
      </c>
      <c r="L1058" s="172" t="s">
        <v>95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494</v>
      </c>
      <c r="B1059" s="176">
        <v>46031</v>
      </c>
      <c r="C1059" s="172" t="s">
        <v>101</v>
      </c>
      <c r="D1059" s="172" t="s">
        <v>103</v>
      </c>
      <c r="E1059" s="172" t="s">
        <v>53</v>
      </c>
      <c r="F1059" s="172" t="s">
        <v>91</v>
      </c>
      <c r="G1059" s="172" t="s">
        <v>85</v>
      </c>
      <c r="H1059" s="177">
        <v>1</v>
      </c>
      <c r="I1059" s="178">
        <v>1621</v>
      </c>
      <c r="J1059" s="176">
        <v>46030</v>
      </c>
      <c r="K1059" s="172" t="s">
        <v>94</v>
      </c>
      <c r="L1059" s="172" t="s">
        <v>95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494</v>
      </c>
      <c r="B1060" s="176">
        <v>46031</v>
      </c>
      <c r="C1060" s="172" t="s">
        <v>101</v>
      </c>
      <c r="D1060" s="172" t="s">
        <v>104</v>
      </c>
      <c r="E1060" s="172" t="s">
        <v>53</v>
      </c>
      <c r="F1060" s="172" t="s">
        <v>91</v>
      </c>
      <c r="G1060" s="172" t="s">
        <v>85</v>
      </c>
      <c r="H1060" s="177">
        <v>1</v>
      </c>
      <c r="I1060" s="178">
        <v>1621</v>
      </c>
      <c r="J1060" s="176">
        <v>46030</v>
      </c>
      <c r="K1060" s="172" t="s">
        <v>94</v>
      </c>
      <c r="L1060" s="172" t="s">
        <v>95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494</v>
      </c>
      <c r="B1061" s="176">
        <v>46031</v>
      </c>
      <c r="C1061" s="172" t="s">
        <v>105</v>
      </c>
      <c r="D1061" s="172" t="s">
        <v>106</v>
      </c>
      <c r="E1061" s="172" t="s">
        <v>53</v>
      </c>
      <c r="F1061" s="172" t="s">
        <v>91</v>
      </c>
      <c r="G1061" s="172" t="s">
        <v>85</v>
      </c>
      <c r="H1061" s="177">
        <v>1</v>
      </c>
      <c r="I1061" s="178">
        <v>1621</v>
      </c>
      <c r="J1061" s="176">
        <v>46030</v>
      </c>
      <c r="K1061" s="172" t="s">
        <v>94</v>
      </c>
      <c r="L1061" s="172" t="s">
        <v>95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494</v>
      </c>
      <c r="B1062" s="176">
        <v>46031</v>
      </c>
      <c r="C1062" s="172" t="s">
        <v>82</v>
      </c>
      <c r="D1062" s="172" t="s">
        <v>96</v>
      </c>
      <c r="E1062" s="172" t="s">
        <v>53</v>
      </c>
      <c r="F1062" s="172" t="s">
        <v>91</v>
      </c>
      <c r="G1062" s="172" t="s">
        <v>85</v>
      </c>
      <c r="H1062" s="177">
        <v>1</v>
      </c>
      <c r="I1062" s="178">
        <v>1621</v>
      </c>
      <c r="J1062" s="176">
        <v>46030</v>
      </c>
      <c r="K1062" s="172" t="s">
        <v>94</v>
      </c>
      <c r="L1062" s="172" t="s">
        <v>95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914</v>
      </c>
      <c r="B1063" s="176">
        <v>46031</v>
      </c>
      <c r="C1063" s="172" t="s">
        <v>82</v>
      </c>
      <c r="D1063" s="172" t="s">
        <v>83</v>
      </c>
      <c r="E1063" s="172" t="s">
        <v>42</v>
      </c>
      <c r="F1063" s="172" t="s">
        <v>84</v>
      </c>
      <c r="G1063" s="172" t="s">
        <v>85</v>
      </c>
      <c r="H1063" s="177">
        <v>1</v>
      </c>
      <c r="I1063" s="178">
        <v>0</v>
      </c>
      <c r="J1063" s="176">
        <v>46029</v>
      </c>
      <c r="K1063" s="172" t="s">
        <v>86</v>
      </c>
      <c r="L1063" s="172" t="s">
        <v>86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494</v>
      </c>
      <c r="B1064" s="176">
        <v>46031</v>
      </c>
      <c r="C1064" s="172" t="s">
        <v>82</v>
      </c>
      <c r="D1064" s="172" t="s">
        <v>83</v>
      </c>
      <c r="E1064" s="172" t="s">
        <v>53</v>
      </c>
      <c r="F1064" s="172" t="s">
        <v>91</v>
      </c>
      <c r="G1064" s="172" t="s">
        <v>85</v>
      </c>
      <c r="H1064" s="177">
        <v>1</v>
      </c>
      <c r="I1064" s="178">
        <v>0</v>
      </c>
      <c r="J1064" s="176">
        <v>46030</v>
      </c>
      <c r="K1064" s="172" t="s">
        <v>86</v>
      </c>
      <c r="L1064" s="172" t="s">
        <v>86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1003</v>
      </c>
      <c r="B1065" s="176">
        <v>46031</v>
      </c>
      <c r="C1065" s="172" t="s">
        <v>93</v>
      </c>
      <c r="D1065" s="172" t="s">
        <v>24</v>
      </c>
      <c r="E1065" s="172" t="s">
        <v>53</v>
      </c>
      <c r="F1065" s="172" t="s">
        <v>91</v>
      </c>
      <c r="G1065" s="172" t="s">
        <v>85</v>
      </c>
      <c r="H1065" s="177">
        <v>1</v>
      </c>
      <c r="I1065" s="178">
        <v>0</v>
      </c>
      <c r="J1065" s="176">
        <v>46017</v>
      </c>
      <c r="K1065" s="172" t="s">
        <v>94</v>
      </c>
      <c r="L1065" s="172" t="s">
        <v>95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1003</v>
      </c>
      <c r="B1066" s="176">
        <v>46031</v>
      </c>
      <c r="C1066" s="172" t="s">
        <v>93</v>
      </c>
      <c r="D1066" s="172" t="s">
        <v>97</v>
      </c>
      <c r="E1066" s="172" t="s">
        <v>53</v>
      </c>
      <c r="F1066" s="172" t="s">
        <v>91</v>
      </c>
      <c r="G1066" s="172" t="s">
        <v>85</v>
      </c>
      <c r="H1066" s="177">
        <v>1</v>
      </c>
      <c r="I1066" s="178">
        <v>0</v>
      </c>
      <c r="J1066" s="176">
        <v>46017</v>
      </c>
      <c r="K1066" s="172" t="s">
        <v>94</v>
      </c>
      <c r="L1066" s="172" t="s">
        <v>95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1003</v>
      </c>
      <c r="B1067" s="176">
        <v>46031</v>
      </c>
      <c r="C1067" s="172" t="s">
        <v>93</v>
      </c>
      <c r="D1067" s="172" t="s">
        <v>98</v>
      </c>
      <c r="E1067" s="172" t="s">
        <v>53</v>
      </c>
      <c r="F1067" s="172" t="s">
        <v>91</v>
      </c>
      <c r="G1067" s="172" t="s">
        <v>85</v>
      </c>
      <c r="H1067" s="177">
        <v>1</v>
      </c>
      <c r="I1067" s="178">
        <v>0</v>
      </c>
      <c r="J1067" s="176">
        <v>46017</v>
      </c>
      <c r="K1067" s="172" t="s">
        <v>94</v>
      </c>
      <c r="L1067" s="172" t="s">
        <v>95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1004</v>
      </c>
      <c r="B1068" s="176">
        <v>46031</v>
      </c>
      <c r="C1068" s="172" t="s">
        <v>93</v>
      </c>
      <c r="D1068" s="172" t="s">
        <v>24</v>
      </c>
      <c r="E1068" s="172" t="s">
        <v>54</v>
      </c>
      <c r="F1068" s="172" t="s">
        <v>121</v>
      </c>
      <c r="G1068" s="172" t="s">
        <v>85</v>
      </c>
      <c r="H1068" s="177">
        <v>1</v>
      </c>
      <c r="I1068" s="178">
        <v>1845</v>
      </c>
      <c r="J1068" s="176">
        <v>46027</v>
      </c>
      <c r="K1068" s="172" t="s">
        <v>94</v>
      </c>
      <c r="L1068" s="172" t="s">
        <v>95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1004</v>
      </c>
      <c r="B1069" s="176">
        <v>46031</v>
      </c>
      <c r="C1069" s="172" t="s">
        <v>101</v>
      </c>
      <c r="D1069" s="172" t="s">
        <v>102</v>
      </c>
      <c r="E1069" s="172" t="s">
        <v>54</v>
      </c>
      <c r="F1069" s="172" t="s">
        <v>121</v>
      </c>
      <c r="G1069" s="172" t="s">
        <v>85</v>
      </c>
      <c r="H1069" s="177">
        <v>1</v>
      </c>
      <c r="I1069" s="178">
        <v>1845</v>
      </c>
      <c r="J1069" s="176">
        <v>46027</v>
      </c>
      <c r="K1069" s="172" t="s">
        <v>94</v>
      </c>
      <c r="L1069" s="172" t="s">
        <v>95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1004</v>
      </c>
      <c r="B1070" s="176">
        <v>46031</v>
      </c>
      <c r="C1070" s="172" t="s">
        <v>101</v>
      </c>
      <c r="D1070" s="172" t="s">
        <v>103</v>
      </c>
      <c r="E1070" s="172" t="s">
        <v>54</v>
      </c>
      <c r="F1070" s="172" t="s">
        <v>121</v>
      </c>
      <c r="G1070" s="172" t="s">
        <v>85</v>
      </c>
      <c r="H1070" s="177">
        <v>1</v>
      </c>
      <c r="I1070" s="178">
        <v>1845</v>
      </c>
      <c r="J1070" s="176">
        <v>46027</v>
      </c>
      <c r="K1070" s="172" t="s">
        <v>94</v>
      </c>
      <c r="L1070" s="172" t="s">
        <v>95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1004</v>
      </c>
      <c r="B1071" s="176">
        <v>46031</v>
      </c>
      <c r="C1071" s="172" t="s">
        <v>101</v>
      </c>
      <c r="D1071" s="172" t="s">
        <v>104</v>
      </c>
      <c r="E1071" s="172" t="s">
        <v>54</v>
      </c>
      <c r="F1071" s="172" t="s">
        <v>121</v>
      </c>
      <c r="G1071" s="172" t="s">
        <v>85</v>
      </c>
      <c r="H1071" s="177">
        <v>1</v>
      </c>
      <c r="I1071" s="178">
        <v>1845</v>
      </c>
      <c r="J1071" s="176">
        <v>46027</v>
      </c>
      <c r="K1071" s="172" t="s">
        <v>94</v>
      </c>
      <c r="L1071" s="172" t="s">
        <v>95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1004</v>
      </c>
      <c r="B1072" s="176">
        <v>46031</v>
      </c>
      <c r="C1072" s="172" t="s">
        <v>105</v>
      </c>
      <c r="D1072" s="172" t="s">
        <v>106</v>
      </c>
      <c r="E1072" s="172" t="s">
        <v>54</v>
      </c>
      <c r="F1072" s="172" t="s">
        <v>121</v>
      </c>
      <c r="G1072" s="172" t="s">
        <v>85</v>
      </c>
      <c r="H1072" s="177">
        <v>1</v>
      </c>
      <c r="I1072" s="178">
        <v>1845</v>
      </c>
      <c r="J1072" s="176">
        <v>46027</v>
      </c>
      <c r="K1072" s="172" t="s">
        <v>94</v>
      </c>
      <c r="L1072" s="172" t="s">
        <v>95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1004</v>
      </c>
      <c r="B1073" s="176">
        <v>46031</v>
      </c>
      <c r="C1073" s="172" t="s">
        <v>82</v>
      </c>
      <c r="D1073" s="172" t="s">
        <v>96</v>
      </c>
      <c r="E1073" s="172" t="s">
        <v>54</v>
      </c>
      <c r="F1073" s="172" t="s">
        <v>121</v>
      </c>
      <c r="G1073" s="172" t="s">
        <v>85</v>
      </c>
      <c r="H1073" s="177">
        <v>1</v>
      </c>
      <c r="I1073" s="178">
        <v>1845</v>
      </c>
      <c r="J1073" s="176">
        <v>46027</v>
      </c>
      <c r="K1073" s="172" t="s">
        <v>94</v>
      </c>
      <c r="L1073" s="172" t="s">
        <v>95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806</v>
      </c>
      <c r="B1074" s="176">
        <v>46031</v>
      </c>
      <c r="C1074" s="172" t="s">
        <v>82</v>
      </c>
      <c r="D1074" s="172" t="s">
        <v>83</v>
      </c>
      <c r="E1074" s="172" t="s">
        <v>42</v>
      </c>
      <c r="F1074" s="172" t="s">
        <v>84</v>
      </c>
      <c r="G1074" s="172" t="s">
        <v>85</v>
      </c>
      <c r="H1074" s="177">
        <v>1</v>
      </c>
      <c r="I1074" s="178">
        <v>0</v>
      </c>
      <c r="J1074" s="176">
        <v>46027</v>
      </c>
      <c r="K1074" s="172" t="s">
        <v>86</v>
      </c>
      <c r="L1074" s="172" t="s">
        <v>86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806</v>
      </c>
      <c r="B1075" s="176">
        <v>46031</v>
      </c>
      <c r="C1075" s="172" t="s">
        <v>82</v>
      </c>
      <c r="D1075" s="172" t="s">
        <v>83</v>
      </c>
      <c r="E1075" s="172" t="s">
        <v>42</v>
      </c>
      <c r="F1075" s="172" t="s">
        <v>84</v>
      </c>
      <c r="G1075" s="172" t="s">
        <v>85</v>
      </c>
      <c r="H1075" s="177">
        <v>1</v>
      </c>
      <c r="I1075" s="178">
        <v>0</v>
      </c>
      <c r="J1075" s="176">
        <v>46027</v>
      </c>
      <c r="K1075" s="172" t="s">
        <v>86</v>
      </c>
      <c r="L1075" s="172" t="s">
        <v>86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145</v>
      </c>
      <c r="B1076" s="176">
        <v>46031</v>
      </c>
      <c r="C1076" s="172" t="s">
        <v>110</v>
      </c>
      <c r="D1076" s="172" t="s">
        <v>140</v>
      </c>
      <c r="E1076" s="172" t="s">
        <v>86</v>
      </c>
      <c r="F1076" s="172" t="s">
        <v>86</v>
      </c>
      <c r="G1076" s="172" t="s">
        <v>86</v>
      </c>
      <c r="H1076" s="177">
        <v>0</v>
      </c>
      <c r="I1076" s="178">
        <v>0</v>
      </c>
      <c r="J1076" s="176">
        <v>46031</v>
      </c>
      <c r="K1076" s="172" t="s">
        <v>86</v>
      </c>
      <c r="L1076" s="172" t="s">
        <v>86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139</v>
      </c>
      <c r="B1077" s="176">
        <v>46031</v>
      </c>
      <c r="C1077" s="172" t="s">
        <v>110</v>
      </c>
      <c r="D1077" s="172" t="s">
        <v>140</v>
      </c>
      <c r="E1077" s="172" t="s">
        <v>86</v>
      </c>
      <c r="F1077" s="172" t="s">
        <v>86</v>
      </c>
      <c r="G1077" s="172" t="s">
        <v>86</v>
      </c>
      <c r="H1077" s="177">
        <v>0</v>
      </c>
      <c r="I1077" s="178">
        <v>0</v>
      </c>
      <c r="J1077" s="176">
        <v>46031</v>
      </c>
      <c r="K1077" s="172" t="s">
        <v>86</v>
      </c>
      <c r="L1077" s="172" t="s">
        <v>86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143</v>
      </c>
      <c r="B1078" s="176">
        <v>46031</v>
      </c>
      <c r="C1078" s="172" t="s">
        <v>110</v>
      </c>
      <c r="D1078" s="172" t="s">
        <v>144</v>
      </c>
      <c r="E1078" s="172" t="s">
        <v>86</v>
      </c>
      <c r="F1078" s="172" t="s">
        <v>86</v>
      </c>
      <c r="G1078" s="172" t="s">
        <v>86</v>
      </c>
      <c r="H1078" s="177">
        <v>0</v>
      </c>
      <c r="I1078" s="178">
        <v>0</v>
      </c>
      <c r="J1078" s="176">
        <v>46031</v>
      </c>
      <c r="K1078" s="172" t="s">
        <v>86</v>
      </c>
      <c r="L1078" s="172" t="s">
        <v>86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414</v>
      </c>
      <c r="B1079" s="176">
        <v>46031</v>
      </c>
      <c r="C1079" s="172" t="s">
        <v>110</v>
      </c>
      <c r="D1079" s="172" t="s">
        <v>140</v>
      </c>
      <c r="E1079" s="172" t="s">
        <v>86</v>
      </c>
      <c r="F1079" s="172" t="s">
        <v>86</v>
      </c>
      <c r="G1079" s="172" t="s">
        <v>86</v>
      </c>
      <c r="H1079" s="177">
        <v>0</v>
      </c>
      <c r="I1079" s="178">
        <v>0</v>
      </c>
      <c r="J1079" s="176">
        <v>46031</v>
      </c>
      <c r="K1079" s="172" t="s">
        <v>86</v>
      </c>
      <c r="L1079" s="172" t="s">
        <v>86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1005</v>
      </c>
      <c r="B1080" s="176">
        <v>46032</v>
      </c>
      <c r="C1080" s="172" t="s">
        <v>82</v>
      </c>
      <c r="D1080" s="172" t="s">
        <v>83</v>
      </c>
      <c r="E1080" s="172" t="s">
        <v>54</v>
      </c>
      <c r="F1080" s="172" t="s">
        <v>121</v>
      </c>
      <c r="G1080" s="172" t="s">
        <v>85</v>
      </c>
      <c r="H1080" s="177">
        <v>1</v>
      </c>
      <c r="I1080" s="178">
        <v>0</v>
      </c>
      <c r="J1080" s="176">
        <v>46031</v>
      </c>
      <c r="K1080" s="172" t="s">
        <v>86</v>
      </c>
      <c r="L1080" s="172" t="s">
        <v>86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1006</v>
      </c>
      <c r="B1081" s="176">
        <v>46032</v>
      </c>
      <c r="C1081" s="172" t="s">
        <v>82</v>
      </c>
      <c r="D1081" s="172" t="s">
        <v>83</v>
      </c>
      <c r="E1081" s="172" t="s">
        <v>39</v>
      </c>
      <c r="F1081" s="172" t="s">
        <v>88</v>
      </c>
      <c r="G1081" s="172" t="s">
        <v>85</v>
      </c>
      <c r="H1081" s="177">
        <v>1</v>
      </c>
      <c r="I1081" s="178">
        <v>0</v>
      </c>
      <c r="J1081" s="176">
        <v>46032</v>
      </c>
      <c r="K1081" s="172" t="s">
        <v>86</v>
      </c>
      <c r="L1081" s="172" t="s">
        <v>86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1007</v>
      </c>
      <c r="B1082" s="176">
        <v>46032</v>
      </c>
      <c r="C1082" s="172" t="s">
        <v>93</v>
      </c>
      <c r="D1082" s="172" t="s">
        <v>24</v>
      </c>
      <c r="E1082" s="172" t="s">
        <v>54</v>
      </c>
      <c r="F1082" s="172" t="s">
        <v>121</v>
      </c>
      <c r="G1082" s="172" t="s">
        <v>85</v>
      </c>
      <c r="H1082" s="177">
        <v>1</v>
      </c>
      <c r="I1082" s="178">
        <v>1621</v>
      </c>
      <c r="J1082" s="176">
        <v>46018</v>
      </c>
      <c r="K1082" s="172" t="s">
        <v>94</v>
      </c>
      <c r="L1082" s="172" t="s">
        <v>95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1007</v>
      </c>
      <c r="B1083" s="176">
        <v>46032</v>
      </c>
      <c r="C1083" s="172" t="s">
        <v>101</v>
      </c>
      <c r="D1083" s="172" t="s">
        <v>102</v>
      </c>
      <c r="E1083" s="172" t="s">
        <v>54</v>
      </c>
      <c r="F1083" s="172" t="s">
        <v>121</v>
      </c>
      <c r="G1083" s="172" t="s">
        <v>85</v>
      </c>
      <c r="H1083" s="177">
        <v>1</v>
      </c>
      <c r="I1083" s="178">
        <v>1621</v>
      </c>
      <c r="J1083" s="176">
        <v>46018</v>
      </c>
      <c r="K1083" s="172" t="s">
        <v>94</v>
      </c>
      <c r="L1083" s="172" t="s">
        <v>95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1007</v>
      </c>
      <c r="B1084" s="176">
        <v>46032</v>
      </c>
      <c r="C1084" s="172" t="s">
        <v>101</v>
      </c>
      <c r="D1084" s="172" t="s">
        <v>103</v>
      </c>
      <c r="E1084" s="172" t="s">
        <v>54</v>
      </c>
      <c r="F1084" s="172" t="s">
        <v>121</v>
      </c>
      <c r="G1084" s="172" t="s">
        <v>85</v>
      </c>
      <c r="H1084" s="177">
        <v>1</v>
      </c>
      <c r="I1084" s="178">
        <v>1621</v>
      </c>
      <c r="J1084" s="176">
        <v>46018</v>
      </c>
      <c r="K1084" s="172" t="s">
        <v>94</v>
      </c>
      <c r="L1084" s="172" t="s">
        <v>95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1007</v>
      </c>
      <c r="B1085" s="176">
        <v>46032</v>
      </c>
      <c r="C1085" s="172" t="s">
        <v>101</v>
      </c>
      <c r="D1085" s="172" t="s">
        <v>104</v>
      </c>
      <c r="E1085" s="172" t="s">
        <v>54</v>
      </c>
      <c r="F1085" s="172" t="s">
        <v>121</v>
      </c>
      <c r="G1085" s="172" t="s">
        <v>85</v>
      </c>
      <c r="H1085" s="177">
        <v>1</v>
      </c>
      <c r="I1085" s="178">
        <v>1621</v>
      </c>
      <c r="J1085" s="176">
        <v>46018</v>
      </c>
      <c r="K1085" s="172" t="s">
        <v>94</v>
      </c>
      <c r="L1085" s="172" t="s">
        <v>95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1007</v>
      </c>
      <c r="B1086" s="176">
        <v>46032</v>
      </c>
      <c r="C1086" s="172" t="s">
        <v>105</v>
      </c>
      <c r="D1086" s="172" t="s">
        <v>106</v>
      </c>
      <c r="E1086" s="172" t="s">
        <v>54</v>
      </c>
      <c r="F1086" s="172" t="s">
        <v>121</v>
      </c>
      <c r="G1086" s="172" t="s">
        <v>85</v>
      </c>
      <c r="H1086" s="177">
        <v>1</v>
      </c>
      <c r="I1086" s="178">
        <v>1621</v>
      </c>
      <c r="J1086" s="176">
        <v>46018</v>
      </c>
      <c r="K1086" s="172" t="s">
        <v>94</v>
      </c>
      <c r="L1086" s="172" t="s">
        <v>95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1007</v>
      </c>
      <c r="B1087" s="176">
        <v>46032</v>
      </c>
      <c r="C1087" s="172" t="s">
        <v>82</v>
      </c>
      <c r="D1087" s="172" t="s">
        <v>96</v>
      </c>
      <c r="E1087" s="172" t="s">
        <v>54</v>
      </c>
      <c r="F1087" s="172" t="s">
        <v>121</v>
      </c>
      <c r="G1087" s="172" t="s">
        <v>85</v>
      </c>
      <c r="H1087" s="177">
        <v>1</v>
      </c>
      <c r="I1087" s="178">
        <v>1621</v>
      </c>
      <c r="J1087" s="176">
        <v>46018</v>
      </c>
      <c r="K1087" s="172" t="s">
        <v>94</v>
      </c>
      <c r="L1087" s="172" t="s">
        <v>95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1007</v>
      </c>
      <c r="B1088" s="176">
        <v>46032</v>
      </c>
      <c r="C1088" s="172" t="s">
        <v>82</v>
      </c>
      <c r="D1088" s="172" t="s">
        <v>83</v>
      </c>
      <c r="E1088" s="172" t="s">
        <v>54</v>
      </c>
      <c r="F1088" s="172" t="s">
        <v>121</v>
      </c>
      <c r="G1088" s="172" t="s">
        <v>85</v>
      </c>
      <c r="H1088" s="177">
        <v>1</v>
      </c>
      <c r="I1088" s="178">
        <v>0</v>
      </c>
      <c r="J1088" s="176">
        <v>46018</v>
      </c>
      <c r="K1088" s="172" t="s">
        <v>86</v>
      </c>
      <c r="L1088" s="172" t="s">
        <v>86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1008</v>
      </c>
      <c r="B1089" s="176">
        <v>46032</v>
      </c>
      <c r="C1089" s="172" t="s">
        <v>93</v>
      </c>
      <c r="D1089" s="172" t="s">
        <v>24</v>
      </c>
      <c r="E1089" s="172" t="s">
        <v>54</v>
      </c>
      <c r="F1089" s="172" t="s">
        <v>121</v>
      </c>
      <c r="G1089" s="172" t="s">
        <v>85</v>
      </c>
      <c r="H1089" s="177">
        <v>1</v>
      </c>
      <c r="I1089" s="178">
        <v>0</v>
      </c>
      <c r="J1089" s="176">
        <v>46019</v>
      </c>
      <c r="K1089" s="172" t="s">
        <v>94</v>
      </c>
      <c r="L1089" s="172" t="s">
        <v>95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1008</v>
      </c>
      <c r="B1090" s="176">
        <v>46032</v>
      </c>
      <c r="C1090" s="172" t="s">
        <v>82</v>
      </c>
      <c r="D1090" s="172" t="s">
        <v>96</v>
      </c>
      <c r="E1090" s="172" t="s">
        <v>54</v>
      </c>
      <c r="F1090" s="172" t="s">
        <v>121</v>
      </c>
      <c r="G1090" s="172" t="s">
        <v>85</v>
      </c>
      <c r="H1090" s="177">
        <v>1</v>
      </c>
      <c r="I1090" s="178">
        <v>0</v>
      </c>
      <c r="J1090" s="176">
        <v>46019</v>
      </c>
      <c r="K1090" s="172" t="s">
        <v>94</v>
      </c>
      <c r="L1090" s="172" t="s">
        <v>95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1008</v>
      </c>
      <c r="B1091" s="176">
        <v>46032</v>
      </c>
      <c r="C1091" s="172" t="s">
        <v>93</v>
      </c>
      <c r="D1091" s="172" t="s">
        <v>97</v>
      </c>
      <c r="E1091" s="172" t="s">
        <v>54</v>
      </c>
      <c r="F1091" s="172" t="s">
        <v>121</v>
      </c>
      <c r="G1091" s="172" t="s">
        <v>85</v>
      </c>
      <c r="H1091" s="177">
        <v>1</v>
      </c>
      <c r="I1091" s="178">
        <v>0</v>
      </c>
      <c r="J1091" s="176">
        <v>46019</v>
      </c>
      <c r="K1091" s="172" t="s">
        <v>94</v>
      </c>
      <c r="L1091" s="172" t="s">
        <v>95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1008</v>
      </c>
      <c r="B1092" s="176">
        <v>46032</v>
      </c>
      <c r="C1092" s="172" t="s">
        <v>93</v>
      </c>
      <c r="D1092" s="172" t="s">
        <v>98</v>
      </c>
      <c r="E1092" s="172" t="s">
        <v>54</v>
      </c>
      <c r="F1092" s="172" t="s">
        <v>121</v>
      </c>
      <c r="G1092" s="172" t="s">
        <v>85</v>
      </c>
      <c r="H1092" s="177">
        <v>1</v>
      </c>
      <c r="I1092" s="178">
        <v>0</v>
      </c>
      <c r="J1092" s="176">
        <v>46019</v>
      </c>
      <c r="K1092" s="172" t="s">
        <v>94</v>
      </c>
      <c r="L1092" s="172" t="s">
        <v>95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1008</v>
      </c>
      <c r="B1093" s="176">
        <v>46032</v>
      </c>
      <c r="C1093" s="172" t="s">
        <v>82</v>
      </c>
      <c r="D1093" s="172" t="s">
        <v>99</v>
      </c>
      <c r="E1093" s="172" t="s">
        <v>54</v>
      </c>
      <c r="F1093" s="172" t="s">
        <v>121</v>
      </c>
      <c r="G1093" s="172" t="s">
        <v>85</v>
      </c>
      <c r="H1093" s="177">
        <v>1</v>
      </c>
      <c r="I1093" s="178">
        <v>0</v>
      </c>
      <c r="J1093" s="176">
        <v>46019</v>
      </c>
      <c r="K1093" s="172" t="s">
        <v>94</v>
      </c>
      <c r="L1093" s="172" t="s">
        <v>95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86</v>
      </c>
      <c r="B1094" s="176">
        <v>46032</v>
      </c>
      <c r="C1094" s="172" t="s">
        <v>110</v>
      </c>
      <c r="D1094" s="172" t="s">
        <v>111</v>
      </c>
      <c r="E1094" s="172" t="s">
        <v>86</v>
      </c>
      <c r="F1094" s="172" t="s">
        <v>86</v>
      </c>
      <c r="G1094" s="172" t="s">
        <v>1009</v>
      </c>
      <c r="H1094" s="177">
        <v>0</v>
      </c>
      <c r="I1094" s="178">
        <v>0</v>
      </c>
      <c r="J1094" s="176">
        <v>46032</v>
      </c>
      <c r="K1094" s="172" t="s">
        <v>86</v>
      </c>
      <c r="L1094" s="172" t="s">
        <v>86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1010</v>
      </c>
      <c r="B1095" s="176">
        <v>46032</v>
      </c>
      <c r="C1095" s="172" t="s">
        <v>93</v>
      </c>
      <c r="D1095" s="172" t="s">
        <v>24</v>
      </c>
      <c r="E1095" s="172" t="s">
        <v>53</v>
      </c>
      <c r="F1095" s="172" t="s">
        <v>91</v>
      </c>
      <c r="G1095" s="172" t="s">
        <v>85</v>
      </c>
      <c r="H1095" s="177">
        <v>1</v>
      </c>
      <c r="I1095" s="178">
        <v>0</v>
      </c>
      <c r="J1095" s="176">
        <v>46016</v>
      </c>
      <c r="K1095" s="172" t="s">
        <v>94</v>
      </c>
      <c r="L1095" s="172" t="s">
        <v>95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1010</v>
      </c>
      <c r="B1096" s="176">
        <v>46032</v>
      </c>
      <c r="C1096" s="172" t="s">
        <v>82</v>
      </c>
      <c r="D1096" s="172" t="s">
        <v>96</v>
      </c>
      <c r="E1096" s="172" t="s">
        <v>53</v>
      </c>
      <c r="F1096" s="172" t="s">
        <v>91</v>
      </c>
      <c r="G1096" s="172" t="s">
        <v>85</v>
      </c>
      <c r="H1096" s="177">
        <v>1</v>
      </c>
      <c r="I1096" s="178">
        <v>0</v>
      </c>
      <c r="J1096" s="176">
        <v>46016</v>
      </c>
      <c r="K1096" s="172" t="s">
        <v>94</v>
      </c>
      <c r="L1096" s="172" t="s">
        <v>95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1010</v>
      </c>
      <c r="B1097" s="176">
        <v>46032</v>
      </c>
      <c r="C1097" s="172" t="s">
        <v>93</v>
      </c>
      <c r="D1097" s="172" t="s">
        <v>97</v>
      </c>
      <c r="E1097" s="172" t="s">
        <v>53</v>
      </c>
      <c r="F1097" s="172" t="s">
        <v>91</v>
      </c>
      <c r="G1097" s="172" t="s">
        <v>85</v>
      </c>
      <c r="H1097" s="177">
        <v>1</v>
      </c>
      <c r="I1097" s="178">
        <v>0</v>
      </c>
      <c r="J1097" s="176">
        <v>46016</v>
      </c>
      <c r="K1097" s="172" t="s">
        <v>94</v>
      </c>
      <c r="L1097" s="172" t="s">
        <v>95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1010</v>
      </c>
      <c r="B1098" s="176">
        <v>46032</v>
      </c>
      <c r="C1098" s="172" t="s">
        <v>93</v>
      </c>
      <c r="D1098" s="172" t="s">
        <v>98</v>
      </c>
      <c r="E1098" s="172" t="s">
        <v>53</v>
      </c>
      <c r="F1098" s="172" t="s">
        <v>91</v>
      </c>
      <c r="G1098" s="172" t="s">
        <v>85</v>
      </c>
      <c r="H1098" s="177">
        <v>1</v>
      </c>
      <c r="I1098" s="178">
        <v>0</v>
      </c>
      <c r="J1098" s="176">
        <v>46016</v>
      </c>
      <c r="K1098" s="172" t="s">
        <v>94</v>
      </c>
      <c r="L1098" s="172" t="s">
        <v>95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1010</v>
      </c>
      <c r="B1099" s="176">
        <v>46032</v>
      </c>
      <c r="C1099" s="172" t="s">
        <v>82</v>
      </c>
      <c r="D1099" s="172" t="s">
        <v>99</v>
      </c>
      <c r="E1099" s="172" t="s">
        <v>53</v>
      </c>
      <c r="F1099" s="172" t="s">
        <v>91</v>
      </c>
      <c r="G1099" s="172" t="s">
        <v>85</v>
      </c>
      <c r="H1099" s="177">
        <v>1</v>
      </c>
      <c r="I1099" s="178">
        <v>0</v>
      </c>
      <c r="J1099" s="176">
        <v>46016</v>
      </c>
      <c r="K1099" s="172" t="s">
        <v>94</v>
      </c>
      <c r="L1099" s="172" t="s">
        <v>95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1011</v>
      </c>
      <c r="B1100" s="176">
        <v>46032</v>
      </c>
      <c r="C1100" s="172" t="s">
        <v>93</v>
      </c>
      <c r="D1100" s="172" t="s">
        <v>24</v>
      </c>
      <c r="E1100" s="172" t="s">
        <v>53</v>
      </c>
      <c r="F1100" s="172" t="s">
        <v>91</v>
      </c>
      <c r="G1100" s="172" t="s">
        <v>85</v>
      </c>
      <c r="H1100" s="177">
        <v>1</v>
      </c>
      <c r="I1100" s="178">
        <v>1621</v>
      </c>
      <c r="J1100" s="176">
        <v>46023</v>
      </c>
      <c r="K1100" s="172" t="s">
        <v>94</v>
      </c>
      <c r="L1100" s="172" t="s">
        <v>95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1011</v>
      </c>
      <c r="B1101" s="176">
        <v>46032</v>
      </c>
      <c r="C1101" s="172" t="s">
        <v>101</v>
      </c>
      <c r="D1101" s="172" t="s">
        <v>102</v>
      </c>
      <c r="E1101" s="172" t="s">
        <v>53</v>
      </c>
      <c r="F1101" s="172" t="s">
        <v>91</v>
      </c>
      <c r="G1101" s="172" t="s">
        <v>85</v>
      </c>
      <c r="H1101" s="177">
        <v>1</v>
      </c>
      <c r="I1101" s="178">
        <v>1621</v>
      </c>
      <c r="J1101" s="176">
        <v>46023</v>
      </c>
      <c r="K1101" s="172" t="s">
        <v>94</v>
      </c>
      <c r="L1101" s="172" t="s">
        <v>95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1011</v>
      </c>
      <c r="B1102" s="176">
        <v>46032</v>
      </c>
      <c r="C1102" s="172" t="s">
        <v>101</v>
      </c>
      <c r="D1102" s="172" t="s">
        <v>103</v>
      </c>
      <c r="E1102" s="172" t="s">
        <v>53</v>
      </c>
      <c r="F1102" s="172" t="s">
        <v>91</v>
      </c>
      <c r="G1102" s="172" t="s">
        <v>85</v>
      </c>
      <c r="H1102" s="177">
        <v>1</v>
      </c>
      <c r="I1102" s="178">
        <v>1621</v>
      </c>
      <c r="J1102" s="176">
        <v>46023</v>
      </c>
      <c r="K1102" s="172" t="s">
        <v>94</v>
      </c>
      <c r="L1102" s="172" t="s">
        <v>95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1011</v>
      </c>
      <c r="B1103" s="176">
        <v>46032</v>
      </c>
      <c r="C1103" s="172" t="s">
        <v>101</v>
      </c>
      <c r="D1103" s="172" t="s">
        <v>104</v>
      </c>
      <c r="E1103" s="172" t="s">
        <v>53</v>
      </c>
      <c r="F1103" s="172" t="s">
        <v>91</v>
      </c>
      <c r="G1103" s="172" t="s">
        <v>85</v>
      </c>
      <c r="H1103" s="177">
        <v>1</v>
      </c>
      <c r="I1103" s="178">
        <v>1621</v>
      </c>
      <c r="J1103" s="176">
        <v>46023</v>
      </c>
      <c r="K1103" s="172" t="s">
        <v>94</v>
      </c>
      <c r="L1103" s="172" t="s">
        <v>95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1011</v>
      </c>
      <c r="B1104" s="176">
        <v>46032</v>
      </c>
      <c r="C1104" s="172" t="s">
        <v>105</v>
      </c>
      <c r="D1104" s="172" t="s">
        <v>106</v>
      </c>
      <c r="E1104" s="172" t="s">
        <v>53</v>
      </c>
      <c r="F1104" s="172" t="s">
        <v>91</v>
      </c>
      <c r="G1104" s="172" t="s">
        <v>85</v>
      </c>
      <c r="H1104" s="177">
        <v>1</v>
      </c>
      <c r="I1104" s="178">
        <v>1621</v>
      </c>
      <c r="J1104" s="176">
        <v>46023</v>
      </c>
      <c r="K1104" s="172" t="s">
        <v>94</v>
      </c>
      <c r="L1104" s="172" t="s">
        <v>95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1011</v>
      </c>
      <c r="B1105" s="176">
        <v>46032</v>
      </c>
      <c r="C1105" s="172" t="s">
        <v>82</v>
      </c>
      <c r="D1105" s="172" t="s">
        <v>96</v>
      </c>
      <c r="E1105" s="172" t="s">
        <v>53</v>
      </c>
      <c r="F1105" s="172" t="s">
        <v>91</v>
      </c>
      <c r="G1105" s="172" t="s">
        <v>85</v>
      </c>
      <c r="H1105" s="177">
        <v>1</v>
      </c>
      <c r="I1105" s="178">
        <v>1621</v>
      </c>
      <c r="J1105" s="176">
        <v>46023</v>
      </c>
      <c r="K1105" s="172" t="s">
        <v>94</v>
      </c>
      <c r="L1105" s="172" t="s">
        <v>95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1012</v>
      </c>
      <c r="B1106" s="176">
        <v>46032</v>
      </c>
      <c r="C1106" s="172" t="s">
        <v>93</v>
      </c>
      <c r="D1106" s="172" t="s">
        <v>24</v>
      </c>
      <c r="E1106" s="172" t="s">
        <v>53</v>
      </c>
      <c r="F1106" s="172" t="s">
        <v>91</v>
      </c>
      <c r="G1106" s="172" t="s">
        <v>85</v>
      </c>
      <c r="H1106" s="177">
        <v>1</v>
      </c>
      <c r="I1106" s="178">
        <v>1621</v>
      </c>
      <c r="J1106" s="176">
        <v>46026</v>
      </c>
      <c r="K1106" s="172" t="s">
        <v>94</v>
      </c>
      <c r="L1106" s="172" t="s">
        <v>95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1012</v>
      </c>
      <c r="B1107" s="176">
        <v>46032</v>
      </c>
      <c r="C1107" s="172" t="s">
        <v>101</v>
      </c>
      <c r="D1107" s="172" t="s">
        <v>102</v>
      </c>
      <c r="E1107" s="172" t="s">
        <v>53</v>
      </c>
      <c r="F1107" s="172" t="s">
        <v>91</v>
      </c>
      <c r="G1107" s="172" t="s">
        <v>85</v>
      </c>
      <c r="H1107" s="177">
        <v>1</v>
      </c>
      <c r="I1107" s="178">
        <v>1621</v>
      </c>
      <c r="J1107" s="176">
        <v>46026</v>
      </c>
      <c r="K1107" s="172" t="s">
        <v>94</v>
      </c>
      <c r="L1107" s="172" t="s">
        <v>95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1012</v>
      </c>
      <c r="B1108" s="176">
        <v>46032</v>
      </c>
      <c r="C1108" s="172" t="s">
        <v>101</v>
      </c>
      <c r="D1108" s="172" t="s">
        <v>103</v>
      </c>
      <c r="E1108" s="172" t="s">
        <v>53</v>
      </c>
      <c r="F1108" s="172" t="s">
        <v>91</v>
      </c>
      <c r="G1108" s="172" t="s">
        <v>85</v>
      </c>
      <c r="H1108" s="177">
        <v>1</v>
      </c>
      <c r="I1108" s="178">
        <v>1621</v>
      </c>
      <c r="J1108" s="176">
        <v>46026</v>
      </c>
      <c r="K1108" s="172" t="s">
        <v>94</v>
      </c>
      <c r="L1108" s="172" t="s">
        <v>95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1012</v>
      </c>
      <c r="B1109" s="176">
        <v>46032</v>
      </c>
      <c r="C1109" s="172" t="s">
        <v>101</v>
      </c>
      <c r="D1109" s="172" t="s">
        <v>104</v>
      </c>
      <c r="E1109" s="172" t="s">
        <v>53</v>
      </c>
      <c r="F1109" s="172" t="s">
        <v>91</v>
      </c>
      <c r="G1109" s="172" t="s">
        <v>85</v>
      </c>
      <c r="H1109" s="177">
        <v>1</v>
      </c>
      <c r="I1109" s="178">
        <v>1621</v>
      </c>
      <c r="J1109" s="176">
        <v>46026</v>
      </c>
      <c r="K1109" s="172" t="s">
        <v>94</v>
      </c>
      <c r="L1109" s="172" t="s">
        <v>95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1012</v>
      </c>
      <c r="B1110" s="176">
        <v>46032</v>
      </c>
      <c r="C1110" s="172" t="s">
        <v>105</v>
      </c>
      <c r="D1110" s="172" t="s">
        <v>106</v>
      </c>
      <c r="E1110" s="172" t="s">
        <v>53</v>
      </c>
      <c r="F1110" s="172" t="s">
        <v>91</v>
      </c>
      <c r="G1110" s="172" t="s">
        <v>85</v>
      </c>
      <c r="H1110" s="177">
        <v>1</v>
      </c>
      <c r="I1110" s="178">
        <v>1621</v>
      </c>
      <c r="J1110" s="176">
        <v>46026</v>
      </c>
      <c r="K1110" s="172" t="s">
        <v>94</v>
      </c>
      <c r="L1110" s="172" t="s">
        <v>95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1012</v>
      </c>
      <c r="B1111" s="176">
        <v>46032</v>
      </c>
      <c r="C1111" s="172" t="s">
        <v>82</v>
      </c>
      <c r="D1111" s="172" t="s">
        <v>96</v>
      </c>
      <c r="E1111" s="172" t="s">
        <v>53</v>
      </c>
      <c r="F1111" s="172" t="s">
        <v>91</v>
      </c>
      <c r="G1111" s="172" t="s">
        <v>85</v>
      </c>
      <c r="H1111" s="177">
        <v>1</v>
      </c>
      <c r="I1111" s="178">
        <v>1621</v>
      </c>
      <c r="J1111" s="176">
        <v>46026</v>
      </c>
      <c r="K1111" s="172" t="s">
        <v>94</v>
      </c>
      <c r="L1111" s="172" t="s">
        <v>95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1011</v>
      </c>
      <c r="B1112" s="176">
        <v>46032</v>
      </c>
      <c r="C1112" s="172" t="s">
        <v>82</v>
      </c>
      <c r="D1112" s="172" t="s">
        <v>83</v>
      </c>
      <c r="E1112" s="172" t="s">
        <v>53</v>
      </c>
      <c r="F1112" s="172" t="s">
        <v>91</v>
      </c>
      <c r="G1112" s="172" t="s">
        <v>85</v>
      </c>
      <c r="H1112" s="177">
        <v>1</v>
      </c>
      <c r="I1112" s="178">
        <v>0</v>
      </c>
      <c r="J1112" s="176">
        <v>46023</v>
      </c>
      <c r="K1112" s="172" t="s">
        <v>86</v>
      </c>
      <c r="L1112" s="172" t="s">
        <v>86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1013</v>
      </c>
      <c r="B1113" s="176">
        <v>46032</v>
      </c>
      <c r="C1113" s="172" t="s">
        <v>93</v>
      </c>
      <c r="D1113" s="172" t="s">
        <v>24</v>
      </c>
      <c r="E1113" s="172" t="s">
        <v>54</v>
      </c>
      <c r="F1113" s="172" t="s">
        <v>121</v>
      </c>
      <c r="G1113" s="172" t="s">
        <v>85</v>
      </c>
      <c r="H1113" s="177">
        <v>1</v>
      </c>
      <c r="I1113" s="178">
        <v>1845</v>
      </c>
      <c r="J1113" s="176">
        <v>46028</v>
      </c>
      <c r="K1113" s="172" t="s">
        <v>94</v>
      </c>
      <c r="L1113" s="172" t="s">
        <v>95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1013</v>
      </c>
      <c r="B1114" s="176">
        <v>46032</v>
      </c>
      <c r="C1114" s="172" t="s">
        <v>101</v>
      </c>
      <c r="D1114" s="172" t="s">
        <v>102</v>
      </c>
      <c r="E1114" s="172" t="s">
        <v>54</v>
      </c>
      <c r="F1114" s="172" t="s">
        <v>121</v>
      </c>
      <c r="G1114" s="172" t="s">
        <v>85</v>
      </c>
      <c r="H1114" s="177">
        <v>1</v>
      </c>
      <c r="I1114" s="178">
        <v>1845</v>
      </c>
      <c r="J1114" s="176">
        <v>46028</v>
      </c>
      <c r="K1114" s="172" t="s">
        <v>94</v>
      </c>
      <c r="L1114" s="172" t="s">
        <v>95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1013</v>
      </c>
      <c r="B1115" s="176">
        <v>46032</v>
      </c>
      <c r="C1115" s="172" t="s">
        <v>101</v>
      </c>
      <c r="D1115" s="172" t="s">
        <v>103</v>
      </c>
      <c r="E1115" s="172" t="s">
        <v>54</v>
      </c>
      <c r="F1115" s="172" t="s">
        <v>121</v>
      </c>
      <c r="G1115" s="172" t="s">
        <v>85</v>
      </c>
      <c r="H1115" s="177">
        <v>1</v>
      </c>
      <c r="I1115" s="178">
        <v>1845</v>
      </c>
      <c r="J1115" s="176">
        <v>46028</v>
      </c>
      <c r="K1115" s="172" t="s">
        <v>94</v>
      </c>
      <c r="L1115" s="172" t="s">
        <v>95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1013</v>
      </c>
      <c r="B1116" s="176">
        <v>46032</v>
      </c>
      <c r="C1116" s="172" t="s">
        <v>101</v>
      </c>
      <c r="D1116" s="172" t="s">
        <v>104</v>
      </c>
      <c r="E1116" s="172" t="s">
        <v>54</v>
      </c>
      <c r="F1116" s="172" t="s">
        <v>121</v>
      </c>
      <c r="G1116" s="172" t="s">
        <v>85</v>
      </c>
      <c r="H1116" s="177">
        <v>1</v>
      </c>
      <c r="I1116" s="178">
        <v>1845</v>
      </c>
      <c r="J1116" s="176">
        <v>46028</v>
      </c>
      <c r="K1116" s="172" t="s">
        <v>94</v>
      </c>
      <c r="L1116" s="172" t="s">
        <v>95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1013</v>
      </c>
      <c r="B1117" s="176">
        <v>46032</v>
      </c>
      <c r="C1117" s="172" t="s">
        <v>105</v>
      </c>
      <c r="D1117" s="172" t="s">
        <v>106</v>
      </c>
      <c r="E1117" s="172" t="s">
        <v>54</v>
      </c>
      <c r="F1117" s="172" t="s">
        <v>121</v>
      </c>
      <c r="G1117" s="172" t="s">
        <v>85</v>
      </c>
      <c r="H1117" s="177">
        <v>1</v>
      </c>
      <c r="I1117" s="178">
        <v>1845</v>
      </c>
      <c r="J1117" s="176">
        <v>46028</v>
      </c>
      <c r="K1117" s="172" t="s">
        <v>94</v>
      </c>
      <c r="L1117" s="172" t="s">
        <v>95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494</v>
      </c>
      <c r="B1118" s="176">
        <v>46032</v>
      </c>
      <c r="C1118" s="172" t="s">
        <v>167</v>
      </c>
      <c r="D1118" s="172" t="s">
        <v>168</v>
      </c>
      <c r="E1118" s="172" t="s">
        <v>53</v>
      </c>
      <c r="F1118" s="172" t="s">
        <v>91</v>
      </c>
      <c r="G1118" s="172" t="s">
        <v>85</v>
      </c>
      <c r="H1118" s="177">
        <v>1</v>
      </c>
      <c r="I1118" s="178">
        <v>-1621</v>
      </c>
      <c r="J1118" s="176">
        <v>46030</v>
      </c>
      <c r="K1118" s="172" t="s">
        <v>94</v>
      </c>
      <c r="L1118" s="172" t="s">
        <v>95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494</v>
      </c>
      <c r="B1119" s="176">
        <v>46032</v>
      </c>
      <c r="C1119" s="172" t="s">
        <v>167</v>
      </c>
      <c r="D1119" s="172" t="s">
        <v>103</v>
      </c>
      <c r="E1119" s="172" t="s">
        <v>53</v>
      </c>
      <c r="F1119" s="172" t="s">
        <v>91</v>
      </c>
      <c r="G1119" s="172" t="s">
        <v>85</v>
      </c>
      <c r="H1119" s="177">
        <v>1</v>
      </c>
      <c r="I1119" s="178">
        <v>-1621</v>
      </c>
      <c r="J1119" s="176">
        <v>46030</v>
      </c>
      <c r="K1119" s="172" t="s">
        <v>94</v>
      </c>
      <c r="L1119" s="172" t="s">
        <v>95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494</v>
      </c>
      <c r="B1120" s="176">
        <v>46032</v>
      </c>
      <c r="C1120" s="172" t="s">
        <v>167</v>
      </c>
      <c r="D1120" s="172" t="s">
        <v>104</v>
      </c>
      <c r="E1120" s="172" t="s">
        <v>53</v>
      </c>
      <c r="F1120" s="172" t="s">
        <v>91</v>
      </c>
      <c r="G1120" s="172" t="s">
        <v>85</v>
      </c>
      <c r="H1120" s="177">
        <v>1</v>
      </c>
      <c r="I1120" s="178">
        <v>-1621</v>
      </c>
      <c r="J1120" s="176">
        <v>46030</v>
      </c>
      <c r="K1120" s="172" t="s">
        <v>94</v>
      </c>
      <c r="L1120" s="172" t="s">
        <v>95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494</v>
      </c>
      <c r="B1121" s="176">
        <v>46032</v>
      </c>
      <c r="C1121" s="172" t="s">
        <v>105</v>
      </c>
      <c r="D1121" s="172" t="s">
        <v>169</v>
      </c>
      <c r="E1121" s="172" t="s">
        <v>53</v>
      </c>
      <c r="F1121" s="172" t="s">
        <v>91</v>
      </c>
      <c r="G1121" s="172" t="s">
        <v>85</v>
      </c>
      <c r="H1121" s="177">
        <v>1</v>
      </c>
      <c r="I1121" s="178">
        <v>-1621</v>
      </c>
      <c r="J1121" s="176">
        <v>46030</v>
      </c>
      <c r="K1121" s="172" t="s">
        <v>94</v>
      </c>
      <c r="L1121" s="172" t="s">
        <v>95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1014</v>
      </c>
      <c r="B1122" s="176">
        <v>46032</v>
      </c>
      <c r="C1122" s="172" t="s">
        <v>93</v>
      </c>
      <c r="D1122" s="172" t="s">
        <v>24</v>
      </c>
      <c r="E1122" s="172" t="s">
        <v>53</v>
      </c>
      <c r="F1122" s="172" t="s">
        <v>91</v>
      </c>
      <c r="G1122" s="172" t="s">
        <v>85</v>
      </c>
      <c r="H1122" s="177">
        <v>1</v>
      </c>
      <c r="I1122" s="178">
        <v>1621</v>
      </c>
      <c r="J1122" s="176">
        <v>46027</v>
      </c>
      <c r="K1122" s="172" t="s">
        <v>94</v>
      </c>
      <c r="L1122" s="172" t="s">
        <v>95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1014</v>
      </c>
      <c r="B1123" s="176">
        <v>46032</v>
      </c>
      <c r="C1123" s="172" t="s">
        <v>101</v>
      </c>
      <c r="D1123" s="172" t="s">
        <v>102</v>
      </c>
      <c r="E1123" s="172" t="s">
        <v>53</v>
      </c>
      <c r="F1123" s="172" t="s">
        <v>91</v>
      </c>
      <c r="G1123" s="172" t="s">
        <v>85</v>
      </c>
      <c r="H1123" s="177">
        <v>1</v>
      </c>
      <c r="I1123" s="178">
        <v>1621</v>
      </c>
      <c r="J1123" s="176">
        <v>46027</v>
      </c>
      <c r="K1123" s="172" t="s">
        <v>94</v>
      </c>
      <c r="L1123" s="172" t="s">
        <v>95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1014</v>
      </c>
      <c r="B1124" s="176">
        <v>46032</v>
      </c>
      <c r="C1124" s="172" t="s">
        <v>101</v>
      </c>
      <c r="D1124" s="172" t="s">
        <v>103</v>
      </c>
      <c r="E1124" s="172" t="s">
        <v>53</v>
      </c>
      <c r="F1124" s="172" t="s">
        <v>91</v>
      </c>
      <c r="G1124" s="172" t="s">
        <v>85</v>
      </c>
      <c r="H1124" s="177">
        <v>1</v>
      </c>
      <c r="I1124" s="178">
        <v>1621</v>
      </c>
      <c r="J1124" s="176">
        <v>46027</v>
      </c>
      <c r="K1124" s="172" t="s">
        <v>94</v>
      </c>
      <c r="L1124" s="172" t="s">
        <v>95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1014</v>
      </c>
      <c r="B1125" s="176">
        <v>46032</v>
      </c>
      <c r="C1125" s="172" t="s">
        <v>101</v>
      </c>
      <c r="D1125" s="172" t="s">
        <v>104</v>
      </c>
      <c r="E1125" s="172" t="s">
        <v>53</v>
      </c>
      <c r="F1125" s="172" t="s">
        <v>91</v>
      </c>
      <c r="G1125" s="172" t="s">
        <v>85</v>
      </c>
      <c r="H1125" s="177">
        <v>1</v>
      </c>
      <c r="I1125" s="178">
        <v>1621</v>
      </c>
      <c r="J1125" s="176">
        <v>46027</v>
      </c>
      <c r="K1125" s="172" t="s">
        <v>94</v>
      </c>
      <c r="L1125" s="172" t="s">
        <v>95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1014</v>
      </c>
      <c r="B1126" s="176">
        <v>46032</v>
      </c>
      <c r="C1126" s="172" t="s">
        <v>105</v>
      </c>
      <c r="D1126" s="172" t="s">
        <v>106</v>
      </c>
      <c r="E1126" s="172" t="s">
        <v>53</v>
      </c>
      <c r="F1126" s="172" t="s">
        <v>91</v>
      </c>
      <c r="G1126" s="172" t="s">
        <v>85</v>
      </c>
      <c r="H1126" s="177">
        <v>1</v>
      </c>
      <c r="I1126" s="178">
        <v>1621</v>
      </c>
      <c r="J1126" s="176">
        <v>46027</v>
      </c>
      <c r="K1126" s="172" t="s">
        <v>94</v>
      </c>
      <c r="L1126" s="172" t="s">
        <v>95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1014</v>
      </c>
      <c r="B1127" s="176">
        <v>46032</v>
      </c>
      <c r="C1127" s="172" t="s">
        <v>82</v>
      </c>
      <c r="D1127" s="172" t="s">
        <v>96</v>
      </c>
      <c r="E1127" s="172" t="s">
        <v>53</v>
      </c>
      <c r="F1127" s="172" t="s">
        <v>91</v>
      </c>
      <c r="G1127" s="172" t="s">
        <v>85</v>
      </c>
      <c r="H1127" s="177">
        <v>1</v>
      </c>
      <c r="I1127" s="178">
        <v>1621</v>
      </c>
      <c r="J1127" s="176">
        <v>46027</v>
      </c>
      <c r="K1127" s="172" t="s">
        <v>94</v>
      </c>
      <c r="L1127" s="172" t="s">
        <v>95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1015</v>
      </c>
      <c r="B1128" s="176">
        <v>46032</v>
      </c>
      <c r="C1128" s="172" t="s">
        <v>93</v>
      </c>
      <c r="D1128" s="172" t="s">
        <v>24</v>
      </c>
      <c r="E1128" s="172" t="s">
        <v>54</v>
      </c>
      <c r="F1128" s="172" t="s">
        <v>121</v>
      </c>
      <c r="G1128" s="172" t="s">
        <v>85</v>
      </c>
      <c r="H1128" s="177">
        <v>1</v>
      </c>
      <c r="I1128" s="178">
        <v>1845</v>
      </c>
      <c r="J1128" s="176">
        <v>46029</v>
      </c>
      <c r="K1128" s="172" t="s">
        <v>94</v>
      </c>
      <c r="L1128" s="172" t="s">
        <v>95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1015</v>
      </c>
      <c r="B1129" s="176">
        <v>46032</v>
      </c>
      <c r="C1129" s="172" t="s">
        <v>101</v>
      </c>
      <c r="D1129" s="172" t="s">
        <v>102</v>
      </c>
      <c r="E1129" s="172" t="s">
        <v>54</v>
      </c>
      <c r="F1129" s="172" t="s">
        <v>121</v>
      </c>
      <c r="G1129" s="172" t="s">
        <v>85</v>
      </c>
      <c r="H1129" s="177">
        <v>1</v>
      </c>
      <c r="I1129" s="178">
        <v>1845</v>
      </c>
      <c r="J1129" s="176">
        <v>46029</v>
      </c>
      <c r="K1129" s="172" t="s">
        <v>94</v>
      </c>
      <c r="L1129" s="172" t="s">
        <v>95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1015</v>
      </c>
      <c r="B1130" s="176">
        <v>46032</v>
      </c>
      <c r="C1130" s="172" t="s">
        <v>101</v>
      </c>
      <c r="D1130" s="172" t="s">
        <v>103</v>
      </c>
      <c r="E1130" s="172" t="s">
        <v>54</v>
      </c>
      <c r="F1130" s="172" t="s">
        <v>121</v>
      </c>
      <c r="G1130" s="172" t="s">
        <v>85</v>
      </c>
      <c r="H1130" s="177">
        <v>1</v>
      </c>
      <c r="I1130" s="178">
        <v>1845</v>
      </c>
      <c r="J1130" s="176">
        <v>46029</v>
      </c>
      <c r="K1130" s="172" t="s">
        <v>94</v>
      </c>
      <c r="L1130" s="172" t="s">
        <v>95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1015</v>
      </c>
      <c r="B1131" s="176">
        <v>46032</v>
      </c>
      <c r="C1131" s="172" t="s">
        <v>101</v>
      </c>
      <c r="D1131" s="172" t="s">
        <v>104</v>
      </c>
      <c r="E1131" s="172" t="s">
        <v>54</v>
      </c>
      <c r="F1131" s="172" t="s">
        <v>121</v>
      </c>
      <c r="G1131" s="172" t="s">
        <v>85</v>
      </c>
      <c r="H1131" s="177">
        <v>1</v>
      </c>
      <c r="I1131" s="178">
        <v>1845</v>
      </c>
      <c r="J1131" s="176">
        <v>46029</v>
      </c>
      <c r="K1131" s="172" t="s">
        <v>94</v>
      </c>
      <c r="L1131" s="172" t="s">
        <v>95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1015</v>
      </c>
      <c r="B1132" s="176">
        <v>46032</v>
      </c>
      <c r="C1132" s="172" t="s">
        <v>105</v>
      </c>
      <c r="D1132" s="172" t="s">
        <v>106</v>
      </c>
      <c r="E1132" s="172" t="s">
        <v>54</v>
      </c>
      <c r="F1132" s="172" t="s">
        <v>121</v>
      </c>
      <c r="G1132" s="172" t="s">
        <v>85</v>
      </c>
      <c r="H1132" s="177">
        <v>1</v>
      </c>
      <c r="I1132" s="178">
        <v>1845</v>
      </c>
      <c r="J1132" s="176">
        <v>46029</v>
      </c>
      <c r="K1132" s="172" t="s">
        <v>94</v>
      </c>
      <c r="L1132" s="172" t="s">
        <v>95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494</v>
      </c>
      <c r="B1133" s="176">
        <v>46032</v>
      </c>
      <c r="C1133" s="172" t="s">
        <v>82</v>
      </c>
      <c r="D1133" s="172" t="s">
        <v>83</v>
      </c>
      <c r="E1133" s="172" t="s">
        <v>53</v>
      </c>
      <c r="F1133" s="172" t="s">
        <v>91</v>
      </c>
      <c r="G1133" s="172" t="s">
        <v>85</v>
      </c>
      <c r="H1133" s="177">
        <v>1</v>
      </c>
      <c r="I1133" s="178">
        <v>0</v>
      </c>
      <c r="J1133" s="176">
        <v>46030</v>
      </c>
      <c r="K1133" s="172" t="s">
        <v>86</v>
      </c>
      <c r="L1133" s="172" t="s">
        <v>86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1014</v>
      </c>
      <c r="B1134" s="176">
        <v>46032</v>
      </c>
      <c r="C1134" s="172" t="s">
        <v>82</v>
      </c>
      <c r="D1134" s="172" t="s">
        <v>83</v>
      </c>
      <c r="E1134" s="172" t="s">
        <v>53</v>
      </c>
      <c r="F1134" s="172" t="s">
        <v>91</v>
      </c>
      <c r="G1134" s="172" t="s">
        <v>85</v>
      </c>
      <c r="H1134" s="177">
        <v>1</v>
      </c>
      <c r="I1134" s="178">
        <v>0</v>
      </c>
      <c r="J1134" s="176">
        <v>46027</v>
      </c>
      <c r="K1134" s="172" t="s">
        <v>86</v>
      </c>
      <c r="L1134" s="172" t="s">
        <v>86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1016</v>
      </c>
      <c r="B1135" s="176">
        <v>46032</v>
      </c>
      <c r="C1135" s="172" t="s">
        <v>93</v>
      </c>
      <c r="D1135" s="172" t="s">
        <v>24</v>
      </c>
      <c r="E1135" s="172" t="s">
        <v>42</v>
      </c>
      <c r="F1135" s="172" t="s">
        <v>84</v>
      </c>
      <c r="G1135" s="172" t="s">
        <v>85</v>
      </c>
      <c r="H1135" s="177">
        <v>1</v>
      </c>
      <c r="I1135" s="178">
        <v>0</v>
      </c>
      <c r="J1135" s="176">
        <v>46021</v>
      </c>
      <c r="K1135" s="172" t="s">
        <v>94</v>
      </c>
      <c r="L1135" s="172" t="s">
        <v>95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1016</v>
      </c>
      <c r="B1136" s="176">
        <v>46032</v>
      </c>
      <c r="C1136" s="172" t="s">
        <v>82</v>
      </c>
      <c r="D1136" s="172" t="s">
        <v>96</v>
      </c>
      <c r="E1136" s="172" t="s">
        <v>42</v>
      </c>
      <c r="F1136" s="172" t="s">
        <v>84</v>
      </c>
      <c r="G1136" s="172" t="s">
        <v>85</v>
      </c>
      <c r="H1136" s="177">
        <v>1</v>
      </c>
      <c r="I1136" s="178">
        <v>0</v>
      </c>
      <c r="J1136" s="176">
        <v>46021</v>
      </c>
      <c r="K1136" s="172" t="s">
        <v>94</v>
      </c>
      <c r="L1136" s="172" t="s">
        <v>95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1016</v>
      </c>
      <c r="B1137" s="176">
        <v>46032</v>
      </c>
      <c r="C1137" s="172" t="s">
        <v>93</v>
      </c>
      <c r="D1137" s="172" t="s">
        <v>97</v>
      </c>
      <c r="E1137" s="172" t="s">
        <v>42</v>
      </c>
      <c r="F1137" s="172" t="s">
        <v>84</v>
      </c>
      <c r="G1137" s="172" t="s">
        <v>85</v>
      </c>
      <c r="H1137" s="177">
        <v>1</v>
      </c>
      <c r="I1137" s="178">
        <v>0</v>
      </c>
      <c r="J1137" s="176">
        <v>46021</v>
      </c>
      <c r="K1137" s="172" t="s">
        <v>94</v>
      </c>
      <c r="L1137" s="172" t="s">
        <v>95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1016</v>
      </c>
      <c r="B1138" s="176">
        <v>46032</v>
      </c>
      <c r="C1138" s="172" t="s">
        <v>93</v>
      </c>
      <c r="D1138" s="172" t="s">
        <v>98</v>
      </c>
      <c r="E1138" s="172" t="s">
        <v>42</v>
      </c>
      <c r="F1138" s="172" t="s">
        <v>84</v>
      </c>
      <c r="G1138" s="172" t="s">
        <v>85</v>
      </c>
      <c r="H1138" s="177">
        <v>1</v>
      </c>
      <c r="I1138" s="178">
        <v>0</v>
      </c>
      <c r="J1138" s="176">
        <v>46021</v>
      </c>
      <c r="K1138" s="172" t="s">
        <v>94</v>
      </c>
      <c r="L1138" s="172" t="s">
        <v>95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1016</v>
      </c>
      <c r="B1139" s="176">
        <v>46032</v>
      </c>
      <c r="C1139" s="172" t="s">
        <v>82</v>
      </c>
      <c r="D1139" s="172" t="s">
        <v>99</v>
      </c>
      <c r="E1139" s="172" t="s">
        <v>42</v>
      </c>
      <c r="F1139" s="172" t="s">
        <v>84</v>
      </c>
      <c r="G1139" s="172" t="s">
        <v>85</v>
      </c>
      <c r="H1139" s="177">
        <v>1</v>
      </c>
      <c r="I1139" s="178">
        <v>0</v>
      </c>
      <c r="J1139" s="176">
        <v>46021</v>
      </c>
      <c r="K1139" s="172" t="s">
        <v>94</v>
      </c>
      <c r="L1139" s="172" t="s">
        <v>95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741</v>
      </c>
      <c r="B1140" s="176">
        <v>46032</v>
      </c>
      <c r="C1140" s="172" t="s">
        <v>82</v>
      </c>
      <c r="D1140" s="172" t="s">
        <v>83</v>
      </c>
      <c r="E1140" s="172" t="s">
        <v>42</v>
      </c>
      <c r="F1140" s="172" t="s">
        <v>84</v>
      </c>
      <c r="G1140" s="172" t="s">
        <v>85</v>
      </c>
      <c r="H1140" s="177">
        <v>1</v>
      </c>
      <c r="I1140" s="178">
        <v>0</v>
      </c>
      <c r="J1140" s="176">
        <v>46026</v>
      </c>
      <c r="K1140" s="172" t="s">
        <v>86</v>
      </c>
      <c r="L1140" s="172" t="s">
        <v>86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1017</v>
      </c>
      <c r="B1141" s="176">
        <v>46032</v>
      </c>
      <c r="C1141" s="172" t="s">
        <v>93</v>
      </c>
      <c r="D1141" s="172" t="s">
        <v>24</v>
      </c>
      <c r="E1141" s="172" t="s">
        <v>54</v>
      </c>
      <c r="F1141" s="172" t="s">
        <v>121</v>
      </c>
      <c r="G1141" s="172" t="s">
        <v>85</v>
      </c>
      <c r="H1141" s="177">
        <v>1</v>
      </c>
      <c r="I1141" s="178">
        <v>1845</v>
      </c>
      <c r="J1141" s="176">
        <v>46029</v>
      </c>
      <c r="K1141" s="172" t="s">
        <v>94</v>
      </c>
      <c r="L1141" s="172" t="s">
        <v>95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1017</v>
      </c>
      <c r="B1142" s="176">
        <v>46032</v>
      </c>
      <c r="C1142" s="172" t="s">
        <v>101</v>
      </c>
      <c r="D1142" s="172" t="s">
        <v>102</v>
      </c>
      <c r="E1142" s="172" t="s">
        <v>54</v>
      </c>
      <c r="F1142" s="172" t="s">
        <v>121</v>
      </c>
      <c r="G1142" s="172" t="s">
        <v>85</v>
      </c>
      <c r="H1142" s="177">
        <v>1</v>
      </c>
      <c r="I1142" s="178">
        <v>1845</v>
      </c>
      <c r="J1142" s="176">
        <v>46029</v>
      </c>
      <c r="K1142" s="172" t="s">
        <v>94</v>
      </c>
      <c r="L1142" s="172" t="s">
        <v>95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1017</v>
      </c>
      <c r="B1143" s="176">
        <v>46032</v>
      </c>
      <c r="C1143" s="172" t="s">
        <v>101</v>
      </c>
      <c r="D1143" s="172" t="s">
        <v>103</v>
      </c>
      <c r="E1143" s="172" t="s">
        <v>54</v>
      </c>
      <c r="F1143" s="172" t="s">
        <v>121</v>
      </c>
      <c r="G1143" s="172" t="s">
        <v>85</v>
      </c>
      <c r="H1143" s="177">
        <v>1</v>
      </c>
      <c r="I1143" s="178">
        <v>1845</v>
      </c>
      <c r="J1143" s="176">
        <v>46029</v>
      </c>
      <c r="K1143" s="172" t="s">
        <v>94</v>
      </c>
      <c r="L1143" s="172" t="s">
        <v>95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1017</v>
      </c>
      <c r="B1144" s="176">
        <v>46032</v>
      </c>
      <c r="C1144" s="172" t="s">
        <v>101</v>
      </c>
      <c r="D1144" s="172" t="s">
        <v>104</v>
      </c>
      <c r="E1144" s="172" t="s">
        <v>54</v>
      </c>
      <c r="F1144" s="172" t="s">
        <v>121</v>
      </c>
      <c r="G1144" s="172" t="s">
        <v>85</v>
      </c>
      <c r="H1144" s="177">
        <v>1</v>
      </c>
      <c r="I1144" s="178">
        <v>1845</v>
      </c>
      <c r="J1144" s="176">
        <v>46029</v>
      </c>
      <c r="K1144" s="172" t="s">
        <v>94</v>
      </c>
      <c r="L1144" s="172" t="s">
        <v>95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1017</v>
      </c>
      <c r="B1145" s="176">
        <v>46032</v>
      </c>
      <c r="C1145" s="172" t="s">
        <v>105</v>
      </c>
      <c r="D1145" s="172" t="s">
        <v>106</v>
      </c>
      <c r="E1145" s="172" t="s">
        <v>54</v>
      </c>
      <c r="F1145" s="172" t="s">
        <v>121</v>
      </c>
      <c r="G1145" s="172" t="s">
        <v>85</v>
      </c>
      <c r="H1145" s="177">
        <v>1</v>
      </c>
      <c r="I1145" s="178">
        <v>1845</v>
      </c>
      <c r="J1145" s="176">
        <v>46029</v>
      </c>
      <c r="K1145" s="172" t="s">
        <v>94</v>
      </c>
      <c r="L1145" s="172" t="s">
        <v>95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1017</v>
      </c>
      <c r="B1146" s="176">
        <v>46032</v>
      </c>
      <c r="C1146" s="172" t="s">
        <v>82</v>
      </c>
      <c r="D1146" s="172" t="s">
        <v>96</v>
      </c>
      <c r="E1146" s="172" t="s">
        <v>54</v>
      </c>
      <c r="F1146" s="172" t="s">
        <v>121</v>
      </c>
      <c r="G1146" s="172" t="s">
        <v>85</v>
      </c>
      <c r="H1146" s="177">
        <v>1</v>
      </c>
      <c r="I1146" s="178">
        <v>1845</v>
      </c>
      <c r="J1146" s="176">
        <v>46029</v>
      </c>
      <c r="K1146" s="172" t="s">
        <v>94</v>
      </c>
      <c r="L1146" s="172" t="s">
        <v>95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1018</v>
      </c>
      <c r="B1147" s="176">
        <v>46032</v>
      </c>
      <c r="C1147" s="172" t="s">
        <v>93</v>
      </c>
      <c r="D1147" s="172" t="s">
        <v>24</v>
      </c>
      <c r="E1147" s="172" t="s">
        <v>53</v>
      </c>
      <c r="F1147" s="172" t="s">
        <v>91</v>
      </c>
      <c r="G1147" s="172" t="s">
        <v>85</v>
      </c>
      <c r="H1147" s="177">
        <v>1</v>
      </c>
      <c r="I1147" s="178">
        <v>1621</v>
      </c>
      <c r="J1147" s="176">
        <v>46030</v>
      </c>
      <c r="K1147" s="172" t="s">
        <v>94</v>
      </c>
      <c r="L1147" s="172" t="s">
        <v>95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1018</v>
      </c>
      <c r="B1148" s="176">
        <v>46032</v>
      </c>
      <c r="C1148" s="172" t="s">
        <v>101</v>
      </c>
      <c r="D1148" s="172" t="s">
        <v>102</v>
      </c>
      <c r="E1148" s="172" t="s">
        <v>53</v>
      </c>
      <c r="F1148" s="172" t="s">
        <v>91</v>
      </c>
      <c r="G1148" s="172" t="s">
        <v>85</v>
      </c>
      <c r="H1148" s="177">
        <v>1</v>
      </c>
      <c r="I1148" s="178">
        <v>1621</v>
      </c>
      <c r="J1148" s="176">
        <v>46030</v>
      </c>
      <c r="K1148" s="172" t="s">
        <v>94</v>
      </c>
      <c r="L1148" s="172" t="s">
        <v>95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1018</v>
      </c>
      <c r="B1149" s="176">
        <v>46032</v>
      </c>
      <c r="C1149" s="172" t="s">
        <v>101</v>
      </c>
      <c r="D1149" s="172" t="s">
        <v>103</v>
      </c>
      <c r="E1149" s="172" t="s">
        <v>53</v>
      </c>
      <c r="F1149" s="172" t="s">
        <v>91</v>
      </c>
      <c r="G1149" s="172" t="s">
        <v>85</v>
      </c>
      <c r="H1149" s="177">
        <v>1</v>
      </c>
      <c r="I1149" s="178">
        <v>1621</v>
      </c>
      <c r="J1149" s="176">
        <v>46030</v>
      </c>
      <c r="K1149" s="172" t="s">
        <v>94</v>
      </c>
      <c r="L1149" s="172" t="s">
        <v>95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1018</v>
      </c>
      <c r="B1150" s="176">
        <v>46032</v>
      </c>
      <c r="C1150" s="172" t="s">
        <v>101</v>
      </c>
      <c r="D1150" s="172" t="s">
        <v>104</v>
      </c>
      <c r="E1150" s="172" t="s">
        <v>53</v>
      </c>
      <c r="F1150" s="172" t="s">
        <v>91</v>
      </c>
      <c r="G1150" s="172" t="s">
        <v>85</v>
      </c>
      <c r="H1150" s="177">
        <v>1</v>
      </c>
      <c r="I1150" s="178">
        <v>1621</v>
      </c>
      <c r="J1150" s="176">
        <v>46030</v>
      </c>
      <c r="K1150" s="172" t="s">
        <v>94</v>
      </c>
      <c r="L1150" s="172" t="s">
        <v>95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1018</v>
      </c>
      <c r="B1151" s="176">
        <v>46032</v>
      </c>
      <c r="C1151" s="172" t="s">
        <v>105</v>
      </c>
      <c r="D1151" s="172" t="s">
        <v>106</v>
      </c>
      <c r="E1151" s="172" t="s">
        <v>53</v>
      </c>
      <c r="F1151" s="172" t="s">
        <v>91</v>
      </c>
      <c r="G1151" s="172" t="s">
        <v>85</v>
      </c>
      <c r="H1151" s="177">
        <v>1</v>
      </c>
      <c r="I1151" s="178">
        <v>1621</v>
      </c>
      <c r="J1151" s="176">
        <v>46030</v>
      </c>
      <c r="K1151" s="172" t="s">
        <v>94</v>
      </c>
      <c r="L1151" s="172" t="s">
        <v>95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1018</v>
      </c>
      <c r="B1152" s="176">
        <v>46032</v>
      </c>
      <c r="C1152" s="172" t="s">
        <v>82</v>
      </c>
      <c r="D1152" s="172" t="s">
        <v>96</v>
      </c>
      <c r="E1152" s="172" t="s">
        <v>53</v>
      </c>
      <c r="F1152" s="172" t="s">
        <v>91</v>
      </c>
      <c r="G1152" s="172" t="s">
        <v>85</v>
      </c>
      <c r="H1152" s="177">
        <v>1</v>
      </c>
      <c r="I1152" s="178">
        <v>1621</v>
      </c>
      <c r="J1152" s="176">
        <v>46030</v>
      </c>
      <c r="K1152" s="172" t="s">
        <v>94</v>
      </c>
      <c r="L1152" s="172" t="s">
        <v>95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406</v>
      </c>
      <c r="B1153" s="176">
        <v>46032</v>
      </c>
      <c r="C1153" s="172" t="s">
        <v>82</v>
      </c>
      <c r="D1153" s="172" t="s">
        <v>83</v>
      </c>
      <c r="E1153" s="172" t="s">
        <v>53</v>
      </c>
      <c r="F1153" s="172" t="s">
        <v>91</v>
      </c>
      <c r="G1153" s="172" t="s">
        <v>85</v>
      </c>
      <c r="H1153" s="177">
        <v>1</v>
      </c>
      <c r="I1153" s="178">
        <v>0</v>
      </c>
      <c r="J1153" s="176">
        <v>46032</v>
      </c>
      <c r="K1153" s="172" t="s">
        <v>86</v>
      </c>
      <c r="L1153" s="172" t="s">
        <v>86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1019</v>
      </c>
      <c r="B1154" s="176">
        <v>46032</v>
      </c>
      <c r="C1154" s="172" t="s">
        <v>93</v>
      </c>
      <c r="D1154" s="172" t="s">
        <v>24</v>
      </c>
      <c r="E1154" s="172" t="s">
        <v>53</v>
      </c>
      <c r="F1154" s="172" t="s">
        <v>91</v>
      </c>
      <c r="G1154" s="172" t="s">
        <v>85</v>
      </c>
      <c r="H1154" s="177">
        <v>1</v>
      </c>
      <c r="I1154" s="178">
        <v>1621</v>
      </c>
      <c r="J1154" s="176">
        <v>46012</v>
      </c>
      <c r="K1154" s="172" t="s">
        <v>94</v>
      </c>
      <c r="L1154" s="172" t="s">
        <v>95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1019</v>
      </c>
      <c r="B1155" s="176">
        <v>46032</v>
      </c>
      <c r="C1155" s="172" t="s">
        <v>101</v>
      </c>
      <c r="D1155" s="172" t="s">
        <v>102</v>
      </c>
      <c r="E1155" s="172" t="s">
        <v>53</v>
      </c>
      <c r="F1155" s="172" t="s">
        <v>91</v>
      </c>
      <c r="G1155" s="172" t="s">
        <v>85</v>
      </c>
      <c r="H1155" s="177">
        <v>1</v>
      </c>
      <c r="I1155" s="178">
        <v>1621</v>
      </c>
      <c r="J1155" s="176">
        <v>46012</v>
      </c>
      <c r="K1155" s="172" t="s">
        <v>94</v>
      </c>
      <c r="L1155" s="172" t="s">
        <v>95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1019</v>
      </c>
      <c r="B1156" s="176">
        <v>46032</v>
      </c>
      <c r="C1156" s="172" t="s">
        <v>101</v>
      </c>
      <c r="D1156" s="172" t="s">
        <v>103</v>
      </c>
      <c r="E1156" s="172" t="s">
        <v>53</v>
      </c>
      <c r="F1156" s="172" t="s">
        <v>91</v>
      </c>
      <c r="G1156" s="172" t="s">
        <v>85</v>
      </c>
      <c r="H1156" s="177">
        <v>1</v>
      </c>
      <c r="I1156" s="178">
        <v>1621</v>
      </c>
      <c r="J1156" s="176">
        <v>46012</v>
      </c>
      <c r="K1156" s="172" t="s">
        <v>94</v>
      </c>
      <c r="L1156" s="172" t="s">
        <v>95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1019</v>
      </c>
      <c r="B1157" s="176">
        <v>46032</v>
      </c>
      <c r="C1157" s="172" t="s">
        <v>101</v>
      </c>
      <c r="D1157" s="172" t="s">
        <v>104</v>
      </c>
      <c r="E1157" s="172" t="s">
        <v>53</v>
      </c>
      <c r="F1157" s="172" t="s">
        <v>91</v>
      </c>
      <c r="G1157" s="172" t="s">
        <v>85</v>
      </c>
      <c r="H1157" s="177">
        <v>1</v>
      </c>
      <c r="I1157" s="178">
        <v>1621</v>
      </c>
      <c r="J1157" s="176">
        <v>46012</v>
      </c>
      <c r="K1157" s="172" t="s">
        <v>94</v>
      </c>
      <c r="L1157" s="172" t="s">
        <v>95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1019</v>
      </c>
      <c r="B1158" s="176">
        <v>46032</v>
      </c>
      <c r="C1158" s="172" t="s">
        <v>105</v>
      </c>
      <c r="D1158" s="172" t="s">
        <v>106</v>
      </c>
      <c r="E1158" s="172" t="s">
        <v>53</v>
      </c>
      <c r="F1158" s="172" t="s">
        <v>91</v>
      </c>
      <c r="G1158" s="172" t="s">
        <v>85</v>
      </c>
      <c r="H1158" s="177">
        <v>1</v>
      </c>
      <c r="I1158" s="178">
        <v>1621</v>
      </c>
      <c r="J1158" s="176">
        <v>46012</v>
      </c>
      <c r="K1158" s="172" t="s">
        <v>94</v>
      </c>
      <c r="L1158" s="172" t="s">
        <v>95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598</v>
      </c>
      <c r="B1159" s="176">
        <v>46032</v>
      </c>
      <c r="C1159" s="172" t="s">
        <v>82</v>
      </c>
      <c r="D1159" s="172" t="s">
        <v>83</v>
      </c>
      <c r="E1159" s="172" t="s">
        <v>54</v>
      </c>
      <c r="F1159" s="172" t="s">
        <v>121</v>
      </c>
      <c r="G1159" s="172" t="s">
        <v>85</v>
      </c>
      <c r="H1159" s="177">
        <v>1</v>
      </c>
      <c r="I1159" s="178">
        <v>0</v>
      </c>
      <c r="J1159" s="176">
        <v>46032</v>
      </c>
      <c r="K1159" s="172" t="s">
        <v>86</v>
      </c>
      <c r="L1159" s="172" t="s">
        <v>86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1020</v>
      </c>
      <c r="B1160" s="176">
        <v>46032</v>
      </c>
      <c r="C1160" s="172" t="s">
        <v>82</v>
      </c>
      <c r="D1160" s="172" t="s">
        <v>83</v>
      </c>
      <c r="E1160" s="172" t="s">
        <v>53</v>
      </c>
      <c r="F1160" s="172" t="s">
        <v>91</v>
      </c>
      <c r="G1160" s="172" t="s">
        <v>85</v>
      </c>
      <c r="H1160" s="177">
        <v>1</v>
      </c>
      <c r="I1160" s="178">
        <v>0</v>
      </c>
      <c r="J1160" s="176">
        <v>46032</v>
      </c>
      <c r="K1160" s="172" t="s">
        <v>86</v>
      </c>
      <c r="L1160" s="172" t="s">
        <v>86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1021</v>
      </c>
      <c r="B1161" s="176">
        <v>46032</v>
      </c>
      <c r="C1161" s="172" t="s">
        <v>93</v>
      </c>
      <c r="D1161" s="172" t="s">
        <v>24</v>
      </c>
      <c r="E1161" s="172" t="s">
        <v>42</v>
      </c>
      <c r="F1161" s="172" t="s">
        <v>84</v>
      </c>
      <c r="G1161" s="172" t="s">
        <v>85</v>
      </c>
      <c r="H1161" s="177">
        <v>1</v>
      </c>
      <c r="I1161" s="178">
        <v>1600</v>
      </c>
      <c r="J1161" s="176">
        <v>46030</v>
      </c>
      <c r="K1161" s="172" t="s">
        <v>94</v>
      </c>
      <c r="L1161" s="172" t="s">
        <v>95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1021</v>
      </c>
      <c r="B1162" s="176">
        <v>46032</v>
      </c>
      <c r="C1162" s="172" t="s">
        <v>101</v>
      </c>
      <c r="D1162" s="172" t="s">
        <v>102</v>
      </c>
      <c r="E1162" s="172" t="s">
        <v>42</v>
      </c>
      <c r="F1162" s="172" t="s">
        <v>84</v>
      </c>
      <c r="G1162" s="172" t="s">
        <v>85</v>
      </c>
      <c r="H1162" s="177">
        <v>1</v>
      </c>
      <c r="I1162" s="178">
        <v>1600</v>
      </c>
      <c r="J1162" s="176">
        <v>46030</v>
      </c>
      <c r="K1162" s="172" t="s">
        <v>94</v>
      </c>
      <c r="L1162" s="172" t="s">
        <v>95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1021</v>
      </c>
      <c r="B1163" s="176">
        <v>46032</v>
      </c>
      <c r="C1163" s="172" t="s">
        <v>101</v>
      </c>
      <c r="D1163" s="172" t="s">
        <v>103</v>
      </c>
      <c r="E1163" s="172" t="s">
        <v>42</v>
      </c>
      <c r="F1163" s="172" t="s">
        <v>84</v>
      </c>
      <c r="G1163" s="172" t="s">
        <v>85</v>
      </c>
      <c r="H1163" s="177">
        <v>1</v>
      </c>
      <c r="I1163" s="178">
        <v>1600</v>
      </c>
      <c r="J1163" s="176">
        <v>46030</v>
      </c>
      <c r="K1163" s="172" t="s">
        <v>94</v>
      </c>
      <c r="L1163" s="172" t="s">
        <v>95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1021</v>
      </c>
      <c r="B1164" s="176">
        <v>46032</v>
      </c>
      <c r="C1164" s="172" t="s">
        <v>101</v>
      </c>
      <c r="D1164" s="172" t="s">
        <v>104</v>
      </c>
      <c r="E1164" s="172" t="s">
        <v>42</v>
      </c>
      <c r="F1164" s="172" t="s">
        <v>84</v>
      </c>
      <c r="G1164" s="172" t="s">
        <v>85</v>
      </c>
      <c r="H1164" s="177">
        <v>1</v>
      </c>
      <c r="I1164" s="178">
        <v>1600</v>
      </c>
      <c r="J1164" s="176">
        <v>46030</v>
      </c>
      <c r="K1164" s="172" t="s">
        <v>94</v>
      </c>
      <c r="L1164" s="172" t="s">
        <v>95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1021</v>
      </c>
      <c r="B1165" s="176">
        <v>46032</v>
      </c>
      <c r="C1165" s="172" t="s">
        <v>105</v>
      </c>
      <c r="D1165" s="172" t="s">
        <v>106</v>
      </c>
      <c r="E1165" s="172" t="s">
        <v>42</v>
      </c>
      <c r="F1165" s="172" t="s">
        <v>84</v>
      </c>
      <c r="G1165" s="172" t="s">
        <v>85</v>
      </c>
      <c r="H1165" s="177">
        <v>1</v>
      </c>
      <c r="I1165" s="178">
        <v>1600</v>
      </c>
      <c r="J1165" s="176">
        <v>46030</v>
      </c>
      <c r="K1165" s="172" t="s">
        <v>94</v>
      </c>
      <c r="L1165" s="172" t="s">
        <v>95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1021</v>
      </c>
      <c r="B1166" s="176">
        <v>46032</v>
      </c>
      <c r="C1166" s="172" t="s">
        <v>82</v>
      </c>
      <c r="D1166" s="172" t="s">
        <v>96</v>
      </c>
      <c r="E1166" s="172" t="s">
        <v>42</v>
      </c>
      <c r="F1166" s="172" t="s">
        <v>84</v>
      </c>
      <c r="G1166" s="172" t="s">
        <v>85</v>
      </c>
      <c r="H1166" s="177">
        <v>1</v>
      </c>
      <c r="I1166" s="178">
        <v>1600</v>
      </c>
      <c r="J1166" s="176">
        <v>46030</v>
      </c>
      <c r="K1166" s="172" t="s">
        <v>94</v>
      </c>
      <c r="L1166" s="172" t="s">
        <v>95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1022</v>
      </c>
      <c r="B1167" s="176">
        <v>46032</v>
      </c>
      <c r="C1167" s="172" t="s">
        <v>93</v>
      </c>
      <c r="D1167" s="172" t="s">
        <v>24</v>
      </c>
      <c r="E1167" s="172" t="s">
        <v>53</v>
      </c>
      <c r="F1167" s="172" t="s">
        <v>91</v>
      </c>
      <c r="G1167" s="172" t="s">
        <v>85</v>
      </c>
      <c r="H1167" s="177">
        <v>1</v>
      </c>
      <c r="I1167" s="178">
        <v>0</v>
      </c>
      <c r="J1167" s="176">
        <v>46027</v>
      </c>
      <c r="K1167" s="172" t="s">
        <v>94</v>
      </c>
      <c r="L1167" s="172" t="s">
        <v>95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1022</v>
      </c>
      <c r="B1168" s="176">
        <v>46032</v>
      </c>
      <c r="C1168" s="172" t="s">
        <v>82</v>
      </c>
      <c r="D1168" s="172" t="s">
        <v>96</v>
      </c>
      <c r="E1168" s="172" t="s">
        <v>53</v>
      </c>
      <c r="F1168" s="172" t="s">
        <v>91</v>
      </c>
      <c r="G1168" s="172" t="s">
        <v>85</v>
      </c>
      <c r="H1168" s="177">
        <v>1</v>
      </c>
      <c r="I1168" s="178">
        <v>0</v>
      </c>
      <c r="J1168" s="176">
        <v>46027</v>
      </c>
      <c r="K1168" s="172" t="s">
        <v>94</v>
      </c>
      <c r="L1168" s="172" t="s">
        <v>95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1022</v>
      </c>
      <c r="B1169" s="176">
        <v>46032</v>
      </c>
      <c r="C1169" s="172" t="s">
        <v>93</v>
      </c>
      <c r="D1169" s="172" t="s">
        <v>97</v>
      </c>
      <c r="E1169" s="172" t="s">
        <v>53</v>
      </c>
      <c r="F1169" s="172" t="s">
        <v>91</v>
      </c>
      <c r="G1169" s="172" t="s">
        <v>85</v>
      </c>
      <c r="H1169" s="177">
        <v>1</v>
      </c>
      <c r="I1169" s="178">
        <v>0</v>
      </c>
      <c r="J1169" s="176">
        <v>46027</v>
      </c>
      <c r="K1169" s="172" t="s">
        <v>94</v>
      </c>
      <c r="L1169" s="172" t="s">
        <v>95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1022</v>
      </c>
      <c r="B1170" s="176">
        <v>46032</v>
      </c>
      <c r="C1170" s="172" t="s">
        <v>93</v>
      </c>
      <c r="D1170" s="172" t="s">
        <v>98</v>
      </c>
      <c r="E1170" s="172" t="s">
        <v>53</v>
      </c>
      <c r="F1170" s="172" t="s">
        <v>91</v>
      </c>
      <c r="G1170" s="172" t="s">
        <v>85</v>
      </c>
      <c r="H1170" s="177">
        <v>1</v>
      </c>
      <c r="I1170" s="178">
        <v>0</v>
      </c>
      <c r="J1170" s="176">
        <v>46027</v>
      </c>
      <c r="K1170" s="172" t="s">
        <v>94</v>
      </c>
      <c r="L1170" s="172" t="s">
        <v>95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1022</v>
      </c>
      <c r="B1171" s="176">
        <v>46032</v>
      </c>
      <c r="C1171" s="172" t="s">
        <v>82</v>
      </c>
      <c r="D1171" s="172" t="s">
        <v>99</v>
      </c>
      <c r="E1171" s="172" t="s">
        <v>53</v>
      </c>
      <c r="F1171" s="172" t="s">
        <v>91</v>
      </c>
      <c r="G1171" s="172" t="s">
        <v>85</v>
      </c>
      <c r="H1171" s="177">
        <v>1</v>
      </c>
      <c r="I1171" s="178">
        <v>0</v>
      </c>
      <c r="J1171" s="176">
        <v>46027</v>
      </c>
      <c r="K1171" s="172" t="s">
        <v>94</v>
      </c>
      <c r="L1171" s="172" t="s">
        <v>95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1023</v>
      </c>
      <c r="B1172" s="176">
        <v>46032</v>
      </c>
      <c r="C1172" s="172" t="s">
        <v>93</v>
      </c>
      <c r="D1172" s="172" t="s">
        <v>24</v>
      </c>
      <c r="E1172" s="172" t="s">
        <v>53</v>
      </c>
      <c r="F1172" s="172" t="s">
        <v>91</v>
      </c>
      <c r="G1172" s="172" t="s">
        <v>85</v>
      </c>
      <c r="H1172" s="177">
        <v>1</v>
      </c>
      <c r="I1172" s="178">
        <v>1621</v>
      </c>
      <c r="J1172" s="176">
        <v>46027</v>
      </c>
      <c r="K1172" s="172" t="s">
        <v>94</v>
      </c>
      <c r="L1172" s="172" t="s">
        <v>95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1023</v>
      </c>
      <c r="B1173" s="176">
        <v>46032</v>
      </c>
      <c r="C1173" s="172" t="s">
        <v>101</v>
      </c>
      <c r="D1173" s="172" t="s">
        <v>102</v>
      </c>
      <c r="E1173" s="172" t="s">
        <v>53</v>
      </c>
      <c r="F1173" s="172" t="s">
        <v>91</v>
      </c>
      <c r="G1173" s="172" t="s">
        <v>85</v>
      </c>
      <c r="H1173" s="177">
        <v>1</v>
      </c>
      <c r="I1173" s="178">
        <v>1621</v>
      </c>
      <c r="J1173" s="176">
        <v>46027</v>
      </c>
      <c r="K1173" s="172" t="s">
        <v>94</v>
      </c>
      <c r="L1173" s="172" t="s">
        <v>95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1023</v>
      </c>
      <c r="B1174" s="176">
        <v>46032</v>
      </c>
      <c r="C1174" s="172" t="s">
        <v>101</v>
      </c>
      <c r="D1174" s="172" t="s">
        <v>103</v>
      </c>
      <c r="E1174" s="172" t="s">
        <v>53</v>
      </c>
      <c r="F1174" s="172" t="s">
        <v>91</v>
      </c>
      <c r="G1174" s="172" t="s">
        <v>85</v>
      </c>
      <c r="H1174" s="177">
        <v>1</v>
      </c>
      <c r="I1174" s="178">
        <v>1621</v>
      </c>
      <c r="J1174" s="176">
        <v>46027</v>
      </c>
      <c r="K1174" s="172" t="s">
        <v>94</v>
      </c>
      <c r="L1174" s="172" t="s">
        <v>95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1023</v>
      </c>
      <c r="B1175" s="176">
        <v>46032</v>
      </c>
      <c r="C1175" s="172" t="s">
        <v>101</v>
      </c>
      <c r="D1175" s="172" t="s">
        <v>104</v>
      </c>
      <c r="E1175" s="172" t="s">
        <v>53</v>
      </c>
      <c r="F1175" s="172" t="s">
        <v>91</v>
      </c>
      <c r="G1175" s="172" t="s">
        <v>85</v>
      </c>
      <c r="H1175" s="177">
        <v>1</v>
      </c>
      <c r="I1175" s="178">
        <v>1621</v>
      </c>
      <c r="J1175" s="176">
        <v>46027</v>
      </c>
      <c r="K1175" s="172" t="s">
        <v>94</v>
      </c>
      <c r="L1175" s="172" t="s">
        <v>95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1023</v>
      </c>
      <c r="B1176" s="176">
        <v>46032</v>
      </c>
      <c r="C1176" s="172" t="s">
        <v>105</v>
      </c>
      <c r="D1176" s="172" t="s">
        <v>106</v>
      </c>
      <c r="E1176" s="172" t="s">
        <v>53</v>
      </c>
      <c r="F1176" s="172" t="s">
        <v>91</v>
      </c>
      <c r="G1176" s="172" t="s">
        <v>85</v>
      </c>
      <c r="H1176" s="177">
        <v>1</v>
      </c>
      <c r="I1176" s="178">
        <v>1621</v>
      </c>
      <c r="J1176" s="176">
        <v>46027</v>
      </c>
      <c r="K1176" s="172" t="s">
        <v>94</v>
      </c>
      <c r="L1176" s="172" t="s">
        <v>95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1023</v>
      </c>
      <c r="B1177" s="176">
        <v>46032</v>
      </c>
      <c r="C1177" s="172" t="s">
        <v>82</v>
      </c>
      <c r="D1177" s="172" t="s">
        <v>96</v>
      </c>
      <c r="E1177" s="172" t="s">
        <v>53</v>
      </c>
      <c r="F1177" s="172" t="s">
        <v>91</v>
      </c>
      <c r="G1177" s="172" t="s">
        <v>85</v>
      </c>
      <c r="H1177" s="177">
        <v>1</v>
      </c>
      <c r="I1177" s="178">
        <v>1621</v>
      </c>
      <c r="J1177" s="176">
        <v>46027</v>
      </c>
      <c r="K1177" s="172" t="s">
        <v>94</v>
      </c>
      <c r="L1177" s="172" t="s">
        <v>95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1024</v>
      </c>
      <c r="B1178" s="176">
        <v>46032</v>
      </c>
      <c r="C1178" s="172" t="s">
        <v>93</v>
      </c>
      <c r="D1178" s="172" t="s">
        <v>24</v>
      </c>
      <c r="E1178" s="172" t="s">
        <v>54</v>
      </c>
      <c r="F1178" s="172" t="s">
        <v>121</v>
      </c>
      <c r="G1178" s="172" t="s">
        <v>85</v>
      </c>
      <c r="H1178" s="177">
        <v>1</v>
      </c>
      <c r="I1178" s="178">
        <v>1845</v>
      </c>
      <c r="J1178" s="176">
        <v>46030</v>
      </c>
      <c r="K1178" s="172" t="s">
        <v>94</v>
      </c>
      <c r="L1178" s="172" t="s">
        <v>95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1024</v>
      </c>
      <c r="B1179" s="176">
        <v>46032</v>
      </c>
      <c r="C1179" s="172" t="s">
        <v>101</v>
      </c>
      <c r="D1179" s="172" t="s">
        <v>102</v>
      </c>
      <c r="E1179" s="172" t="s">
        <v>54</v>
      </c>
      <c r="F1179" s="172" t="s">
        <v>121</v>
      </c>
      <c r="G1179" s="172" t="s">
        <v>85</v>
      </c>
      <c r="H1179" s="177">
        <v>1</v>
      </c>
      <c r="I1179" s="178">
        <v>1845</v>
      </c>
      <c r="J1179" s="176">
        <v>46030</v>
      </c>
      <c r="K1179" s="172" t="s">
        <v>94</v>
      </c>
      <c r="L1179" s="172" t="s">
        <v>95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1024</v>
      </c>
      <c r="B1180" s="176">
        <v>46032</v>
      </c>
      <c r="C1180" s="172" t="s">
        <v>101</v>
      </c>
      <c r="D1180" s="172" t="s">
        <v>103</v>
      </c>
      <c r="E1180" s="172" t="s">
        <v>54</v>
      </c>
      <c r="F1180" s="172" t="s">
        <v>121</v>
      </c>
      <c r="G1180" s="172" t="s">
        <v>85</v>
      </c>
      <c r="H1180" s="177">
        <v>1</v>
      </c>
      <c r="I1180" s="178">
        <v>1845</v>
      </c>
      <c r="J1180" s="176">
        <v>46030</v>
      </c>
      <c r="K1180" s="172" t="s">
        <v>94</v>
      </c>
      <c r="L1180" s="172" t="s">
        <v>95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1024</v>
      </c>
      <c r="B1181" s="176">
        <v>46032</v>
      </c>
      <c r="C1181" s="172" t="s">
        <v>101</v>
      </c>
      <c r="D1181" s="172" t="s">
        <v>104</v>
      </c>
      <c r="E1181" s="172" t="s">
        <v>54</v>
      </c>
      <c r="F1181" s="172" t="s">
        <v>121</v>
      </c>
      <c r="G1181" s="172" t="s">
        <v>85</v>
      </c>
      <c r="H1181" s="177">
        <v>1</v>
      </c>
      <c r="I1181" s="178">
        <v>1845</v>
      </c>
      <c r="J1181" s="176">
        <v>46030</v>
      </c>
      <c r="K1181" s="172" t="s">
        <v>94</v>
      </c>
      <c r="L1181" s="172" t="s">
        <v>95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1024</v>
      </c>
      <c r="B1182" s="176">
        <v>46032</v>
      </c>
      <c r="C1182" s="172" t="s">
        <v>105</v>
      </c>
      <c r="D1182" s="172" t="s">
        <v>106</v>
      </c>
      <c r="E1182" s="172" t="s">
        <v>54</v>
      </c>
      <c r="F1182" s="172" t="s">
        <v>121</v>
      </c>
      <c r="G1182" s="172" t="s">
        <v>85</v>
      </c>
      <c r="H1182" s="177">
        <v>1</v>
      </c>
      <c r="I1182" s="178">
        <v>1845</v>
      </c>
      <c r="J1182" s="176">
        <v>46030</v>
      </c>
      <c r="K1182" s="172" t="s">
        <v>94</v>
      </c>
      <c r="L1182" s="172" t="s">
        <v>95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1023</v>
      </c>
      <c r="B1183" s="176">
        <v>46032</v>
      </c>
      <c r="C1183" s="172" t="s">
        <v>82</v>
      </c>
      <c r="D1183" s="172" t="s">
        <v>83</v>
      </c>
      <c r="E1183" s="172" t="s">
        <v>53</v>
      </c>
      <c r="F1183" s="172" t="s">
        <v>91</v>
      </c>
      <c r="G1183" s="172" t="s">
        <v>85</v>
      </c>
      <c r="H1183" s="177">
        <v>1</v>
      </c>
      <c r="I1183" s="178">
        <v>0</v>
      </c>
      <c r="J1183" s="176">
        <v>46027</v>
      </c>
      <c r="K1183" s="172" t="s">
        <v>86</v>
      </c>
      <c r="L1183" s="172" t="s">
        <v>86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721</v>
      </c>
      <c r="B1184" s="176">
        <v>46032</v>
      </c>
      <c r="C1184" s="172" t="s">
        <v>82</v>
      </c>
      <c r="D1184" s="172" t="s">
        <v>83</v>
      </c>
      <c r="E1184" s="172" t="s">
        <v>54</v>
      </c>
      <c r="F1184" s="172" t="s">
        <v>121</v>
      </c>
      <c r="G1184" s="172" t="s">
        <v>85</v>
      </c>
      <c r="H1184" s="177">
        <v>1</v>
      </c>
      <c r="I1184" s="178">
        <v>0</v>
      </c>
      <c r="J1184" s="176">
        <v>46025</v>
      </c>
      <c r="K1184" s="172" t="s">
        <v>86</v>
      </c>
      <c r="L1184" s="172" t="s">
        <v>86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1025</v>
      </c>
      <c r="B1185" s="176">
        <v>46032</v>
      </c>
      <c r="C1185" s="172" t="s">
        <v>93</v>
      </c>
      <c r="D1185" s="172" t="s">
        <v>24</v>
      </c>
      <c r="E1185" s="172" t="s">
        <v>53</v>
      </c>
      <c r="F1185" s="172" t="s">
        <v>91</v>
      </c>
      <c r="G1185" s="172" t="s">
        <v>85</v>
      </c>
      <c r="H1185" s="177">
        <v>1</v>
      </c>
      <c r="I1185" s="178">
        <v>1621</v>
      </c>
      <c r="J1185" s="176">
        <v>46028</v>
      </c>
      <c r="K1185" s="172" t="s">
        <v>94</v>
      </c>
      <c r="L1185" s="172" t="s">
        <v>95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1025</v>
      </c>
      <c r="B1186" s="176">
        <v>46032</v>
      </c>
      <c r="C1186" s="172" t="s">
        <v>101</v>
      </c>
      <c r="D1186" s="172" t="s">
        <v>102</v>
      </c>
      <c r="E1186" s="172" t="s">
        <v>53</v>
      </c>
      <c r="F1186" s="172" t="s">
        <v>91</v>
      </c>
      <c r="G1186" s="172" t="s">
        <v>85</v>
      </c>
      <c r="H1186" s="177">
        <v>1</v>
      </c>
      <c r="I1186" s="178">
        <v>1621</v>
      </c>
      <c r="J1186" s="176">
        <v>46028</v>
      </c>
      <c r="K1186" s="172" t="s">
        <v>94</v>
      </c>
      <c r="L1186" s="172" t="s">
        <v>95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1025</v>
      </c>
      <c r="B1187" s="176">
        <v>46032</v>
      </c>
      <c r="C1187" s="172" t="s">
        <v>101</v>
      </c>
      <c r="D1187" s="172" t="s">
        <v>103</v>
      </c>
      <c r="E1187" s="172" t="s">
        <v>53</v>
      </c>
      <c r="F1187" s="172" t="s">
        <v>91</v>
      </c>
      <c r="G1187" s="172" t="s">
        <v>85</v>
      </c>
      <c r="H1187" s="177">
        <v>1</v>
      </c>
      <c r="I1187" s="178">
        <v>1621</v>
      </c>
      <c r="J1187" s="176">
        <v>46028</v>
      </c>
      <c r="K1187" s="172" t="s">
        <v>94</v>
      </c>
      <c r="L1187" s="172" t="s">
        <v>95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1025</v>
      </c>
      <c r="B1188" s="176">
        <v>46032</v>
      </c>
      <c r="C1188" s="172" t="s">
        <v>101</v>
      </c>
      <c r="D1188" s="172" t="s">
        <v>104</v>
      </c>
      <c r="E1188" s="172" t="s">
        <v>53</v>
      </c>
      <c r="F1188" s="172" t="s">
        <v>91</v>
      </c>
      <c r="G1188" s="172" t="s">
        <v>85</v>
      </c>
      <c r="H1188" s="177">
        <v>1</v>
      </c>
      <c r="I1188" s="178">
        <v>1621</v>
      </c>
      <c r="J1188" s="176">
        <v>46028</v>
      </c>
      <c r="K1188" s="172" t="s">
        <v>94</v>
      </c>
      <c r="L1188" s="172" t="s">
        <v>95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1025</v>
      </c>
      <c r="B1189" s="176">
        <v>46032</v>
      </c>
      <c r="C1189" s="172" t="s">
        <v>105</v>
      </c>
      <c r="D1189" s="172" t="s">
        <v>106</v>
      </c>
      <c r="E1189" s="172" t="s">
        <v>53</v>
      </c>
      <c r="F1189" s="172" t="s">
        <v>91</v>
      </c>
      <c r="G1189" s="172" t="s">
        <v>85</v>
      </c>
      <c r="H1189" s="177">
        <v>1</v>
      </c>
      <c r="I1189" s="178">
        <v>1621</v>
      </c>
      <c r="J1189" s="176">
        <v>46028</v>
      </c>
      <c r="K1189" s="172" t="s">
        <v>94</v>
      </c>
      <c r="L1189" s="172" t="s">
        <v>95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1025</v>
      </c>
      <c r="B1190" s="176">
        <v>46032</v>
      </c>
      <c r="C1190" s="172" t="s">
        <v>82</v>
      </c>
      <c r="D1190" s="172" t="s">
        <v>96</v>
      </c>
      <c r="E1190" s="172" t="s">
        <v>53</v>
      </c>
      <c r="F1190" s="172" t="s">
        <v>91</v>
      </c>
      <c r="G1190" s="172" t="s">
        <v>85</v>
      </c>
      <c r="H1190" s="177">
        <v>1</v>
      </c>
      <c r="I1190" s="178">
        <v>1621</v>
      </c>
      <c r="J1190" s="176">
        <v>46028</v>
      </c>
      <c r="K1190" s="172" t="s">
        <v>94</v>
      </c>
      <c r="L1190" s="172" t="s">
        <v>95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1026</v>
      </c>
      <c r="B1191" s="176">
        <v>46032</v>
      </c>
      <c r="C1191" s="172" t="s">
        <v>93</v>
      </c>
      <c r="D1191" s="172" t="s">
        <v>24</v>
      </c>
      <c r="E1191" s="172" t="s">
        <v>42</v>
      </c>
      <c r="F1191" s="172" t="s">
        <v>84</v>
      </c>
      <c r="G1191" s="172" t="s">
        <v>85</v>
      </c>
      <c r="H1191" s="177">
        <v>1</v>
      </c>
      <c r="I1191" s="178">
        <v>1600</v>
      </c>
      <c r="J1191" s="176">
        <v>46030</v>
      </c>
      <c r="K1191" s="172" t="s">
        <v>94</v>
      </c>
      <c r="L1191" s="172" t="s">
        <v>95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1026</v>
      </c>
      <c r="B1192" s="176">
        <v>46032</v>
      </c>
      <c r="C1192" s="172" t="s">
        <v>101</v>
      </c>
      <c r="D1192" s="172" t="s">
        <v>102</v>
      </c>
      <c r="E1192" s="172" t="s">
        <v>42</v>
      </c>
      <c r="F1192" s="172" t="s">
        <v>84</v>
      </c>
      <c r="G1192" s="172" t="s">
        <v>85</v>
      </c>
      <c r="H1192" s="177">
        <v>1</v>
      </c>
      <c r="I1192" s="178">
        <v>1600</v>
      </c>
      <c r="J1192" s="176">
        <v>46030</v>
      </c>
      <c r="K1192" s="172" t="s">
        <v>94</v>
      </c>
      <c r="L1192" s="172" t="s">
        <v>95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1026</v>
      </c>
      <c r="B1193" s="176">
        <v>46032</v>
      </c>
      <c r="C1193" s="172" t="s">
        <v>101</v>
      </c>
      <c r="D1193" s="172" t="s">
        <v>103</v>
      </c>
      <c r="E1193" s="172" t="s">
        <v>42</v>
      </c>
      <c r="F1193" s="172" t="s">
        <v>84</v>
      </c>
      <c r="G1193" s="172" t="s">
        <v>85</v>
      </c>
      <c r="H1193" s="177">
        <v>1</v>
      </c>
      <c r="I1193" s="178">
        <v>1600</v>
      </c>
      <c r="J1193" s="176">
        <v>46030</v>
      </c>
      <c r="K1193" s="172" t="s">
        <v>94</v>
      </c>
      <c r="L1193" s="172" t="s">
        <v>95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1026</v>
      </c>
      <c r="B1194" s="176">
        <v>46032</v>
      </c>
      <c r="C1194" s="172" t="s">
        <v>101</v>
      </c>
      <c r="D1194" s="172" t="s">
        <v>104</v>
      </c>
      <c r="E1194" s="172" t="s">
        <v>42</v>
      </c>
      <c r="F1194" s="172" t="s">
        <v>84</v>
      </c>
      <c r="G1194" s="172" t="s">
        <v>85</v>
      </c>
      <c r="H1194" s="177">
        <v>1</v>
      </c>
      <c r="I1194" s="178">
        <v>1600</v>
      </c>
      <c r="J1194" s="176">
        <v>46030</v>
      </c>
      <c r="K1194" s="172" t="s">
        <v>94</v>
      </c>
      <c r="L1194" s="172" t="s">
        <v>95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1026</v>
      </c>
      <c r="B1195" s="176">
        <v>46032</v>
      </c>
      <c r="C1195" s="172" t="s">
        <v>105</v>
      </c>
      <c r="D1195" s="172" t="s">
        <v>106</v>
      </c>
      <c r="E1195" s="172" t="s">
        <v>42</v>
      </c>
      <c r="F1195" s="172" t="s">
        <v>84</v>
      </c>
      <c r="G1195" s="172" t="s">
        <v>85</v>
      </c>
      <c r="H1195" s="177">
        <v>1</v>
      </c>
      <c r="I1195" s="178">
        <v>1600</v>
      </c>
      <c r="J1195" s="176">
        <v>46030</v>
      </c>
      <c r="K1195" s="172" t="s">
        <v>94</v>
      </c>
      <c r="L1195" s="172" t="s">
        <v>95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1026</v>
      </c>
      <c r="B1196" s="176">
        <v>46032</v>
      </c>
      <c r="C1196" s="172" t="s">
        <v>82</v>
      </c>
      <c r="D1196" s="172" t="s">
        <v>96</v>
      </c>
      <c r="E1196" s="172" t="s">
        <v>42</v>
      </c>
      <c r="F1196" s="172" t="s">
        <v>84</v>
      </c>
      <c r="G1196" s="172" t="s">
        <v>85</v>
      </c>
      <c r="H1196" s="177">
        <v>1</v>
      </c>
      <c r="I1196" s="178">
        <v>1600</v>
      </c>
      <c r="J1196" s="176">
        <v>46030</v>
      </c>
      <c r="K1196" s="172" t="s">
        <v>94</v>
      </c>
      <c r="L1196" s="172" t="s">
        <v>95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1027</v>
      </c>
      <c r="B1197" s="176">
        <v>46032</v>
      </c>
      <c r="C1197" s="172" t="s">
        <v>82</v>
      </c>
      <c r="D1197" s="172" t="s">
        <v>83</v>
      </c>
      <c r="E1197" s="172" t="s">
        <v>44</v>
      </c>
      <c r="F1197" s="172" t="s">
        <v>126</v>
      </c>
      <c r="G1197" s="172" t="s">
        <v>85</v>
      </c>
      <c r="H1197" s="177">
        <v>1</v>
      </c>
      <c r="I1197" s="178">
        <v>0</v>
      </c>
      <c r="J1197" s="176">
        <v>46032</v>
      </c>
      <c r="K1197" s="172" t="s">
        <v>86</v>
      </c>
      <c r="L1197" s="172" t="s">
        <v>86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1025</v>
      </c>
      <c r="B1198" s="176">
        <v>46032</v>
      </c>
      <c r="C1198" s="172" t="s">
        <v>82</v>
      </c>
      <c r="D1198" s="172" t="s">
        <v>83</v>
      </c>
      <c r="E1198" s="172" t="s">
        <v>53</v>
      </c>
      <c r="F1198" s="172" t="s">
        <v>91</v>
      </c>
      <c r="G1198" s="172" t="s">
        <v>85</v>
      </c>
      <c r="H1198" s="177">
        <v>1</v>
      </c>
      <c r="I1198" s="178">
        <v>0</v>
      </c>
      <c r="J1198" s="176">
        <v>46028</v>
      </c>
      <c r="K1198" s="172" t="s">
        <v>86</v>
      </c>
      <c r="L1198" s="172" t="s">
        <v>86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1028</v>
      </c>
      <c r="B1199" s="176">
        <v>46032</v>
      </c>
      <c r="C1199" s="172" t="s">
        <v>93</v>
      </c>
      <c r="D1199" s="172" t="s">
        <v>24</v>
      </c>
      <c r="E1199" s="172" t="s">
        <v>42</v>
      </c>
      <c r="F1199" s="172" t="s">
        <v>84</v>
      </c>
      <c r="G1199" s="172" t="s">
        <v>85</v>
      </c>
      <c r="H1199" s="177">
        <v>1</v>
      </c>
      <c r="I1199" s="178">
        <v>1600</v>
      </c>
      <c r="J1199" s="176">
        <v>46030</v>
      </c>
      <c r="K1199" s="172" t="s">
        <v>94</v>
      </c>
      <c r="L1199" s="172" t="s">
        <v>95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1028</v>
      </c>
      <c r="B1200" s="176">
        <v>46032</v>
      </c>
      <c r="C1200" s="172" t="s">
        <v>101</v>
      </c>
      <c r="D1200" s="172" t="s">
        <v>102</v>
      </c>
      <c r="E1200" s="172" t="s">
        <v>42</v>
      </c>
      <c r="F1200" s="172" t="s">
        <v>84</v>
      </c>
      <c r="G1200" s="172" t="s">
        <v>85</v>
      </c>
      <c r="H1200" s="177">
        <v>1</v>
      </c>
      <c r="I1200" s="178">
        <v>1600</v>
      </c>
      <c r="J1200" s="176">
        <v>46030</v>
      </c>
      <c r="K1200" s="172" t="s">
        <v>94</v>
      </c>
      <c r="L1200" s="172" t="s">
        <v>95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1028</v>
      </c>
      <c r="B1201" s="176">
        <v>46032</v>
      </c>
      <c r="C1201" s="172" t="s">
        <v>101</v>
      </c>
      <c r="D1201" s="172" t="s">
        <v>103</v>
      </c>
      <c r="E1201" s="172" t="s">
        <v>42</v>
      </c>
      <c r="F1201" s="172" t="s">
        <v>84</v>
      </c>
      <c r="G1201" s="172" t="s">
        <v>85</v>
      </c>
      <c r="H1201" s="177">
        <v>1</v>
      </c>
      <c r="I1201" s="178">
        <v>1600</v>
      </c>
      <c r="J1201" s="176">
        <v>46030</v>
      </c>
      <c r="K1201" s="172" t="s">
        <v>94</v>
      </c>
      <c r="L1201" s="172" t="s">
        <v>95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1028</v>
      </c>
      <c r="B1202" s="176">
        <v>46032</v>
      </c>
      <c r="C1202" s="172" t="s">
        <v>101</v>
      </c>
      <c r="D1202" s="172" t="s">
        <v>104</v>
      </c>
      <c r="E1202" s="172" t="s">
        <v>42</v>
      </c>
      <c r="F1202" s="172" t="s">
        <v>84</v>
      </c>
      <c r="G1202" s="172" t="s">
        <v>85</v>
      </c>
      <c r="H1202" s="177">
        <v>1</v>
      </c>
      <c r="I1202" s="178">
        <v>1600</v>
      </c>
      <c r="J1202" s="176">
        <v>46030</v>
      </c>
      <c r="K1202" s="172" t="s">
        <v>94</v>
      </c>
      <c r="L1202" s="172" t="s">
        <v>95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1028</v>
      </c>
      <c r="B1203" s="176">
        <v>46032</v>
      </c>
      <c r="C1203" s="172" t="s">
        <v>105</v>
      </c>
      <c r="D1203" s="172" t="s">
        <v>106</v>
      </c>
      <c r="E1203" s="172" t="s">
        <v>42</v>
      </c>
      <c r="F1203" s="172" t="s">
        <v>84</v>
      </c>
      <c r="G1203" s="172" t="s">
        <v>85</v>
      </c>
      <c r="H1203" s="177">
        <v>1</v>
      </c>
      <c r="I1203" s="178">
        <v>1600</v>
      </c>
      <c r="J1203" s="176">
        <v>46030</v>
      </c>
      <c r="K1203" s="172" t="s">
        <v>94</v>
      </c>
      <c r="L1203" s="172" t="s">
        <v>95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1028</v>
      </c>
      <c r="B1204" s="176">
        <v>46032</v>
      </c>
      <c r="C1204" s="172" t="s">
        <v>82</v>
      </c>
      <c r="D1204" s="172" t="s">
        <v>96</v>
      </c>
      <c r="E1204" s="172" t="s">
        <v>42</v>
      </c>
      <c r="F1204" s="172" t="s">
        <v>84</v>
      </c>
      <c r="G1204" s="172" t="s">
        <v>85</v>
      </c>
      <c r="H1204" s="177">
        <v>1</v>
      </c>
      <c r="I1204" s="178">
        <v>1600</v>
      </c>
      <c r="J1204" s="176">
        <v>46030</v>
      </c>
      <c r="K1204" s="172" t="s">
        <v>94</v>
      </c>
      <c r="L1204" s="172" t="s">
        <v>95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1029</v>
      </c>
      <c r="B1205" s="176">
        <v>46032</v>
      </c>
      <c r="C1205" s="172" t="s">
        <v>82</v>
      </c>
      <c r="D1205" s="172" t="s">
        <v>83</v>
      </c>
      <c r="E1205" s="172" t="s">
        <v>54</v>
      </c>
      <c r="F1205" s="172" t="s">
        <v>121</v>
      </c>
      <c r="G1205" s="172" t="s">
        <v>85</v>
      </c>
      <c r="H1205" s="177">
        <v>1</v>
      </c>
      <c r="I1205" s="178">
        <v>0</v>
      </c>
      <c r="J1205" s="176">
        <v>46032</v>
      </c>
      <c r="K1205" s="172" t="s">
        <v>86</v>
      </c>
      <c r="L1205" s="172" t="s">
        <v>86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1030</v>
      </c>
      <c r="B1206" s="176">
        <v>46032</v>
      </c>
      <c r="C1206" s="172" t="s">
        <v>82</v>
      </c>
      <c r="D1206" s="172" t="s">
        <v>83</v>
      </c>
      <c r="E1206" s="172" t="s">
        <v>54</v>
      </c>
      <c r="F1206" s="172" t="s">
        <v>121</v>
      </c>
      <c r="G1206" s="172" t="s">
        <v>85</v>
      </c>
      <c r="H1206" s="177">
        <v>1</v>
      </c>
      <c r="I1206" s="178">
        <v>0</v>
      </c>
      <c r="J1206" s="176">
        <v>46032</v>
      </c>
      <c r="K1206" s="172" t="s">
        <v>86</v>
      </c>
      <c r="L1206" s="172" t="s">
        <v>86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1031</v>
      </c>
      <c r="B1207" s="176">
        <v>46032</v>
      </c>
      <c r="C1207" s="172" t="s">
        <v>93</v>
      </c>
      <c r="D1207" s="172" t="s">
        <v>24</v>
      </c>
      <c r="E1207" s="172" t="s">
        <v>53</v>
      </c>
      <c r="F1207" s="172" t="s">
        <v>91</v>
      </c>
      <c r="G1207" s="172" t="s">
        <v>85</v>
      </c>
      <c r="H1207" s="177">
        <v>1</v>
      </c>
      <c r="I1207" s="178">
        <v>1621</v>
      </c>
      <c r="J1207" s="176">
        <v>46027</v>
      </c>
      <c r="K1207" s="172" t="s">
        <v>94</v>
      </c>
      <c r="L1207" s="172" t="s">
        <v>95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1031</v>
      </c>
      <c r="B1208" s="176">
        <v>46032</v>
      </c>
      <c r="C1208" s="172" t="s">
        <v>101</v>
      </c>
      <c r="D1208" s="172" t="s">
        <v>102</v>
      </c>
      <c r="E1208" s="172" t="s">
        <v>53</v>
      </c>
      <c r="F1208" s="172" t="s">
        <v>91</v>
      </c>
      <c r="G1208" s="172" t="s">
        <v>85</v>
      </c>
      <c r="H1208" s="177">
        <v>1</v>
      </c>
      <c r="I1208" s="178">
        <v>1621</v>
      </c>
      <c r="J1208" s="176">
        <v>46027</v>
      </c>
      <c r="K1208" s="172" t="s">
        <v>94</v>
      </c>
      <c r="L1208" s="172" t="s">
        <v>95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1031</v>
      </c>
      <c r="B1209" s="176">
        <v>46032</v>
      </c>
      <c r="C1209" s="172" t="s">
        <v>101</v>
      </c>
      <c r="D1209" s="172" t="s">
        <v>103</v>
      </c>
      <c r="E1209" s="172" t="s">
        <v>53</v>
      </c>
      <c r="F1209" s="172" t="s">
        <v>91</v>
      </c>
      <c r="G1209" s="172" t="s">
        <v>85</v>
      </c>
      <c r="H1209" s="177">
        <v>1</v>
      </c>
      <c r="I1209" s="178">
        <v>1621</v>
      </c>
      <c r="J1209" s="176">
        <v>46027</v>
      </c>
      <c r="K1209" s="172" t="s">
        <v>94</v>
      </c>
      <c r="L1209" s="172" t="s">
        <v>95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1031</v>
      </c>
      <c r="B1210" s="176">
        <v>46032</v>
      </c>
      <c r="C1210" s="172" t="s">
        <v>101</v>
      </c>
      <c r="D1210" s="172" t="s">
        <v>104</v>
      </c>
      <c r="E1210" s="172" t="s">
        <v>53</v>
      </c>
      <c r="F1210" s="172" t="s">
        <v>91</v>
      </c>
      <c r="G1210" s="172" t="s">
        <v>85</v>
      </c>
      <c r="H1210" s="177">
        <v>1</v>
      </c>
      <c r="I1210" s="178">
        <v>1621</v>
      </c>
      <c r="J1210" s="176">
        <v>46027</v>
      </c>
      <c r="K1210" s="172" t="s">
        <v>94</v>
      </c>
      <c r="L1210" s="172" t="s">
        <v>95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1031</v>
      </c>
      <c r="B1211" s="176">
        <v>46032</v>
      </c>
      <c r="C1211" s="172" t="s">
        <v>105</v>
      </c>
      <c r="D1211" s="172" t="s">
        <v>106</v>
      </c>
      <c r="E1211" s="172" t="s">
        <v>53</v>
      </c>
      <c r="F1211" s="172" t="s">
        <v>91</v>
      </c>
      <c r="G1211" s="172" t="s">
        <v>85</v>
      </c>
      <c r="H1211" s="177">
        <v>1</v>
      </c>
      <c r="I1211" s="178">
        <v>1621</v>
      </c>
      <c r="J1211" s="176">
        <v>46027</v>
      </c>
      <c r="K1211" s="172" t="s">
        <v>94</v>
      </c>
      <c r="L1211" s="172" t="s">
        <v>95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1031</v>
      </c>
      <c r="B1212" s="176">
        <v>46032</v>
      </c>
      <c r="C1212" s="172" t="s">
        <v>82</v>
      </c>
      <c r="D1212" s="172" t="s">
        <v>96</v>
      </c>
      <c r="E1212" s="172" t="s">
        <v>53</v>
      </c>
      <c r="F1212" s="172" t="s">
        <v>91</v>
      </c>
      <c r="G1212" s="172" t="s">
        <v>85</v>
      </c>
      <c r="H1212" s="177">
        <v>1</v>
      </c>
      <c r="I1212" s="178">
        <v>1621</v>
      </c>
      <c r="J1212" s="176">
        <v>46027</v>
      </c>
      <c r="K1212" s="172" t="s">
        <v>94</v>
      </c>
      <c r="L1212" s="172" t="s">
        <v>95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1031</v>
      </c>
      <c r="B1213" s="176">
        <v>46032</v>
      </c>
      <c r="C1213" s="172" t="s">
        <v>82</v>
      </c>
      <c r="D1213" s="172" t="s">
        <v>83</v>
      </c>
      <c r="E1213" s="172" t="s">
        <v>53</v>
      </c>
      <c r="F1213" s="172" t="s">
        <v>91</v>
      </c>
      <c r="G1213" s="172" t="s">
        <v>85</v>
      </c>
      <c r="H1213" s="177">
        <v>1</v>
      </c>
      <c r="I1213" s="178">
        <v>0</v>
      </c>
      <c r="J1213" s="176">
        <v>46027</v>
      </c>
      <c r="K1213" s="172" t="s">
        <v>86</v>
      </c>
      <c r="L1213" s="172" t="s">
        <v>86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1032</v>
      </c>
      <c r="B1214" s="176">
        <v>46032</v>
      </c>
      <c r="C1214" s="172" t="s">
        <v>93</v>
      </c>
      <c r="D1214" s="172" t="s">
        <v>24</v>
      </c>
      <c r="E1214" s="172" t="s">
        <v>54</v>
      </c>
      <c r="F1214" s="172" t="s">
        <v>121</v>
      </c>
      <c r="G1214" s="172" t="s">
        <v>85</v>
      </c>
      <c r="H1214" s="177">
        <v>1</v>
      </c>
      <c r="I1214" s="178">
        <v>1845</v>
      </c>
      <c r="J1214" s="176">
        <v>46030</v>
      </c>
      <c r="K1214" s="172" t="s">
        <v>94</v>
      </c>
      <c r="L1214" s="172" t="s">
        <v>95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1032</v>
      </c>
      <c r="B1215" s="176">
        <v>46032</v>
      </c>
      <c r="C1215" s="172" t="s">
        <v>101</v>
      </c>
      <c r="D1215" s="172" t="s">
        <v>102</v>
      </c>
      <c r="E1215" s="172" t="s">
        <v>54</v>
      </c>
      <c r="F1215" s="172" t="s">
        <v>121</v>
      </c>
      <c r="G1215" s="172" t="s">
        <v>85</v>
      </c>
      <c r="H1215" s="177">
        <v>1</v>
      </c>
      <c r="I1215" s="178">
        <v>1845</v>
      </c>
      <c r="J1215" s="176">
        <v>46030</v>
      </c>
      <c r="K1215" s="172" t="s">
        <v>94</v>
      </c>
      <c r="L1215" s="172" t="s">
        <v>95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1032</v>
      </c>
      <c r="B1216" s="176">
        <v>46032</v>
      </c>
      <c r="C1216" s="172" t="s">
        <v>101</v>
      </c>
      <c r="D1216" s="172" t="s">
        <v>103</v>
      </c>
      <c r="E1216" s="172" t="s">
        <v>54</v>
      </c>
      <c r="F1216" s="172" t="s">
        <v>121</v>
      </c>
      <c r="G1216" s="172" t="s">
        <v>85</v>
      </c>
      <c r="H1216" s="177">
        <v>1</v>
      </c>
      <c r="I1216" s="178">
        <v>1845</v>
      </c>
      <c r="J1216" s="176">
        <v>46030</v>
      </c>
      <c r="K1216" s="172" t="s">
        <v>94</v>
      </c>
      <c r="L1216" s="172" t="s">
        <v>95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1032</v>
      </c>
      <c r="B1217" s="176">
        <v>46032</v>
      </c>
      <c r="C1217" s="172" t="s">
        <v>101</v>
      </c>
      <c r="D1217" s="172" t="s">
        <v>104</v>
      </c>
      <c r="E1217" s="172" t="s">
        <v>54</v>
      </c>
      <c r="F1217" s="172" t="s">
        <v>121</v>
      </c>
      <c r="G1217" s="172" t="s">
        <v>85</v>
      </c>
      <c r="H1217" s="177">
        <v>1</v>
      </c>
      <c r="I1217" s="178">
        <v>1845</v>
      </c>
      <c r="J1217" s="176">
        <v>46030</v>
      </c>
      <c r="K1217" s="172" t="s">
        <v>94</v>
      </c>
      <c r="L1217" s="172" t="s">
        <v>95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1032</v>
      </c>
      <c r="B1218" s="176">
        <v>46032</v>
      </c>
      <c r="C1218" s="172" t="s">
        <v>105</v>
      </c>
      <c r="D1218" s="172" t="s">
        <v>106</v>
      </c>
      <c r="E1218" s="172" t="s">
        <v>54</v>
      </c>
      <c r="F1218" s="172" t="s">
        <v>121</v>
      </c>
      <c r="G1218" s="172" t="s">
        <v>85</v>
      </c>
      <c r="H1218" s="177">
        <v>1</v>
      </c>
      <c r="I1218" s="178">
        <v>1845</v>
      </c>
      <c r="J1218" s="176">
        <v>46030</v>
      </c>
      <c r="K1218" s="172" t="s">
        <v>94</v>
      </c>
      <c r="L1218" s="172" t="s">
        <v>95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1032</v>
      </c>
      <c r="B1219" s="176">
        <v>46032</v>
      </c>
      <c r="C1219" s="172" t="s">
        <v>82</v>
      </c>
      <c r="D1219" s="172" t="s">
        <v>96</v>
      </c>
      <c r="E1219" s="172" t="s">
        <v>54</v>
      </c>
      <c r="F1219" s="172" t="s">
        <v>121</v>
      </c>
      <c r="G1219" s="172" t="s">
        <v>85</v>
      </c>
      <c r="H1219" s="177">
        <v>1</v>
      </c>
      <c r="I1219" s="178">
        <v>1845</v>
      </c>
      <c r="J1219" s="176">
        <v>46030</v>
      </c>
      <c r="K1219" s="172" t="s">
        <v>94</v>
      </c>
      <c r="L1219" s="172" t="s">
        <v>95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1032</v>
      </c>
      <c r="B1220" s="176">
        <v>46032</v>
      </c>
      <c r="C1220" s="172" t="s">
        <v>82</v>
      </c>
      <c r="D1220" s="172" t="s">
        <v>83</v>
      </c>
      <c r="E1220" s="172" t="s">
        <v>54</v>
      </c>
      <c r="F1220" s="172" t="s">
        <v>121</v>
      </c>
      <c r="G1220" s="172" t="s">
        <v>85</v>
      </c>
      <c r="H1220" s="177">
        <v>1</v>
      </c>
      <c r="I1220" s="178">
        <v>0</v>
      </c>
      <c r="J1220" s="176">
        <v>46030</v>
      </c>
      <c r="K1220" s="172" t="s">
        <v>86</v>
      </c>
      <c r="L1220" s="172" t="s">
        <v>86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1033</v>
      </c>
      <c r="B1221" s="176">
        <v>46032</v>
      </c>
      <c r="C1221" s="172" t="s">
        <v>82</v>
      </c>
      <c r="D1221" s="172" t="s">
        <v>83</v>
      </c>
      <c r="E1221" s="172" t="s">
        <v>53</v>
      </c>
      <c r="F1221" s="172" t="s">
        <v>91</v>
      </c>
      <c r="G1221" s="172" t="s">
        <v>85</v>
      </c>
      <c r="H1221" s="177">
        <v>1</v>
      </c>
      <c r="I1221" s="178">
        <v>0</v>
      </c>
      <c r="J1221" s="176">
        <v>46032</v>
      </c>
      <c r="K1221" s="172" t="s">
        <v>86</v>
      </c>
      <c r="L1221" s="172" t="s">
        <v>86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1034</v>
      </c>
      <c r="B1222" s="176">
        <v>46032</v>
      </c>
      <c r="C1222" s="172" t="s">
        <v>93</v>
      </c>
      <c r="D1222" s="172" t="s">
        <v>24</v>
      </c>
      <c r="E1222" s="172" t="s">
        <v>53</v>
      </c>
      <c r="F1222" s="172" t="s">
        <v>91</v>
      </c>
      <c r="G1222" s="172" t="s">
        <v>85</v>
      </c>
      <c r="H1222" s="177">
        <v>1</v>
      </c>
      <c r="I1222" s="178">
        <v>1621</v>
      </c>
      <c r="J1222" s="176">
        <v>46027</v>
      </c>
      <c r="K1222" s="172" t="s">
        <v>94</v>
      </c>
      <c r="L1222" s="172" t="s">
        <v>95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1034</v>
      </c>
      <c r="B1223" s="176">
        <v>46032</v>
      </c>
      <c r="C1223" s="172" t="s">
        <v>101</v>
      </c>
      <c r="D1223" s="172" t="s">
        <v>102</v>
      </c>
      <c r="E1223" s="172" t="s">
        <v>53</v>
      </c>
      <c r="F1223" s="172" t="s">
        <v>91</v>
      </c>
      <c r="G1223" s="172" t="s">
        <v>85</v>
      </c>
      <c r="H1223" s="177">
        <v>1</v>
      </c>
      <c r="I1223" s="178">
        <v>1621</v>
      </c>
      <c r="J1223" s="176">
        <v>46027</v>
      </c>
      <c r="K1223" s="172" t="s">
        <v>94</v>
      </c>
      <c r="L1223" s="172" t="s">
        <v>95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1034</v>
      </c>
      <c r="B1224" s="176">
        <v>46032</v>
      </c>
      <c r="C1224" s="172" t="s">
        <v>101</v>
      </c>
      <c r="D1224" s="172" t="s">
        <v>103</v>
      </c>
      <c r="E1224" s="172" t="s">
        <v>53</v>
      </c>
      <c r="F1224" s="172" t="s">
        <v>91</v>
      </c>
      <c r="G1224" s="172" t="s">
        <v>85</v>
      </c>
      <c r="H1224" s="177">
        <v>1</v>
      </c>
      <c r="I1224" s="178">
        <v>1621</v>
      </c>
      <c r="J1224" s="176">
        <v>46027</v>
      </c>
      <c r="K1224" s="172" t="s">
        <v>94</v>
      </c>
      <c r="L1224" s="172" t="s">
        <v>95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1034</v>
      </c>
      <c r="B1225" s="176">
        <v>46032</v>
      </c>
      <c r="C1225" s="172" t="s">
        <v>101</v>
      </c>
      <c r="D1225" s="172" t="s">
        <v>104</v>
      </c>
      <c r="E1225" s="172" t="s">
        <v>53</v>
      </c>
      <c r="F1225" s="172" t="s">
        <v>91</v>
      </c>
      <c r="G1225" s="172" t="s">
        <v>85</v>
      </c>
      <c r="H1225" s="177">
        <v>1</v>
      </c>
      <c r="I1225" s="178">
        <v>1621</v>
      </c>
      <c r="J1225" s="176">
        <v>46027</v>
      </c>
      <c r="K1225" s="172" t="s">
        <v>94</v>
      </c>
      <c r="L1225" s="172" t="s">
        <v>95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1034</v>
      </c>
      <c r="B1226" s="176">
        <v>46032</v>
      </c>
      <c r="C1226" s="172" t="s">
        <v>105</v>
      </c>
      <c r="D1226" s="172" t="s">
        <v>106</v>
      </c>
      <c r="E1226" s="172" t="s">
        <v>53</v>
      </c>
      <c r="F1226" s="172" t="s">
        <v>91</v>
      </c>
      <c r="G1226" s="172" t="s">
        <v>85</v>
      </c>
      <c r="H1226" s="177">
        <v>1</v>
      </c>
      <c r="I1226" s="178">
        <v>1621</v>
      </c>
      <c r="J1226" s="176">
        <v>46027</v>
      </c>
      <c r="K1226" s="172" t="s">
        <v>94</v>
      </c>
      <c r="L1226" s="172" t="s">
        <v>95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1034</v>
      </c>
      <c r="B1227" s="176">
        <v>46032</v>
      </c>
      <c r="C1227" s="172" t="s">
        <v>82</v>
      </c>
      <c r="D1227" s="172" t="s">
        <v>96</v>
      </c>
      <c r="E1227" s="172" t="s">
        <v>53</v>
      </c>
      <c r="F1227" s="172" t="s">
        <v>91</v>
      </c>
      <c r="G1227" s="172" t="s">
        <v>85</v>
      </c>
      <c r="H1227" s="177">
        <v>1</v>
      </c>
      <c r="I1227" s="178">
        <v>1621</v>
      </c>
      <c r="J1227" s="176">
        <v>46027</v>
      </c>
      <c r="K1227" s="172" t="s">
        <v>94</v>
      </c>
      <c r="L1227" s="172" t="s">
        <v>95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1035</v>
      </c>
      <c r="B1228" s="176">
        <v>46032</v>
      </c>
      <c r="C1228" s="172" t="s">
        <v>93</v>
      </c>
      <c r="D1228" s="172" t="s">
        <v>24</v>
      </c>
      <c r="E1228" s="172" t="s">
        <v>54</v>
      </c>
      <c r="F1228" s="172" t="s">
        <v>121</v>
      </c>
      <c r="G1228" s="172" t="s">
        <v>85</v>
      </c>
      <c r="H1228" s="177">
        <v>1</v>
      </c>
      <c r="I1228" s="178">
        <v>1845</v>
      </c>
      <c r="J1228" s="176">
        <v>46030</v>
      </c>
      <c r="K1228" s="172" t="s">
        <v>94</v>
      </c>
      <c r="L1228" s="172" t="s">
        <v>95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1035</v>
      </c>
      <c r="B1229" s="176">
        <v>46032</v>
      </c>
      <c r="C1229" s="172" t="s">
        <v>101</v>
      </c>
      <c r="D1229" s="172" t="s">
        <v>102</v>
      </c>
      <c r="E1229" s="172" t="s">
        <v>54</v>
      </c>
      <c r="F1229" s="172" t="s">
        <v>121</v>
      </c>
      <c r="G1229" s="172" t="s">
        <v>85</v>
      </c>
      <c r="H1229" s="177">
        <v>1</v>
      </c>
      <c r="I1229" s="178">
        <v>1845</v>
      </c>
      <c r="J1229" s="176">
        <v>46030</v>
      </c>
      <c r="K1229" s="172" t="s">
        <v>94</v>
      </c>
      <c r="L1229" s="172" t="s">
        <v>95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1035</v>
      </c>
      <c r="B1230" s="176">
        <v>46032</v>
      </c>
      <c r="C1230" s="172" t="s">
        <v>101</v>
      </c>
      <c r="D1230" s="172" t="s">
        <v>103</v>
      </c>
      <c r="E1230" s="172" t="s">
        <v>54</v>
      </c>
      <c r="F1230" s="172" t="s">
        <v>121</v>
      </c>
      <c r="G1230" s="172" t="s">
        <v>85</v>
      </c>
      <c r="H1230" s="177">
        <v>1</v>
      </c>
      <c r="I1230" s="178">
        <v>1845</v>
      </c>
      <c r="J1230" s="176">
        <v>46030</v>
      </c>
      <c r="K1230" s="172" t="s">
        <v>94</v>
      </c>
      <c r="L1230" s="172" t="s">
        <v>95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1035</v>
      </c>
      <c r="B1231" s="176">
        <v>46032</v>
      </c>
      <c r="C1231" s="172" t="s">
        <v>101</v>
      </c>
      <c r="D1231" s="172" t="s">
        <v>104</v>
      </c>
      <c r="E1231" s="172" t="s">
        <v>54</v>
      </c>
      <c r="F1231" s="172" t="s">
        <v>121</v>
      </c>
      <c r="G1231" s="172" t="s">
        <v>85</v>
      </c>
      <c r="H1231" s="177">
        <v>1</v>
      </c>
      <c r="I1231" s="178">
        <v>1845</v>
      </c>
      <c r="J1231" s="176">
        <v>46030</v>
      </c>
      <c r="K1231" s="172" t="s">
        <v>94</v>
      </c>
      <c r="L1231" s="172" t="s">
        <v>95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1035</v>
      </c>
      <c r="B1232" s="176">
        <v>46032</v>
      </c>
      <c r="C1232" s="172" t="s">
        <v>105</v>
      </c>
      <c r="D1232" s="172" t="s">
        <v>106</v>
      </c>
      <c r="E1232" s="172" t="s">
        <v>54</v>
      </c>
      <c r="F1232" s="172" t="s">
        <v>121</v>
      </c>
      <c r="G1232" s="172" t="s">
        <v>85</v>
      </c>
      <c r="H1232" s="177">
        <v>1</v>
      </c>
      <c r="I1232" s="178">
        <v>1845</v>
      </c>
      <c r="J1232" s="176">
        <v>46030</v>
      </c>
      <c r="K1232" s="172" t="s">
        <v>94</v>
      </c>
      <c r="L1232" s="172" t="s">
        <v>95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1035</v>
      </c>
      <c r="B1233" s="176">
        <v>46032</v>
      </c>
      <c r="C1233" s="172" t="s">
        <v>82</v>
      </c>
      <c r="D1233" s="172" t="s">
        <v>96</v>
      </c>
      <c r="E1233" s="172" t="s">
        <v>54</v>
      </c>
      <c r="F1233" s="172" t="s">
        <v>121</v>
      </c>
      <c r="G1233" s="172" t="s">
        <v>85</v>
      </c>
      <c r="H1233" s="177">
        <v>1</v>
      </c>
      <c r="I1233" s="178">
        <v>1845</v>
      </c>
      <c r="J1233" s="176">
        <v>46030</v>
      </c>
      <c r="K1233" s="172" t="s">
        <v>94</v>
      </c>
      <c r="L1233" s="172" t="s">
        <v>95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1036</v>
      </c>
      <c r="B1234" s="176">
        <v>46032</v>
      </c>
      <c r="C1234" s="172" t="s">
        <v>93</v>
      </c>
      <c r="D1234" s="172" t="s">
        <v>24</v>
      </c>
      <c r="E1234" s="172" t="s">
        <v>54</v>
      </c>
      <c r="F1234" s="172" t="s">
        <v>121</v>
      </c>
      <c r="G1234" s="172" t="s">
        <v>85</v>
      </c>
      <c r="H1234" s="177">
        <v>1</v>
      </c>
      <c r="I1234" s="178">
        <v>1845</v>
      </c>
      <c r="J1234" s="176">
        <v>46031</v>
      </c>
      <c r="K1234" s="172" t="s">
        <v>94</v>
      </c>
      <c r="L1234" s="172" t="s">
        <v>95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1036</v>
      </c>
      <c r="B1235" s="176">
        <v>46032</v>
      </c>
      <c r="C1235" s="172" t="s">
        <v>101</v>
      </c>
      <c r="D1235" s="172" t="s">
        <v>102</v>
      </c>
      <c r="E1235" s="172" t="s">
        <v>54</v>
      </c>
      <c r="F1235" s="172" t="s">
        <v>121</v>
      </c>
      <c r="G1235" s="172" t="s">
        <v>85</v>
      </c>
      <c r="H1235" s="177">
        <v>1</v>
      </c>
      <c r="I1235" s="178">
        <v>1845</v>
      </c>
      <c r="J1235" s="176">
        <v>46031</v>
      </c>
      <c r="K1235" s="172" t="s">
        <v>94</v>
      </c>
      <c r="L1235" s="172" t="s">
        <v>95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1036</v>
      </c>
      <c r="B1236" s="176">
        <v>46032</v>
      </c>
      <c r="C1236" s="172" t="s">
        <v>101</v>
      </c>
      <c r="D1236" s="172" t="s">
        <v>103</v>
      </c>
      <c r="E1236" s="172" t="s">
        <v>54</v>
      </c>
      <c r="F1236" s="172" t="s">
        <v>121</v>
      </c>
      <c r="G1236" s="172" t="s">
        <v>85</v>
      </c>
      <c r="H1236" s="177">
        <v>1</v>
      </c>
      <c r="I1236" s="178">
        <v>1845</v>
      </c>
      <c r="J1236" s="176">
        <v>46031</v>
      </c>
      <c r="K1236" s="172" t="s">
        <v>94</v>
      </c>
      <c r="L1236" s="172" t="s">
        <v>95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1036</v>
      </c>
      <c r="B1237" s="176">
        <v>46032</v>
      </c>
      <c r="C1237" s="172" t="s">
        <v>101</v>
      </c>
      <c r="D1237" s="172" t="s">
        <v>104</v>
      </c>
      <c r="E1237" s="172" t="s">
        <v>54</v>
      </c>
      <c r="F1237" s="172" t="s">
        <v>121</v>
      </c>
      <c r="G1237" s="172" t="s">
        <v>85</v>
      </c>
      <c r="H1237" s="177">
        <v>1</v>
      </c>
      <c r="I1237" s="178">
        <v>1845</v>
      </c>
      <c r="J1237" s="176">
        <v>46031</v>
      </c>
      <c r="K1237" s="172" t="s">
        <v>94</v>
      </c>
      <c r="L1237" s="172" t="s">
        <v>95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1036</v>
      </c>
      <c r="B1238" s="176">
        <v>46032</v>
      </c>
      <c r="C1238" s="172" t="s">
        <v>105</v>
      </c>
      <c r="D1238" s="172" t="s">
        <v>106</v>
      </c>
      <c r="E1238" s="172" t="s">
        <v>54</v>
      </c>
      <c r="F1238" s="172" t="s">
        <v>121</v>
      </c>
      <c r="G1238" s="172" t="s">
        <v>85</v>
      </c>
      <c r="H1238" s="177">
        <v>1</v>
      </c>
      <c r="I1238" s="178">
        <v>1845</v>
      </c>
      <c r="J1238" s="176">
        <v>46031</v>
      </c>
      <c r="K1238" s="172" t="s">
        <v>94</v>
      </c>
      <c r="L1238" s="172" t="s">
        <v>95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1036</v>
      </c>
      <c r="B1239" s="176">
        <v>46032</v>
      </c>
      <c r="C1239" s="172" t="s">
        <v>82</v>
      </c>
      <c r="D1239" s="172" t="s">
        <v>96</v>
      </c>
      <c r="E1239" s="172" t="s">
        <v>54</v>
      </c>
      <c r="F1239" s="172" t="s">
        <v>121</v>
      </c>
      <c r="G1239" s="172" t="s">
        <v>85</v>
      </c>
      <c r="H1239" s="177">
        <v>1</v>
      </c>
      <c r="I1239" s="178">
        <v>1845</v>
      </c>
      <c r="J1239" s="176">
        <v>46031</v>
      </c>
      <c r="K1239" s="172" t="s">
        <v>94</v>
      </c>
      <c r="L1239" s="172" t="s">
        <v>95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1035</v>
      </c>
      <c r="B1240" s="176">
        <v>46032</v>
      </c>
      <c r="C1240" s="172" t="s">
        <v>82</v>
      </c>
      <c r="D1240" s="172" t="s">
        <v>83</v>
      </c>
      <c r="E1240" s="172" t="s">
        <v>54</v>
      </c>
      <c r="F1240" s="172" t="s">
        <v>121</v>
      </c>
      <c r="G1240" s="172" t="s">
        <v>85</v>
      </c>
      <c r="H1240" s="177">
        <v>1</v>
      </c>
      <c r="I1240" s="178">
        <v>0</v>
      </c>
      <c r="J1240" s="176">
        <v>46030</v>
      </c>
      <c r="K1240" s="172" t="s">
        <v>86</v>
      </c>
      <c r="L1240" s="172" t="s">
        <v>86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1036</v>
      </c>
      <c r="B1241" s="176">
        <v>46032</v>
      </c>
      <c r="C1241" s="172" t="s">
        <v>82</v>
      </c>
      <c r="D1241" s="172" t="s">
        <v>83</v>
      </c>
      <c r="E1241" s="172" t="s">
        <v>54</v>
      </c>
      <c r="F1241" s="172" t="s">
        <v>121</v>
      </c>
      <c r="G1241" s="172" t="s">
        <v>85</v>
      </c>
      <c r="H1241" s="177">
        <v>1</v>
      </c>
      <c r="I1241" s="178">
        <v>0</v>
      </c>
      <c r="J1241" s="176">
        <v>46031</v>
      </c>
      <c r="K1241" s="172" t="s">
        <v>86</v>
      </c>
      <c r="L1241" s="172" t="s">
        <v>86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1037</v>
      </c>
      <c r="B1242" s="176">
        <v>46032</v>
      </c>
      <c r="C1242" s="172" t="s">
        <v>93</v>
      </c>
      <c r="D1242" s="172" t="s">
        <v>24</v>
      </c>
      <c r="E1242" s="172" t="s">
        <v>54</v>
      </c>
      <c r="F1242" s="172" t="s">
        <v>121</v>
      </c>
      <c r="G1242" s="172" t="s">
        <v>85</v>
      </c>
      <c r="H1242" s="177">
        <v>1</v>
      </c>
      <c r="I1242" s="178">
        <v>1845</v>
      </c>
      <c r="J1242" s="176">
        <v>46025</v>
      </c>
      <c r="K1242" s="172" t="s">
        <v>94</v>
      </c>
      <c r="L1242" s="172" t="s">
        <v>95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1037</v>
      </c>
      <c r="B1243" s="176">
        <v>46032</v>
      </c>
      <c r="C1243" s="172" t="s">
        <v>101</v>
      </c>
      <c r="D1243" s="172" t="s">
        <v>102</v>
      </c>
      <c r="E1243" s="172" t="s">
        <v>54</v>
      </c>
      <c r="F1243" s="172" t="s">
        <v>121</v>
      </c>
      <c r="G1243" s="172" t="s">
        <v>85</v>
      </c>
      <c r="H1243" s="177">
        <v>1</v>
      </c>
      <c r="I1243" s="178">
        <v>1845</v>
      </c>
      <c r="J1243" s="176">
        <v>46025</v>
      </c>
      <c r="K1243" s="172" t="s">
        <v>94</v>
      </c>
      <c r="L1243" s="172" t="s">
        <v>95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1037</v>
      </c>
      <c r="B1244" s="176">
        <v>46032</v>
      </c>
      <c r="C1244" s="172" t="s">
        <v>101</v>
      </c>
      <c r="D1244" s="172" t="s">
        <v>103</v>
      </c>
      <c r="E1244" s="172" t="s">
        <v>54</v>
      </c>
      <c r="F1244" s="172" t="s">
        <v>121</v>
      </c>
      <c r="G1244" s="172" t="s">
        <v>85</v>
      </c>
      <c r="H1244" s="177">
        <v>1</v>
      </c>
      <c r="I1244" s="178">
        <v>1845</v>
      </c>
      <c r="J1244" s="176">
        <v>46025</v>
      </c>
      <c r="K1244" s="172" t="s">
        <v>94</v>
      </c>
      <c r="L1244" s="172" t="s">
        <v>95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1037</v>
      </c>
      <c r="B1245" s="176">
        <v>46032</v>
      </c>
      <c r="C1245" s="172" t="s">
        <v>101</v>
      </c>
      <c r="D1245" s="172" t="s">
        <v>104</v>
      </c>
      <c r="E1245" s="172" t="s">
        <v>54</v>
      </c>
      <c r="F1245" s="172" t="s">
        <v>121</v>
      </c>
      <c r="G1245" s="172" t="s">
        <v>85</v>
      </c>
      <c r="H1245" s="177">
        <v>1</v>
      </c>
      <c r="I1245" s="178">
        <v>1845</v>
      </c>
      <c r="J1245" s="176">
        <v>46025</v>
      </c>
      <c r="K1245" s="172" t="s">
        <v>94</v>
      </c>
      <c r="L1245" s="172" t="s">
        <v>95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1037</v>
      </c>
      <c r="B1246" s="176">
        <v>46032</v>
      </c>
      <c r="C1246" s="172" t="s">
        <v>105</v>
      </c>
      <c r="D1246" s="172" t="s">
        <v>106</v>
      </c>
      <c r="E1246" s="172" t="s">
        <v>54</v>
      </c>
      <c r="F1246" s="172" t="s">
        <v>121</v>
      </c>
      <c r="G1246" s="172" t="s">
        <v>85</v>
      </c>
      <c r="H1246" s="177">
        <v>1</v>
      </c>
      <c r="I1246" s="178">
        <v>1845</v>
      </c>
      <c r="J1246" s="176">
        <v>46025</v>
      </c>
      <c r="K1246" s="172" t="s">
        <v>94</v>
      </c>
      <c r="L1246" s="172" t="s">
        <v>95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1037</v>
      </c>
      <c r="B1247" s="176">
        <v>46032</v>
      </c>
      <c r="C1247" s="172" t="s">
        <v>82</v>
      </c>
      <c r="D1247" s="172" t="s">
        <v>96</v>
      </c>
      <c r="E1247" s="172" t="s">
        <v>54</v>
      </c>
      <c r="F1247" s="172" t="s">
        <v>121</v>
      </c>
      <c r="G1247" s="172" t="s">
        <v>85</v>
      </c>
      <c r="H1247" s="177">
        <v>1</v>
      </c>
      <c r="I1247" s="178">
        <v>1845</v>
      </c>
      <c r="J1247" s="176">
        <v>46025</v>
      </c>
      <c r="K1247" s="172" t="s">
        <v>94</v>
      </c>
      <c r="L1247" s="172" t="s">
        <v>95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1038</v>
      </c>
      <c r="B1248" s="176">
        <v>46032</v>
      </c>
      <c r="C1248" s="172" t="s">
        <v>93</v>
      </c>
      <c r="D1248" s="172" t="s">
        <v>24</v>
      </c>
      <c r="E1248" s="172" t="s">
        <v>42</v>
      </c>
      <c r="F1248" s="172" t="s">
        <v>84</v>
      </c>
      <c r="G1248" s="172" t="s">
        <v>85</v>
      </c>
      <c r="H1248" s="177">
        <v>1</v>
      </c>
      <c r="I1248" s="178">
        <v>1600</v>
      </c>
      <c r="J1248" s="176">
        <v>46025</v>
      </c>
      <c r="K1248" s="172" t="s">
        <v>94</v>
      </c>
      <c r="L1248" s="172" t="s">
        <v>95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1038</v>
      </c>
      <c r="B1249" s="176">
        <v>46032</v>
      </c>
      <c r="C1249" s="172" t="s">
        <v>101</v>
      </c>
      <c r="D1249" s="172" t="s">
        <v>102</v>
      </c>
      <c r="E1249" s="172" t="s">
        <v>42</v>
      </c>
      <c r="F1249" s="172" t="s">
        <v>84</v>
      </c>
      <c r="G1249" s="172" t="s">
        <v>85</v>
      </c>
      <c r="H1249" s="177">
        <v>1</v>
      </c>
      <c r="I1249" s="178">
        <v>1600</v>
      </c>
      <c r="J1249" s="176">
        <v>46025</v>
      </c>
      <c r="K1249" s="172" t="s">
        <v>94</v>
      </c>
      <c r="L1249" s="172" t="s">
        <v>95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1038</v>
      </c>
      <c r="B1250" s="176">
        <v>46032</v>
      </c>
      <c r="C1250" s="172" t="s">
        <v>101</v>
      </c>
      <c r="D1250" s="172" t="s">
        <v>103</v>
      </c>
      <c r="E1250" s="172" t="s">
        <v>42</v>
      </c>
      <c r="F1250" s="172" t="s">
        <v>84</v>
      </c>
      <c r="G1250" s="172" t="s">
        <v>85</v>
      </c>
      <c r="H1250" s="177">
        <v>1</v>
      </c>
      <c r="I1250" s="178">
        <v>1600</v>
      </c>
      <c r="J1250" s="176">
        <v>46025</v>
      </c>
      <c r="K1250" s="172" t="s">
        <v>94</v>
      </c>
      <c r="L1250" s="172" t="s">
        <v>95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1038</v>
      </c>
      <c r="B1251" s="176">
        <v>46032</v>
      </c>
      <c r="C1251" s="172" t="s">
        <v>101</v>
      </c>
      <c r="D1251" s="172" t="s">
        <v>104</v>
      </c>
      <c r="E1251" s="172" t="s">
        <v>42</v>
      </c>
      <c r="F1251" s="172" t="s">
        <v>84</v>
      </c>
      <c r="G1251" s="172" t="s">
        <v>85</v>
      </c>
      <c r="H1251" s="177">
        <v>1</v>
      </c>
      <c r="I1251" s="178">
        <v>1600</v>
      </c>
      <c r="J1251" s="176">
        <v>46025</v>
      </c>
      <c r="K1251" s="172" t="s">
        <v>94</v>
      </c>
      <c r="L1251" s="172" t="s">
        <v>95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1038</v>
      </c>
      <c r="B1252" s="176">
        <v>46032</v>
      </c>
      <c r="C1252" s="172" t="s">
        <v>105</v>
      </c>
      <c r="D1252" s="172" t="s">
        <v>106</v>
      </c>
      <c r="E1252" s="172" t="s">
        <v>42</v>
      </c>
      <c r="F1252" s="172" t="s">
        <v>84</v>
      </c>
      <c r="G1252" s="172" t="s">
        <v>85</v>
      </c>
      <c r="H1252" s="177">
        <v>1</v>
      </c>
      <c r="I1252" s="178">
        <v>1600</v>
      </c>
      <c r="J1252" s="176">
        <v>46025</v>
      </c>
      <c r="K1252" s="172" t="s">
        <v>94</v>
      </c>
      <c r="L1252" s="172" t="s">
        <v>95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1038</v>
      </c>
      <c r="B1253" s="176">
        <v>46032</v>
      </c>
      <c r="C1253" s="172" t="s">
        <v>82</v>
      </c>
      <c r="D1253" s="172" t="s">
        <v>96</v>
      </c>
      <c r="E1253" s="172" t="s">
        <v>42</v>
      </c>
      <c r="F1253" s="172" t="s">
        <v>84</v>
      </c>
      <c r="G1253" s="172" t="s">
        <v>85</v>
      </c>
      <c r="H1253" s="177">
        <v>1</v>
      </c>
      <c r="I1253" s="178">
        <v>1600</v>
      </c>
      <c r="J1253" s="176">
        <v>46025</v>
      </c>
      <c r="K1253" s="172" t="s">
        <v>94</v>
      </c>
      <c r="L1253" s="172" t="s">
        <v>95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1039</v>
      </c>
      <c r="B1254" s="176">
        <v>46032</v>
      </c>
      <c r="C1254" s="172" t="s">
        <v>93</v>
      </c>
      <c r="D1254" s="172" t="s">
        <v>24</v>
      </c>
      <c r="E1254" s="172" t="s">
        <v>43</v>
      </c>
      <c r="F1254" s="172" t="s">
        <v>90</v>
      </c>
      <c r="G1254" s="172" t="s">
        <v>85</v>
      </c>
      <c r="H1254" s="177">
        <v>1</v>
      </c>
      <c r="I1254" s="178">
        <v>1600</v>
      </c>
      <c r="J1254" s="176">
        <v>46031</v>
      </c>
      <c r="K1254" s="172" t="s">
        <v>94</v>
      </c>
      <c r="L1254" s="172" t="s">
        <v>95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1039</v>
      </c>
      <c r="B1255" s="176">
        <v>46032</v>
      </c>
      <c r="C1255" s="172" t="s">
        <v>101</v>
      </c>
      <c r="D1255" s="172" t="s">
        <v>102</v>
      </c>
      <c r="E1255" s="172" t="s">
        <v>43</v>
      </c>
      <c r="F1255" s="172" t="s">
        <v>90</v>
      </c>
      <c r="G1255" s="172" t="s">
        <v>85</v>
      </c>
      <c r="H1255" s="177">
        <v>1</v>
      </c>
      <c r="I1255" s="178">
        <v>1600</v>
      </c>
      <c r="J1255" s="176">
        <v>46031</v>
      </c>
      <c r="K1255" s="172" t="s">
        <v>94</v>
      </c>
      <c r="L1255" s="172" t="s">
        <v>95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1039</v>
      </c>
      <c r="B1256" s="176">
        <v>46032</v>
      </c>
      <c r="C1256" s="172" t="s">
        <v>101</v>
      </c>
      <c r="D1256" s="172" t="s">
        <v>103</v>
      </c>
      <c r="E1256" s="172" t="s">
        <v>43</v>
      </c>
      <c r="F1256" s="172" t="s">
        <v>90</v>
      </c>
      <c r="G1256" s="172" t="s">
        <v>85</v>
      </c>
      <c r="H1256" s="177">
        <v>1</v>
      </c>
      <c r="I1256" s="178">
        <v>1600</v>
      </c>
      <c r="J1256" s="176">
        <v>46031</v>
      </c>
      <c r="K1256" s="172" t="s">
        <v>94</v>
      </c>
      <c r="L1256" s="172" t="s">
        <v>95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1039</v>
      </c>
      <c r="B1257" s="176">
        <v>46032</v>
      </c>
      <c r="C1257" s="172" t="s">
        <v>101</v>
      </c>
      <c r="D1257" s="172" t="s">
        <v>104</v>
      </c>
      <c r="E1257" s="172" t="s">
        <v>43</v>
      </c>
      <c r="F1257" s="172" t="s">
        <v>90</v>
      </c>
      <c r="G1257" s="172" t="s">
        <v>85</v>
      </c>
      <c r="H1257" s="177">
        <v>1</v>
      </c>
      <c r="I1257" s="178">
        <v>1600</v>
      </c>
      <c r="J1257" s="176">
        <v>46031</v>
      </c>
      <c r="K1257" s="172" t="s">
        <v>94</v>
      </c>
      <c r="L1257" s="172" t="s">
        <v>95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1039</v>
      </c>
      <c r="B1258" s="176">
        <v>46032</v>
      </c>
      <c r="C1258" s="172" t="s">
        <v>105</v>
      </c>
      <c r="D1258" s="172" t="s">
        <v>106</v>
      </c>
      <c r="E1258" s="172" t="s">
        <v>43</v>
      </c>
      <c r="F1258" s="172" t="s">
        <v>90</v>
      </c>
      <c r="G1258" s="172" t="s">
        <v>85</v>
      </c>
      <c r="H1258" s="177">
        <v>1</v>
      </c>
      <c r="I1258" s="178">
        <v>1600</v>
      </c>
      <c r="J1258" s="176">
        <v>46031</v>
      </c>
      <c r="K1258" s="172" t="s">
        <v>94</v>
      </c>
      <c r="L1258" s="172" t="s">
        <v>95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1039</v>
      </c>
      <c r="B1259" s="176">
        <v>46032</v>
      </c>
      <c r="C1259" s="172" t="s">
        <v>82</v>
      </c>
      <c r="D1259" s="172" t="s">
        <v>96</v>
      </c>
      <c r="E1259" s="172" t="s">
        <v>43</v>
      </c>
      <c r="F1259" s="172" t="s">
        <v>90</v>
      </c>
      <c r="G1259" s="172" t="s">
        <v>85</v>
      </c>
      <c r="H1259" s="177">
        <v>1</v>
      </c>
      <c r="I1259" s="178">
        <v>1600</v>
      </c>
      <c r="J1259" s="176">
        <v>46031</v>
      </c>
      <c r="K1259" s="172" t="s">
        <v>94</v>
      </c>
      <c r="L1259" s="172" t="s">
        <v>95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1027</v>
      </c>
      <c r="B1260" s="176">
        <v>46032</v>
      </c>
      <c r="C1260" s="172" t="s">
        <v>82</v>
      </c>
      <c r="D1260" s="172" t="s">
        <v>83</v>
      </c>
      <c r="E1260" s="172" t="s">
        <v>44</v>
      </c>
      <c r="F1260" s="172" t="s">
        <v>126</v>
      </c>
      <c r="G1260" s="172" t="s">
        <v>85</v>
      </c>
      <c r="H1260" s="177">
        <v>1</v>
      </c>
      <c r="I1260" s="178">
        <v>0</v>
      </c>
      <c r="J1260" s="176">
        <v>46032</v>
      </c>
      <c r="K1260" s="172" t="s">
        <v>86</v>
      </c>
      <c r="L1260" s="172" t="s">
        <v>86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1037</v>
      </c>
      <c r="B1261" s="176">
        <v>46032</v>
      </c>
      <c r="C1261" s="172" t="s">
        <v>82</v>
      </c>
      <c r="D1261" s="172" t="s">
        <v>83</v>
      </c>
      <c r="E1261" s="172" t="s">
        <v>54</v>
      </c>
      <c r="F1261" s="172" t="s">
        <v>121</v>
      </c>
      <c r="G1261" s="172" t="s">
        <v>85</v>
      </c>
      <c r="H1261" s="177">
        <v>1</v>
      </c>
      <c r="I1261" s="178">
        <v>0</v>
      </c>
      <c r="J1261" s="176">
        <v>46025</v>
      </c>
      <c r="K1261" s="172" t="s">
        <v>86</v>
      </c>
      <c r="L1261" s="172" t="s">
        <v>86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1038</v>
      </c>
      <c r="B1262" s="176">
        <v>46032</v>
      </c>
      <c r="C1262" s="172" t="s">
        <v>82</v>
      </c>
      <c r="D1262" s="172" t="s">
        <v>83</v>
      </c>
      <c r="E1262" s="172" t="s">
        <v>42</v>
      </c>
      <c r="F1262" s="172" t="s">
        <v>84</v>
      </c>
      <c r="G1262" s="172" t="s">
        <v>85</v>
      </c>
      <c r="H1262" s="177">
        <v>1</v>
      </c>
      <c r="I1262" s="178">
        <v>0</v>
      </c>
      <c r="J1262" s="176">
        <v>46025</v>
      </c>
      <c r="K1262" s="172" t="s">
        <v>86</v>
      </c>
      <c r="L1262" s="172" t="s">
        <v>86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518</v>
      </c>
      <c r="B1263" s="176">
        <v>46032</v>
      </c>
      <c r="C1263" s="172" t="s">
        <v>93</v>
      </c>
      <c r="D1263" s="172" t="s">
        <v>24</v>
      </c>
      <c r="E1263" s="172" t="s">
        <v>54</v>
      </c>
      <c r="F1263" s="172" t="s">
        <v>121</v>
      </c>
      <c r="G1263" s="172" t="s">
        <v>85</v>
      </c>
      <c r="H1263" s="177">
        <v>1</v>
      </c>
      <c r="I1263" s="178">
        <v>1845</v>
      </c>
      <c r="J1263" s="176">
        <v>46031</v>
      </c>
      <c r="K1263" s="172" t="s">
        <v>94</v>
      </c>
      <c r="L1263" s="172" t="s">
        <v>95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518</v>
      </c>
      <c r="B1264" s="176">
        <v>46032</v>
      </c>
      <c r="C1264" s="172" t="s">
        <v>101</v>
      </c>
      <c r="D1264" s="172" t="s">
        <v>102</v>
      </c>
      <c r="E1264" s="172" t="s">
        <v>54</v>
      </c>
      <c r="F1264" s="172" t="s">
        <v>121</v>
      </c>
      <c r="G1264" s="172" t="s">
        <v>85</v>
      </c>
      <c r="H1264" s="177">
        <v>1</v>
      </c>
      <c r="I1264" s="178">
        <v>1845</v>
      </c>
      <c r="J1264" s="176">
        <v>46031</v>
      </c>
      <c r="K1264" s="172" t="s">
        <v>94</v>
      </c>
      <c r="L1264" s="172" t="s">
        <v>95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518</v>
      </c>
      <c r="B1265" s="176">
        <v>46032</v>
      </c>
      <c r="C1265" s="172" t="s">
        <v>101</v>
      </c>
      <c r="D1265" s="172" t="s">
        <v>103</v>
      </c>
      <c r="E1265" s="172" t="s">
        <v>54</v>
      </c>
      <c r="F1265" s="172" t="s">
        <v>121</v>
      </c>
      <c r="G1265" s="172" t="s">
        <v>85</v>
      </c>
      <c r="H1265" s="177">
        <v>1</v>
      </c>
      <c r="I1265" s="178">
        <v>1845</v>
      </c>
      <c r="J1265" s="176">
        <v>46031</v>
      </c>
      <c r="K1265" s="172" t="s">
        <v>94</v>
      </c>
      <c r="L1265" s="172" t="s">
        <v>95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518</v>
      </c>
      <c r="B1266" s="176">
        <v>46032</v>
      </c>
      <c r="C1266" s="172" t="s">
        <v>101</v>
      </c>
      <c r="D1266" s="172" t="s">
        <v>104</v>
      </c>
      <c r="E1266" s="172" t="s">
        <v>54</v>
      </c>
      <c r="F1266" s="172" t="s">
        <v>121</v>
      </c>
      <c r="G1266" s="172" t="s">
        <v>85</v>
      </c>
      <c r="H1266" s="177">
        <v>1</v>
      </c>
      <c r="I1266" s="178">
        <v>1845</v>
      </c>
      <c r="J1266" s="176">
        <v>46031</v>
      </c>
      <c r="K1266" s="172" t="s">
        <v>94</v>
      </c>
      <c r="L1266" s="172" t="s">
        <v>95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518</v>
      </c>
      <c r="B1267" s="176">
        <v>46032</v>
      </c>
      <c r="C1267" s="172" t="s">
        <v>105</v>
      </c>
      <c r="D1267" s="172" t="s">
        <v>106</v>
      </c>
      <c r="E1267" s="172" t="s">
        <v>54</v>
      </c>
      <c r="F1267" s="172" t="s">
        <v>121</v>
      </c>
      <c r="G1267" s="172" t="s">
        <v>85</v>
      </c>
      <c r="H1267" s="177">
        <v>1</v>
      </c>
      <c r="I1267" s="178">
        <v>1845</v>
      </c>
      <c r="J1267" s="176">
        <v>46031</v>
      </c>
      <c r="K1267" s="172" t="s">
        <v>94</v>
      </c>
      <c r="L1267" s="172" t="s">
        <v>95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518</v>
      </c>
      <c r="B1268" s="176">
        <v>46032</v>
      </c>
      <c r="C1268" s="172" t="s">
        <v>82</v>
      </c>
      <c r="D1268" s="172" t="s">
        <v>96</v>
      </c>
      <c r="E1268" s="172" t="s">
        <v>54</v>
      </c>
      <c r="F1268" s="172" t="s">
        <v>121</v>
      </c>
      <c r="G1268" s="172" t="s">
        <v>85</v>
      </c>
      <c r="H1268" s="177">
        <v>1</v>
      </c>
      <c r="I1268" s="178">
        <v>1845</v>
      </c>
      <c r="J1268" s="176">
        <v>46031</v>
      </c>
      <c r="K1268" s="172" t="s">
        <v>94</v>
      </c>
      <c r="L1268" s="172" t="s">
        <v>95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1040</v>
      </c>
      <c r="B1269" s="176">
        <v>46032</v>
      </c>
      <c r="C1269" s="172" t="s">
        <v>82</v>
      </c>
      <c r="D1269" s="172" t="s">
        <v>83</v>
      </c>
      <c r="E1269" s="172" t="s">
        <v>42</v>
      </c>
      <c r="F1269" s="172" t="s">
        <v>84</v>
      </c>
      <c r="G1269" s="172" t="s">
        <v>85</v>
      </c>
      <c r="H1269" s="177">
        <v>1</v>
      </c>
      <c r="I1269" s="178">
        <v>0</v>
      </c>
      <c r="J1269" s="176">
        <v>46032</v>
      </c>
      <c r="K1269" s="172" t="s">
        <v>86</v>
      </c>
      <c r="L1269" s="172" t="s">
        <v>86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1041</v>
      </c>
      <c r="B1270" s="176">
        <v>46032</v>
      </c>
      <c r="C1270" s="172" t="s">
        <v>93</v>
      </c>
      <c r="D1270" s="172" t="s">
        <v>24</v>
      </c>
      <c r="E1270" s="172" t="s">
        <v>54</v>
      </c>
      <c r="F1270" s="172" t="s">
        <v>121</v>
      </c>
      <c r="G1270" s="172" t="s">
        <v>85</v>
      </c>
      <c r="H1270" s="177">
        <v>1</v>
      </c>
      <c r="I1270" s="178">
        <v>1621</v>
      </c>
      <c r="J1270" s="176">
        <v>46017</v>
      </c>
      <c r="K1270" s="172" t="s">
        <v>94</v>
      </c>
      <c r="L1270" s="172" t="s">
        <v>95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1041</v>
      </c>
      <c r="B1271" s="176">
        <v>46032</v>
      </c>
      <c r="C1271" s="172" t="s">
        <v>101</v>
      </c>
      <c r="D1271" s="172" t="s">
        <v>102</v>
      </c>
      <c r="E1271" s="172" t="s">
        <v>54</v>
      </c>
      <c r="F1271" s="172" t="s">
        <v>121</v>
      </c>
      <c r="G1271" s="172" t="s">
        <v>85</v>
      </c>
      <c r="H1271" s="177">
        <v>1</v>
      </c>
      <c r="I1271" s="178">
        <v>1621</v>
      </c>
      <c r="J1271" s="176">
        <v>46017</v>
      </c>
      <c r="K1271" s="172" t="s">
        <v>94</v>
      </c>
      <c r="L1271" s="172" t="s">
        <v>95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1041</v>
      </c>
      <c r="B1272" s="176">
        <v>46032</v>
      </c>
      <c r="C1272" s="172" t="s">
        <v>101</v>
      </c>
      <c r="D1272" s="172" t="s">
        <v>103</v>
      </c>
      <c r="E1272" s="172" t="s">
        <v>54</v>
      </c>
      <c r="F1272" s="172" t="s">
        <v>121</v>
      </c>
      <c r="G1272" s="172" t="s">
        <v>85</v>
      </c>
      <c r="H1272" s="177">
        <v>1</v>
      </c>
      <c r="I1272" s="178">
        <v>1621</v>
      </c>
      <c r="J1272" s="176">
        <v>46017</v>
      </c>
      <c r="K1272" s="172" t="s">
        <v>94</v>
      </c>
      <c r="L1272" s="172" t="s">
        <v>95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1041</v>
      </c>
      <c r="B1273" s="176">
        <v>46032</v>
      </c>
      <c r="C1273" s="172" t="s">
        <v>101</v>
      </c>
      <c r="D1273" s="172" t="s">
        <v>104</v>
      </c>
      <c r="E1273" s="172" t="s">
        <v>54</v>
      </c>
      <c r="F1273" s="172" t="s">
        <v>121</v>
      </c>
      <c r="G1273" s="172" t="s">
        <v>85</v>
      </c>
      <c r="H1273" s="177">
        <v>1</v>
      </c>
      <c r="I1273" s="178">
        <v>1621</v>
      </c>
      <c r="J1273" s="176">
        <v>46017</v>
      </c>
      <c r="K1273" s="172" t="s">
        <v>94</v>
      </c>
      <c r="L1273" s="172" t="s">
        <v>95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1041</v>
      </c>
      <c r="B1274" s="176">
        <v>46032</v>
      </c>
      <c r="C1274" s="172" t="s">
        <v>105</v>
      </c>
      <c r="D1274" s="172" t="s">
        <v>106</v>
      </c>
      <c r="E1274" s="172" t="s">
        <v>54</v>
      </c>
      <c r="F1274" s="172" t="s">
        <v>121</v>
      </c>
      <c r="G1274" s="172" t="s">
        <v>85</v>
      </c>
      <c r="H1274" s="177">
        <v>1</v>
      </c>
      <c r="I1274" s="178">
        <v>1621</v>
      </c>
      <c r="J1274" s="176">
        <v>46017</v>
      </c>
      <c r="K1274" s="172" t="s">
        <v>94</v>
      </c>
      <c r="L1274" s="172" t="s">
        <v>95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1041</v>
      </c>
      <c r="B1275" s="176">
        <v>46032</v>
      </c>
      <c r="C1275" s="172" t="s">
        <v>82</v>
      </c>
      <c r="D1275" s="172" t="s">
        <v>96</v>
      </c>
      <c r="E1275" s="172" t="s">
        <v>54</v>
      </c>
      <c r="F1275" s="172" t="s">
        <v>121</v>
      </c>
      <c r="G1275" s="172" t="s">
        <v>85</v>
      </c>
      <c r="H1275" s="177">
        <v>1</v>
      </c>
      <c r="I1275" s="178">
        <v>1621</v>
      </c>
      <c r="J1275" s="176">
        <v>46017</v>
      </c>
      <c r="K1275" s="172" t="s">
        <v>94</v>
      </c>
      <c r="L1275" s="172" t="s">
        <v>95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518</v>
      </c>
      <c r="B1276" s="176">
        <v>46032</v>
      </c>
      <c r="C1276" s="172" t="s">
        <v>82</v>
      </c>
      <c r="D1276" s="172" t="s">
        <v>83</v>
      </c>
      <c r="E1276" s="172" t="s">
        <v>54</v>
      </c>
      <c r="F1276" s="172" t="s">
        <v>121</v>
      </c>
      <c r="G1276" s="172" t="s">
        <v>85</v>
      </c>
      <c r="H1276" s="177">
        <v>1</v>
      </c>
      <c r="I1276" s="178">
        <v>0</v>
      </c>
      <c r="J1276" s="176">
        <v>46031</v>
      </c>
      <c r="K1276" s="172" t="s">
        <v>86</v>
      </c>
      <c r="L1276" s="172" t="s">
        <v>86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1042</v>
      </c>
      <c r="B1277" s="176">
        <v>46032</v>
      </c>
      <c r="C1277" s="172" t="s">
        <v>93</v>
      </c>
      <c r="D1277" s="172" t="s">
        <v>24</v>
      </c>
      <c r="E1277" s="172" t="s">
        <v>54</v>
      </c>
      <c r="F1277" s="172" t="s">
        <v>121</v>
      </c>
      <c r="G1277" s="172" t="s">
        <v>85</v>
      </c>
      <c r="H1277" s="177">
        <v>1</v>
      </c>
      <c r="I1277" s="178">
        <v>0</v>
      </c>
      <c r="J1277" s="176">
        <v>46026</v>
      </c>
      <c r="K1277" s="172" t="s">
        <v>94</v>
      </c>
      <c r="L1277" s="172" t="s">
        <v>95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1042</v>
      </c>
      <c r="B1278" s="176">
        <v>46032</v>
      </c>
      <c r="C1278" s="172" t="s">
        <v>82</v>
      </c>
      <c r="D1278" s="172" t="s">
        <v>96</v>
      </c>
      <c r="E1278" s="172" t="s">
        <v>54</v>
      </c>
      <c r="F1278" s="172" t="s">
        <v>121</v>
      </c>
      <c r="G1278" s="172" t="s">
        <v>85</v>
      </c>
      <c r="H1278" s="177">
        <v>1</v>
      </c>
      <c r="I1278" s="178">
        <v>0</v>
      </c>
      <c r="J1278" s="176">
        <v>46026</v>
      </c>
      <c r="K1278" s="172" t="s">
        <v>94</v>
      </c>
      <c r="L1278" s="172" t="s">
        <v>95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1042</v>
      </c>
      <c r="B1279" s="176">
        <v>46032</v>
      </c>
      <c r="C1279" s="172" t="s">
        <v>93</v>
      </c>
      <c r="D1279" s="172" t="s">
        <v>97</v>
      </c>
      <c r="E1279" s="172" t="s">
        <v>54</v>
      </c>
      <c r="F1279" s="172" t="s">
        <v>121</v>
      </c>
      <c r="G1279" s="172" t="s">
        <v>85</v>
      </c>
      <c r="H1279" s="177">
        <v>1</v>
      </c>
      <c r="I1279" s="178">
        <v>0</v>
      </c>
      <c r="J1279" s="176">
        <v>46026</v>
      </c>
      <c r="K1279" s="172" t="s">
        <v>94</v>
      </c>
      <c r="L1279" s="172" t="s">
        <v>95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1042</v>
      </c>
      <c r="B1280" s="176">
        <v>46032</v>
      </c>
      <c r="C1280" s="172" t="s">
        <v>93</v>
      </c>
      <c r="D1280" s="172" t="s">
        <v>98</v>
      </c>
      <c r="E1280" s="172" t="s">
        <v>54</v>
      </c>
      <c r="F1280" s="172" t="s">
        <v>121</v>
      </c>
      <c r="G1280" s="172" t="s">
        <v>85</v>
      </c>
      <c r="H1280" s="177">
        <v>1</v>
      </c>
      <c r="I1280" s="178">
        <v>0</v>
      </c>
      <c r="J1280" s="176">
        <v>46026</v>
      </c>
      <c r="K1280" s="172" t="s">
        <v>94</v>
      </c>
      <c r="L1280" s="172" t="s">
        <v>95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1042</v>
      </c>
      <c r="B1281" s="176">
        <v>46032</v>
      </c>
      <c r="C1281" s="172" t="s">
        <v>82</v>
      </c>
      <c r="D1281" s="172" t="s">
        <v>99</v>
      </c>
      <c r="E1281" s="172" t="s">
        <v>54</v>
      </c>
      <c r="F1281" s="172" t="s">
        <v>121</v>
      </c>
      <c r="G1281" s="172" t="s">
        <v>85</v>
      </c>
      <c r="H1281" s="177">
        <v>1</v>
      </c>
      <c r="I1281" s="178">
        <v>0</v>
      </c>
      <c r="J1281" s="176">
        <v>46026</v>
      </c>
      <c r="K1281" s="172" t="s">
        <v>94</v>
      </c>
      <c r="L1281" s="172" t="s">
        <v>95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1043</v>
      </c>
      <c r="B1282" s="176">
        <v>46032</v>
      </c>
      <c r="C1282" s="172" t="s">
        <v>82</v>
      </c>
      <c r="D1282" s="172" t="s">
        <v>83</v>
      </c>
      <c r="E1282" s="172" t="s">
        <v>54</v>
      </c>
      <c r="F1282" s="172" t="s">
        <v>121</v>
      </c>
      <c r="G1282" s="172" t="s">
        <v>85</v>
      </c>
      <c r="H1282" s="177">
        <v>1</v>
      </c>
      <c r="I1282" s="178">
        <v>0</v>
      </c>
      <c r="J1282" s="176">
        <v>46032</v>
      </c>
      <c r="K1282" s="172" t="s">
        <v>86</v>
      </c>
      <c r="L1282" s="172" t="s">
        <v>86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145</v>
      </c>
      <c r="B1283" s="176">
        <v>46032</v>
      </c>
      <c r="C1283" s="172" t="s">
        <v>110</v>
      </c>
      <c r="D1283" s="172" t="s">
        <v>140</v>
      </c>
      <c r="E1283" s="172" t="s">
        <v>86</v>
      </c>
      <c r="F1283" s="172" t="s">
        <v>86</v>
      </c>
      <c r="G1283" s="172" t="s">
        <v>86</v>
      </c>
      <c r="H1283" s="177">
        <v>0</v>
      </c>
      <c r="I1283" s="178">
        <v>0</v>
      </c>
      <c r="J1283" s="176">
        <v>46032</v>
      </c>
      <c r="K1283" s="172" t="s">
        <v>86</v>
      </c>
      <c r="L1283" s="172" t="s">
        <v>86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139</v>
      </c>
      <c r="B1284" s="176">
        <v>46032</v>
      </c>
      <c r="C1284" s="172" t="s">
        <v>110</v>
      </c>
      <c r="D1284" s="172" t="s">
        <v>140</v>
      </c>
      <c r="E1284" s="172" t="s">
        <v>86</v>
      </c>
      <c r="F1284" s="172" t="s">
        <v>86</v>
      </c>
      <c r="G1284" s="172" t="s">
        <v>86</v>
      </c>
      <c r="H1284" s="177">
        <v>0</v>
      </c>
      <c r="I1284" s="178">
        <v>0</v>
      </c>
      <c r="J1284" s="176">
        <v>46032</v>
      </c>
      <c r="K1284" s="172" t="s">
        <v>86</v>
      </c>
      <c r="L1284" s="172" t="s">
        <v>86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141</v>
      </c>
      <c r="B1285" s="176">
        <v>46032</v>
      </c>
      <c r="C1285" s="172" t="s">
        <v>110</v>
      </c>
      <c r="D1285" s="172" t="s">
        <v>140</v>
      </c>
      <c r="E1285" s="172" t="s">
        <v>86</v>
      </c>
      <c r="F1285" s="172" t="s">
        <v>86</v>
      </c>
      <c r="G1285" s="172" t="s">
        <v>86</v>
      </c>
      <c r="H1285" s="177">
        <v>0</v>
      </c>
      <c r="I1285" s="178">
        <v>0</v>
      </c>
      <c r="J1285" s="176">
        <v>46032</v>
      </c>
      <c r="K1285" s="172" t="s">
        <v>86</v>
      </c>
      <c r="L1285" s="172" t="s">
        <v>86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143</v>
      </c>
      <c r="B1286" s="176">
        <v>46032</v>
      </c>
      <c r="C1286" s="172" t="s">
        <v>110</v>
      </c>
      <c r="D1286" s="172" t="s">
        <v>144</v>
      </c>
      <c r="E1286" s="172" t="s">
        <v>86</v>
      </c>
      <c r="F1286" s="172" t="s">
        <v>86</v>
      </c>
      <c r="G1286" s="172" t="s">
        <v>86</v>
      </c>
      <c r="H1286" s="177">
        <v>0</v>
      </c>
      <c r="I1286" s="178">
        <v>0</v>
      </c>
      <c r="J1286" s="176">
        <v>46032</v>
      </c>
      <c r="K1286" s="172" t="s">
        <v>86</v>
      </c>
      <c r="L1286" s="172" t="s">
        <v>86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414</v>
      </c>
      <c r="B1287" s="176">
        <v>46032</v>
      </c>
      <c r="C1287" s="172" t="s">
        <v>110</v>
      </c>
      <c r="D1287" s="172" t="s">
        <v>140</v>
      </c>
      <c r="E1287" s="172" t="s">
        <v>86</v>
      </c>
      <c r="F1287" s="172" t="s">
        <v>86</v>
      </c>
      <c r="G1287" s="172" t="s">
        <v>86</v>
      </c>
      <c r="H1287" s="177">
        <v>0</v>
      </c>
      <c r="I1287" s="178">
        <v>0</v>
      </c>
      <c r="J1287" s="176">
        <v>46032</v>
      </c>
      <c r="K1287" s="172" t="s">
        <v>86</v>
      </c>
      <c r="L1287" s="172" t="s">
        <v>86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146</v>
      </c>
      <c r="B1288" s="176">
        <v>46032</v>
      </c>
      <c r="C1288" s="172" t="s">
        <v>110</v>
      </c>
      <c r="D1288" s="172" t="s">
        <v>140</v>
      </c>
      <c r="E1288" s="172" t="s">
        <v>86</v>
      </c>
      <c r="F1288" s="172" t="s">
        <v>86</v>
      </c>
      <c r="G1288" s="172" t="s">
        <v>86</v>
      </c>
      <c r="H1288" s="177">
        <v>0</v>
      </c>
      <c r="I1288" s="178">
        <v>0</v>
      </c>
      <c r="J1288" s="176">
        <v>46032</v>
      </c>
      <c r="K1288" s="172" t="s">
        <v>86</v>
      </c>
      <c r="L1288" s="172" t="s">
        <v>86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147</v>
      </c>
      <c r="B1289" s="176">
        <v>46032</v>
      </c>
      <c r="C1289" s="172" t="s">
        <v>110</v>
      </c>
      <c r="D1289" s="172" t="s">
        <v>140</v>
      </c>
      <c r="E1289" s="172" t="s">
        <v>86</v>
      </c>
      <c r="F1289" s="172" t="s">
        <v>86</v>
      </c>
      <c r="G1289" s="172" t="s">
        <v>86</v>
      </c>
      <c r="H1289" s="177">
        <v>0</v>
      </c>
      <c r="I1289" s="178">
        <v>0</v>
      </c>
      <c r="J1289" s="176">
        <v>46032</v>
      </c>
      <c r="K1289" s="172" t="s">
        <v>86</v>
      </c>
      <c r="L1289" s="172" t="s">
        <v>86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415</v>
      </c>
      <c r="B1290" s="176">
        <v>46032</v>
      </c>
      <c r="C1290" s="172" t="s">
        <v>110</v>
      </c>
      <c r="D1290" s="172" t="s">
        <v>140</v>
      </c>
      <c r="E1290" s="172" t="s">
        <v>86</v>
      </c>
      <c r="F1290" s="172" t="s">
        <v>86</v>
      </c>
      <c r="G1290" s="172" t="s">
        <v>86</v>
      </c>
      <c r="H1290" s="177">
        <v>0</v>
      </c>
      <c r="I1290" s="178">
        <v>0</v>
      </c>
      <c r="J1290" s="176">
        <v>46032</v>
      </c>
      <c r="K1290" s="172" t="s">
        <v>86</v>
      </c>
      <c r="L1290" s="172" t="s">
        <v>86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416</v>
      </c>
      <c r="B1291" s="176">
        <v>46032</v>
      </c>
      <c r="C1291" s="172" t="s">
        <v>110</v>
      </c>
      <c r="D1291" s="172" t="s">
        <v>140</v>
      </c>
      <c r="E1291" s="172" t="s">
        <v>86</v>
      </c>
      <c r="F1291" s="172" t="s">
        <v>86</v>
      </c>
      <c r="G1291" s="172" t="s">
        <v>86</v>
      </c>
      <c r="H1291" s="177">
        <v>0</v>
      </c>
      <c r="I1291" s="178">
        <v>0</v>
      </c>
      <c r="J1291" s="176">
        <v>46032</v>
      </c>
      <c r="K1291" s="172" t="s">
        <v>86</v>
      </c>
      <c r="L1291" s="172" t="s">
        <v>86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1044</v>
      </c>
      <c r="B1292" s="176">
        <v>46033</v>
      </c>
      <c r="C1292" s="172" t="s">
        <v>93</v>
      </c>
      <c r="D1292" s="172" t="s">
        <v>24</v>
      </c>
      <c r="E1292" s="172" t="s">
        <v>54</v>
      </c>
      <c r="F1292" s="172" t="s">
        <v>121</v>
      </c>
      <c r="G1292" s="172" t="s">
        <v>85</v>
      </c>
      <c r="H1292" s="177">
        <v>1</v>
      </c>
      <c r="I1292" s="178">
        <v>1621</v>
      </c>
      <c r="J1292" s="176">
        <v>46012</v>
      </c>
      <c r="K1292" s="172" t="s">
        <v>94</v>
      </c>
      <c r="L1292" s="172" t="s">
        <v>95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1044</v>
      </c>
      <c r="B1293" s="176">
        <v>46033</v>
      </c>
      <c r="C1293" s="172" t="s">
        <v>101</v>
      </c>
      <c r="D1293" s="172" t="s">
        <v>102</v>
      </c>
      <c r="E1293" s="172" t="s">
        <v>54</v>
      </c>
      <c r="F1293" s="172" t="s">
        <v>121</v>
      </c>
      <c r="G1293" s="172" t="s">
        <v>85</v>
      </c>
      <c r="H1293" s="177">
        <v>1</v>
      </c>
      <c r="I1293" s="178">
        <v>1621</v>
      </c>
      <c r="J1293" s="176">
        <v>46012</v>
      </c>
      <c r="K1293" s="172" t="s">
        <v>94</v>
      </c>
      <c r="L1293" s="172" t="s">
        <v>95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1044</v>
      </c>
      <c r="B1294" s="176">
        <v>46033</v>
      </c>
      <c r="C1294" s="172" t="s">
        <v>101</v>
      </c>
      <c r="D1294" s="172" t="s">
        <v>103</v>
      </c>
      <c r="E1294" s="172" t="s">
        <v>54</v>
      </c>
      <c r="F1294" s="172" t="s">
        <v>121</v>
      </c>
      <c r="G1294" s="172" t="s">
        <v>85</v>
      </c>
      <c r="H1294" s="177">
        <v>1</v>
      </c>
      <c r="I1294" s="178">
        <v>1621</v>
      </c>
      <c r="J1294" s="176">
        <v>46012</v>
      </c>
      <c r="K1294" s="172" t="s">
        <v>94</v>
      </c>
      <c r="L1294" s="172" t="s">
        <v>95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1044</v>
      </c>
      <c r="B1295" s="176">
        <v>46033</v>
      </c>
      <c r="C1295" s="172" t="s">
        <v>101</v>
      </c>
      <c r="D1295" s="172" t="s">
        <v>104</v>
      </c>
      <c r="E1295" s="172" t="s">
        <v>54</v>
      </c>
      <c r="F1295" s="172" t="s">
        <v>121</v>
      </c>
      <c r="G1295" s="172" t="s">
        <v>85</v>
      </c>
      <c r="H1295" s="177">
        <v>1</v>
      </c>
      <c r="I1295" s="178">
        <v>1621</v>
      </c>
      <c r="J1295" s="176">
        <v>46012</v>
      </c>
      <c r="K1295" s="172" t="s">
        <v>94</v>
      </c>
      <c r="L1295" s="172" t="s">
        <v>95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1044</v>
      </c>
      <c r="B1296" s="176">
        <v>46033</v>
      </c>
      <c r="C1296" s="172" t="s">
        <v>105</v>
      </c>
      <c r="D1296" s="172" t="s">
        <v>106</v>
      </c>
      <c r="E1296" s="172" t="s">
        <v>54</v>
      </c>
      <c r="F1296" s="172" t="s">
        <v>121</v>
      </c>
      <c r="G1296" s="172" t="s">
        <v>85</v>
      </c>
      <c r="H1296" s="177">
        <v>1</v>
      </c>
      <c r="I1296" s="178">
        <v>1621</v>
      </c>
      <c r="J1296" s="176">
        <v>46012</v>
      </c>
      <c r="K1296" s="172" t="s">
        <v>94</v>
      </c>
      <c r="L1296" s="172" t="s">
        <v>95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86</v>
      </c>
      <c r="B1297" s="176">
        <v>46033</v>
      </c>
      <c r="C1297" s="172" t="s">
        <v>110</v>
      </c>
      <c r="D1297" s="172" t="s">
        <v>111</v>
      </c>
      <c r="E1297" s="172" t="s">
        <v>86</v>
      </c>
      <c r="F1297" s="172" t="s">
        <v>86</v>
      </c>
      <c r="G1297" s="172" t="s">
        <v>1045</v>
      </c>
      <c r="H1297" s="177">
        <v>0</v>
      </c>
      <c r="I1297" s="178">
        <v>0</v>
      </c>
      <c r="J1297" s="176">
        <v>46033</v>
      </c>
      <c r="K1297" s="172" t="s">
        <v>86</v>
      </c>
      <c r="L1297" s="172" t="s">
        <v>86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1046</v>
      </c>
      <c r="B1298" s="176">
        <v>46033</v>
      </c>
      <c r="C1298" s="172" t="s">
        <v>93</v>
      </c>
      <c r="D1298" s="172" t="s">
        <v>24</v>
      </c>
      <c r="E1298" s="172" t="s">
        <v>53</v>
      </c>
      <c r="F1298" s="172" t="s">
        <v>91</v>
      </c>
      <c r="G1298" s="172" t="s">
        <v>85</v>
      </c>
      <c r="H1298" s="177">
        <v>1</v>
      </c>
      <c r="I1298" s="178">
        <v>1621</v>
      </c>
      <c r="J1298" s="176">
        <v>46024</v>
      </c>
      <c r="K1298" s="172" t="s">
        <v>94</v>
      </c>
      <c r="L1298" s="172" t="s">
        <v>95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1046</v>
      </c>
      <c r="B1299" s="176">
        <v>46033</v>
      </c>
      <c r="C1299" s="172" t="s">
        <v>101</v>
      </c>
      <c r="D1299" s="172" t="s">
        <v>102</v>
      </c>
      <c r="E1299" s="172" t="s">
        <v>53</v>
      </c>
      <c r="F1299" s="172" t="s">
        <v>91</v>
      </c>
      <c r="G1299" s="172" t="s">
        <v>85</v>
      </c>
      <c r="H1299" s="177">
        <v>1</v>
      </c>
      <c r="I1299" s="178">
        <v>1621</v>
      </c>
      <c r="J1299" s="176">
        <v>46024</v>
      </c>
      <c r="K1299" s="172" t="s">
        <v>94</v>
      </c>
      <c r="L1299" s="172" t="s">
        <v>95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1046</v>
      </c>
      <c r="B1300" s="176">
        <v>46033</v>
      </c>
      <c r="C1300" s="172" t="s">
        <v>101</v>
      </c>
      <c r="D1300" s="172" t="s">
        <v>103</v>
      </c>
      <c r="E1300" s="172" t="s">
        <v>53</v>
      </c>
      <c r="F1300" s="172" t="s">
        <v>91</v>
      </c>
      <c r="G1300" s="172" t="s">
        <v>85</v>
      </c>
      <c r="H1300" s="177">
        <v>1</v>
      </c>
      <c r="I1300" s="178">
        <v>1621</v>
      </c>
      <c r="J1300" s="176">
        <v>46024</v>
      </c>
      <c r="K1300" s="172" t="s">
        <v>94</v>
      </c>
      <c r="L1300" s="172" t="s">
        <v>95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1046</v>
      </c>
      <c r="B1301" s="176">
        <v>46033</v>
      </c>
      <c r="C1301" s="172" t="s">
        <v>101</v>
      </c>
      <c r="D1301" s="172" t="s">
        <v>104</v>
      </c>
      <c r="E1301" s="172" t="s">
        <v>53</v>
      </c>
      <c r="F1301" s="172" t="s">
        <v>91</v>
      </c>
      <c r="G1301" s="172" t="s">
        <v>85</v>
      </c>
      <c r="H1301" s="177">
        <v>1</v>
      </c>
      <c r="I1301" s="178">
        <v>1621</v>
      </c>
      <c r="J1301" s="176">
        <v>46024</v>
      </c>
      <c r="K1301" s="172" t="s">
        <v>94</v>
      </c>
      <c r="L1301" s="172" t="s">
        <v>95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1046</v>
      </c>
      <c r="B1302" s="176">
        <v>46033</v>
      </c>
      <c r="C1302" s="172" t="s">
        <v>105</v>
      </c>
      <c r="D1302" s="172" t="s">
        <v>106</v>
      </c>
      <c r="E1302" s="172" t="s">
        <v>53</v>
      </c>
      <c r="F1302" s="172" t="s">
        <v>91</v>
      </c>
      <c r="G1302" s="172" t="s">
        <v>85</v>
      </c>
      <c r="H1302" s="177">
        <v>1</v>
      </c>
      <c r="I1302" s="178">
        <v>1621</v>
      </c>
      <c r="J1302" s="176">
        <v>46024</v>
      </c>
      <c r="K1302" s="172" t="s">
        <v>94</v>
      </c>
      <c r="L1302" s="172" t="s">
        <v>95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1046</v>
      </c>
      <c r="B1303" s="176">
        <v>46033</v>
      </c>
      <c r="C1303" s="172" t="s">
        <v>82</v>
      </c>
      <c r="D1303" s="172" t="s">
        <v>96</v>
      </c>
      <c r="E1303" s="172" t="s">
        <v>53</v>
      </c>
      <c r="F1303" s="172" t="s">
        <v>91</v>
      </c>
      <c r="G1303" s="172" t="s">
        <v>85</v>
      </c>
      <c r="H1303" s="177">
        <v>1</v>
      </c>
      <c r="I1303" s="178">
        <v>1621</v>
      </c>
      <c r="J1303" s="176">
        <v>46024</v>
      </c>
      <c r="K1303" s="172" t="s">
        <v>94</v>
      </c>
      <c r="L1303" s="172" t="s">
        <v>95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1047</v>
      </c>
      <c r="B1304" s="176">
        <v>46033</v>
      </c>
      <c r="C1304" s="172" t="s">
        <v>82</v>
      </c>
      <c r="D1304" s="172" t="s">
        <v>83</v>
      </c>
      <c r="E1304" s="172" t="s">
        <v>54</v>
      </c>
      <c r="F1304" s="172" t="s">
        <v>121</v>
      </c>
      <c r="G1304" s="172" t="s">
        <v>85</v>
      </c>
      <c r="H1304" s="177">
        <v>1</v>
      </c>
      <c r="I1304" s="178">
        <v>0</v>
      </c>
      <c r="J1304" s="176">
        <v>46033</v>
      </c>
      <c r="K1304" s="172" t="s">
        <v>86</v>
      </c>
      <c r="L1304" s="172" t="s">
        <v>86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1048</v>
      </c>
      <c r="B1305" s="176">
        <v>46033</v>
      </c>
      <c r="C1305" s="172" t="s">
        <v>93</v>
      </c>
      <c r="D1305" s="172" t="s">
        <v>24</v>
      </c>
      <c r="E1305" s="172" t="s">
        <v>43</v>
      </c>
      <c r="F1305" s="172" t="s">
        <v>90</v>
      </c>
      <c r="G1305" s="172" t="s">
        <v>85</v>
      </c>
      <c r="H1305" s="177">
        <v>1</v>
      </c>
      <c r="I1305" s="178">
        <v>0</v>
      </c>
      <c r="J1305" s="176">
        <v>46026</v>
      </c>
      <c r="K1305" s="172" t="s">
        <v>94</v>
      </c>
      <c r="L1305" s="172" t="s">
        <v>95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1048</v>
      </c>
      <c r="B1306" s="176">
        <v>46033</v>
      </c>
      <c r="C1306" s="172" t="s">
        <v>82</v>
      </c>
      <c r="D1306" s="172" t="s">
        <v>96</v>
      </c>
      <c r="E1306" s="172" t="s">
        <v>43</v>
      </c>
      <c r="F1306" s="172" t="s">
        <v>90</v>
      </c>
      <c r="G1306" s="172" t="s">
        <v>85</v>
      </c>
      <c r="H1306" s="177">
        <v>1</v>
      </c>
      <c r="I1306" s="178">
        <v>0</v>
      </c>
      <c r="J1306" s="176">
        <v>46026</v>
      </c>
      <c r="K1306" s="172" t="s">
        <v>94</v>
      </c>
      <c r="L1306" s="172" t="s">
        <v>95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1048</v>
      </c>
      <c r="B1307" s="176">
        <v>46033</v>
      </c>
      <c r="C1307" s="172" t="s">
        <v>93</v>
      </c>
      <c r="D1307" s="172" t="s">
        <v>97</v>
      </c>
      <c r="E1307" s="172" t="s">
        <v>43</v>
      </c>
      <c r="F1307" s="172" t="s">
        <v>90</v>
      </c>
      <c r="G1307" s="172" t="s">
        <v>85</v>
      </c>
      <c r="H1307" s="177">
        <v>1</v>
      </c>
      <c r="I1307" s="178">
        <v>0</v>
      </c>
      <c r="J1307" s="176">
        <v>46026</v>
      </c>
      <c r="K1307" s="172" t="s">
        <v>94</v>
      </c>
      <c r="L1307" s="172" t="s">
        <v>95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1048</v>
      </c>
      <c r="B1308" s="176">
        <v>46033</v>
      </c>
      <c r="C1308" s="172" t="s">
        <v>93</v>
      </c>
      <c r="D1308" s="172" t="s">
        <v>98</v>
      </c>
      <c r="E1308" s="172" t="s">
        <v>43</v>
      </c>
      <c r="F1308" s="172" t="s">
        <v>90</v>
      </c>
      <c r="G1308" s="172" t="s">
        <v>85</v>
      </c>
      <c r="H1308" s="177">
        <v>1</v>
      </c>
      <c r="I1308" s="178">
        <v>0</v>
      </c>
      <c r="J1308" s="176">
        <v>46026</v>
      </c>
      <c r="K1308" s="172" t="s">
        <v>94</v>
      </c>
      <c r="L1308" s="172" t="s">
        <v>95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1048</v>
      </c>
      <c r="B1309" s="176">
        <v>46033</v>
      </c>
      <c r="C1309" s="172" t="s">
        <v>82</v>
      </c>
      <c r="D1309" s="172" t="s">
        <v>99</v>
      </c>
      <c r="E1309" s="172" t="s">
        <v>43</v>
      </c>
      <c r="F1309" s="172" t="s">
        <v>90</v>
      </c>
      <c r="G1309" s="172" t="s">
        <v>85</v>
      </c>
      <c r="H1309" s="177">
        <v>1</v>
      </c>
      <c r="I1309" s="178">
        <v>0</v>
      </c>
      <c r="J1309" s="176">
        <v>46026</v>
      </c>
      <c r="K1309" s="172" t="s">
        <v>94</v>
      </c>
      <c r="L1309" s="172" t="s">
        <v>95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1049</v>
      </c>
      <c r="B1310" s="176">
        <v>46033</v>
      </c>
      <c r="C1310" s="172" t="s">
        <v>93</v>
      </c>
      <c r="D1310" s="172" t="s">
        <v>24</v>
      </c>
      <c r="E1310" s="172" t="s">
        <v>54</v>
      </c>
      <c r="F1310" s="172" t="s">
        <v>121</v>
      </c>
      <c r="G1310" s="172" t="s">
        <v>85</v>
      </c>
      <c r="H1310" s="177">
        <v>1</v>
      </c>
      <c r="I1310" s="178">
        <v>1845</v>
      </c>
      <c r="J1310" s="176">
        <v>46031</v>
      </c>
      <c r="K1310" s="172" t="s">
        <v>94</v>
      </c>
      <c r="L1310" s="172" t="s">
        <v>95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1049</v>
      </c>
      <c r="B1311" s="176">
        <v>46033</v>
      </c>
      <c r="C1311" s="172" t="s">
        <v>101</v>
      </c>
      <c r="D1311" s="172" t="s">
        <v>102</v>
      </c>
      <c r="E1311" s="172" t="s">
        <v>54</v>
      </c>
      <c r="F1311" s="172" t="s">
        <v>121</v>
      </c>
      <c r="G1311" s="172" t="s">
        <v>85</v>
      </c>
      <c r="H1311" s="177">
        <v>1</v>
      </c>
      <c r="I1311" s="178">
        <v>1845</v>
      </c>
      <c r="J1311" s="176">
        <v>46031</v>
      </c>
      <c r="K1311" s="172" t="s">
        <v>94</v>
      </c>
      <c r="L1311" s="172" t="s">
        <v>95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1049</v>
      </c>
      <c r="B1312" s="176">
        <v>46033</v>
      </c>
      <c r="C1312" s="172" t="s">
        <v>101</v>
      </c>
      <c r="D1312" s="172" t="s">
        <v>103</v>
      </c>
      <c r="E1312" s="172" t="s">
        <v>54</v>
      </c>
      <c r="F1312" s="172" t="s">
        <v>121</v>
      </c>
      <c r="G1312" s="172" t="s">
        <v>85</v>
      </c>
      <c r="H1312" s="177">
        <v>1</v>
      </c>
      <c r="I1312" s="178">
        <v>1845</v>
      </c>
      <c r="J1312" s="176">
        <v>46031</v>
      </c>
      <c r="K1312" s="172" t="s">
        <v>94</v>
      </c>
      <c r="L1312" s="172" t="s">
        <v>95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1049</v>
      </c>
      <c r="B1313" s="176">
        <v>46033</v>
      </c>
      <c r="C1313" s="172" t="s">
        <v>101</v>
      </c>
      <c r="D1313" s="172" t="s">
        <v>104</v>
      </c>
      <c r="E1313" s="172" t="s">
        <v>54</v>
      </c>
      <c r="F1313" s="172" t="s">
        <v>121</v>
      </c>
      <c r="G1313" s="172" t="s">
        <v>85</v>
      </c>
      <c r="H1313" s="177">
        <v>1</v>
      </c>
      <c r="I1313" s="178">
        <v>1845</v>
      </c>
      <c r="J1313" s="176">
        <v>46031</v>
      </c>
      <c r="K1313" s="172" t="s">
        <v>94</v>
      </c>
      <c r="L1313" s="172" t="s">
        <v>95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1049</v>
      </c>
      <c r="B1314" s="176">
        <v>46033</v>
      </c>
      <c r="C1314" s="172" t="s">
        <v>105</v>
      </c>
      <c r="D1314" s="172" t="s">
        <v>106</v>
      </c>
      <c r="E1314" s="172" t="s">
        <v>54</v>
      </c>
      <c r="F1314" s="172" t="s">
        <v>121</v>
      </c>
      <c r="G1314" s="172" t="s">
        <v>85</v>
      </c>
      <c r="H1314" s="177">
        <v>1</v>
      </c>
      <c r="I1314" s="178">
        <v>1845</v>
      </c>
      <c r="J1314" s="176">
        <v>46031</v>
      </c>
      <c r="K1314" s="172" t="s">
        <v>94</v>
      </c>
      <c r="L1314" s="172" t="s">
        <v>95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1049</v>
      </c>
      <c r="B1315" s="176">
        <v>46033</v>
      </c>
      <c r="C1315" s="172" t="s">
        <v>82</v>
      </c>
      <c r="D1315" s="172" t="s">
        <v>96</v>
      </c>
      <c r="E1315" s="172" t="s">
        <v>54</v>
      </c>
      <c r="F1315" s="172" t="s">
        <v>121</v>
      </c>
      <c r="G1315" s="172" t="s">
        <v>85</v>
      </c>
      <c r="H1315" s="177">
        <v>1</v>
      </c>
      <c r="I1315" s="178">
        <v>1845</v>
      </c>
      <c r="J1315" s="176">
        <v>46031</v>
      </c>
      <c r="K1315" s="172" t="s">
        <v>94</v>
      </c>
      <c r="L1315" s="172" t="s">
        <v>95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1050</v>
      </c>
      <c r="B1316" s="176">
        <v>46033</v>
      </c>
      <c r="C1316" s="172" t="s">
        <v>93</v>
      </c>
      <c r="D1316" s="172" t="s">
        <v>24</v>
      </c>
      <c r="E1316" s="172" t="s">
        <v>53</v>
      </c>
      <c r="F1316" s="172" t="s">
        <v>91</v>
      </c>
      <c r="G1316" s="172" t="s">
        <v>85</v>
      </c>
      <c r="H1316" s="177">
        <v>1</v>
      </c>
      <c r="I1316" s="178">
        <v>1621</v>
      </c>
      <c r="J1316" s="176">
        <v>46030</v>
      </c>
      <c r="K1316" s="172" t="s">
        <v>94</v>
      </c>
      <c r="L1316" s="172" t="s">
        <v>95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1050</v>
      </c>
      <c r="B1317" s="176">
        <v>46033</v>
      </c>
      <c r="C1317" s="172" t="s">
        <v>101</v>
      </c>
      <c r="D1317" s="172" t="s">
        <v>102</v>
      </c>
      <c r="E1317" s="172" t="s">
        <v>53</v>
      </c>
      <c r="F1317" s="172" t="s">
        <v>91</v>
      </c>
      <c r="G1317" s="172" t="s">
        <v>85</v>
      </c>
      <c r="H1317" s="177">
        <v>1</v>
      </c>
      <c r="I1317" s="178">
        <v>1621</v>
      </c>
      <c r="J1317" s="176">
        <v>46030</v>
      </c>
      <c r="K1317" s="172" t="s">
        <v>94</v>
      </c>
      <c r="L1317" s="172" t="s">
        <v>95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1050</v>
      </c>
      <c r="B1318" s="176">
        <v>46033</v>
      </c>
      <c r="C1318" s="172" t="s">
        <v>101</v>
      </c>
      <c r="D1318" s="172" t="s">
        <v>103</v>
      </c>
      <c r="E1318" s="172" t="s">
        <v>53</v>
      </c>
      <c r="F1318" s="172" t="s">
        <v>91</v>
      </c>
      <c r="G1318" s="172" t="s">
        <v>85</v>
      </c>
      <c r="H1318" s="177">
        <v>1</v>
      </c>
      <c r="I1318" s="178">
        <v>1621</v>
      </c>
      <c r="J1318" s="176">
        <v>46030</v>
      </c>
      <c r="K1318" s="172" t="s">
        <v>94</v>
      </c>
      <c r="L1318" s="172" t="s">
        <v>95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1050</v>
      </c>
      <c r="B1319" s="176">
        <v>46033</v>
      </c>
      <c r="C1319" s="172" t="s">
        <v>101</v>
      </c>
      <c r="D1319" s="172" t="s">
        <v>104</v>
      </c>
      <c r="E1319" s="172" t="s">
        <v>53</v>
      </c>
      <c r="F1319" s="172" t="s">
        <v>91</v>
      </c>
      <c r="G1319" s="172" t="s">
        <v>85</v>
      </c>
      <c r="H1319" s="177">
        <v>1</v>
      </c>
      <c r="I1319" s="178">
        <v>1621</v>
      </c>
      <c r="J1319" s="176">
        <v>46030</v>
      </c>
      <c r="K1319" s="172" t="s">
        <v>94</v>
      </c>
      <c r="L1319" s="172" t="s">
        <v>95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1050</v>
      </c>
      <c r="B1320" s="176">
        <v>46033</v>
      </c>
      <c r="C1320" s="172" t="s">
        <v>105</v>
      </c>
      <c r="D1320" s="172" t="s">
        <v>106</v>
      </c>
      <c r="E1320" s="172" t="s">
        <v>53</v>
      </c>
      <c r="F1320" s="172" t="s">
        <v>91</v>
      </c>
      <c r="G1320" s="172" t="s">
        <v>85</v>
      </c>
      <c r="H1320" s="177">
        <v>1</v>
      </c>
      <c r="I1320" s="178">
        <v>1621</v>
      </c>
      <c r="J1320" s="176">
        <v>46030</v>
      </c>
      <c r="K1320" s="172" t="s">
        <v>94</v>
      </c>
      <c r="L1320" s="172" t="s">
        <v>95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1050</v>
      </c>
      <c r="B1321" s="176">
        <v>46033</v>
      </c>
      <c r="C1321" s="172" t="s">
        <v>82</v>
      </c>
      <c r="D1321" s="172" t="s">
        <v>96</v>
      </c>
      <c r="E1321" s="172" t="s">
        <v>53</v>
      </c>
      <c r="F1321" s="172" t="s">
        <v>91</v>
      </c>
      <c r="G1321" s="172" t="s">
        <v>85</v>
      </c>
      <c r="H1321" s="177">
        <v>1</v>
      </c>
      <c r="I1321" s="178">
        <v>1621</v>
      </c>
      <c r="J1321" s="176">
        <v>46030</v>
      </c>
      <c r="K1321" s="172" t="s">
        <v>94</v>
      </c>
      <c r="L1321" s="172" t="s">
        <v>95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1051</v>
      </c>
      <c r="B1322" s="176">
        <v>46033</v>
      </c>
      <c r="C1322" s="172" t="s">
        <v>93</v>
      </c>
      <c r="D1322" s="172" t="s">
        <v>24</v>
      </c>
      <c r="E1322" s="172" t="s">
        <v>54</v>
      </c>
      <c r="F1322" s="172" t="s">
        <v>121</v>
      </c>
      <c r="G1322" s="172" t="s">
        <v>85</v>
      </c>
      <c r="H1322" s="177">
        <v>1</v>
      </c>
      <c r="I1322" s="178">
        <v>0</v>
      </c>
      <c r="J1322" s="176">
        <v>46023</v>
      </c>
      <c r="K1322" s="172" t="s">
        <v>94</v>
      </c>
      <c r="L1322" s="172" t="s">
        <v>95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1052</v>
      </c>
      <c r="B1323" s="176">
        <v>46033</v>
      </c>
      <c r="C1323" s="172" t="s">
        <v>93</v>
      </c>
      <c r="D1323" s="172" t="s">
        <v>24</v>
      </c>
      <c r="E1323" s="172" t="s">
        <v>43</v>
      </c>
      <c r="F1323" s="172" t="s">
        <v>90</v>
      </c>
      <c r="G1323" s="172" t="s">
        <v>85</v>
      </c>
      <c r="H1323" s="177">
        <v>1</v>
      </c>
      <c r="I1323" s="178">
        <v>1600</v>
      </c>
      <c r="J1323" s="176">
        <v>46031</v>
      </c>
      <c r="K1323" s="172" t="s">
        <v>94</v>
      </c>
      <c r="L1323" s="172" t="s">
        <v>95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1052</v>
      </c>
      <c r="B1324" s="176">
        <v>46033</v>
      </c>
      <c r="C1324" s="172" t="s">
        <v>101</v>
      </c>
      <c r="D1324" s="172" t="s">
        <v>102</v>
      </c>
      <c r="E1324" s="172" t="s">
        <v>43</v>
      </c>
      <c r="F1324" s="172" t="s">
        <v>90</v>
      </c>
      <c r="G1324" s="172" t="s">
        <v>85</v>
      </c>
      <c r="H1324" s="177">
        <v>1</v>
      </c>
      <c r="I1324" s="178">
        <v>1600</v>
      </c>
      <c r="J1324" s="176">
        <v>46031</v>
      </c>
      <c r="K1324" s="172" t="s">
        <v>94</v>
      </c>
      <c r="L1324" s="172" t="s">
        <v>95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1052</v>
      </c>
      <c r="B1325" s="176">
        <v>46033</v>
      </c>
      <c r="C1325" s="172" t="s">
        <v>101</v>
      </c>
      <c r="D1325" s="172" t="s">
        <v>103</v>
      </c>
      <c r="E1325" s="172" t="s">
        <v>43</v>
      </c>
      <c r="F1325" s="172" t="s">
        <v>90</v>
      </c>
      <c r="G1325" s="172" t="s">
        <v>85</v>
      </c>
      <c r="H1325" s="177">
        <v>1</v>
      </c>
      <c r="I1325" s="178">
        <v>1600</v>
      </c>
      <c r="J1325" s="176">
        <v>46031</v>
      </c>
      <c r="K1325" s="172" t="s">
        <v>94</v>
      </c>
      <c r="L1325" s="172" t="s">
        <v>95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1052</v>
      </c>
      <c r="B1326" s="176">
        <v>46033</v>
      </c>
      <c r="C1326" s="172" t="s">
        <v>101</v>
      </c>
      <c r="D1326" s="172" t="s">
        <v>104</v>
      </c>
      <c r="E1326" s="172" t="s">
        <v>43</v>
      </c>
      <c r="F1326" s="172" t="s">
        <v>90</v>
      </c>
      <c r="G1326" s="172" t="s">
        <v>85</v>
      </c>
      <c r="H1326" s="177">
        <v>1</v>
      </c>
      <c r="I1326" s="178">
        <v>1600</v>
      </c>
      <c r="J1326" s="176">
        <v>46031</v>
      </c>
      <c r="K1326" s="172" t="s">
        <v>94</v>
      </c>
      <c r="L1326" s="172" t="s">
        <v>95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1052</v>
      </c>
      <c r="B1327" s="176">
        <v>46033</v>
      </c>
      <c r="C1327" s="172" t="s">
        <v>105</v>
      </c>
      <c r="D1327" s="172" t="s">
        <v>106</v>
      </c>
      <c r="E1327" s="172" t="s">
        <v>43</v>
      </c>
      <c r="F1327" s="172" t="s">
        <v>90</v>
      </c>
      <c r="G1327" s="172" t="s">
        <v>85</v>
      </c>
      <c r="H1327" s="177">
        <v>1</v>
      </c>
      <c r="I1327" s="178">
        <v>1600</v>
      </c>
      <c r="J1327" s="176">
        <v>46031</v>
      </c>
      <c r="K1327" s="172" t="s">
        <v>94</v>
      </c>
      <c r="L1327" s="172" t="s">
        <v>95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1052</v>
      </c>
      <c r="B1328" s="176">
        <v>46033</v>
      </c>
      <c r="C1328" s="172" t="s">
        <v>82</v>
      </c>
      <c r="D1328" s="172" t="s">
        <v>96</v>
      </c>
      <c r="E1328" s="172" t="s">
        <v>43</v>
      </c>
      <c r="F1328" s="172" t="s">
        <v>90</v>
      </c>
      <c r="G1328" s="172" t="s">
        <v>85</v>
      </c>
      <c r="H1328" s="177">
        <v>1</v>
      </c>
      <c r="I1328" s="178">
        <v>1600</v>
      </c>
      <c r="J1328" s="176">
        <v>46031</v>
      </c>
      <c r="K1328" s="172" t="s">
        <v>94</v>
      </c>
      <c r="L1328" s="172" t="s">
        <v>95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1051</v>
      </c>
      <c r="B1329" s="176">
        <v>46033</v>
      </c>
      <c r="C1329" s="172" t="s">
        <v>93</v>
      </c>
      <c r="D1329" s="172" t="s">
        <v>97</v>
      </c>
      <c r="E1329" s="172" t="s">
        <v>54</v>
      </c>
      <c r="F1329" s="172" t="s">
        <v>121</v>
      </c>
      <c r="G1329" s="172" t="s">
        <v>85</v>
      </c>
      <c r="H1329" s="177">
        <v>1</v>
      </c>
      <c r="I1329" s="178">
        <v>0</v>
      </c>
      <c r="J1329" s="176">
        <v>46023</v>
      </c>
      <c r="K1329" s="172" t="s">
        <v>94</v>
      </c>
      <c r="L1329" s="172" t="s">
        <v>95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1051</v>
      </c>
      <c r="B1330" s="176">
        <v>46033</v>
      </c>
      <c r="C1330" s="172" t="s">
        <v>93</v>
      </c>
      <c r="D1330" s="172" t="s">
        <v>98</v>
      </c>
      <c r="E1330" s="172" t="s">
        <v>54</v>
      </c>
      <c r="F1330" s="172" t="s">
        <v>121</v>
      </c>
      <c r="G1330" s="172" t="s">
        <v>85</v>
      </c>
      <c r="H1330" s="177">
        <v>1</v>
      </c>
      <c r="I1330" s="178">
        <v>0</v>
      </c>
      <c r="J1330" s="176">
        <v>46023</v>
      </c>
      <c r="K1330" s="172" t="s">
        <v>94</v>
      </c>
      <c r="L1330" s="172" t="s">
        <v>95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1051</v>
      </c>
      <c r="B1331" s="176">
        <v>46033</v>
      </c>
      <c r="C1331" s="172" t="s">
        <v>82</v>
      </c>
      <c r="D1331" s="172" t="s">
        <v>99</v>
      </c>
      <c r="E1331" s="172" t="s">
        <v>54</v>
      </c>
      <c r="F1331" s="172" t="s">
        <v>121</v>
      </c>
      <c r="G1331" s="172" t="s">
        <v>85</v>
      </c>
      <c r="H1331" s="177">
        <v>1</v>
      </c>
      <c r="I1331" s="178">
        <v>0</v>
      </c>
      <c r="J1331" s="176">
        <v>46023</v>
      </c>
      <c r="K1331" s="172" t="s">
        <v>94</v>
      </c>
      <c r="L1331" s="172" t="s">
        <v>95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1050</v>
      </c>
      <c r="B1332" s="176">
        <v>46033</v>
      </c>
      <c r="C1332" s="172" t="s">
        <v>82</v>
      </c>
      <c r="D1332" s="172" t="s">
        <v>83</v>
      </c>
      <c r="E1332" s="172" t="s">
        <v>53</v>
      </c>
      <c r="F1332" s="172" t="s">
        <v>91</v>
      </c>
      <c r="G1332" s="172" t="s">
        <v>85</v>
      </c>
      <c r="H1332" s="177">
        <v>1</v>
      </c>
      <c r="I1332" s="178">
        <v>0</v>
      </c>
      <c r="J1332" s="176">
        <v>46030</v>
      </c>
      <c r="K1332" s="172" t="s">
        <v>86</v>
      </c>
      <c r="L1332" s="172" t="s">
        <v>86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1053</v>
      </c>
      <c r="B1333" s="176">
        <v>46033</v>
      </c>
      <c r="C1333" s="172" t="s">
        <v>93</v>
      </c>
      <c r="D1333" s="172" t="s">
        <v>24</v>
      </c>
      <c r="E1333" s="172" t="s">
        <v>54</v>
      </c>
      <c r="F1333" s="172" t="s">
        <v>121</v>
      </c>
      <c r="G1333" s="172" t="s">
        <v>85</v>
      </c>
      <c r="H1333" s="177">
        <v>1</v>
      </c>
      <c r="I1333" s="178">
        <v>1845</v>
      </c>
      <c r="J1333" s="176">
        <v>46027</v>
      </c>
      <c r="K1333" s="172" t="s">
        <v>94</v>
      </c>
      <c r="L1333" s="172" t="s">
        <v>95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1053</v>
      </c>
      <c r="B1334" s="176">
        <v>46033</v>
      </c>
      <c r="C1334" s="172" t="s">
        <v>101</v>
      </c>
      <c r="D1334" s="172" t="s">
        <v>102</v>
      </c>
      <c r="E1334" s="172" t="s">
        <v>54</v>
      </c>
      <c r="F1334" s="172" t="s">
        <v>121</v>
      </c>
      <c r="G1334" s="172" t="s">
        <v>85</v>
      </c>
      <c r="H1334" s="177">
        <v>1</v>
      </c>
      <c r="I1334" s="178">
        <v>1845</v>
      </c>
      <c r="J1334" s="176">
        <v>46027</v>
      </c>
      <c r="K1334" s="172" t="s">
        <v>94</v>
      </c>
      <c r="L1334" s="172" t="s">
        <v>95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1053</v>
      </c>
      <c r="B1335" s="176">
        <v>46033</v>
      </c>
      <c r="C1335" s="172" t="s">
        <v>101</v>
      </c>
      <c r="D1335" s="172" t="s">
        <v>103</v>
      </c>
      <c r="E1335" s="172" t="s">
        <v>54</v>
      </c>
      <c r="F1335" s="172" t="s">
        <v>121</v>
      </c>
      <c r="G1335" s="172" t="s">
        <v>85</v>
      </c>
      <c r="H1335" s="177">
        <v>1</v>
      </c>
      <c r="I1335" s="178">
        <v>1845</v>
      </c>
      <c r="J1335" s="176">
        <v>46027</v>
      </c>
      <c r="K1335" s="172" t="s">
        <v>94</v>
      </c>
      <c r="L1335" s="172" t="s">
        <v>95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1053</v>
      </c>
      <c r="B1336" s="176">
        <v>46033</v>
      </c>
      <c r="C1336" s="172" t="s">
        <v>101</v>
      </c>
      <c r="D1336" s="172" t="s">
        <v>104</v>
      </c>
      <c r="E1336" s="172" t="s">
        <v>54</v>
      </c>
      <c r="F1336" s="172" t="s">
        <v>121</v>
      </c>
      <c r="G1336" s="172" t="s">
        <v>85</v>
      </c>
      <c r="H1336" s="177">
        <v>1</v>
      </c>
      <c r="I1336" s="178">
        <v>1845</v>
      </c>
      <c r="J1336" s="176">
        <v>46027</v>
      </c>
      <c r="K1336" s="172" t="s">
        <v>94</v>
      </c>
      <c r="L1336" s="172" t="s">
        <v>95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1053</v>
      </c>
      <c r="B1337" s="176">
        <v>46033</v>
      </c>
      <c r="C1337" s="172" t="s">
        <v>105</v>
      </c>
      <c r="D1337" s="172" t="s">
        <v>106</v>
      </c>
      <c r="E1337" s="172" t="s">
        <v>54</v>
      </c>
      <c r="F1337" s="172" t="s">
        <v>121</v>
      </c>
      <c r="G1337" s="172" t="s">
        <v>85</v>
      </c>
      <c r="H1337" s="177">
        <v>1</v>
      </c>
      <c r="I1337" s="178">
        <v>1845</v>
      </c>
      <c r="J1337" s="176">
        <v>46027</v>
      </c>
      <c r="K1337" s="172" t="s">
        <v>94</v>
      </c>
      <c r="L1337" s="172" t="s">
        <v>95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1053</v>
      </c>
      <c r="B1338" s="176">
        <v>46033</v>
      </c>
      <c r="C1338" s="172" t="s">
        <v>82</v>
      </c>
      <c r="D1338" s="172" t="s">
        <v>96</v>
      </c>
      <c r="E1338" s="172" t="s">
        <v>54</v>
      </c>
      <c r="F1338" s="172" t="s">
        <v>121</v>
      </c>
      <c r="G1338" s="172" t="s">
        <v>85</v>
      </c>
      <c r="H1338" s="177">
        <v>1</v>
      </c>
      <c r="I1338" s="178">
        <v>1845</v>
      </c>
      <c r="J1338" s="176">
        <v>46027</v>
      </c>
      <c r="K1338" s="172" t="s">
        <v>94</v>
      </c>
      <c r="L1338" s="172" t="s">
        <v>95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1054</v>
      </c>
      <c r="B1339" s="176">
        <v>46033</v>
      </c>
      <c r="C1339" s="172" t="s">
        <v>93</v>
      </c>
      <c r="D1339" s="172" t="s">
        <v>24</v>
      </c>
      <c r="E1339" s="172" t="s">
        <v>53</v>
      </c>
      <c r="F1339" s="172" t="s">
        <v>91</v>
      </c>
      <c r="G1339" s="172" t="s">
        <v>85</v>
      </c>
      <c r="H1339" s="177">
        <v>1</v>
      </c>
      <c r="I1339" s="178">
        <v>1621</v>
      </c>
      <c r="J1339" s="176">
        <v>46031</v>
      </c>
      <c r="K1339" s="172" t="s">
        <v>94</v>
      </c>
      <c r="L1339" s="172" t="s">
        <v>95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1054</v>
      </c>
      <c r="B1340" s="176">
        <v>46033</v>
      </c>
      <c r="C1340" s="172" t="s">
        <v>101</v>
      </c>
      <c r="D1340" s="172" t="s">
        <v>102</v>
      </c>
      <c r="E1340" s="172" t="s">
        <v>53</v>
      </c>
      <c r="F1340" s="172" t="s">
        <v>91</v>
      </c>
      <c r="G1340" s="172" t="s">
        <v>85</v>
      </c>
      <c r="H1340" s="177">
        <v>1</v>
      </c>
      <c r="I1340" s="178">
        <v>1621</v>
      </c>
      <c r="J1340" s="176">
        <v>46031</v>
      </c>
      <c r="K1340" s="172" t="s">
        <v>94</v>
      </c>
      <c r="L1340" s="172" t="s">
        <v>95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1054</v>
      </c>
      <c r="B1341" s="176">
        <v>46033</v>
      </c>
      <c r="C1341" s="172" t="s">
        <v>101</v>
      </c>
      <c r="D1341" s="172" t="s">
        <v>103</v>
      </c>
      <c r="E1341" s="172" t="s">
        <v>53</v>
      </c>
      <c r="F1341" s="172" t="s">
        <v>91</v>
      </c>
      <c r="G1341" s="172" t="s">
        <v>85</v>
      </c>
      <c r="H1341" s="177">
        <v>1</v>
      </c>
      <c r="I1341" s="178">
        <v>1621</v>
      </c>
      <c r="J1341" s="176">
        <v>46031</v>
      </c>
      <c r="K1341" s="172" t="s">
        <v>94</v>
      </c>
      <c r="L1341" s="172" t="s">
        <v>95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1054</v>
      </c>
      <c r="B1342" s="176">
        <v>46033</v>
      </c>
      <c r="C1342" s="172" t="s">
        <v>101</v>
      </c>
      <c r="D1342" s="172" t="s">
        <v>104</v>
      </c>
      <c r="E1342" s="172" t="s">
        <v>53</v>
      </c>
      <c r="F1342" s="172" t="s">
        <v>91</v>
      </c>
      <c r="G1342" s="172" t="s">
        <v>85</v>
      </c>
      <c r="H1342" s="177">
        <v>1</v>
      </c>
      <c r="I1342" s="178">
        <v>1621</v>
      </c>
      <c r="J1342" s="176">
        <v>46031</v>
      </c>
      <c r="K1342" s="172" t="s">
        <v>94</v>
      </c>
      <c r="L1342" s="172" t="s">
        <v>95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1054</v>
      </c>
      <c r="B1343" s="176">
        <v>46033</v>
      </c>
      <c r="C1343" s="172" t="s">
        <v>105</v>
      </c>
      <c r="D1343" s="172" t="s">
        <v>106</v>
      </c>
      <c r="E1343" s="172" t="s">
        <v>53</v>
      </c>
      <c r="F1343" s="172" t="s">
        <v>91</v>
      </c>
      <c r="G1343" s="172" t="s">
        <v>85</v>
      </c>
      <c r="H1343" s="177">
        <v>1</v>
      </c>
      <c r="I1343" s="178">
        <v>1621</v>
      </c>
      <c r="J1343" s="176">
        <v>46031</v>
      </c>
      <c r="K1343" s="172" t="s">
        <v>94</v>
      </c>
      <c r="L1343" s="172" t="s">
        <v>95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1054</v>
      </c>
      <c r="B1344" s="176">
        <v>46033</v>
      </c>
      <c r="C1344" s="172" t="s">
        <v>82</v>
      </c>
      <c r="D1344" s="172" t="s">
        <v>96</v>
      </c>
      <c r="E1344" s="172" t="s">
        <v>53</v>
      </c>
      <c r="F1344" s="172" t="s">
        <v>91</v>
      </c>
      <c r="G1344" s="172" t="s">
        <v>85</v>
      </c>
      <c r="H1344" s="177">
        <v>1</v>
      </c>
      <c r="I1344" s="178">
        <v>1621</v>
      </c>
      <c r="J1344" s="176">
        <v>46031</v>
      </c>
      <c r="K1344" s="172" t="s">
        <v>94</v>
      </c>
      <c r="L1344" s="172" t="s">
        <v>95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1053</v>
      </c>
      <c r="B1345" s="176">
        <v>46033</v>
      </c>
      <c r="C1345" s="172" t="s">
        <v>82</v>
      </c>
      <c r="D1345" s="172" t="s">
        <v>83</v>
      </c>
      <c r="E1345" s="172" t="s">
        <v>54</v>
      </c>
      <c r="F1345" s="172" t="s">
        <v>121</v>
      </c>
      <c r="G1345" s="172" t="s">
        <v>85</v>
      </c>
      <c r="H1345" s="177">
        <v>1</v>
      </c>
      <c r="I1345" s="178">
        <v>0</v>
      </c>
      <c r="J1345" s="176">
        <v>46027</v>
      </c>
      <c r="K1345" s="172" t="s">
        <v>86</v>
      </c>
      <c r="L1345" s="172" t="s">
        <v>86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1054</v>
      </c>
      <c r="B1346" s="176">
        <v>46033</v>
      </c>
      <c r="C1346" s="172" t="s">
        <v>82</v>
      </c>
      <c r="D1346" s="172" t="s">
        <v>83</v>
      </c>
      <c r="E1346" s="172" t="s">
        <v>53</v>
      </c>
      <c r="F1346" s="172" t="s">
        <v>91</v>
      </c>
      <c r="G1346" s="172" t="s">
        <v>85</v>
      </c>
      <c r="H1346" s="177">
        <v>1</v>
      </c>
      <c r="I1346" s="178">
        <v>0</v>
      </c>
      <c r="J1346" s="176">
        <v>46031</v>
      </c>
      <c r="K1346" s="172" t="s">
        <v>86</v>
      </c>
      <c r="L1346" s="172" t="s">
        <v>86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1055</v>
      </c>
      <c r="B1347" s="176">
        <v>46033</v>
      </c>
      <c r="C1347" s="172" t="s">
        <v>93</v>
      </c>
      <c r="D1347" s="172" t="s">
        <v>24</v>
      </c>
      <c r="E1347" s="172" t="s">
        <v>53</v>
      </c>
      <c r="F1347" s="172" t="s">
        <v>91</v>
      </c>
      <c r="G1347" s="172" t="s">
        <v>85</v>
      </c>
      <c r="H1347" s="177">
        <v>1</v>
      </c>
      <c r="I1347" s="178">
        <v>1621</v>
      </c>
      <c r="J1347" s="176">
        <v>46029</v>
      </c>
      <c r="K1347" s="172" t="s">
        <v>94</v>
      </c>
      <c r="L1347" s="172" t="s">
        <v>95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1055</v>
      </c>
      <c r="B1348" s="176">
        <v>46033</v>
      </c>
      <c r="C1348" s="172" t="s">
        <v>101</v>
      </c>
      <c r="D1348" s="172" t="s">
        <v>102</v>
      </c>
      <c r="E1348" s="172" t="s">
        <v>53</v>
      </c>
      <c r="F1348" s="172" t="s">
        <v>91</v>
      </c>
      <c r="G1348" s="172" t="s">
        <v>85</v>
      </c>
      <c r="H1348" s="177">
        <v>1</v>
      </c>
      <c r="I1348" s="178">
        <v>1621</v>
      </c>
      <c r="J1348" s="176">
        <v>46029</v>
      </c>
      <c r="K1348" s="172" t="s">
        <v>94</v>
      </c>
      <c r="L1348" s="172" t="s">
        <v>95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1055</v>
      </c>
      <c r="B1349" s="176">
        <v>46033</v>
      </c>
      <c r="C1349" s="172" t="s">
        <v>101</v>
      </c>
      <c r="D1349" s="172" t="s">
        <v>103</v>
      </c>
      <c r="E1349" s="172" t="s">
        <v>53</v>
      </c>
      <c r="F1349" s="172" t="s">
        <v>91</v>
      </c>
      <c r="G1349" s="172" t="s">
        <v>85</v>
      </c>
      <c r="H1349" s="177">
        <v>1</v>
      </c>
      <c r="I1349" s="178">
        <v>1621</v>
      </c>
      <c r="J1349" s="176">
        <v>46029</v>
      </c>
      <c r="K1349" s="172" t="s">
        <v>94</v>
      </c>
      <c r="L1349" s="172" t="s">
        <v>95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1055</v>
      </c>
      <c r="B1350" s="176">
        <v>46033</v>
      </c>
      <c r="C1350" s="172" t="s">
        <v>101</v>
      </c>
      <c r="D1350" s="172" t="s">
        <v>104</v>
      </c>
      <c r="E1350" s="172" t="s">
        <v>53</v>
      </c>
      <c r="F1350" s="172" t="s">
        <v>91</v>
      </c>
      <c r="G1350" s="172" t="s">
        <v>85</v>
      </c>
      <c r="H1350" s="177">
        <v>1</v>
      </c>
      <c r="I1350" s="178">
        <v>1621</v>
      </c>
      <c r="J1350" s="176">
        <v>46029</v>
      </c>
      <c r="K1350" s="172" t="s">
        <v>94</v>
      </c>
      <c r="L1350" s="172" t="s">
        <v>95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1055</v>
      </c>
      <c r="B1351" s="176">
        <v>46033</v>
      </c>
      <c r="C1351" s="172" t="s">
        <v>105</v>
      </c>
      <c r="D1351" s="172" t="s">
        <v>106</v>
      </c>
      <c r="E1351" s="172" t="s">
        <v>53</v>
      </c>
      <c r="F1351" s="172" t="s">
        <v>91</v>
      </c>
      <c r="G1351" s="172" t="s">
        <v>85</v>
      </c>
      <c r="H1351" s="177">
        <v>1</v>
      </c>
      <c r="I1351" s="178">
        <v>1621</v>
      </c>
      <c r="J1351" s="176">
        <v>46029</v>
      </c>
      <c r="K1351" s="172" t="s">
        <v>94</v>
      </c>
      <c r="L1351" s="172" t="s">
        <v>95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1055</v>
      </c>
      <c r="B1352" s="176">
        <v>46033</v>
      </c>
      <c r="C1352" s="172" t="s">
        <v>82</v>
      </c>
      <c r="D1352" s="172" t="s">
        <v>96</v>
      </c>
      <c r="E1352" s="172" t="s">
        <v>53</v>
      </c>
      <c r="F1352" s="172" t="s">
        <v>91</v>
      </c>
      <c r="G1352" s="172" t="s">
        <v>85</v>
      </c>
      <c r="H1352" s="177">
        <v>1</v>
      </c>
      <c r="I1352" s="178">
        <v>1621</v>
      </c>
      <c r="J1352" s="176">
        <v>46029</v>
      </c>
      <c r="K1352" s="172" t="s">
        <v>94</v>
      </c>
      <c r="L1352" s="172" t="s">
        <v>95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1056</v>
      </c>
      <c r="B1353" s="176">
        <v>46033</v>
      </c>
      <c r="C1353" s="172" t="s">
        <v>82</v>
      </c>
      <c r="D1353" s="172" t="s">
        <v>83</v>
      </c>
      <c r="E1353" s="172" t="s">
        <v>54</v>
      </c>
      <c r="F1353" s="172" t="s">
        <v>121</v>
      </c>
      <c r="G1353" s="172" t="s">
        <v>85</v>
      </c>
      <c r="H1353" s="177">
        <v>1</v>
      </c>
      <c r="I1353" s="178">
        <v>0</v>
      </c>
      <c r="J1353" s="176">
        <v>46033</v>
      </c>
      <c r="K1353" s="172" t="s">
        <v>86</v>
      </c>
      <c r="L1353" s="172" t="s">
        <v>86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1057</v>
      </c>
      <c r="B1354" s="176">
        <v>46033</v>
      </c>
      <c r="C1354" s="172" t="s">
        <v>93</v>
      </c>
      <c r="D1354" s="172" t="s">
        <v>24</v>
      </c>
      <c r="E1354" s="172" t="s">
        <v>54</v>
      </c>
      <c r="F1354" s="172" t="s">
        <v>121</v>
      </c>
      <c r="G1354" s="172" t="s">
        <v>85</v>
      </c>
      <c r="H1354" s="177">
        <v>1</v>
      </c>
      <c r="I1354" s="178">
        <v>1845</v>
      </c>
      <c r="J1354" s="176">
        <v>46031</v>
      </c>
      <c r="K1354" s="172" t="s">
        <v>94</v>
      </c>
      <c r="L1354" s="172" t="s">
        <v>95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1057</v>
      </c>
      <c r="B1355" s="176">
        <v>46033</v>
      </c>
      <c r="C1355" s="172" t="s">
        <v>101</v>
      </c>
      <c r="D1355" s="172" t="s">
        <v>102</v>
      </c>
      <c r="E1355" s="172" t="s">
        <v>54</v>
      </c>
      <c r="F1355" s="172" t="s">
        <v>121</v>
      </c>
      <c r="G1355" s="172" t="s">
        <v>85</v>
      </c>
      <c r="H1355" s="177">
        <v>1</v>
      </c>
      <c r="I1355" s="178">
        <v>1845</v>
      </c>
      <c r="J1355" s="176">
        <v>46031</v>
      </c>
      <c r="K1355" s="172" t="s">
        <v>94</v>
      </c>
      <c r="L1355" s="172" t="s">
        <v>95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1057</v>
      </c>
      <c r="B1356" s="176">
        <v>46033</v>
      </c>
      <c r="C1356" s="172" t="s">
        <v>101</v>
      </c>
      <c r="D1356" s="172" t="s">
        <v>103</v>
      </c>
      <c r="E1356" s="172" t="s">
        <v>54</v>
      </c>
      <c r="F1356" s="172" t="s">
        <v>121</v>
      </c>
      <c r="G1356" s="172" t="s">
        <v>85</v>
      </c>
      <c r="H1356" s="177">
        <v>1</v>
      </c>
      <c r="I1356" s="178">
        <v>1845</v>
      </c>
      <c r="J1356" s="176">
        <v>46031</v>
      </c>
      <c r="K1356" s="172" t="s">
        <v>94</v>
      </c>
      <c r="L1356" s="172" t="s">
        <v>95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1057</v>
      </c>
      <c r="B1357" s="176">
        <v>46033</v>
      </c>
      <c r="C1357" s="172" t="s">
        <v>101</v>
      </c>
      <c r="D1357" s="172" t="s">
        <v>104</v>
      </c>
      <c r="E1357" s="172" t="s">
        <v>54</v>
      </c>
      <c r="F1357" s="172" t="s">
        <v>121</v>
      </c>
      <c r="G1357" s="172" t="s">
        <v>85</v>
      </c>
      <c r="H1357" s="177">
        <v>1</v>
      </c>
      <c r="I1357" s="178">
        <v>1845</v>
      </c>
      <c r="J1357" s="176">
        <v>46031</v>
      </c>
      <c r="K1357" s="172" t="s">
        <v>94</v>
      </c>
      <c r="L1357" s="172" t="s">
        <v>95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1057</v>
      </c>
      <c r="B1358" s="176">
        <v>46033</v>
      </c>
      <c r="C1358" s="172" t="s">
        <v>105</v>
      </c>
      <c r="D1358" s="172" t="s">
        <v>106</v>
      </c>
      <c r="E1358" s="172" t="s">
        <v>54</v>
      </c>
      <c r="F1358" s="172" t="s">
        <v>121</v>
      </c>
      <c r="G1358" s="172" t="s">
        <v>85</v>
      </c>
      <c r="H1358" s="177">
        <v>1</v>
      </c>
      <c r="I1358" s="178">
        <v>1845</v>
      </c>
      <c r="J1358" s="176">
        <v>46031</v>
      </c>
      <c r="K1358" s="172" t="s">
        <v>94</v>
      </c>
      <c r="L1358" s="172" t="s">
        <v>95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1057</v>
      </c>
      <c r="B1359" s="176">
        <v>46033</v>
      </c>
      <c r="C1359" s="172" t="s">
        <v>82</v>
      </c>
      <c r="D1359" s="172" t="s">
        <v>96</v>
      </c>
      <c r="E1359" s="172" t="s">
        <v>54</v>
      </c>
      <c r="F1359" s="172" t="s">
        <v>121</v>
      </c>
      <c r="G1359" s="172" t="s">
        <v>85</v>
      </c>
      <c r="H1359" s="177">
        <v>1</v>
      </c>
      <c r="I1359" s="178">
        <v>1845</v>
      </c>
      <c r="J1359" s="176">
        <v>46031</v>
      </c>
      <c r="K1359" s="172" t="s">
        <v>94</v>
      </c>
      <c r="L1359" s="172" t="s">
        <v>95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1055</v>
      </c>
      <c r="B1360" s="176">
        <v>46033</v>
      </c>
      <c r="C1360" s="172" t="s">
        <v>82</v>
      </c>
      <c r="D1360" s="172" t="s">
        <v>83</v>
      </c>
      <c r="E1360" s="172" t="s">
        <v>53</v>
      </c>
      <c r="F1360" s="172" t="s">
        <v>91</v>
      </c>
      <c r="G1360" s="172" t="s">
        <v>85</v>
      </c>
      <c r="H1360" s="177">
        <v>1</v>
      </c>
      <c r="I1360" s="178">
        <v>0</v>
      </c>
      <c r="J1360" s="176">
        <v>46029</v>
      </c>
      <c r="K1360" s="172" t="s">
        <v>86</v>
      </c>
      <c r="L1360" s="172" t="s">
        <v>86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1058</v>
      </c>
      <c r="B1361" s="176">
        <v>46033</v>
      </c>
      <c r="C1361" s="172" t="s">
        <v>93</v>
      </c>
      <c r="D1361" s="172" t="s">
        <v>24</v>
      </c>
      <c r="E1361" s="172" t="s">
        <v>54</v>
      </c>
      <c r="F1361" s="172" t="s">
        <v>121</v>
      </c>
      <c r="G1361" s="172" t="s">
        <v>85</v>
      </c>
      <c r="H1361" s="177">
        <v>1</v>
      </c>
      <c r="I1361" s="178">
        <v>1845</v>
      </c>
      <c r="J1361" s="176">
        <v>46029</v>
      </c>
      <c r="K1361" s="172" t="s">
        <v>94</v>
      </c>
      <c r="L1361" s="172" t="s">
        <v>95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1058</v>
      </c>
      <c r="B1362" s="176">
        <v>46033</v>
      </c>
      <c r="C1362" s="172" t="s">
        <v>101</v>
      </c>
      <c r="D1362" s="172" t="s">
        <v>102</v>
      </c>
      <c r="E1362" s="172" t="s">
        <v>54</v>
      </c>
      <c r="F1362" s="172" t="s">
        <v>121</v>
      </c>
      <c r="G1362" s="172" t="s">
        <v>85</v>
      </c>
      <c r="H1362" s="177">
        <v>1</v>
      </c>
      <c r="I1362" s="178">
        <v>1845</v>
      </c>
      <c r="J1362" s="176">
        <v>46029</v>
      </c>
      <c r="K1362" s="172" t="s">
        <v>94</v>
      </c>
      <c r="L1362" s="172" t="s">
        <v>95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1058</v>
      </c>
      <c r="B1363" s="176">
        <v>46033</v>
      </c>
      <c r="C1363" s="172" t="s">
        <v>101</v>
      </c>
      <c r="D1363" s="172" t="s">
        <v>103</v>
      </c>
      <c r="E1363" s="172" t="s">
        <v>54</v>
      </c>
      <c r="F1363" s="172" t="s">
        <v>121</v>
      </c>
      <c r="G1363" s="172" t="s">
        <v>85</v>
      </c>
      <c r="H1363" s="177">
        <v>1</v>
      </c>
      <c r="I1363" s="178">
        <v>1845</v>
      </c>
      <c r="J1363" s="176">
        <v>46029</v>
      </c>
      <c r="K1363" s="172" t="s">
        <v>94</v>
      </c>
      <c r="L1363" s="172" t="s">
        <v>95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1058</v>
      </c>
      <c r="B1364" s="176">
        <v>46033</v>
      </c>
      <c r="C1364" s="172" t="s">
        <v>101</v>
      </c>
      <c r="D1364" s="172" t="s">
        <v>104</v>
      </c>
      <c r="E1364" s="172" t="s">
        <v>54</v>
      </c>
      <c r="F1364" s="172" t="s">
        <v>121</v>
      </c>
      <c r="G1364" s="172" t="s">
        <v>85</v>
      </c>
      <c r="H1364" s="177">
        <v>1</v>
      </c>
      <c r="I1364" s="178">
        <v>1845</v>
      </c>
      <c r="J1364" s="176">
        <v>46029</v>
      </c>
      <c r="K1364" s="172" t="s">
        <v>94</v>
      </c>
      <c r="L1364" s="172" t="s">
        <v>95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1058</v>
      </c>
      <c r="B1365" s="176">
        <v>46033</v>
      </c>
      <c r="C1365" s="172" t="s">
        <v>105</v>
      </c>
      <c r="D1365" s="172" t="s">
        <v>106</v>
      </c>
      <c r="E1365" s="172" t="s">
        <v>54</v>
      </c>
      <c r="F1365" s="172" t="s">
        <v>121</v>
      </c>
      <c r="G1365" s="172" t="s">
        <v>85</v>
      </c>
      <c r="H1365" s="177">
        <v>1</v>
      </c>
      <c r="I1365" s="178">
        <v>1845</v>
      </c>
      <c r="J1365" s="176">
        <v>46029</v>
      </c>
      <c r="K1365" s="172" t="s">
        <v>94</v>
      </c>
      <c r="L1365" s="172" t="s">
        <v>95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1058</v>
      </c>
      <c r="B1366" s="176">
        <v>46033</v>
      </c>
      <c r="C1366" s="172" t="s">
        <v>82</v>
      </c>
      <c r="D1366" s="172" t="s">
        <v>96</v>
      </c>
      <c r="E1366" s="172" t="s">
        <v>54</v>
      </c>
      <c r="F1366" s="172" t="s">
        <v>121</v>
      </c>
      <c r="G1366" s="172" t="s">
        <v>85</v>
      </c>
      <c r="H1366" s="177">
        <v>1</v>
      </c>
      <c r="I1366" s="178">
        <v>1845</v>
      </c>
      <c r="J1366" s="176">
        <v>46029</v>
      </c>
      <c r="K1366" s="172" t="s">
        <v>94</v>
      </c>
      <c r="L1366" s="172" t="s">
        <v>95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1057</v>
      </c>
      <c r="B1367" s="176">
        <v>46033</v>
      </c>
      <c r="C1367" s="172" t="s">
        <v>82</v>
      </c>
      <c r="D1367" s="172" t="s">
        <v>83</v>
      </c>
      <c r="E1367" s="172" t="s">
        <v>54</v>
      </c>
      <c r="F1367" s="172" t="s">
        <v>121</v>
      </c>
      <c r="G1367" s="172" t="s">
        <v>85</v>
      </c>
      <c r="H1367" s="177">
        <v>1</v>
      </c>
      <c r="I1367" s="178">
        <v>0</v>
      </c>
      <c r="J1367" s="176">
        <v>46031</v>
      </c>
      <c r="K1367" s="172" t="s">
        <v>86</v>
      </c>
      <c r="L1367" s="172" t="s">
        <v>86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1059</v>
      </c>
      <c r="B1368" s="176">
        <v>46033</v>
      </c>
      <c r="C1368" s="172" t="s">
        <v>93</v>
      </c>
      <c r="D1368" s="172" t="s">
        <v>24</v>
      </c>
      <c r="E1368" s="172" t="s">
        <v>54</v>
      </c>
      <c r="F1368" s="172" t="s">
        <v>121</v>
      </c>
      <c r="G1368" s="172" t="s">
        <v>85</v>
      </c>
      <c r="H1368" s="177">
        <v>1</v>
      </c>
      <c r="I1368" s="178">
        <v>1845</v>
      </c>
      <c r="J1368" s="176">
        <v>46028</v>
      </c>
      <c r="K1368" s="172" t="s">
        <v>94</v>
      </c>
      <c r="L1368" s="172" t="s">
        <v>95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1059</v>
      </c>
      <c r="B1369" s="176">
        <v>46033</v>
      </c>
      <c r="C1369" s="172" t="s">
        <v>101</v>
      </c>
      <c r="D1369" s="172" t="s">
        <v>102</v>
      </c>
      <c r="E1369" s="172" t="s">
        <v>54</v>
      </c>
      <c r="F1369" s="172" t="s">
        <v>121</v>
      </c>
      <c r="G1369" s="172" t="s">
        <v>85</v>
      </c>
      <c r="H1369" s="177">
        <v>1</v>
      </c>
      <c r="I1369" s="178">
        <v>1845</v>
      </c>
      <c r="J1369" s="176">
        <v>46028</v>
      </c>
      <c r="K1369" s="172" t="s">
        <v>94</v>
      </c>
      <c r="L1369" s="172" t="s">
        <v>95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1059</v>
      </c>
      <c r="B1370" s="176">
        <v>46033</v>
      </c>
      <c r="C1370" s="172" t="s">
        <v>101</v>
      </c>
      <c r="D1370" s="172" t="s">
        <v>103</v>
      </c>
      <c r="E1370" s="172" t="s">
        <v>54</v>
      </c>
      <c r="F1370" s="172" t="s">
        <v>121</v>
      </c>
      <c r="G1370" s="172" t="s">
        <v>85</v>
      </c>
      <c r="H1370" s="177">
        <v>1</v>
      </c>
      <c r="I1370" s="178">
        <v>1845</v>
      </c>
      <c r="J1370" s="176">
        <v>46028</v>
      </c>
      <c r="K1370" s="172" t="s">
        <v>94</v>
      </c>
      <c r="L1370" s="172" t="s">
        <v>95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1059</v>
      </c>
      <c r="B1371" s="176">
        <v>46033</v>
      </c>
      <c r="C1371" s="172" t="s">
        <v>101</v>
      </c>
      <c r="D1371" s="172" t="s">
        <v>104</v>
      </c>
      <c r="E1371" s="172" t="s">
        <v>54</v>
      </c>
      <c r="F1371" s="172" t="s">
        <v>121</v>
      </c>
      <c r="G1371" s="172" t="s">
        <v>85</v>
      </c>
      <c r="H1371" s="177">
        <v>1</v>
      </c>
      <c r="I1371" s="178">
        <v>1845</v>
      </c>
      <c r="J1371" s="176">
        <v>46028</v>
      </c>
      <c r="K1371" s="172" t="s">
        <v>94</v>
      </c>
      <c r="L1371" s="172" t="s">
        <v>95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1059</v>
      </c>
      <c r="B1372" s="176">
        <v>46033</v>
      </c>
      <c r="C1372" s="172" t="s">
        <v>105</v>
      </c>
      <c r="D1372" s="172" t="s">
        <v>106</v>
      </c>
      <c r="E1372" s="172" t="s">
        <v>54</v>
      </c>
      <c r="F1372" s="172" t="s">
        <v>121</v>
      </c>
      <c r="G1372" s="172" t="s">
        <v>85</v>
      </c>
      <c r="H1372" s="177">
        <v>1</v>
      </c>
      <c r="I1372" s="178">
        <v>1845</v>
      </c>
      <c r="J1372" s="176">
        <v>46028</v>
      </c>
      <c r="K1372" s="172" t="s">
        <v>94</v>
      </c>
      <c r="L1372" s="172" t="s">
        <v>95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1059</v>
      </c>
      <c r="B1373" s="176">
        <v>46033</v>
      </c>
      <c r="C1373" s="172" t="s">
        <v>82</v>
      </c>
      <c r="D1373" s="172" t="s">
        <v>96</v>
      </c>
      <c r="E1373" s="172" t="s">
        <v>54</v>
      </c>
      <c r="F1373" s="172" t="s">
        <v>121</v>
      </c>
      <c r="G1373" s="172" t="s">
        <v>85</v>
      </c>
      <c r="H1373" s="177">
        <v>1</v>
      </c>
      <c r="I1373" s="178">
        <v>1845</v>
      </c>
      <c r="J1373" s="176">
        <v>46028</v>
      </c>
      <c r="K1373" s="172" t="s">
        <v>94</v>
      </c>
      <c r="L1373" s="172" t="s">
        <v>95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1060</v>
      </c>
      <c r="B1374" s="176">
        <v>46033</v>
      </c>
      <c r="C1374" s="172" t="s">
        <v>93</v>
      </c>
      <c r="D1374" s="172" t="s">
        <v>24</v>
      </c>
      <c r="E1374" s="172" t="s">
        <v>44</v>
      </c>
      <c r="F1374" s="172" t="s">
        <v>126</v>
      </c>
      <c r="G1374" s="172" t="s">
        <v>85</v>
      </c>
      <c r="H1374" s="177">
        <v>1</v>
      </c>
      <c r="I1374" s="178">
        <v>1202</v>
      </c>
      <c r="J1374" s="176">
        <v>46031</v>
      </c>
      <c r="K1374" s="172" t="s">
        <v>94</v>
      </c>
      <c r="L1374" s="172" t="s">
        <v>95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1060</v>
      </c>
      <c r="B1375" s="176">
        <v>46033</v>
      </c>
      <c r="C1375" s="172" t="s">
        <v>101</v>
      </c>
      <c r="D1375" s="172" t="s">
        <v>102</v>
      </c>
      <c r="E1375" s="172" t="s">
        <v>44</v>
      </c>
      <c r="F1375" s="172" t="s">
        <v>126</v>
      </c>
      <c r="G1375" s="172" t="s">
        <v>85</v>
      </c>
      <c r="H1375" s="177">
        <v>1</v>
      </c>
      <c r="I1375" s="178">
        <v>1202</v>
      </c>
      <c r="J1375" s="176">
        <v>46031</v>
      </c>
      <c r="K1375" s="172" t="s">
        <v>94</v>
      </c>
      <c r="L1375" s="172" t="s">
        <v>95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1060</v>
      </c>
      <c r="B1376" s="176">
        <v>46033</v>
      </c>
      <c r="C1376" s="172" t="s">
        <v>101</v>
      </c>
      <c r="D1376" s="172" t="s">
        <v>103</v>
      </c>
      <c r="E1376" s="172" t="s">
        <v>44</v>
      </c>
      <c r="F1376" s="172" t="s">
        <v>126</v>
      </c>
      <c r="G1376" s="172" t="s">
        <v>85</v>
      </c>
      <c r="H1376" s="177">
        <v>1</v>
      </c>
      <c r="I1376" s="178">
        <v>1202</v>
      </c>
      <c r="J1376" s="176">
        <v>46031</v>
      </c>
      <c r="K1376" s="172" t="s">
        <v>94</v>
      </c>
      <c r="L1376" s="172" t="s">
        <v>95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1060</v>
      </c>
      <c r="B1377" s="176">
        <v>46033</v>
      </c>
      <c r="C1377" s="172" t="s">
        <v>101</v>
      </c>
      <c r="D1377" s="172" t="s">
        <v>104</v>
      </c>
      <c r="E1377" s="172" t="s">
        <v>44</v>
      </c>
      <c r="F1377" s="172" t="s">
        <v>126</v>
      </c>
      <c r="G1377" s="172" t="s">
        <v>85</v>
      </c>
      <c r="H1377" s="177">
        <v>1</v>
      </c>
      <c r="I1377" s="178">
        <v>1202</v>
      </c>
      <c r="J1377" s="176">
        <v>46031</v>
      </c>
      <c r="K1377" s="172" t="s">
        <v>94</v>
      </c>
      <c r="L1377" s="172" t="s">
        <v>95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1060</v>
      </c>
      <c r="B1378" s="176">
        <v>46033</v>
      </c>
      <c r="C1378" s="172" t="s">
        <v>105</v>
      </c>
      <c r="D1378" s="172" t="s">
        <v>106</v>
      </c>
      <c r="E1378" s="172" t="s">
        <v>44</v>
      </c>
      <c r="F1378" s="172" t="s">
        <v>126</v>
      </c>
      <c r="G1378" s="172" t="s">
        <v>85</v>
      </c>
      <c r="H1378" s="177">
        <v>1</v>
      </c>
      <c r="I1378" s="178">
        <v>1202</v>
      </c>
      <c r="J1378" s="176">
        <v>46031</v>
      </c>
      <c r="K1378" s="172" t="s">
        <v>94</v>
      </c>
      <c r="L1378" s="172" t="s">
        <v>95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1060</v>
      </c>
      <c r="B1379" s="176">
        <v>46033</v>
      </c>
      <c r="C1379" s="172" t="s">
        <v>82</v>
      </c>
      <c r="D1379" s="172" t="s">
        <v>96</v>
      </c>
      <c r="E1379" s="172" t="s">
        <v>44</v>
      </c>
      <c r="F1379" s="172" t="s">
        <v>126</v>
      </c>
      <c r="G1379" s="172" t="s">
        <v>85</v>
      </c>
      <c r="H1379" s="177">
        <v>1</v>
      </c>
      <c r="I1379" s="178">
        <v>1202</v>
      </c>
      <c r="J1379" s="176">
        <v>46031</v>
      </c>
      <c r="K1379" s="172" t="s">
        <v>94</v>
      </c>
      <c r="L1379" s="172" t="s">
        <v>95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1061</v>
      </c>
      <c r="B1380" s="176">
        <v>46033</v>
      </c>
      <c r="C1380" s="172" t="s">
        <v>82</v>
      </c>
      <c r="D1380" s="172" t="s">
        <v>83</v>
      </c>
      <c r="E1380" s="172" t="s">
        <v>53</v>
      </c>
      <c r="F1380" s="172" t="s">
        <v>91</v>
      </c>
      <c r="G1380" s="172" t="s">
        <v>85</v>
      </c>
      <c r="H1380" s="177">
        <v>1</v>
      </c>
      <c r="I1380" s="178">
        <v>0</v>
      </c>
      <c r="J1380" s="176">
        <v>46033</v>
      </c>
      <c r="K1380" s="172" t="s">
        <v>86</v>
      </c>
      <c r="L1380" s="172" t="s">
        <v>86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1059</v>
      </c>
      <c r="B1381" s="176">
        <v>46033</v>
      </c>
      <c r="C1381" s="172" t="s">
        <v>82</v>
      </c>
      <c r="D1381" s="172" t="s">
        <v>83</v>
      </c>
      <c r="E1381" s="172" t="s">
        <v>54</v>
      </c>
      <c r="F1381" s="172" t="s">
        <v>121</v>
      </c>
      <c r="G1381" s="172" t="s">
        <v>85</v>
      </c>
      <c r="H1381" s="177">
        <v>1</v>
      </c>
      <c r="I1381" s="178">
        <v>0</v>
      </c>
      <c r="J1381" s="176">
        <v>46028</v>
      </c>
      <c r="K1381" s="172" t="s">
        <v>86</v>
      </c>
      <c r="L1381" s="172" t="s">
        <v>86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573</v>
      </c>
      <c r="B1382" s="176">
        <v>46033</v>
      </c>
      <c r="C1382" s="172" t="s">
        <v>93</v>
      </c>
      <c r="D1382" s="172" t="s">
        <v>24</v>
      </c>
      <c r="E1382" s="172" t="s">
        <v>54</v>
      </c>
      <c r="F1382" s="172" t="s">
        <v>121</v>
      </c>
      <c r="G1382" s="172" t="s">
        <v>85</v>
      </c>
      <c r="H1382" s="177">
        <v>1</v>
      </c>
      <c r="I1382" s="178">
        <v>1845</v>
      </c>
      <c r="J1382" s="176">
        <v>46029</v>
      </c>
      <c r="K1382" s="172" t="s">
        <v>94</v>
      </c>
      <c r="L1382" s="172" t="s">
        <v>95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573</v>
      </c>
      <c r="B1383" s="176">
        <v>46033</v>
      </c>
      <c r="C1383" s="172" t="s">
        <v>101</v>
      </c>
      <c r="D1383" s="172" t="s">
        <v>102</v>
      </c>
      <c r="E1383" s="172" t="s">
        <v>54</v>
      </c>
      <c r="F1383" s="172" t="s">
        <v>121</v>
      </c>
      <c r="G1383" s="172" t="s">
        <v>85</v>
      </c>
      <c r="H1383" s="177">
        <v>1</v>
      </c>
      <c r="I1383" s="178">
        <v>1845</v>
      </c>
      <c r="J1383" s="176">
        <v>46029</v>
      </c>
      <c r="K1383" s="172" t="s">
        <v>94</v>
      </c>
      <c r="L1383" s="172" t="s">
        <v>95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573</v>
      </c>
      <c r="B1384" s="176">
        <v>46033</v>
      </c>
      <c r="C1384" s="172" t="s">
        <v>101</v>
      </c>
      <c r="D1384" s="172" t="s">
        <v>103</v>
      </c>
      <c r="E1384" s="172" t="s">
        <v>54</v>
      </c>
      <c r="F1384" s="172" t="s">
        <v>121</v>
      </c>
      <c r="G1384" s="172" t="s">
        <v>85</v>
      </c>
      <c r="H1384" s="177">
        <v>1</v>
      </c>
      <c r="I1384" s="178">
        <v>1845</v>
      </c>
      <c r="J1384" s="176">
        <v>46029</v>
      </c>
      <c r="K1384" s="172" t="s">
        <v>94</v>
      </c>
      <c r="L1384" s="172" t="s">
        <v>95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573</v>
      </c>
      <c r="B1385" s="176">
        <v>46033</v>
      </c>
      <c r="C1385" s="172" t="s">
        <v>101</v>
      </c>
      <c r="D1385" s="172" t="s">
        <v>104</v>
      </c>
      <c r="E1385" s="172" t="s">
        <v>54</v>
      </c>
      <c r="F1385" s="172" t="s">
        <v>121</v>
      </c>
      <c r="G1385" s="172" t="s">
        <v>85</v>
      </c>
      <c r="H1385" s="177">
        <v>1</v>
      </c>
      <c r="I1385" s="178">
        <v>1845</v>
      </c>
      <c r="J1385" s="176">
        <v>46029</v>
      </c>
      <c r="K1385" s="172" t="s">
        <v>94</v>
      </c>
      <c r="L1385" s="172" t="s">
        <v>95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573</v>
      </c>
      <c r="B1386" s="176">
        <v>46033</v>
      </c>
      <c r="C1386" s="172" t="s">
        <v>105</v>
      </c>
      <c r="D1386" s="172" t="s">
        <v>106</v>
      </c>
      <c r="E1386" s="172" t="s">
        <v>54</v>
      </c>
      <c r="F1386" s="172" t="s">
        <v>121</v>
      </c>
      <c r="G1386" s="172" t="s">
        <v>85</v>
      </c>
      <c r="H1386" s="177">
        <v>1</v>
      </c>
      <c r="I1386" s="178">
        <v>1845</v>
      </c>
      <c r="J1386" s="176">
        <v>46029</v>
      </c>
      <c r="K1386" s="172" t="s">
        <v>94</v>
      </c>
      <c r="L1386" s="172" t="s">
        <v>95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573</v>
      </c>
      <c r="B1387" s="176">
        <v>46033</v>
      </c>
      <c r="C1387" s="172" t="s">
        <v>82</v>
      </c>
      <c r="D1387" s="172" t="s">
        <v>96</v>
      </c>
      <c r="E1387" s="172" t="s">
        <v>54</v>
      </c>
      <c r="F1387" s="172" t="s">
        <v>121</v>
      </c>
      <c r="G1387" s="172" t="s">
        <v>85</v>
      </c>
      <c r="H1387" s="177">
        <v>1</v>
      </c>
      <c r="I1387" s="178">
        <v>1845</v>
      </c>
      <c r="J1387" s="176">
        <v>46029</v>
      </c>
      <c r="K1387" s="172" t="s">
        <v>94</v>
      </c>
      <c r="L1387" s="172" t="s">
        <v>95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573</v>
      </c>
      <c r="B1388" s="176">
        <v>46033</v>
      </c>
      <c r="C1388" s="172" t="s">
        <v>167</v>
      </c>
      <c r="D1388" s="172" t="s">
        <v>168</v>
      </c>
      <c r="E1388" s="172" t="s">
        <v>54</v>
      </c>
      <c r="F1388" s="172" t="s">
        <v>121</v>
      </c>
      <c r="G1388" s="172" t="s">
        <v>85</v>
      </c>
      <c r="H1388" s="177">
        <v>1</v>
      </c>
      <c r="I1388" s="178">
        <v>-1845</v>
      </c>
      <c r="J1388" s="176">
        <v>46029</v>
      </c>
      <c r="K1388" s="172" t="s">
        <v>94</v>
      </c>
      <c r="L1388" s="172" t="s">
        <v>95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573</v>
      </c>
      <c r="B1389" s="176">
        <v>46033</v>
      </c>
      <c r="C1389" s="172" t="s">
        <v>167</v>
      </c>
      <c r="D1389" s="172" t="s">
        <v>103</v>
      </c>
      <c r="E1389" s="172" t="s">
        <v>54</v>
      </c>
      <c r="F1389" s="172" t="s">
        <v>121</v>
      </c>
      <c r="G1389" s="172" t="s">
        <v>85</v>
      </c>
      <c r="H1389" s="177">
        <v>1</v>
      </c>
      <c r="I1389" s="178">
        <v>-1845</v>
      </c>
      <c r="J1389" s="176">
        <v>46029</v>
      </c>
      <c r="K1389" s="172" t="s">
        <v>94</v>
      </c>
      <c r="L1389" s="172" t="s">
        <v>95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573</v>
      </c>
      <c r="B1390" s="176">
        <v>46033</v>
      </c>
      <c r="C1390" s="172" t="s">
        <v>167</v>
      </c>
      <c r="D1390" s="172" t="s">
        <v>104</v>
      </c>
      <c r="E1390" s="172" t="s">
        <v>54</v>
      </c>
      <c r="F1390" s="172" t="s">
        <v>121</v>
      </c>
      <c r="G1390" s="172" t="s">
        <v>85</v>
      </c>
      <c r="H1390" s="177">
        <v>1</v>
      </c>
      <c r="I1390" s="178">
        <v>-1845</v>
      </c>
      <c r="J1390" s="176">
        <v>46029</v>
      </c>
      <c r="K1390" s="172" t="s">
        <v>94</v>
      </c>
      <c r="L1390" s="172" t="s">
        <v>95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573</v>
      </c>
      <c r="B1391" s="176">
        <v>46033</v>
      </c>
      <c r="C1391" s="172" t="s">
        <v>105</v>
      </c>
      <c r="D1391" s="172" t="s">
        <v>169</v>
      </c>
      <c r="E1391" s="172" t="s">
        <v>54</v>
      </c>
      <c r="F1391" s="172" t="s">
        <v>121</v>
      </c>
      <c r="G1391" s="172" t="s">
        <v>85</v>
      </c>
      <c r="H1391" s="177">
        <v>1</v>
      </c>
      <c r="I1391" s="178">
        <v>-1845</v>
      </c>
      <c r="J1391" s="176">
        <v>46029</v>
      </c>
      <c r="K1391" s="172" t="s">
        <v>94</v>
      </c>
      <c r="L1391" s="172" t="s">
        <v>95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1062</v>
      </c>
      <c r="B1392" s="176">
        <v>46033</v>
      </c>
      <c r="C1392" s="172" t="s">
        <v>82</v>
      </c>
      <c r="D1392" s="172" t="s">
        <v>83</v>
      </c>
      <c r="E1392" s="172" t="s">
        <v>54</v>
      </c>
      <c r="F1392" s="172" t="s">
        <v>121</v>
      </c>
      <c r="G1392" s="172" t="s">
        <v>85</v>
      </c>
      <c r="H1392" s="177">
        <v>1</v>
      </c>
      <c r="I1392" s="178">
        <v>0</v>
      </c>
      <c r="J1392" s="176">
        <v>46033</v>
      </c>
      <c r="K1392" s="172" t="s">
        <v>86</v>
      </c>
      <c r="L1392" s="172" t="s">
        <v>86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1063</v>
      </c>
      <c r="B1393" s="176">
        <v>46033</v>
      </c>
      <c r="C1393" s="172" t="s">
        <v>93</v>
      </c>
      <c r="D1393" s="172" t="s">
        <v>24</v>
      </c>
      <c r="E1393" s="172" t="s">
        <v>54</v>
      </c>
      <c r="F1393" s="172" t="s">
        <v>121</v>
      </c>
      <c r="G1393" s="172" t="s">
        <v>85</v>
      </c>
      <c r="H1393" s="177">
        <v>1</v>
      </c>
      <c r="I1393" s="178">
        <v>1845</v>
      </c>
      <c r="J1393" s="176">
        <v>46024</v>
      </c>
      <c r="K1393" s="172" t="s">
        <v>94</v>
      </c>
      <c r="L1393" s="172" t="s">
        <v>95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1063</v>
      </c>
      <c r="B1394" s="176">
        <v>46033</v>
      </c>
      <c r="C1394" s="172" t="s">
        <v>101</v>
      </c>
      <c r="D1394" s="172" t="s">
        <v>102</v>
      </c>
      <c r="E1394" s="172" t="s">
        <v>54</v>
      </c>
      <c r="F1394" s="172" t="s">
        <v>121</v>
      </c>
      <c r="G1394" s="172" t="s">
        <v>85</v>
      </c>
      <c r="H1394" s="177">
        <v>1</v>
      </c>
      <c r="I1394" s="178">
        <v>1845</v>
      </c>
      <c r="J1394" s="176">
        <v>46024</v>
      </c>
      <c r="K1394" s="172" t="s">
        <v>94</v>
      </c>
      <c r="L1394" s="172" t="s">
        <v>95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1063</v>
      </c>
      <c r="B1395" s="176">
        <v>46033</v>
      </c>
      <c r="C1395" s="172" t="s">
        <v>101</v>
      </c>
      <c r="D1395" s="172" t="s">
        <v>103</v>
      </c>
      <c r="E1395" s="172" t="s">
        <v>54</v>
      </c>
      <c r="F1395" s="172" t="s">
        <v>121</v>
      </c>
      <c r="G1395" s="172" t="s">
        <v>85</v>
      </c>
      <c r="H1395" s="177">
        <v>1</v>
      </c>
      <c r="I1395" s="178">
        <v>1845</v>
      </c>
      <c r="J1395" s="176">
        <v>46024</v>
      </c>
      <c r="K1395" s="172" t="s">
        <v>94</v>
      </c>
      <c r="L1395" s="172" t="s">
        <v>95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1063</v>
      </c>
      <c r="B1396" s="176">
        <v>46033</v>
      </c>
      <c r="C1396" s="172" t="s">
        <v>101</v>
      </c>
      <c r="D1396" s="172" t="s">
        <v>104</v>
      </c>
      <c r="E1396" s="172" t="s">
        <v>54</v>
      </c>
      <c r="F1396" s="172" t="s">
        <v>121</v>
      </c>
      <c r="G1396" s="172" t="s">
        <v>85</v>
      </c>
      <c r="H1396" s="177">
        <v>1</v>
      </c>
      <c r="I1396" s="178">
        <v>1845</v>
      </c>
      <c r="J1396" s="176">
        <v>46024</v>
      </c>
      <c r="K1396" s="172" t="s">
        <v>94</v>
      </c>
      <c r="L1396" s="172" t="s">
        <v>95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1063</v>
      </c>
      <c r="B1397" s="176">
        <v>46033</v>
      </c>
      <c r="C1397" s="172" t="s">
        <v>105</v>
      </c>
      <c r="D1397" s="172" t="s">
        <v>106</v>
      </c>
      <c r="E1397" s="172" t="s">
        <v>54</v>
      </c>
      <c r="F1397" s="172" t="s">
        <v>121</v>
      </c>
      <c r="G1397" s="172" t="s">
        <v>85</v>
      </c>
      <c r="H1397" s="177">
        <v>1</v>
      </c>
      <c r="I1397" s="178">
        <v>1845</v>
      </c>
      <c r="J1397" s="176">
        <v>46024</v>
      </c>
      <c r="K1397" s="172" t="s">
        <v>94</v>
      </c>
      <c r="L1397" s="172" t="s">
        <v>95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1063</v>
      </c>
      <c r="B1398" s="176">
        <v>46033</v>
      </c>
      <c r="C1398" s="172" t="s">
        <v>82</v>
      </c>
      <c r="D1398" s="172" t="s">
        <v>96</v>
      </c>
      <c r="E1398" s="172" t="s">
        <v>54</v>
      </c>
      <c r="F1398" s="172" t="s">
        <v>121</v>
      </c>
      <c r="G1398" s="172" t="s">
        <v>85</v>
      </c>
      <c r="H1398" s="177">
        <v>1</v>
      </c>
      <c r="I1398" s="178">
        <v>1845</v>
      </c>
      <c r="J1398" s="176">
        <v>46024</v>
      </c>
      <c r="K1398" s="172" t="s">
        <v>94</v>
      </c>
      <c r="L1398" s="172" t="s">
        <v>95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1064</v>
      </c>
      <c r="B1399" s="176">
        <v>46033</v>
      </c>
      <c r="C1399" s="172" t="s">
        <v>93</v>
      </c>
      <c r="D1399" s="172" t="s">
        <v>24</v>
      </c>
      <c r="E1399" s="172" t="s">
        <v>44</v>
      </c>
      <c r="F1399" s="172" t="s">
        <v>126</v>
      </c>
      <c r="G1399" s="172" t="s">
        <v>85</v>
      </c>
      <c r="H1399" s="177">
        <v>1</v>
      </c>
      <c r="I1399" s="178">
        <v>1202</v>
      </c>
      <c r="J1399" s="176">
        <v>46030</v>
      </c>
      <c r="K1399" s="172" t="s">
        <v>94</v>
      </c>
      <c r="L1399" s="172" t="s">
        <v>95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1064</v>
      </c>
      <c r="B1400" s="176">
        <v>46033</v>
      </c>
      <c r="C1400" s="172" t="s">
        <v>101</v>
      </c>
      <c r="D1400" s="172" t="s">
        <v>102</v>
      </c>
      <c r="E1400" s="172" t="s">
        <v>44</v>
      </c>
      <c r="F1400" s="172" t="s">
        <v>126</v>
      </c>
      <c r="G1400" s="172" t="s">
        <v>85</v>
      </c>
      <c r="H1400" s="177">
        <v>1</v>
      </c>
      <c r="I1400" s="178">
        <v>1202</v>
      </c>
      <c r="J1400" s="176">
        <v>46030</v>
      </c>
      <c r="K1400" s="172" t="s">
        <v>94</v>
      </c>
      <c r="L1400" s="172" t="s">
        <v>95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1064</v>
      </c>
      <c r="B1401" s="176">
        <v>46033</v>
      </c>
      <c r="C1401" s="172" t="s">
        <v>101</v>
      </c>
      <c r="D1401" s="172" t="s">
        <v>103</v>
      </c>
      <c r="E1401" s="172" t="s">
        <v>44</v>
      </c>
      <c r="F1401" s="172" t="s">
        <v>126</v>
      </c>
      <c r="G1401" s="172" t="s">
        <v>85</v>
      </c>
      <c r="H1401" s="177">
        <v>1</v>
      </c>
      <c r="I1401" s="178">
        <v>1202</v>
      </c>
      <c r="J1401" s="176">
        <v>46030</v>
      </c>
      <c r="K1401" s="172" t="s">
        <v>94</v>
      </c>
      <c r="L1401" s="172" t="s">
        <v>95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1064</v>
      </c>
      <c r="B1402" s="176">
        <v>46033</v>
      </c>
      <c r="C1402" s="172" t="s">
        <v>101</v>
      </c>
      <c r="D1402" s="172" t="s">
        <v>104</v>
      </c>
      <c r="E1402" s="172" t="s">
        <v>44</v>
      </c>
      <c r="F1402" s="172" t="s">
        <v>126</v>
      </c>
      <c r="G1402" s="172" t="s">
        <v>85</v>
      </c>
      <c r="H1402" s="177">
        <v>1</v>
      </c>
      <c r="I1402" s="178">
        <v>1202</v>
      </c>
      <c r="J1402" s="176">
        <v>46030</v>
      </c>
      <c r="K1402" s="172" t="s">
        <v>94</v>
      </c>
      <c r="L1402" s="172" t="s">
        <v>95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1064</v>
      </c>
      <c r="B1403" s="176">
        <v>46033</v>
      </c>
      <c r="C1403" s="172" t="s">
        <v>105</v>
      </c>
      <c r="D1403" s="172" t="s">
        <v>106</v>
      </c>
      <c r="E1403" s="172" t="s">
        <v>44</v>
      </c>
      <c r="F1403" s="172" t="s">
        <v>126</v>
      </c>
      <c r="G1403" s="172" t="s">
        <v>85</v>
      </c>
      <c r="H1403" s="177">
        <v>1</v>
      </c>
      <c r="I1403" s="178">
        <v>1202</v>
      </c>
      <c r="J1403" s="176">
        <v>46030</v>
      </c>
      <c r="K1403" s="172" t="s">
        <v>94</v>
      </c>
      <c r="L1403" s="172" t="s">
        <v>95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902</v>
      </c>
      <c r="B1404" s="176">
        <v>46033</v>
      </c>
      <c r="C1404" s="172" t="s">
        <v>82</v>
      </c>
      <c r="D1404" s="172" t="s">
        <v>83</v>
      </c>
      <c r="E1404" s="172" t="s">
        <v>54</v>
      </c>
      <c r="F1404" s="172" t="s">
        <v>121</v>
      </c>
      <c r="G1404" s="172" t="s">
        <v>85</v>
      </c>
      <c r="H1404" s="177">
        <v>1</v>
      </c>
      <c r="I1404" s="178">
        <v>0</v>
      </c>
      <c r="J1404" s="176">
        <v>46029</v>
      </c>
      <c r="K1404" s="172" t="s">
        <v>86</v>
      </c>
      <c r="L1404" s="172" t="s">
        <v>86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1065</v>
      </c>
      <c r="B1405" s="176">
        <v>46033</v>
      </c>
      <c r="C1405" s="172" t="s">
        <v>93</v>
      </c>
      <c r="D1405" s="172" t="s">
        <v>24</v>
      </c>
      <c r="E1405" s="172" t="s">
        <v>43</v>
      </c>
      <c r="F1405" s="172" t="s">
        <v>90</v>
      </c>
      <c r="G1405" s="172" t="s">
        <v>85</v>
      </c>
      <c r="H1405" s="177">
        <v>1</v>
      </c>
      <c r="I1405" s="178">
        <v>1600</v>
      </c>
      <c r="J1405" s="176">
        <v>46031</v>
      </c>
      <c r="K1405" s="172" t="s">
        <v>94</v>
      </c>
      <c r="L1405" s="172" t="s">
        <v>95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1065</v>
      </c>
      <c r="B1406" s="176">
        <v>46033</v>
      </c>
      <c r="C1406" s="172" t="s">
        <v>101</v>
      </c>
      <c r="D1406" s="172" t="s">
        <v>102</v>
      </c>
      <c r="E1406" s="172" t="s">
        <v>43</v>
      </c>
      <c r="F1406" s="172" t="s">
        <v>90</v>
      </c>
      <c r="G1406" s="172" t="s">
        <v>85</v>
      </c>
      <c r="H1406" s="177">
        <v>1</v>
      </c>
      <c r="I1406" s="178">
        <v>1600</v>
      </c>
      <c r="J1406" s="176">
        <v>46031</v>
      </c>
      <c r="K1406" s="172" t="s">
        <v>94</v>
      </c>
      <c r="L1406" s="172" t="s">
        <v>95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1065</v>
      </c>
      <c r="B1407" s="176">
        <v>46033</v>
      </c>
      <c r="C1407" s="172" t="s">
        <v>101</v>
      </c>
      <c r="D1407" s="172" t="s">
        <v>103</v>
      </c>
      <c r="E1407" s="172" t="s">
        <v>43</v>
      </c>
      <c r="F1407" s="172" t="s">
        <v>90</v>
      </c>
      <c r="G1407" s="172" t="s">
        <v>85</v>
      </c>
      <c r="H1407" s="177">
        <v>1</v>
      </c>
      <c r="I1407" s="178">
        <v>1600</v>
      </c>
      <c r="J1407" s="176">
        <v>46031</v>
      </c>
      <c r="K1407" s="172" t="s">
        <v>94</v>
      </c>
      <c r="L1407" s="172" t="s">
        <v>95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1065</v>
      </c>
      <c r="B1408" s="176">
        <v>46033</v>
      </c>
      <c r="C1408" s="172" t="s">
        <v>101</v>
      </c>
      <c r="D1408" s="172" t="s">
        <v>104</v>
      </c>
      <c r="E1408" s="172" t="s">
        <v>43</v>
      </c>
      <c r="F1408" s="172" t="s">
        <v>90</v>
      </c>
      <c r="G1408" s="172" t="s">
        <v>85</v>
      </c>
      <c r="H1408" s="177">
        <v>1</v>
      </c>
      <c r="I1408" s="178">
        <v>1600</v>
      </c>
      <c r="J1408" s="176">
        <v>46031</v>
      </c>
      <c r="K1408" s="172" t="s">
        <v>94</v>
      </c>
      <c r="L1408" s="172" t="s">
        <v>95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1065</v>
      </c>
      <c r="B1409" s="176">
        <v>46033</v>
      </c>
      <c r="C1409" s="172" t="s">
        <v>105</v>
      </c>
      <c r="D1409" s="172" t="s">
        <v>106</v>
      </c>
      <c r="E1409" s="172" t="s">
        <v>43</v>
      </c>
      <c r="F1409" s="172" t="s">
        <v>90</v>
      </c>
      <c r="G1409" s="172" t="s">
        <v>85</v>
      </c>
      <c r="H1409" s="177">
        <v>1</v>
      </c>
      <c r="I1409" s="178">
        <v>1600</v>
      </c>
      <c r="J1409" s="176">
        <v>46031</v>
      </c>
      <c r="K1409" s="172" t="s">
        <v>94</v>
      </c>
      <c r="L1409" s="172" t="s">
        <v>95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1065</v>
      </c>
      <c r="B1410" s="176">
        <v>46033</v>
      </c>
      <c r="C1410" s="172" t="s">
        <v>82</v>
      </c>
      <c r="D1410" s="172" t="s">
        <v>96</v>
      </c>
      <c r="E1410" s="172" t="s">
        <v>43</v>
      </c>
      <c r="F1410" s="172" t="s">
        <v>90</v>
      </c>
      <c r="G1410" s="172" t="s">
        <v>85</v>
      </c>
      <c r="H1410" s="177">
        <v>1</v>
      </c>
      <c r="I1410" s="178">
        <v>1600</v>
      </c>
      <c r="J1410" s="176">
        <v>46031</v>
      </c>
      <c r="K1410" s="172" t="s">
        <v>94</v>
      </c>
      <c r="L1410" s="172" t="s">
        <v>95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1064</v>
      </c>
      <c r="B1411" s="176">
        <v>46033</v>
      </c>
      <c r="C1411" s="172" t="s">
        <v>82</v>
      </c>
      <c r="D1411" s="172" t="s">
        <v>83</v>
      </c>
      <c r="E1411" s="172" t="s">
        <v>44</v>
      </c>
      <c r="F1411" s="172" t="s">
        <v>126</v>
      </c>
      <c r="G1411" s="172" t="s">
        <v>85</v>
      </c>
      <c r="H1411" s="177">
        <v>1</v>
      </c>
      <c r="I1411" s="178">
        <v>0</v>
      </c>
      <c r="J1411" s="176">
        <v>46030</v>
      </c>
      <c r="K1411" s="172" t="s">
        <v>86</v>
      </c>
      <c r="L1411" s="172" t="s">
        <v>86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1065</v>
      </c>
      <c r="B1412" s="176">
        <v>46033</v>
      </c>
      <c r="C1412" s="172" t="s">
        <v>82</v>
      </c>
      <c r="D1412" s="172" t="s">
        <v>83</v>
      </c>
      <c r="E1412" s="172" t="s">
        <v>43</v>
      </c>
      <c r="F1412" s="172" t="s">
        <v>90</v>
      </c>
      <c r="G1412" s="172" t="s">
        <v>85</v>
      </c>
      <c r="H1412" s="177">
        <v>1</v>
      </c>
      <c r="I1412" s="178">
        <v>0</v>
      </c>
      <c r="J1412" s="176">
        <v>46031</v>
      </c>
      <c r="K1412" s="172" t="s">
        <v>86</v>
      </c>
      <c r="L1412" s="172" t="s">
        <v>86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1066</v>
      </c>
      <c r="B1413" s="176">
        <v>46033</v>
      </c>
      <c r="C1413" s="172" t="s">
        <v>93</v>
      </c>
      <c r="D1413" s="172" t="s">
        <v>24</v>
      </c>
      <c r="E1413" s="172" t="s">
        <v>43</v>
      </c>
      <c r="F1413" s="172" t="s">
        <v>90</v>
      </c>
      <c r="G1413" s="172" t="s">
        <v>85</v>
      </c>
      <c r="H1413" s="177">
        <v>1</v>
      </c>
      <c r="I1413" s="178">
        <v>1600</v>
      </c>
      <c r="J1413" s="176">
        <v>46030</v>
      </c>
      <c r="K1413" s="172" t="s">
        <v>94</v>
      </c>
      <c r="L1413" s="172" t="s">
        <v>95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1066</v>
      </c>
      <c r="B1414" s="176">
        <v>46033</v>
      </c>
      <c r="C1414" s="172" t="s">
        <v>101</v>
      </c>
      <c r="D1414" s="172" t="s">
        <v>102</v>
      </c>
      <c r="E1414" s="172" t="s">
        <v>43</v>
      </c>
      <c r="F1414" s="172" t="s">
        <v>90</v>
      </c>
      <c r="G1414" s="172" t="s">
        <v>85</v>
      </c>
      <c r="H1414" s="177">
        <v>1</v>
      </c>
      <c r="I1414" s="178">
        <v>1600</v>
      </c>
      <c r="J1414" s="176">
        <v>46030</v>
      </c>
      <c r="K1414" s="172" t="s">
        <v>94</v>
      </c>
      <c r="L1414" s="172" t="s">
        <v>95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1066</v>
      </c>
      <c r="B1415" s="176">
        <v>46033</v>
      </c>
      <c r="C1415" s="172" t="s">
        <v>101</v>
      </c>
      <c r="D1415" s="172" t="s">
        <v>103</v>
      </c>
      <c r="E1415" s="172" t="s">
        <v>43</v>
      </c>
      <c r="F1415" s="172" t="s">
        <v>90</v>
      </c>
      <c r="G1415" s="172" t="s">
        <v>85</v>
      </c>
      <c r="H1415" s="177">
        <v>1</v>
      </c>
      <c r="I1415" s="178">
        <v>1600</v>
      </c>
      <c r="J1415" s="176">
        <v>46030</v>
      </c>
      <c r="K1415" s="172" t="s">
        <v>94</v>
      </c>
      <c r="L1415" s="172" t="s">
        <v>95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1066</v>
      </c>
      <c r="B1416" s="176">
        <v>46033</v>
      </c>
      <c r="C1416" s="172" t="s">
        <v>101</v>
      </c>
      <c r="D1416" s="172" t="s">
        <v>104</v>
      </c>
      <c r="E1416" s="172" t="s">
        <v>43</v>
      </c>
      <c r="F1416" s="172" t="s">
        <v>90</v>
      </c>
      <c r="G1416" s="172" t="s">
        <v>85</v>
      </c>
      <c r="H1416" s="177">
        <v>1</v>
      </c>
      <c r="I1416" s="178">
        <v>1600</v>
      </c>
      <c r="J1416" s="176">
        <v>46030</v>
      </c>
      <c r="K1416" s="172" t="s">
        <v>94</v>
      </c>
      <c r="L1416" s="172" t="s">
        <v>95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1066</v>
      </c>
      <c r="B1417" s="176">
        <v>46033</v>
      </c>
      <c r="C1417" s="172" t="s">
        <v>105</v>
      </c>
      <c r="D1417" s="172" t="s">
        <v>106</v>
      </c>
      <c r="E1417" s="172" t="s">
        <v>43</v>
      </c>
      <c r="F1417" s="172" t="s">
        <v>90</v>
      </c>
      <c r="G1417" s="172" t="s">
        <v>85</v>
      </c>
      <c r="H1417" s="177">
        <v>1</v>
      </c>
      <c r="I1417" s="178">
        <v>1600</v>
      </c>
      <c r="J1417" s="176">
        <v>46030</v>
      </c>
      <c r="K1417" s="172" t="s">
        <v>94</v>
      </c>
      <c r="L1417" s="172" t="s">
        <v>95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1066</v>
      </c>
      <c r="B1418" s="176">
        <v>46033</v>
      </c>
      <c r="C1418" s="172" t="s">
        <v>82</v>
      </c>
      <c r="D1418" s="172" t="s">
        <v>96</v>
      </c>
      <c r="E1418" s="172" t="s">
        <v>43</v>
      </c>
      <c r="F1418" s="172" t="s">
        <v>90</v>
      </c>
      <c r="G1418" s="172" t="s">
        <v>85</v>
      </c>
      <c r="H1418" s="177">
        <v>1</v>
      </c>
      <c r="I1418" s="178">
        <v>1600</v>
      </c>
      <c r="J1418" s="176">
        <v>46030</v>
      </c>
      <c r="K1418" s="172" t="s">
        <v>94</v>
      </c>
      <c r="L1418" s="172" t="s">
        <v>95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1066</v>
      </c>
      <c r="B1419" s="176">
        <v>46033</v>
      </c>
      <c r="C1419" s="172" t="s">
        <v>82</v>
      </c>
      <c r="D1419" s="172" t="s">
        <v>83</v>
      </c>
      <c r="E1419" s="172" t="s">
        <v>43</v>
      </c>
      <c r="F1419" s="172" t="s">
        <v>90</v>
      </c>
      <c r="G1419" s="172" t="s">
        <v>85</v>
      </c>
      <c r="H1419" s="177">
        <v>1</v>
      </c>
      <c r="I1419" s="178">
        <v>0</v>
      </c>
      <c r="J1419" s="176">
        <v>46030</v>
      </c>
      <c r="K1419" s="172" t="s">
        <v>86</v>
      </c>
      <c r="L1419" s="172" t="s">
        <v>86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1067</v>
      </c>
      <c r="B1420" s="176">
        <v>46033</v>
      </c>
      <c r="C1420" s="172" t="s">
        <v>82</v>
      </c>
      <c r="D1420" s="172" t="s">
        <v>83</v>
      </c>
      <c r="E1420" s="172" t="s">
        <v>53</v>
      </c>
      <c r="F1420" s="172" t="s">
        <v>91</v>
      </c>
      <c r="G1420" s="172" t="s">
        <v>85</v>
      </c>
      <c r="H1420" s="177">
        <v>1</v>
      </c>
      <c r="I1420" s="178">
        <v>0</v>
      </c>
      <c r="J1420" s="176">
        <v>46033</v>
      </c>
      <c r="K1420" s="172" t="s">
        <v>86</v>
      </c>
      <c r="L1420" s="172" t="s">
        <v>86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1068</v>
      </c>
      <c r="B1421" s="176">
        <v>46033</v>
      </c>
      <c r="C1421" s="172" t="s">
        <v>93</v>
      </c>
      <c r="D1421" s="172" t="s">
        <v>24</v>
      </c>
      <c r="E1421" s="172" t="s">
        <v>41</v>
      </c>
      <c r="F1421" s="172" t="s">
        <v>198</v>
      </c>
      <c r="G1421" s="172" t="s">
        <v>85</v>
      </c>
      <c r="H1421" s="177">
        <v>1</v>
      </c>
      <c r="I1421" s="178">
        <v>0</v>
      </c>
      <c r="J1421" s="176">
        <v>46026</v>
      </c>
      <c r="K1421" s="172" t="s">
        <v>94</v>
      </c>
      <c r="L1421" s="172" t="s">
        <v>95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1068</v>
      </c>
      <c r="B1422" s="176">
        <v>46033</v>
      </c>
      <c r="C1422" s="172" t="s">
        <v>82</v>
      </c>
      <c r="D1422" s="172" t="s">
        <v>96</v>
      </c>
      <c r="E1422" s="172" t="s">
        <v>41</v>
      </c>
      <c r="F1422" s="172" t="s">
        <v>198</v>
      </c>
      <c r="G1422" s="172" t="s">
        <v>85</v>
      </c>
      <c r="H1422" s="177">
        <v>1</v>
      </c>
      <c r="I1422" s="178">
        <v>0</v>
      </c>
      <c r="J1422" s="176">
        <v>46026</v>
      </c>
      <c r="K1422" s="172" t="s">
        <v>94</v>
      </c>
      <c r="L1422" s="172" t="s">
        <v>95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1069</v>
      </c>
      <c r="B1423" s="176">
        <v>46033</v>
      </c>
      <c r="C1423" s="172" t="s">
        <v>82</v>
      </c>
      <c r="D1423" s="172" t="s">
        <v>83</v>
      </c>
      <c r="E1423" s="172" t="s">
        <v>53</v>
      </c>
      <c r="F1423" s="172" t="s">
        <v>91</v>
      </c>
      <c r="G1423" s="172" t="s">
        <v>85</v>
      </c>
      <c r="H1423" s="177">
        <v>1</v>
      </c>
      <c r="I1423" s="178">
        <v>0</v>
      </c>
      <c r="J1423" s="176">
        <v>46033</v>
      </c>
      <c r="K1423" s="172" t="s">
        <v>86</v>
      </c>
      <c r="L1423" s="172" t="s">
        <v>86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1068</v>
      </c>
      <c r="B1424" s="176">
        <v>46033</v>
      </c>
      <c r="C1424" s="172" t="s">
        <v>93</v>
      </c>
      <c r="D1424" s="172" t="s">
        <v>97</v>
      </c>
      <c r="E1424" s="172" t="s">
        <v>41</v>
      </c>
      <c r="F1424" s="172" t="s">
        <v>198</v>
      </c>
      <c r="G1424" s="172" t="s">
        <v>85</v>
      </c>
      <c r="H1424" s="177">
        <v>1</v>
      </c>
      <c r="I1424" s="178">
        <v>0</v>
      </c>
      <c r="J1424" s="176">
        <v>46026</v>
      </c>
      <c r="K1424" s="172" t="s">
        <v>94</v>
      </c>
      <c r="L1424" s="172" t="s">
        <v>95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1068</v>
      </c>
      <c r="B1425" s="176">
        <v>46033</v>
      </c>
      <c r="C1425" s="172" t="s">
        <v>93</v>
      </c>
      <c r="D1425" s="172" t="s">
        <v>98</v>
      </c>
      <c r="E1425" s="172" t="s">
        <v>41</v>
      </c>
      <c r="F1425" s="172" t="s">
        <v>198</v>
      </c>
      <c r="G1425" s="172" t="s">
        <v>85</v>
      </c>
      <c r="H1425" s="177">
        <v>1</v>
      </c>
      <c r="I1425" s="178">
        <v>0</v>
      </c>
      <c r="J1425" s="176">
        <v>46026</v>
      </c>
      <c r="K1425" s="172" t="s">
        <v>94</v>
      </c>
      <c r="L1425" s="172" t="s">
        <v>95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1068</v>
      </c>
      <c r="B1426" s="176">
        <v>46033</v>
      </c>
      <c r="C1426" s="172" t="s">
        <v>82</v>
      </c>
      <c r="D1426" s="172" t="s">
        <v>99</v>
      </c>
      <c r="E1426" s="172" t="s">
        <v>41</v>
      </c>
      <c r="F1426" s="172" t="s">
        <v>198</v>
      </c>
      <c r="G1426" s="172" t="s">
        <v>85</v>
      </c>
      <c r="H1426" s="177">
        <v>1</v>
      </c>
      <c r="I1426" s="178">
        <v>0</v>
      </c>
      <c r="J1426" s="176">
        <v>46026</v>
      </c>
      <c r="K1426" s="172" t="s">
        <v>94</v>
      </c>
      <c r="L1426" s="172" t="s">
        <v>95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1070</v>
      </c>
      <c r="B1427" s="176">
        <v>46033</v>
      </c>
      <c r="C1427" s="172" t="s">
        <v>82</v>
      </c>
      <c r="D1427" s="172" t="s">
        <v>83</v>
      </c>
      <c r="E1427" s="172" t="s">
        <v>42</v>
      </c>
      <c r="F1427" s="172" t="s">
        <v>84</v>
      </c>
      <c r="G1427" s="172" t="s">
        <v>85</v>
      </c>
      <c r="H1427" s="177">
        <v>1</v>
      </c>
      <c r="I1427" s="178">
        <v>0</v>
      </c>
      <c r="J1427" s="176">
        <v>46033</v>
      </c>
      <c r="K1427" s="172" t="s">
        <v>86</v>
      </c>
      <c r="L1427" s="172" t="s">
        <v>86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1071</v>
      </c>
      <c r="B1428" s="176">
        <v>46033</v>
      </c>
      <c r="C1428" s="172" t="s">
        <v>93</v>
      </c>
      <c r="D1428" s="172" t="s">
        <v>24</v>
      </c>
      <c r="E1428" s="172" t="s">
        <v>44</v>
      </c>
      <c r="F1428" s="172" t="s">
        <v>126</v>
      </c>
      <c r="G1428" s="172" t="s">
        <v>85</v>
      </c>
      <c r="H1428" s="177">
        <v>1</v>
      </c>
      <c r="I1428" s="178">
        <v>1202</v>
      </c>
      <c r="J1428" s="176">
        <v>46031</v>
      </c>
      <c r="K1428" s="172" t="s">
        <v>94</v>
      </c>
      <c r="L1428" s="172" t="s">
        <v>95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1071</v>
      </c>
      <c r="B1429" s="176">
        <v>46033</v>
      </c>
      <c r="C1429" s="172" t="s">
        <v>101</v>
      </c>
      <c r="D1429" s="172" t="s">
        <v>102</v>
      </c>
      <c r="E1429" s="172" t="s">
        <v>44</v>
      </c>
      <c r="F1429" s="172" t="s">
        <v>126</v>
      </c>
      <c r="G1429" s="172" t="s">
        <v>85</v>
      </c>
      <c r="H1429" s="177">
        <v>1</v>
      </c>
      <c r="I1429" s="178">
        <v>1202</v>
      </c>
      <c r="J1429" s="176">
        <v>46031</v>
      </c>
      <c r="K1429" s="172" t="s">
        <v>94</v>
      </c>
      <c r="L1429" s="172" t="s">
        <v>95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1071</v>
      </c>
      <c r="B1430" s="176">
        <v>46033</v>
      </c>
      <c r="C1430" s="172" t="s">
        <v>101</v>
      </c>
      <c r="D1430" s="172" t="s">
        <v>103</v>
      </c>
      <c r="E1430" s="172" t="s">
        <v>44</v>
      </c>
      <c r="F1430" s="172" t="s">
        <v>126</v>
      </c>
      <c r="G1430" s="172" t="s">
        <v>85</v>
      </c>
      <c r="H1430" s="177">
        <v>1</v>
      </c>
      <c r="I1430" s="178">
        <v>1202</v>
      </c>
      <c r="J1430" s="176">
        <v>46031</v>
      </c>
      <c r="K1430" s="172" t="s">
        <v>94</v>
      </c>
      <c r="L1430" s="172" t="s">
        <v>95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1071</v>
      </c>
      <c r="B1431" s="176">
        <v>46033</v>
      </c>
      <c r="C1431" s="172" t="s">
        <v>101</v>
      </c>
      <c r="D1431" s="172" t="s">
        <v>104</v>
      </c>
      <c r="E1431" s="172" t="s">
        <v>44</v>
      </c>
      <c r="F1431" s="172" t="s">
        <v>126</v>
      </c>
      <c r="G1431" s="172" t="s">
        <v>85</v>
      </c>
      <c r="H1431" s="177">
        <v>1</v>
      </c>
      <c r="I1431" s="178">
        <v>1202</v>
      </c>
      <c r="J1431" s="176">
        <v>46031</v>
      </c>
      <c r="K1431" s="172" t="s">
        <v>94</v>
      </c>
      <c r="L1431" s="172" t="s">
        <v>95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1071</v>
      </c>
      <c r="B1432" s="176">
        <v>46033</v>
      </c>
      <c r="C1432" s="172" t="s">
        <v>105</v>
      </c>
      <c r="D1432" s="172" t="s">
        <v>106</v>
      </c>
      <c r="E1432" s="172" t="s">
        <v>44</v>
      </c>
      <c r="F1432" s="172" t="s">
        <v>126</v>
      </c>
      <c r="G1432" s="172" t="s">
        <v>85</v>
      </c>
      <c r="H1432" s="177">
        <v>1</v>
      </c>
      <c r="I1432" s="178">
        <v>1202</v>
      </c>
      <c r="J1432" s="176">
        <v>46031</v>
      </c>
      <c r="K1432" s="172" t="s">
        <v>94</v>
      </c>
      <c r="L1432" s="172" t="s">
        <v>95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1071</v>
      </c>
      <c r="B1433" s="176">
        <v>46033</v>
      </c>
      <c r="C1433" s="172" t="s">
        <v>82</v>
      </c>
      <c r="D1433" s="172" t="s">
        <v>96</v>
      </c>
      <c r="E1433" s="172" t="s">
        <v>44</v>
      </c>
      <c r="F1433" s="172" t="s">
        <v>126</v>
      </c>
      <c r="G1433" s="172" t="s">
        <v>85</v>
      </c>
      <c r="H1433" s="177">
        <v>1</v>
      </c>
      <c r="I1433" s="178">
        <v>1202</v>
      </c>
      <c r="J1433" s="176">
        <v>46031</v>
      </c>
      <c r="K1433" s="172" t="s">
        <v>94</v>
      </c>
      <c r="L1433" s="172" t="s">
        <v>95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518</v>
      </c>
      <c r="B1434" s="176">
        <v>46033</v>
      </c>
      <c r="C1434" s="172" t="s">
        <v>167</v>
      </c>
      <c r="D1434" s="172" t="s">
        <v>168</v>
      </c>
      <c r="E1434" s="172" t="s">
        <v>54</v>
      </c>
      <c r="F1434" s="172" t="s">
        <v>121</v>
      </c>
      <c r="G1434" s="172" t="s">
        <v>85</v>
      </c>
      <c r="H1434" s="177">
        <v>1</v>
      </c>
      <c r="I1434" s="178">
        <v>-1845</v>
      </c>
      <c r="J1434" s="176">
        <v>46031</v>
      </c>
      <c r="K1434" s="172" t="s">
        <v>94</v>
      </c>
      <c r="L1434" s="172" t="s">
        <v>95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518</v>
      </c>
      <c r="B1435" s="176">
        <v>46033</v>
      </c>
      <c r="C1435" s="172" t="s">
        <v>167</v>
      </c>
      <c r="D1435" s="172" t="s">
        <v>103</v>
      </c>
      <c r="E1435" s="172" t="s">
        <v>54</v>
      </c>
      <c r="F1435" s="172" t="s">
        <v>121</v>
      </c>
      <c r="G1435" s="172" t="s">
        <v>85</v>
      </c>
      <c r="H1435" s="177">
        <v>1</v>
      </c>
      <c r="I1435" s="178">
        <v>-1845</v>
      </c>
      <c r="J1435" s="176">
        <v>46031</v>
      </c>
      <c r="K1435" s="172" t="s">
        <v>94</v>
      </c>
      <c r="L1435" s="172" t="s">
        <v>95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518</v>
      </c>
      <c r="B1436" s="176">
        <v>46033</v>
      </c>
      <c r="C1436" s="172" t="s">
        <v>167</v>
      </c>
      <c r="D1436" s="172" t="s">
        <v>104</v>
      </c>
      <c r="E1436" s="172" t="s">
        <v>54</v>
      </c>
      <c r="F1436" s="172" t="s">
        <v>121</v>
      </c>
      <c r="G1436" s="172" t="s">
        <v>85</v>
      </c>
      <c r="H1436" s="177">
        <v>1</v>
      </c>
      <c r="I1436" s="178">
        <v>-1845</v>
      </c>
      <c r="J1436" s="176">
        <v>46031</v>
      </c>
      <c r="K1436" s="172" t="s">
        <v>94</v>
      </c>
      <c r="L1436" s="172" t="s">
        <v>95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518</v>
      </c>
      <c r="B1437" s="176">
        <v>46033</v>
      </c>
      <c r="C1437" s="172" t="s">
        <v>105</v>
      </c>
      <c r="D1437" s="172" t="s">
        <v>169</v>
      </c>
      <c r="E1437" s="172" t="s">
        <v>54</v>
      </c>
      <c r="F1437" s="172" t="s">
        <v>121</v>
      </c>
      <c r="G1437" s="172" t="s">
        <v>85</v>
      </c>
      <c r="H1437" s="177">
        <v>1</v>
      </c>
      <c r="I1437" s="178">
        <v>-1845</v>
      </c>
      <c r="J1437" s="176">
        <v>46031</v>
      </c>
      <c r="K1437" s="172" t="s">
        <v>94</v>
      </c>
      <c r="L1437" s="172" t="s">
        <v>95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518</v>
      </c>
      <c r="B1438" s="176">
        <v>46033</v>
      </c>
      <c r="C1438" s="172" t="s">
        <v>82</v>
      </c>
      <c r="D1438" s="172" t="s">
        <v>83</v>
      </c>
      <c r="E1438" s="172" t="s">
        <v>54</v>
      </c>
      <c r="F1438" s="172" t="s">
        <v>121</v>
      </c>
      <c r="G1438" s="172" t="s">
        <v>85</v>
      </c>
      <c r="H1438" s="177">
        <v>1</v>
      </c>
      <c r="I1438" s="178">
        <v>0</v>
      </c>
      <c r="J1438" s="176">
        <v>46031</v>
      </c>
      <c r="K1438" s="172" t="s">
        <v>86</v>
      </c>
      <c r="L1438" s="172" t="s">
        <v>86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1072</v>
      </c>
      <c r="B1439" s="176">
        <v>46033</v>
      </c>
      <c r="C1439" s="172" t="s">
        <v>93</v>
      </c>
      <c r="D1439" s="172" t="s">
        <v>24</v>
      </c>
      <c r="E1439" s="172" t="s">
        <v>42</v>
      </c>
      <c r="F1439" s="172" t="s">
        <v>84</v>
      </c>
      <c r="G1439" s="172" t="s">
        <v>85</v>
      </c>
      <c r="H1439" s="177">
        <v>1</v>
      </c>
      <c r="I1439" s="178">
        <v>1600</v>
      </c>
      <c r="J1439" s="176">
        <v>46031</v>
      </c>
      <c r="K1439" s="172" t="s">
        <v>94</v>
      </c>
      <c r="L1439" s="172" t="s">
        <v>95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1072</v>
      </c>
      <c r="B1440" s="176">
        <v>46033</v>
      </c>
      <c r="C1440" s="172" t="s">
        <v>101</v>
      </c>
      <c r="D1440" s="172" t="s">
        <v>102</v>
      </c>
      <c r="E1440" s="172" t="s">
        <v>42</v>
      </c>
      <c r="F1440" s="172" t="s">
        <v>84</v>
      </c>
      <c r="G1440" s="172" t="s">
        <v>85</v>
      </c>
      <c r="H1440" s="177">
        <v>1</v>
      </c>
      <c r="I1440" s="178">
        <v>1600</v>
      </c>
      <c r="J1440" s="176">
        <v>46031</v>
      </c>
      <c r="K1440" s="172" t="s">
        <v>94</v>
      </c>
      <c r="L1440" s="172" t="s">
        <v>95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1072</v>
      </c>
      <c r="B1441" s="176">
        <v>46033</v>
      </c>
      <c r="C1441" s="172" t="s">
        <v>101</v>
      </c>
      <c r="D1441" s="172" t="s">
        <v>103</v>
      </c>
      <c r="E1441" s="172" t="s">
        <v>42</v>
      </c>
      <c r="F1441" s="172" t="s">
        <v>84</v>
      </c>
      <c r="G1441" s="172" t="s">
        <v>85</v>
      </c>
      <c r="H1441" s="177">
        <v>1</v>
      </c>
      <c r="I1441" s="178">
        <v>1600</v>
      </c>
      <c r="J1441" s="176">
        <v>46031</v>
      </c>
      <c r="K1441" s="172" t="s">
        <v>94</v>
      </c>
      <c r="L1441" s="172" t="s">
        <v>95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1072</v>
      </c>
      <c r="B1442" s="176">
        <v>46033</v>
      </c>
      <c r="C1442" s="172" t="s">
        <v>101</v>
      </c>
      <c r="D1442" s="172" t="s">
        <v>104</v>
      </c>
      <c r="E1442" s="172" t="s">
        <v>42</v>
      </c>
      <c r="F1442" s="172" t="s">
        <v>84</v>
      </c>
      <c r="G1442" s="172" t="s">
        <v>85</v>
      </c>
      <c r="H1442" s="177">
        <v>1</v>
      </c>
      <c r="I1442" s="178">
        <v>1600</v>
      </c>
      <c r="J1442" s="176">
        <v>46031</v>
      </c>
      <c r="K1442" s="172" t="s">
        <v>94</v>
      </c>
      <c r="L1442" s="172" t="s">
        <v>95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1072</v>
      </c>
      <c r="B1443" s="176">
        <v>46033</v>
      </c>
      <c r="C1443" s="172" t="s">
        <v>105</v>
      </c>
      <c r="D1443" s="172" t="s">
        <v>106</v>
      </c>
      <c r="E1443" s="172" t="s">
        <v>42</v>
      </c>
      <c r="F1443" s="172" t="s">
        <v>84</v>
      </c>
      <c r="G1443" s="172" t="s">
        <v>85</v>
      </c>
      <c r="H1443" s="177">
        <v>1</v>
      </c>
      <c r="I1443" s="178">
        <v>1600</v>
      </c>
      <c r="J1443" s="176">
        <v>46031</v>
      </c>
      <c r="K1443" s="172" t="s">
        <v>94</v>
      </c>
      <c r="L1443" s="172" t="s">
        <v>95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1072</v>
      </c>
      <c r="B1444" s="176">
        <v>46033</v>
      </c>
      <c r="C1444" s="172" t="s">
        <v>82</v>
      </c>
      <c r="D1444" s="172" t="s">
        <v>96</v>
      </c>
      <c r="E1444" s="172" t="s">
        <v>42</v>
      </c>
      <c r="F1444" s="172" t="s">
        <v>84</v>
      </c>
      <c r="G1444" s="172" t="s">
        <v>85</v>
      </c>
      <c r="H1444" s="177">
        <v>1</v>
      </c>
      <c r="I1444" s="178">
        <v>1600</v>
      </c>
      <c r="J1444" s="176">
        <v>46031</v>
      </c>
      <c r="K1444" s="172" t="s">
        <v>94</v>
      </c>
      <c r="L1444" s="172" t="s">
        <v>95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1073</v>
      </c>
      <c r="B1445" s="176">
        <v>46033</v>
      </c>
      <c r="C1445" s="172" t="s">
        <v>93</v>
      </c>
      <c r="D1445" s="172" t="s">
        <v>24</v>
      </c>
      <c r="E1445" s="172" t="s">
        <v>43</v>
      </c>
      <c r="F1445" s="172" t="s">
        <v>90</v>
      </c>
      <c r="G1445" s="172" t="s">
        <v>85</v>
      </c>
      <c r="H1445" s="177">
        <v>1</v>
      </c>
      <c r="I1445" s="178">
        <v>1600</v>
      </c>
      <c r="J1445" s="176">
        <v>46030</v>
      </c>
      <c r="K1445" s="172" t="s">
        <v>94</v>
      </c>
      <c r="L1445" s="172" t="s">
        <v>95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1073</v>
      </c>
      <c r="B1446" s="176">
        <v>46033</v>
      </c>
      <c r="C1446" s="172" t="s">
        <v>101</v>
      </c>
      <c r="D1446" s="172" t="s">
        <v>102</v>
      </c>
      <c r="E1446" s="172" t="s">
        <v>43</v>
      </c>
      <c r="F1446" s="172" t="s">
        <v>90</v>
      </c>
      <c r="G1446" s="172" t="s">
        <v>85</v>
      </c>
      <c r="H1446" s="177">
        <v>1</v>
      </c>
      <c r="I1446" s="178">
        <v>1600</v>
      </c>
      <c r="J1446" s="176">
        <v>46030</v>
      </c>
      <c r="K1446" s="172" t="s">
        <v>94</v>
      </c>
      <c r="L1446" s="172" t="s">
        <v>95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1073</v>
      </c>
      <c r="B1447" s="176">
        <v>46033</v>
      </c>
      <c r="C1447" s="172" t="s">
        <v>101</v>
      </c>
      <c r="D1447" s="172" t="s">
        <v>103</v>
      </c>
      <c r="E1447" s="172" t="s">
        <v>43</v>
      </c>
      <c r="F1447" s="172" t="s">
        <v>90</v>
      </c>
      <c r="G1447" s="172" t="s">
        <v>85</v>
      </c>
      <c r="H1447" s="177">
        <v>1</v>
      </c>
      <c r="I1447" s="178">
        <v>1600</v>
      </c>
      <c r="J1447" s="176">
        <v>46030</v>
      </c>
      <c r="K1447" s="172" t="s">
        <v>94</v>
      </c>
      <c r="L1447" s="172" t="s">
        <v>95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1073</v>
      </c>
      <c r="B1448" s="176">
        <v>46033</v>
      </c>
      <c r="C1448" s="172" t="s">
        <v>101</v>
      </c>
      <c r="D1448" s="172" t="s">
        <v>104</v>
      </c>
      <c r="E1448" s="172" t="s">
        <v>43</v>
      </c>
      <c r="F1448" s="172" t="s">
        <v>90</v>
      </c>
      <c r="G1448" s="172" t="s">
        <v>85</v>
      </c>
      <c r="H1448" s="177">
        <v>1</v>
      </c>
      <c r="I1448" s="178">
        <v>1600</v>
      </c>
      <c r="J1448" s="176">
        <v>46030</v>
      </c>
      <c r="K1448" s="172" t="s">
        <v>94</v>
      </c>
      <c r="L1448" s="172" t="s">
        <v>95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1073</v>
      </c>
      <c r="B1449" s="176">
        <v>46033</v>
      </c>
      <c r="C1449" s="172" t="s">
        <v>105</v>
      </c>
      <c r="D1449" s="172" t="s">
        <v>106</v>
      </c>
      <c r="E1449" s="172" t="s">
        <v>43</v>
      </c>
      <c r="F1449" s="172" t="s">
        <v>90</v>
      </c>
      <c r="G1449" s="172" t="s">
        <v>85</v>
      </c>
      <c r="H1449" s="177">
        <v>1</v>
      </c>
      <c r="I1449" s="178">
        <v>1600</v>
      </c>
      <c r="J1449" s="176">
        <v>46030</v>
      </c>
      <c r="K1449" s="172" t="s">
        <v>94</v>
      </c>
      <c r="L1449" s="172" t="s">
        <v>95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1073</v>
      </c>
      <c r="B1450" s="176">
        <v>46033</v>
      </c>
      <c r="C1450" s="172" t="s">
        <v>82</v>
      </c>
      <c r="D1450" s="172" t="s">
        <v>96</v>
      </c>
      <c r="E1450" s="172" t="s">
        <v>43</v>
      </c>
      <c r="F1450" s="172" t="s">
        <v>90</v>
      </c>
      <c r="G1450" s="172" t="s">
        <v>85</v>
      </c>
      <c r="H1450" s="177">
        <v>1</v>
      </c>
      <c r="I1450" s="178">
        <v>1600</v>
      </c>
      <c r="J1450" s="176">
        <v>46030</v>
      </c>
      <c r="K1450" s="172" t="s">
        <v>94</v>
      </c>
      <c r="L1450" s="172" t="s">
        <v>95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1074</v>
      </c>
      <c r="B1451" s="176">
        <v>46033</v>
      </c>
      <c r="C1451" s="172" t="s">
        <v>82</v>
      </c>
      <c r="D1451" s="172" t="s">
        <v>83</v>
      </c>
      <c r="E1451" s="172" t="s">
        <v>42</v>
      </c>
      <c r="F1451" s="172" t="s">
        <v>84</v>
      </c>
      <c r="G1451" s="172" t="s">
        <v>85</v>
      </c>
      <c r="H1451" s="177">
        <v>1</v>
      </c>
      <c r="I1451" s="178">
        <v>0</v>
      </c>
      <c r="J1451" s="176">
        <v>46033</v>
      </c>
      <c r="K1451" s="172" t="s">
        <v>86</v>
      </c>
      <c r="L1451" s="172" t="s">
        <v>86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1075</v>
      </c>
      <c r="B1452" s="176">
        <v>46033</v>
      </c>
      <c r="C1452" s="172" t="s">
        <v>82</v>
      </c>
      <c r="D1452" s="172" t="s">
        <v>83</v>
      </c>
      <c r="E1452" s="172" t="s">
        <v>53</v>
      </c>
      <c r="F1452" s="172" t="s">
        <v>91</v>
      </c>
      <c r="G1452" s="172" t="s">
        <v>85</v>
      </c>
      <c r="H1452" s="177">
        <v>1</v>
      </c>
      <c r="I1452" s="178">
        <v>0</v>
      </c>
      <c r="J1452" s="176">
        <v>46033</v>
      </c>
      <c r="K1452" s="172" t="s">
        <v>86</v>
      </c>
      <c r="L1452" s="172" t="s">
        <v>86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143</v>
      </c>
      <c r="B1453" s="176">
        <v>46033</v>
      </c>
      <c r="C1453" s="172" t="s">
        <v>110</v>
      </c>
      <c r="D1453" s="172" t="s">
        <v>144</v>
      </c>
      <c r="E1453" s="172" t="s">
        <v>86</v>
      </c>
      <c r="F1453" s="172" t="s">
        <v>86</v>
      </c>
      <c r="G1453" s="172" t="s">
        <v>86</v>
      </c>
      <c r="H1453" s="177">
        <v>0</v>
      </c>
      <c r="I1453" s="178">
        <v>0</v>
      </c>
      <c r="J1453" s="176">
        <v>46033</v>
      </c>
      <c r="K1453" s="172" t="s">
        <v>86</v>
      </c>
      <c r="L1453" s="172" t="s">
        <v>86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415</v>
      </c>
      <c r="B1454" s="176">
        <v>46033</v>
      </c>
      <c r="C1454" s="172" t="s">
        <v>110</v>
      </c>
      <c r="D1454" s="172" t="s">
        <v>140</v>
      </c>
      <c r="E1454" s="172" t="s">
        <v>86</v>
      </c>
      <c r="F1454" s="172" t="s">
        <v>86</v>
      </c>
      <c r="G1454" s="172" t="s">
        <v>86</v>
      </c>
      <c r="H1454" s="177">
        <v>0</v>
      </c>
      <c r="I1454" s="178">
        <v>0</v>
      </c>
      <c r="J1454" s="176">
        <v>46033</v>
      </c>
      <c r="K1454" s="172" t="s">
        <v>86</v>
      </c>
      <c r="L1454" s="172" t="s">
        <v>86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416</v>
      </c>
      <c r="B1455" s="176">
        <v>46033</v>
      </c>
      <c r="C1455" s="172" t="s">
        <v>110</v>
      </c>
      <c r="D1455" s="172" t="s">
        <v>140</v>
      </c>
      <c r="E1455" s="172" t="s">
        <v>86</v>
      </c>
      <c r="F1455" s="172" t="s">
        <v>86</v>
      </c>
      <c r="G1455" s="172" t="s">
        <v>86</v>
      </c>
      <c r="H1455" s="177">
        <v>0</v>
      </c>
      <c r="I1455" s="178">
        <v>0</v>
      </c>
      <c r="J1455" s="176">
        <v>46033</v>
      </c>
      <c r="K1455" s="172" t="s">
        <v>86</v>
      </c>
      <c r="L1455" s="172" t="s">
        <v>86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145</v>
      </c>
      <c r="B1456" s="176">
        <v>46033</v>
      </c>
      <c r="C1456" s="172" t="s">
        <v>110</v>
      </c>
      <c r="D1456" s="172" t="s">
        <v>140</v>
      </c>
      <c r="E1456" s="172" t="s">
        <v>86</v>
      </c>
      <c r="F1456" s="172" t="s">
        <v>86</v>
      </c>
      <c r="G1456" s="172" t="s">
        <v>86</v>
      </c>
      <c r="H1456" s="177">
        <v>0</v>
      </c>
      <c r="I1456" s="178">
        <v>0</v>
      </c>
      <c r="J1456" s="176">
        <v>46033</v>
      </c>
      <c r="K1456" s="172" t="s">
        <v>86</v>
      </c>
      <c r="L1456" s="172" t="s">
        <v>86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139</v>
      </c>
      <c r="B1457" s="176">
        <v>46033</v>
      </c>
      <c r="C1457" s="172" t="s">
        <v>110</v>
      </c>
      <c r="D1457" s="172" t="s">
        <v>140</v>
      </c>
      <c r="E1457" s="172" t="s">
        <v>86</v>
      </c>
      <c r="F1457" s="172" t="s">
        <v>86</v>
      </c>
      <c r="G1457" s="172" t="s">
        <v>86</v>
      </c>
      <c r="H1457" s="177">
        <v>0</v>
      </c>
      <c r="I1457" s="178">
        <v>0</v>
      </c>
      <c r="J1457" s="176">
        <v>46033</v>
      </c>
      <c r="K1457" s="172" t="s">
        <v>86</v>
      </c>
      <c r="L1457" s="172" t="s">
        <v>86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414</v>
      </c>
      <c r="B1458" s="176">
        <v>46033</v>
      </c>
      <c r="C1458" s="172" t="s">
        <v>110</v>
      </c>
      <c r="D1458" s="172" t="s">
        <v>140</v>
      </c>
      <c r="E1458" s="172" t="s">
        <v>86</v>
      </c>
      <c r="F1458" s="172" t="s">
        <v>86</v>
      </c>
      <c r="G1458" s="172" t="s">
        <v>86</v>
      </c>
      <c r="H1458" s="177">
        <v>0</v>
      </c>
      <c r="I1458" s="178">
        <v>0</v>
      </c>
      <c r="J1458" s="176">
        <v>46033</v>
      </c>
      <c r="K1458" s="172" t="s">
        <v>86</v>
      </c>
      <c r="L1458" s="172" t="s">
        <v>86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146</v>
      </c>
      <c r="B1459" s="176">
        <v>46033</v>
      </c>
      <c r="C1459" s="172" t="s">
        <v>110</v>
      </c>
      <c r="D1459" s="172" t="s">
        <v>140</v>
      </c>
      <c r="E1459" s="172" t="s">
        <v>86</v>
      </c>
      <c r="F1459" s="172" t="s">
        <v>86</v>
      </c>
      <c r="G1459" s="172" t="s">
        <v>86</v>
      </c>
      <c r="H1459" s="177">
        <v>0</v>
      </c>
      <c r="I1459" s="178">
        <v>0</v>
      </c>
      <c r="J1459" s="176">
        <v>46033</v>
      </c>
      <c r="K1459" s="172" t="s">
        <v>86</v>
      </c>
      <c r="L1459" s="172" t="s">
        <v>86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141</v>
      </c>
      <c r="B1460" s="176">
        <v>46033</v>
      </c>
      <c r="C1460" s="172" t="s">
        <v>110</v>
      </c>
      <c r="D1460" s="172" t="s">
        <v>140</v>
      </c>
      <c r="E1460" s="172" t="s">
        <v>86</v>
      </c>
      <c r="F1460" s="172" t="s">
        <v>86</v>
      </c>
      <c r="G1460" s="172" t="s">
        <v>86</v>
      </c>
      <c r="H1460" s="177">
        <v>0</v>
      </c>
      <c r="I1460" s="178">
        <v>0</v>
      </c>
      <c r="J1460" s="176">
        <v>46033</v>
      </c>
      <c r="K1460" s="172" t="s">
        <v>86</v>
      </c>
      <c r="L1460" s="172" t="s">
        <v>86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147</v>
      </c>
      <c r="B1461" s="176">
        <v>46033</v>
      </c>
      <c r="C1461" s="172" t="s">
        <v>110</v>
      </c>
      <c r="D1461" s="172" t="s">
        <v>140</v>
      </c>
      <c r="E1461" s="172" t="s">
        <v>86</v>
      </c>
      <c r="F1461" s="172" t="s">
        <v>86</v>
      </c>
      <c r="G1461" s="172" t="s">
        <v>86</v>
      </c>
      <c r="H1461" s="177">
        <v>0</v>
      </c>
      <c r="I1461" s="178">
        <v>0</v>
      </c>
      <c r="J1461" s="176">
        <v>46033</v>
      </c>
      <c r="K1461" s="172" t="s">
        <v>86</v>
      </c>
      <c r="L1461" s="172" t="s">
        <v>86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637</v>
      </c>
    </row>
    <row r="2" spans="1:16" ht="78.75" customHeight="1">
      <c r="A2" s="174" t="s">
        <v>65</v>
      </c>
      <c r="B2" s="174" t="s">
        <v>66</v>
      </c>
      <c r="C2" s="174" t="s">
        <v>67</v>
      </c>
      <c r="D2" s="174" t="s">
        <v>68</v>
      </c>
      <c r="E2" s="174" t="s">
        <v>69</v>
      </c>
      <c r="F2" s="174" t="s">
        <v>70</v>
      </c>
      <c r="G2" s="174" t="s">
        <v>71</v>
      </c>
      <c r="H2" s="174" t="s">
        <v>72</v>
      </c>
      <c r="I2" s="174" t="s">
        <v>73</v>
      </c>
      <c r="J2" s="174" t="s">
        <v>74</v>
      </c>
      <c r="K2" s="174" t="s">
        <v>75</v>
      </c>
      <c r="L2" s="174" t="s">
        <v>76</v>
      </c>
      <c r="M2" s="174" t="s">
        <v>77</v>
      </c>
      <c r="N2" s="174" t="s">
        <v>78</v>
      </c>
      <c r="O2" s="174" t="s">
        <v>79</v>
      </c>
      <c r="P2" s="175" t="s">
        <v>80</v>
      </c>
    </row>
    <row r="3" spans="1:16" ht="19.5" customHeight="1">
      <c r="A3" s="172" t="s">
        <v>638</v>
      </c>
      <c r="B3" s="176">
        <v>46023</v>
      </c>
      <c r="C3" s="172" t="s">
        <v>82</v>
      </c>
      <c r="D3" s="172" t="s">
        <v>83</v>
      </c>
      <c r="E3" s="172" t="s">
        <v>54</v>
      </c>
      <c r="F3" s="172" t="s">
        <v>121</v>
      </c>
      <c r="G3" s="172" t="s">
        <v>85</v>
      </c>
      <c r="H3" s="177">
        <v>1</v>
      </c>
      <c r="I3" s="178">
        <v>0</v>
      </c>
      <c r="J3" s="176">
        <v>46023</v>
      </c>
      <c r="K3" s="172" t="s">
        <v>86</v>
      </c>
      <c r="L3" s="172" t="s">
        <v>86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86</v>
      </c>
      <c r="B4" s="176">
        <v>46023</v>
      </c>
      <c r="C4" s="172" t="s">
        <v>110</v>
      </c>
      <c r="D4" s="172" t="s">
        <v>111</v>
      </c>
      <c r="E4" s="172" t="s">
        <v>86</v>
      </c>
      <c r="F4" s="172" t="s">
        <v>86</v>
      </c>
      <c r="G4" s="172" t="s">
        <v>639</v>
      </c>
      <c r="H4" s="177">
        <v>0</v>
      </c>
      <c r="I4" s="178">
        <v>0</v>
      </c>
      <c r="J4" s="176">
        <v>46023</v>
      </c>
      <c r="K4" s="172" t="s">
        <v>86</v>
      </c>
      <c r="L4" s="172" t="s">
        <v>86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640</v>
      </c>
      <c r="B5" s="176">
        <v>46023</v>
      </c>
      <c r="C5" s="172" t="s">
        <v>82</v>
      </c>
      <c r="D5" s="172" t="s">
        <v>83</v>
      </c>
      <c r="E5" s="172" t="s">
        <v>42</v>
      </c>
      <c r="F5" s="172" t="s">
        <v>84</v>
      </c>
      <c r="G5" s="172" t="s">
        <v>85</v>
      </c>
      <c r="H5" s="177">
        <v>1</v>
      </c>
      <c r="I5" s="178">
        <v>0</v>
      </c>
      <c r="J5" s="176">
        <v>46023</v>
      </c>
      <c r="K5" s="172" t="s">
        <v>86</v>
      </c>
      <c r="L5" s="172" t="s">
        <v>86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641</v>
      </c>
      <c r="B6" s="176">
        <v>46023</v>
      </c>
      <c r="C6" s="172" t="s">
        <v>93</v>
      </c>
      <c r="D6" s="172" t="s">
        <v>24</v>
      </c>
      <c r="E6" s="172" t="s">
        <v>53</v>
      </c>
      <c r="F6" s="172" t="s">
        <v>91</v>
      </c>
      <c r="G6" s="172" t="s">
        <v>85</v>
      </c>
      <c r="H6" s="177">
        <v>1</v>
      </c>
      <c r="I6" s="178">
        <v>0</v>
      </c>
      <c r="J6" s="176">
        <v>46015</v>
      </c>
      <c r="K6" s="172" t="s">
        <v>94</v>
      </c>
      <c r="L6" s="172" t="s">
        <v>95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641</v>
      </c>
      <c r="B7" s="176">
        <v>46023</v>
      </c>
      <c r="C7" s="172" t="s">
        <v>82</v>
      </c>
      <c r="D7" s="172" t="s">
        <v>96</v>
      </c>
      <c r="E7" s="172" t="s">
        <v>53</v>
      </c>
      <c r="F7" s="172" t="s">
        <v>91</v>
      </c>
      <c r="G7" s="172" t="s">
        <v>85</v>
      </c>
      <c r="H7" s="177">
        <v>1</v>
      </c>
      <c r="I7" s="178">
        <v>0</v>
      </c>
      <c r="J7" s="176">
        <v>46015</v>
      </c>
      <c r="K7" s="172" t="s">
        <v>94</v>
      </c>
      <c r="L7" s="172" t="s">
        <v>95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641</v>
      </c>
      <c r="B8" s="176">
        <v>46023</v>
      </c>
      <c r="C8" s="172" t="s">
        <v>93</v>
      </c>
      <c r="D8" s="172" t="s">
        <v>97</v>
      </c>
      <c r="E8" s="172" t="s">
        <v>53</v>
      </c>
      <c r="F8" s="172" t="s">
        <v>91</v>
      </c>
      <c r="G8" s="172" t="s">
        <v>85</v>
      </c>
      <c r="H8" s="177">
        <v>1</v>
      </c>
      <c r="I8" s="178">
        <v>0</v>
      </c>
      <c r="J8" s="176">
        <v>46015</v>
      </c>
      <c r="K8" s="172" t="s">
        <v>94</v>
      </c>
      <c r="L8" s="172" t="s">
        <v>95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641</v>
      </c>
      <c r="B9" s="176">
        <v>46023</v>
      </c>
      <c r="C9" s="172" t="s">
        <v>93</v>
      </c>
      <c r="D9" s="172" t="s">
        <v>98</v>
      </c>
      <c r="E9" s="172" t="s">
        <v>53</v>
      </c>
      <c r="F9" s="172" t="s">
        <v>91</v>
      </c>
      <c r="G9" s="172" t="s">
        <v>85</v>
      </c>
      <c r="H9" s="177">
        <v>1</v>
      </c>
      <c r="I9" s="178">
        <v>0</v>
      </c>
      <c r="J9" s="176">
        <v>46015</v>
      </c>
      <c r="K9" s="172" t="s">
        <v>94</v>
      </c>
      <c r="L9" s="172" t="s">
        <v>95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641</v>
      </c>
      <c r="B10" s="176">
        <v>46023</v>
      </c>
      <c r="C10" s="172" t="s">
        <v>82</v>
      </c>
      <c r="D10" s="172" t="s">
        <v>99</v>
      </c>
      <c r="E10" s="172" t="s">
        <v>53</v>
      </c>
      <c r="F10" s="172" t="s">
        <v>91</v>
      </c>
      <c r="G10" s="172" t="s">
        <v>85</v>
      </c>
      <c r="H10" s="177">
        <v>1</v>
      </c>
      <c r="I10" s="178">
        <v>0</v>
      </c>
      <c r="J10" s="176">
        <v>46015</v>
      </c>
      <c r="K10" s="172" t="s">
        <v>94</v>
      </c>
      <c r="L10" s="172" t="s">
        <v>95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642</v>
      </c>
      <c r="B11" s="176">
        <v>46023</v>
      </c>
      <c r="C11" s="172" t="s">
        <v>82</v>
      </c>
      <c r="D11" s="172" t="s">
        <v>83</v>
      </c>
      <c r="E11" s="172" t="s">
        <v>54</v>
      </c>
      <c r="F11" s="172" t="s">
        <v>121</v>
      </c>
      <c r="G11" s="172" t="s">
        <v>85</v>
      </c>
      <c r="H11" s="177">
        <v>1</v>
      </c>
      <c r="I11" s="178">
        <v>0</v>
      </c>
      <c r="J11" s="176">
        <v>46023</v>
      </c>
      <c r="K11" s="172" t="s">
        <v>86</v>
      </c>
      <c r="L11" s="172" t="s">
        <v>86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643</v>
      </c>
      <c r="B12" s="176">
        <v>46023</v>
      </c>
      <c r="C12" s="172" t="s">
        <v>82</v>
      </c>
      <c r="D12" s="172" t="s">
        <v>83</v>
      </c>
      <c r="E12" s="172" t="s">
        <v>54</v>
      </c>
      <c r="F12" s="172" t="s">
        <v>121</v>
      </c>
      <c r="G12" s="172" t="s">
        <v>85</v>
      </c>
      <c r="H12" s="177">
        <v>1</v>
      </c>
      <c r="I12" s="178">
        <v>0</v>
      </c>
      <c r="J12" s="176">
        <v>46023</v>
      </c>
      <c r="K12" s="172" t="s">
        <v>86</v>
      </c>
      <c r="L12" s="172" t="s">
        <v>86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644</v>
      </c>
      <c r="B13" s="176">
        <v>46023</v>
      </c>
      <c r="C13" s="172" t="s">
        <v>93</v>
      </c>
      <c r="D13" s="172" t="s">
        <v>97</v>
      </c>
      <c r="E13" s="172" t="s">
        <v>43</v>
      </c>
      <c r="F13" s="172" t="s">
        <v>90</v>
      </c>
      <c r="G13" s="172" t="s">
        <v>85</v>
      </c>
      <c r="H13" s="177">
        <v>1</v>
      </c>
      <c r="I13" s="178">
        <v>0</v>
      </c>
      <c r="J13" s="176">
        <v>46009</v>
      </c>
      <c r="K13" s="172" t="s">
        <v>94</v>
      </c>
      <c r="L13" s="172" t="s">
        <v>95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644</v>
      </c>
      <c r="B14" s="176">
        <v>46023</v>
      </c>
      <c r="C14" s="172" t="s">
        <v>93</v>
      </c>
      <c r="D14" s="172" t="s">
        <v>98</v>
      </c>
      <c r="E14" s="172" t="s">
        <v>43</v>
      </c>
      <c r="F14" s="172" t="s">
        <v>90</v>
      </c>
      <c r="G14" s="172" t="s">
        <v>85</v>
      </c>
      <c r="H14" s="177">
        <v>1</v>
      </c>
      <c r="I14" s="178">
        <v>0</v>
      </c>
      <c r="J14" s="176">
        <v>46009</v>
      </c>
      <c r="K14" s="172" t="s">
        <v>94</v>
      </c>
      <c r="L14" s="172" t="s">
        <v>95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644</v>
      </c>
      <c r="B15" s="176">
        <v>46023</v>
      </c>
      <c r="C15" s="172" t="s">
        <v>82</v>
      </c>
      <c r="D15" s="172" t="s">
        <v>99</v>
      </c>
      <c r="E15" s="172" t="s">
        <v>43</v>
      </c>
      <c r="F15" s="172" t="s">
        <v>90</v>
      </c>
      <c r="G15" s="172" t="s">
        <v>85</v>
      </c>
      <c r="H15" s="177">
        <v>1</v>
      </c>
      <c r="I15" s="178">
        <v>0</v>
      </c>
      <c r="J15" s="176">
        <v>46009</v>
      </c>
      <c r="K15" s="172" t="s">
        <v>94</v>
      </c>
      <c r="L15" s="172" t="s">
        <v>95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644</v>
      </c>
      <c r="B16" s="176">
        <v>46023</v>
      </c>
      <c r="C16" s="172" t="s">
        <v>93</v>
      </c>
      <c r="D16" s="172" t="s">
        <v>24</v>
      </c>
      <c r="E16" s="172" t="s">
        <v>43</v>
      </c>
      <c r="F16" s="172" t="s">
        <v>90</v>
      </c>
      <c r="G16" s="172" t="s">
        <v>85</v>
      </c>
      <c r="H16" s="177">
        <v>1</v>
      </c>
      <c r="I16" s="178">
        <v>0</v>
      </c>
      <c r="J16" s="176">
        <v>46009</v>
      </c>
      <c r="K16" s="172" t="s">
        <v>94</v>
      </c>
      <c r="L16" s="172" t="s">
        <v>95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644</v>
      </c>
      <c r="B17" s="176">
        <v>46023</v>
      </c>
      <c r="C17" s="172" t="s">
        <v>82</v>
      </c>
      <c r="D17" s="172" t="s">
        <v>96</v>
      </c>
      <c r="E17" s="172" t="s">
        <v>43</v>
      </c>
      <c r="F17" s="172" t="s">
        <v>90</v>
      </c>
      <c r="G17" s="172" t="s">
        <v>85</v>
      </c>
      <c r="H17" s="177">
        <v>1</v>
      </c>
      <c r="I17" s="178">
        <v>0</v>
      </c>
      <c r="J17" s="176">
        <v>46009</v>
      </c>
      <c r="K17" s="172" t="s">
        <v>94</v>
      </c>
      <c r="L17" s="172" t="s">
        <v>95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645</v>
      </c>
      <c r="B18" s="176">
        <v>46023</v>
      </c>
      <c r="C18" s="172" t="s">
        <v>82</v>
      </c>
      <c r="D18" s="172" t="s">
        <v>83</v>
      </c>
      <c r="E18" s="172" t="s">
        <v>54</v>
      </c>
      <c r="F18" s="172" t="s">
        <v>121</v>
      </c>
      <c r="G18" s="172" t="s">
        <v>85</v>
      </c>
      <c r="H18" s="177">
        <v>1</v>
      </c>
      <c r="I18" s="178">
        <v>0</v>
      </c>
      <c r="J18" s="176">
        <v>46023</v>
      </c>
      <c r="K18" s="172" t="s">
        <v>86</v>
      </c>
      <c r="L18" s="172" t="s">
        <v>86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646</v>
      </c>
      <c r="B19" s="176">
        <v>46023</v>
      </c>
      <c r="C19" s="172" t="s">
        <v>82</v>
      </c>
      <c r="D19" s="172" t="s">
        <v>83</v>
      </c>
      <c r="E19" s="172" t="s">
        <v>54</v>
      </c>
      <c r="F19" s="172" t="s">
        <v>121</v>
      </c>
      <c r="G19" s="172" t="s">
        <v>85</v>
      </c>
      <c r="H19" s="177">
        <v>1</v>
      </c>
      <c r="I19" s="178">
        <v>0</v>
      </c>
      <c r="J19" s="176">
        <v>46023</v>
      </c>
      <c r="K19" s="172" t="s">
        <v>86</v>
      </c>
      <c r="L19" s="172" t="s">
        <v>86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647</v>
      </c>
      <c r="B20" s="176">
        <v>46023</v>
      </c>
      <c r="C20" s="172" t="s">
        <v>93</v>
      </c>
      <c r="D20" s="172" t="s">
        <v>24</v>
      </c>
      <c r="E20" s="172" t="s">
        <v>53</v>
      </c>
      <c r="F20" s="172" t="s">
        <v>91</v>
      </c>
      <c r="G20" s="172" t="s">
        <v>85</v>
      </c>
      <c r="H20" s="177">
        <v>1</v>
      </c>
      <c r="I20" s="178">
        <v>0</v>
      </c>
      <c r="J20" s="176">
        <v>45999</v>
      </c>
      <c r="K20" s="172" t="s">
        <v>94</v>
      </c>
      <c r="L20" s="172" t="s">
        <v>95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647</v>
      </c>
      <c r="B21" s="176">
        <v>46023</v>
      </c>
      <c r="C21" s="172" t="s">
        <v>82</v>
      </c>
      <c r="D21" s="172" t="s">
        <v>96</v>
      </c>
      <c r="E21" s="172" t="s">
        <v>53</v>
      </c>
      <c r="F21" s="172" t="s">
        <v>91</v>
      </c>
      <c r="G21" s="172" t="s">
        <v>85</v>
      </c>
      <c r="H21" s="177">
        <v>1</v>
      </c>
      <c r="I21" s="178">
        <v>0</v>
      </c>
      <c r="J21" s="176">
        <v>45999</v>
      </c>
      <c r="K21" s="172" t="s">
        <v>94</v>
      </c>
      <c r="L21" s="172" t="s">
        <v>95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647</v>
      </c>
      <c r="B22" s="176">
        <v>46023</v>
      </c>
      <c r="C22" s="172" t="s">
        <v>93</v>
      </c>
      <c r="D22" s="172" t="s">
        <v>97</v>
      </c>
      <c r="E22" s="172" t="s">
        <v>53</v>
      </c>
      <c r="F22" s="172" t="s">
        <v>91</v>
      </c>
      <c r="G22" s="172" t="s">
        <v>85</v>
      </c>
      <c r="H22" s="177">
        <v>1</v>
      </c>
      <c r="I22" s="178">
        <v>0</v>
      </c>
      <c r="J22" s="176">
        <v>45999</v>
      </c>
      <c r="K22" s="172" t="s">
        <v>94</v>
      </c>
      <c r="L22" s="172" t="s">
        <v>95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647</v>
      </c>
      <c r="B23" s="176">
        <v>46023</v>
      </c>
      <c r="C23" s="172" t="s">
        <v>93</v>
      </c>
      <c r="D23" s="172" t="s">
        <v>98</v>
      </c>
      <c r="E23" s="172" t="s">
        <v>53</v>
      </c>
      <c r="F23" s="172" t="s">
        <v>91</v>
      </c>
      <c r="G23" s="172" t="s">
        <v>85</v>
      </c>
      <c r="H23" s="177">
        <v>1</v>
      </c>
      <c r="I23" s="178">
        <v>0</v>
      </c>
      <c r="J23" s="176">
        <v>45999</v>
      </c>
      <c r="K23" s="172" t="s">
        <v>94</v>
      </c>
      <c r="L23" s="172" t="s">
        <v>95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647</v>
      </c>
      <c r="B24" s="176">
        <v>46023</v>
      </c>
      <c r="C24" s="172" t="s">
        <v>82</v>
      </c>
      <c r="D24" s="172" t="s">
        <v>99</v>
      </c>
      <c r="E24" s="172" t="s">
        <v>53</v>
      </c>
      <c r="F24" s="172" t="s">
        <v>91</v>
      </c>
      <c r="G24" s="172" t="s">
        <v>85</v>
      </c>
      <c r="H24" s="177">
        <v>1</v>
      </c>
      <c r="I24" s="178">
        <v>0</v>
      </c>
      <c r="J24" s="176">
        <v>45999</v>
      </c>
      <c r="K24" s="172" t="s">
        <v>94</v>
      </c>
      <c r="L24" s="172" t="s">
        <v>95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648</v>
      </c>
      <c r="B25" s="176">
        <v>46023</v>
      </c>
      <c r="C25" s="172" t="s">
        <v>82</v>
      </c>
      <c r="D25" s="172" t="s">
        <v>83</v>
      </c>
      <c r="E25" s="172" t="s">
        <v>53</v>
      </c>
      <c r="F25" s="172" t="s">
        <v>91</v>
      </c>
      <c r="G25" s="172" t="s">
        <v>85</v>
      </c>
      <c r="H25" s="177">
        <v>1</v>
      </c>
      <c r="I25" s="178">
        <v>0</v>
      </c>
      <c r="J25" s="176">
        <v>46023</v>
      </c>
      <c r="K25" s="172" t="s">
        <v>86</v>
      </c>
      <c r="L25" s="172" t="s">
        <v>86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649</v>
      </c>
      <c r="B26" s="176">
        <v>46023</v>
      </c>
      <c r="C26" s="172" t="s">
        <v>82</v>
      </c>
      <c r="D26" s="172" t="s">
        <v>83</v>
      </c>
      <c r="E26" s="172" t="s">
        <v>53</v>
      </c>
      <c r="F26" s="172" t="s">
        <v>91</v>
      </c>
      <c r="G26" s="172" t="s">
        <v>85</v>
      </c>
      <c r="H26" s="177">
        <v>1</v>
      </c>
      <c r="I26" s="178">
        <v>0</v>
      </c>
      <c r="J26" s="176">
        <v>46023</v>
      </c>
      <c r="K26" s="172" t="s">
        <v>86</v>
      </c>
      <c r="L26" s="172" t="s">
        <v>86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650</v>
      </c>
      <c r="B27" s="176">
        <v>46023</v>
      </c>
      <c r="C27" s="172" t="s">
        <v>82</v>
      </c>
      <c r="D27" s="172" t="s">
        <v>83</v>
      </c>
      <c r="E27" s="172" t="s">
        <v>53</v>
      </c>
      <c r="F27" s="172" t="s">
        <v>91</v>
      </c>
      <c r="G27" s="172" t="s">
        <v>85</v>
      </c>
      <c r="H27" s="177">
        <v>1</v>
      </c>
      <c r="I27" s="178">
        <v>0</v>
      </c>
      <c r="J27" s="176">
        <v>46023</v>
      </c>
      <c r="K27" s="172" t="s">
        <v>86</v>
      </c>
      <c r="L27" s="172" t="s">
        <v>86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651</v>
      </c>
      <c r="B28" s="176">
        <v>46023</v>
      </c>
      <c r="C28" s="172" t="s">
        <v>82</v>
      </c>
      <c r="D28" s="172" t="s">
        <v>83</v>
      </c>
      <c r="E28" s="172" t="s">
        <v>39</v>
      </c>
      <c r="F28" s="172" t="s">
        <v>88</v>
      </c>
      <c r="G28" s="172" t="s">
        <v>85</v>
      </c>
      <c r="H28" s="177">
        <v>1</v>
      </c>
      <c r="I28" s="178">
        <v>0</v>
      </c>
      <c r="J28" s="176">
        <v>46023</v>
      </c>
      <c r="K28" s="172" t="s">
        <v>86</v>
      </c>
      <c r="L28" s="172" t="s">
        <v>86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139</v>
      </c>
      <c r="B29" s="176">
        <v>46023</v>
      </c>
      <c r="C29" s="172" t="s">
        <v>110</v>
      </c>
      <c r="D29" s="172" t="s">
        <v>140</v>
      </c>
      <c r="E29" s="172" t="s">
        <v>86</v>
      </c>
      <c r="F29" s="172" t="s">
        <v>86</v>
      </c>
      <c r="G29" s="172" t="s">
        <v>86</v>
      </c>
      <c r="H29" s="177">
        <v>0</v>
      </c>
      <c r="I29" s="178">
        <v>0</v>
      </c>
      <c r="J29" s="176">
        <v>46023</v>
      </c>
      <c r="K29" s="172" t="s">
        <v>86</v>
      </c>
      <c r="L29" s="172" t="s">
        <v>86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145</v>
      </c>
      <c r="B30" s="176">
        <v>46023</v>
      </c>
      <c r="C30" s="172" t="s">
        <v>110</v>
      </c>
      <c r="D30" s="172" t="s">
        <v>140</v>
      </c>
      <c r="E30" s="172" t="s">
        <v>86</v>
      </c>
      <c r="F30" s="172" t="s">
        <v>86</v>
      </c>
      <c r="G30" s="172" t="s">
        <v>86</v>
      </c>
      <c r="H30" s="177">
        <v>0</v>
      </c>
      <c r="I30" s="178">
        <v>0</v>
      </c>
      <c r="J30" s="176">
        <v>46023</v>
      </c>
      <c r="K30" s="172" t="s">
        <v>86</v>
      </c>
      <c r="L30" s="172" t="s">
        <v>86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414</v>
      </c>
      <c r="B31" s="176">
        <v>46023</v>
      </c>
      <c r="C31" s="172" t="s">
        <v>110</v>
      </c>
      <c r="D31" s="172" t="s">
        <v>140</v>
      </c>
      <c r="E31" s="172" t="s">
        <v>86</v>
      </c>
      <c r="F31" s="172" t="s">
        <v>86</v>
      </c>
      <c r="G31" s="172" t="s">
        <v>86</v>
      </c>
      <c r="H31" s="177">
        <v>0</v>
      </c>
      <c r="I31" s="178">
        <v>0</v>
      </c>
      <c r="J31" s="176">
        <v>46023</v>
      </c>
      <c r="K31" s="172" t="s">
        <v>86</v>
      </c>
      <c r="L31" s="172" t="s">
        <v>86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143</v>
      </c>
      <c r="B32" s="176">
        <v>46023</v>
      </c>
      <c r="C32" s="172" t="s">
        <v>110</v>
      </c>
      <c r="D32" s="172" t="s">
        <v>144</v>
      </c>
      <c r="E32" s="172" t="s">
        <v>86</v>
      </c>
      <c r="F32" s="172" t="s">
        <v>86</v>
      </c>
      <c r="G32" s="172" t="s">
        <v>86</v>
      </c>
      <c r="H32" s="177">
        <v>0</v>
      </c>
      <c r="I32" s="178">
        <v>0</v>
      </c>
      <c r="J32" s="176">
        <v>46023</v>
      </c>
      <c r="K32" s="172" t="s">
        <v>86</v>
      </c>
      <c r="L32" s="172" t="s">
        <v>86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652</v>
      </c>
      <c r="B33" s="176">
        <v>46024</v>
      </c>
      <c r="C33" s="172" t="s">
        <v>82</v>
      </c>
      <c r="D33" s="172" t="s">
        <v>83</v>
      </c>
      <c r="E33" s="172" t="s">
        <v>44</v>
      </c>
      <c r="F33" s="172" t="s">
        <v>126</v>
      </c>
      <c r="G33" s="172" t="s">
        <v>85</v>
      </c>
      <c r="H33" s="177">
        <v>1</v>
      </c>
      <c r="I33" s="178">
        <v>0</v>
      </c>
      <c r="J33" s="176">
        <v>46024</v>
      </c>
      <c r="K33" s="172" t="s">
        <v>86</v>
      </c>
      <c r="L33" s="172" t="s">
        <v>86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653</v>
      </c>
      <c r="B34" s="176">
        <v>46024</v>
      </c>
      <c r="C34" s="172" t="s">
        <v>82</v>
      </c>
      <c r="D34" s="172" t="s">
        <v>83</v>
      </c>
      <c r="E34" s="172" t="s">
        <v>54</v>
      </c>
      <c r="F34" s="172" t="s">
        <v>121</v>
      </c>
      <c r="G34" s="172" t="s">
        <v>85</v>
      </c>
      <c r="H34" s="177">
        <v>1</v>
      </c>
      <c r="I34" s="178">
        <v>0</v>
      </c>
      <c r="J34" s="176">
        <v>46024</v>
      </c>
      <c r="K34" s="172" t="s">
        <v>86</v>
      </c>
      <c r="L34" s="172" t="s">
        <v>86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654</v>
      </c>
      <c r="B35" s="176">
        <v>46024</v>
      </c>
      <c r="C35" s="172" t="s">
        <v>82</v>
      </c>
      <c r="D35" s="172" t="s">
        <v>83</v>
      </c>
      <c r="E35" s="172" t="s">
        <v>53</v>
      </c>
      <c r="F35" s="172" t="s">
        <v>91</v>
      </c>
      <c r="G35" s="172" t="s">
        <v>85</v>
      </c>
      <c r="H35" s="177">
        <v>1</v>
      </c>
      <c r="I35" s="178">
        <v>0</v>
      </c>
      <c r="J35" s="176">
        <v>46024</v>
      </c>
      <c r="K35" s="172" t="s">
        <v>86</v>
      </c>
      <c r="L35" s="172" t="s">
        <v>86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655</v>
      </c>
      <c r="B36" s="176">
        <v>46024</v>
      </c>
      <c r="C36" s="172" t="s">
        <v>93</v>
      </c>
      <c r="D36" s="172" t="s">
        <v>24</v>
      </c>
      <c r="E36" s="172" t="s">
        <v>54</v>
      </c>
      <c r="F36" s="172" t="s">
        <v>121</v>
      </c>
      <c r="G36" s="172" t="s">
        <v>85</v>
      </c>
      <c r="H36" s="177">
        <v>1</v>
      </c>
      <c r="I36" s="178">
        <v>0</v>
      </c>
      <c r="J36" s="176">
        <v>46014</v>
      </c>
      <c r="K36" s="172" t="s">
        <v>94</v>
      </c>
      <c r="L36" s="172" t="s">
        <v>95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655</v>
      </c>
      <c r="B37" s="176">
        <v>46024</v>
      </c>
      <c r="C37" s="172" t="s">
        <v>82</v>
      </c>
      <c r="D37" s="172" t="s">
        <v>96</v>
      </c>
      <c r="E37" s="172" t="s">
        <v>54</v>
      </c>
      <c r="F37" s="172" t="s">
        <v>121</v>
      </c>
      <c r="G37" s="172" t="s">
        <v>85</v>
      </c>
      <c r="H37" s="177">
        <v>1</v>
      </c>
      <c r="I37" s="178">
        <v>0</v>
      </c>
      <c r="J37" s="176">
        <v>46014</v>
      </c>
      <c r="K37" s="172" t="s">
        <v>94</v>
      </c>
      <c r="L37" s="172" t="s">
        <v>95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655</v>
      </c>
      <c r="B38" s="176">
        <v>46024</v>
      </c>
      <c r="C38" s="172" t="s">
        <v>93</v>
      </c>
      <c r="D38" s="172" t="s">
        <v>97</v>
      </c>
      <c r="E38" s="172" t="s">
        <v>54</v>
      </c>
      <c r="F38" s="172" t="s">
        <v>121</v>
      </c>
      <c r="G38" s="172" t="s">
        <v>85</v>
      </c>
      <c r="H38" s="177">
        <v>1</v>
      </c>
      <c r="I38" s="178">
        <v>0</v>
      </c>
      <c r="J38" s="176">
        <v>46014</v>
      </c>
      <c r="K38" s="172" t="s">
        <v>94</v>
      </c>
      <c r="L38" s="172" t="s">
        <v>95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655</v>
      </c>
      <c r="B39" s="176">
        <v>46024</v>
      </c>
      <c r="C39" s="172" t="s">
        <v>93</v>
      </c>
      <c r="D39" s="172" t="s">
        <v>98</v>
      </c>
      <c r="E39" s="172" t="s">
        <v>54</v>
      </c>
      <c r="F39" s="172" t="s">
        <v>121</v>
      </c>
      <c r="G39" s="172" t="s">
        <v>85</v>
      </c>
      <c r="H39" s="177">
        <v>1</v>
      </c>
      <c r="I39" s="178">
        <v>0</v>
      </c>
      <c r="J39" s="176">
        <v>46014</v>
      </c>
      <c r="K39" s="172" t="s">
        <v>94</v>
      </c>
      <c r="L39" s="172" t="s">
        <v>95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655</v>
      </c>
      <c r="B40" s="176">
        <v>46024</v>
      </c>
      <c r="C40" s="172" t="s">
        <v>82</v>
      </c>
      <c r="D40" s="172" t="s">
        <v>99</v>
      </c>
      <c r="E40" s="172" t="s">
        <v>54</v>
      </c>
      <c r="F40" s="172" t="s">
        <v>121</v>
      </c>
      <c r="G40" s="172" t="s">
        <v>85</v>
      </c>
      <c r="H40" s="177">
        <v>1</v>
      </c>
      <c r="I40" s="178">
        <v>0</v>
      </c>
      <c r="J40" s="176">
        <v>46014</v>
      </c>
      <c r="K40" s="172" t="s">
        <v>94</v>
      </c>
      <c r="L40" s="172" t="s">
        <v>95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656</v>
      </c>
      <c r="B41" s="176">
        <v>46024</v>
      </c>
      <c r="C41" s="172" t="s">
        <v>93</v>
      </c>
      <c r="D41" s="172" t="s">
        <v>24</v>
      </c>
      <c r="E41" s="172" t="s">
        <v>53</v>
      </c>
      <c r="F41" s="172" t="s">
        <v>91</v>
      </c>
      <c r="G41" s="172" t="s">
        <v>85</v>
      </c>
      <c r="H41" s="177">
        <v>1</v>
      </c>
      <c r="I41" s="178">
        <v>1621</v>
      </c>
      <c r="J41" s="176">
        <v>46011</v>
      </c>
      <c r="K41" s="172" t="s">
        <v>94</v>
      </c>
      <c r="L41" s="172" t="s">
        <v>95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656</v>
      </c>
      <c r="B42" s="176">
        <v>46024</v>
      </c>
      <c r="C42" s="172" t="s">
        <v>101</v>
      </c>
      <c r="D42" s="172" t="s">
        <v>102</v>
      </c>
      <c r="E42" s="172" t="s">
        <v>53</v>
      </c>
      <c r="F42" s="172" t="s">
        <v>91</v>
      </c>
      <c r="G42" s="172" t="s">
        <v>85</v>
      </c>
      <c r="H42" s="177">
        <v>1</v>
      </c>
      <c r="I42" s="178">
        <v>1621</v>
      </c>
      <c r="J42" s="176">
        <v>46011</v>
      </c>
      <c r="K42" s="172" t="s">
        <v>94</v>
      </c>
      <c r="L42" s="172" t="s">
        <v>95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656</v>
      </c>
      <c r="B43" s="176">
        <v>46024</v>
      </c>
      <c r="C43" s="172" t="s">
        <v>101</v>
      </c>
      <c r="D43" s="172" t="s">
        <v>103</v>
      </c>
      <c r="E43" s="172" t="s">
        <v>53</v>
      </c>
      <c r="F43" s="172" t="s">
        <v>91</v>
      </c>
      <c r="G43" s="172" t="s">
        <v>85</v>
      </c>
      <c r="H43" s="177">
        <v>1</v>
      </c>
      <c r="I43" s="178">
        <v>1621</v>
      </c>
      <c r="J43" s="176">
        <v>46011</v>
      </c>
      <c r="K43" s="172" t="s">
        <v>94</v>
      </c>
      <c r="L43" s="172" t="s">
        <v>95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656</v>
      </c>
      <c r="B44" s="176">
        <v>46024</v>
      </c>
      <c r="C44" s="172" t="s">
        <v>101</v>
      </c>
      <c r="D44" s="172" t="s">
        <v>104</v>
      </c>
      <c r="E44" s="172" t="s">
        <v>53</v>
      </c>
      <c r="F44" s="172" t="s">
        <v>91</v>
      </c>
      <c r="G44" s="172" t="s">
        <v>85</v>
      </c>
      <c r="H44" s="177">
        <v>1</v>
      </c>
      <c r="I44" s="178">
        <v>1621</v>
      </c>
      <c r="J44" s="176">
        <v>46011</v>
      </c>
      <c r="K44" s="172" t="s">
        <v>94</v>
      </c>
      <c r="L44" s="172" t="s">
        <v>95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656</v>
      </c>
      <c r="B45" s="176">
        <v>46024</v>
      </c>
      <c r="C45" s="172" t="s">
        <v>105</v>
      </c>
      <c r="D45" s="172" t="s">
        <v>106</v>
      </c>
      <c r="E45" s="172" t="s">
        <v>53</v>
      </c>
      <c r="F45" s="172" t="s">
        <v>91</v>
      </c>
      <c r="G45" s="172" t="s">
        <v>85</v>
      </c>
      <c r="H45" s="177">
        <v>1</v>
      </c>
      <c r="I45" s="178">
        <v>1621</v>
      </c>
      <c r="J45" s="176">
        <v>46011</v>
      </c>
      <c r="K45" s="172" t="s">
        <v>94</v>
      </c>
      <c r="L45" s="172" t="s">
        <v>95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656</v>
      </c>
      <c r="B46" s="176">
        <v>46024</v>
      </c>
      <c r="C46" s="172" t="s">
        <v>82</v>
      </c>
      <c r="D46" s="172" t="s">
        <v>96</v>
      </c>
      <c r="E46" s="172" t="s">
        <v>53</v>
      </c>
      <c r="F46" s="172" t="s">
        <v>91</v>
      </c>
      <c r="G46" s="172" t="s">
        <v>85</v>
      </c>
      <c r="H46" s="177">
        <v>1</v>
      </c>
      <c r="I46" s="178">
        <v>1621</v>
      </c>
      <c r="J46" s="176">
        <v>46011</v>
      </c>
      <c r="K46" s="172" t="s">
        <v>94</v>
      </c>
      <c r="L46" s="172" t="s">
        <v>95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656</v>
      </c>
      <c r="B47" s="176">
        <v>46024</v>
      </c>
      <c r="C47" s="172" t="s">
        <v>82</v>
      </c>
      <c r="D47" s="172" t="s">
        <v>83</v>
      </c>
      <c r="E47" s="172" t="s">
        <v>53</v>
      </c>
      <c r="F47" s="172" t="s">
        <v>91</v>
      </c>
      <c r="G47" s="172" t="s">
        <v>85</v>
      </c>
      <c r="H47" s="177">
        <v>1</v>
      </c>
      <c r="I47" s="178">
        <v>0</v>
      </c>
      <c r="J47" s="176">
        <v>46011</v>
      </c>
      <c r="K47" s="172" t="s">
        <v>86</v>
      </c>
      <c r="L47" s="172" t="s">
        <v>86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657</v>
      </c>
      <c r="B48" s="176">
        <v>46024</v>
      </c>
      <c r="C48" s="172" t="s">
        <v>93</v>
      </c>
      <c r="D48" s="172" t="s">
        <v>24</v>
      </c>
      <c r="E48" s="172" t="s">
        <v>54</v>
      </c>
      <c r="F48" s="172" t="s">
        <v>121</v>
      </c>
      <c r="G48" s="172" t="s">
        <v>85</v>
      </c>
      <c r="H48" s="177">
        <v>1</v>
      </c>
      <c r="I48" s="178">
        <v>1621</v>
      </c>
      <c r="J48" s="176">
        <v>46014</v>
      </c>
      <c r="K48" s="172" t="s">
        <v>94</v>
      </c>
      <c r="L48" s="172" t="s">
        <v>95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657</v>
      </c>
      <c r="B49" s="176">
        <v>46024</v>
      </c>
      <c r="C49" s="172" t="s">
        <v>101</v>
      </c>
      <c r="D49" s="172" t="s">
        <v>102</v>
      </c>
      <c r="E49" s="172" t="s">
        <v>54</v>
      </c>
      <c r="F49" s="172" t="s">
        <v>121</v>
      </c>
      <c r="G49" s="172" t="s">
        <v>85</v>
      </c>
      <c r="H49" s="177">
        <v>1</v>
      </c>
      <c r="I49" s="178">
        <v>1621</v>
      </c>
      <c r="J49" s="176">
        <v>46014</v>
      </c>
      <c r="K49" s="172" t="s">
        <v>94</v>
      </c>
      <c r="L49" s="172" t="s">
        <v>95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657</v>
      </c>
      <c r="B50" s="176">
        <v>46024</v>
      </c>
      <c r="C50" s="172" t="s">
        <v>101</v>
      </c>
      <c r="D50" s="172" t="s">
        <v>103</v>
      </c>
      <c r="E50" s="172" t="s">
        <v>54</v>
      </c>
      <c r="F50" s="172" t="s">
        <v>121</v>
      </c>
      <c r="G50" s="172" t="s">
        <v>85</v>
      </c>
      <c r="H50" s="177">
        <v>1</v>
      </c>
      <c r="I50" s="178">
        <v>1621</v>
      </c>
      <c r="J50" s="176">
        <v>46014</v>
      </c>
      <c r="K50" s="172" t="s">
        <v>94</v>
      </c>
      <c r="L50" s="172" t="s">
        <v>95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657</v>
      </c>
      <c r="B51" s="176">
        <v>46024</v>
      </c>
      <c r="C51" s="172" t="s">
        <v>101</v>
      </c>
      <c r="D51" s="172" t="s">
        <v>104</v>
      </c>
      <c r="E51" s="172" t="s">
        <v>54</v>
      </c>
      <c r="F51" s="172" t="s">
        <v>121</v>
      </c>
      <c r="G51" s="172" t="s">
        <v>85</v>
      </c>
      <c r="H51" s="177">
        <v>1</v>
      </c>
      <c r="I51" s="178">
        <v>1621</v>
      </c>
      <c r="J51" s="176">
        <v>46014</v>
      </c>
      <c r="K51" s="172" t="s">
        <v>94</v>
      </c>
      <c r="L51" s="172" t="s">
        <v>95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657</v>
      </c>
      <c r="B52" s="176">
        <v>46024</v>
      </c>
      <c r="C52" s="172" t="s">
        <v>105</v>
      </c>
      <c r="D52" s="172" t="s">
        <v>106</v>
      </c>
      <c r="E52" s="172" t="s">
        <v>54</v>
      </c>
      <c r="F52" s="172" t="s">
        <v>121</v>
      </c>
      <c r="G52" s="172" t="s">
        <v>85</v>
      </c>
      <c r="H52" s="177">
        <v>1</v>
      </c>
      <c r="I52" s="178">
        <v>1621</v>
      </c>
      <c r="J52" s="176">
        <v>46014</v>
      </c>
      <c r="K52" s="172" t="s">
        <v>94</v>
      </c>
      <c r="L52" s="172" t="s">
        <v>95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657</v>
      </c>
      <c r="B53" s="176">
        <v>46024</v>
      </c>
      <c r="C53" s="172" t="s">
        <v>82</v>
      </c>
      <c r="D53" s="172" t="s">
        <v>96</v>
      </c>
      <c r="E53" s="172" t="s">
        <v>54</v>
      </c>
      <c r="F53" s="172" t="s">
        <v>121</v>
      </c>
      <c r="G53" s="172" t="s">
        <v>85</v>
      </c>
      <c r="H53" s="177">
        <v>1</v>
      </c>
      <c r="I53" s="178">
        <v>1621</v>
      </c>
      <c r="J53" s="176">
        <v>46014</v>
      </c>
      <c r="K53" s="172" t="s">
        <v>94</v>
      </c>
      <c r="L53" s="172" t="s">
        <v>95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658</v>
      </c>
      <c r="B54" s="176">
        <v>46024</v>
      </c>
      <c r="C54" s="172" t="s">
        <v>93</v>
      </c>
      <c r="D54" s="172" t="s">
        <v>24</v>
      </c>
      <c r="E54" s="172" t="s">
        <v>42</v>
      </c>
      <c r="F54" s="172" t="s">
        <v>84</v>
      </c>
      <c r="G54" s="172" t="s">
        <v>85</v>
      </c>
      <c r="H54" s="177">
        <v>1</v>
      </c>
      <c r="I54" s="178">
        <v>1600</v>
      </c>
      <c r="J54" s="176">
        <v>46021</v>
      </c>
      <c r="K54" s="172" t="s">
        <v>94</v>
      </c>
      <c r="L54" s="172" t="s">
        <v>95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658</v>
      </c>
      <c r="B55" s="176">
        <v>46024</v>
      </c>
      <c r="C55" s="172" t="s">
        <v>101</v>
      </c>
      <c r="D55" s="172" t="s">
        <v>102</v>
      </c>
      <c r="E55" s="172" t="s">
        <v>42</v>
      </c>
      <c r="F55" s="172" t="s">
        <v>84</v>
      </c>
      <c r="G55" s="172" t="s">
        <v>85</v>
      </c>
      <c r="H55" s="177">
        <v>1</v>
      </c>
      <c r="I55" s="178">
        <v>1600</v>
      </c>
      <c r="J55" s="176">
        <v>46021</v>
      </c>
      <c r="K55" s="172" t="s">
        <v>94</v>
      </c>
      <c r="L55" s="172" t="s">
        <v>95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658</v>
      </c>
      <c r="B56" s="176">
        <v>46024</v>
      </c>
      <c r="C56" s="172" t="s">
        <v>101</v>
      </c>
      <c r="D56" s="172" t="s">
        <v>103</v>
      </c>
      <c r="E56" s="172" t="s">
        <v>42</v>
      </c>
      <c r="F56" s="172" t="s">
        <v>84</v>
      </c>
      <c r="G56" s="172" t="s">
        <v>85</v>
      </c>
      <c r="H56" s="177">
        <v>1</v>
      </c>
      <c r="I56" s="178">
        <v>1600</v>
      </c>
      <c r="J56" s="176">
        <v>46021</v>
      </c>
      <c r="K56" s="172" t="s">
        <v>94</v>
      </c>
      <c r="L56" s="172" t="s">
        <v>95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658</v>
      </c>
      <c r="B57" s="176">
        <v>46024</v>
      </c>
      <c r="C57" s="172" t="s">
        <v>101</v>
      </c>
      <c r="D57" s="172" t="s">
        <v>104</v>
      </c>
      <c r="E57" s="172" t="s">
        <v>42</v>
      </c>
      <c r="F57" s="172" t="s">
        <v>84</v>
      </c>
      <c r="G57" s="172" t="s">
        <v>85</v>
      </c>
      <c r="H57" s="177">
        <v>1</v>
      </c>
      <c r="I57" s="178">
        <v>1600</v>
      </c>
      <c r="J57" s="176">
        <v>46021</v>
      </c>
      <c r="K57" s="172" t="s">
        <v>94</v>
      </c>
      <c r="L57" s="172" t="s">
        <v>95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658</v>
      </c>
      <c r="B58" s="176">
        <v>46024</v>
      </c>
      <c r="C58" s="172" t="s">
        <v>105</v>
      </c>
      <c r="D58" s="172" t="s">
        <v>106</v>
      </c>
      <c r="E58" s="172" t="s">
        <v>42</v>
      </c>
      <c r="F58" s="172" t="s">
        <v>84</v>
      </c>
      <c r="G58" s="172" t="s">
        <v>85</v>
      </c>
      <c r="H58" s="177">
        <v>1</v>
      </c>
      <c r="I58" s="178">
        <v>1600</v>
      </c>
      <c r="J58" s="176">
        <v>46021</v>
      </c>
      <c r="K58" s="172" t="s">
        <v>94</v>
      </c>
      <c r="L58" s="172" t="s">
        <v>95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658</v>
      </c>
      <c r="B59" s="176">
        <v>46024</v>
      </c>
      <c r="C59" s="172" t="s">
        <v>82</v>
      </c>
      <c r="D59" s="172" t="s">
        <v>96</v>
      </c>
      <c r="E59" s="172" t="s">
        <v>42</v>
      </c>
      <c r="F59" s="172" t="s">
        <v>84</v>
      </c>
      <c r="G59" s="172" t="s">
        <v>85</v>
      </c>
      <c r="H59" s="177">
        <v>1</v>
      </c>
      <c r="I59" s="178">
        <v>1600</v>
      </c>
      <c r="J59" s="176">
        <v>46021</v>
      </c>
      <c r="K59" s="172" t="s">
        <v>94</v>
      </c>
      <c r="L59" s="172" t="s">
        <v>95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657</v>
      </c>
      <c r="B60" s="176">
        <v>46024</v>
      </c>
      <c r="C60" s="172" t="s">
        <v>82</v>
      </c>
      <c r="D60" s="172" t="s">
        <v>83</v>
      </c>
      <c r="E60" s="172" t="s">
        <v>54</v>
      </c>
      <c r="F60" s="172" t="s">
        <v>121</v>
      </c>
      <c r="G60" s="172" t="s">
        <v>85</v>
      </c>
      <c r="H60" s="177">
        <v>1</v>
      </c>
      <c r="I60" s="178">
        <v>0</v>
      </c>
      <c r="J60" s="176">
        <v>46014</v>
      </c>
      <c r="K60" s="172" t="s">
        <v>86</v>
      </c>
      <c r="L60" s="172" t="s">
        <v>86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659</v>
      </c>
      <c r="B61" s="176">
        <v>46024</v>
      </c>
      <c r="C61" s="172" t="s">
        <v>93</v>
      </c>
      <c r="D61" s="172" t="s">
        <v>24</v>
      </c>
      <c r="E61" s="172" t="s">
        <v>53</v>
      </c>
      <c r="F61" s="172" t="s">
        <v>91</v>
      </c>
      <c r="G61" s="172" t="s">
        <v>85</v>
      </c>
      <c r="H61" s="177">
        <v>1</v>
      </c>
      <c r="I61" s="178">
        <v>1621</v>
      </c>
      <c r="J61" s="176">
        <v>46012</v>
      </c>
      <c r="K61" s="172" t="s">
        <v>94</v>
      </c>
      <c r="L61" s="172" t="s">
        <v>95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659</v>
      </c>
      <c r="B62" s="176">
        <v>46024</v>
      </c>
      <c r="C62" s="172" t="s">
        <v>101</v>
      </c>
      <c r="D62" s="172" t="s">
        <v>102</v>
      </c>
      <c r="E62" s="172" t="s">
        <v>53</v>
      </c>
      <c r="F62" s="172" t="s">
        <v>91</v>
      </c>
      <c r="G62" s="172" t="s">
        <v>85</v>
      </c>
      <c r="H62" s="177">
        <v>1</v>
      </c>
      <c r="I62" s="178">
        <v>1621</v>
      </c>
      <c r="J62" s="176">
        <v>46012</v>
      </c>
      <c r="K62" s="172" t="s">
        <v>94</v>
      </c>
      <c r="L62" s="172" t="s">
        <v>95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659</v>
      </c>
      <c r="B63" s="176">
        <v>46024</v>
      </c>
      <c r="C63" s="172" t="s">
        <v>101</v>
      </c>
      <c r="D63" s="172" t="s">
        <v>103</v>
      </c>
      <c r="E63" s="172" t="s">
        <v>53</v>
      </c>
      <c r="F63" s="172" t="s">
        <v>91</v>
      </c>
      <c r="G63" s="172" t="s">
        <v>85</v>
      </c>
      <c r="H63" s="177">
        <v>1</v>
      </c>
      <c r="I63" s="178">
        <v>1621</v>
      </c>
      <c r="J63" s="176">
        <v>46012</v>
      </c>
      <c r="K63" s="172" t="s">
        <v>94</v>
      </c>
      <c r="L63" s="172" t="s">
        <v>95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659</v>
      </c>
      <c r="B64" s="176">
        <v>46024</v>
      </c>
      <c r="C64" s="172" t="s">
        <v>101</v>
      </c>
      <c r="D64" s="172" t="s">
        <v>104</v>
      </c>
      <c r="E64" s="172" t="s">
        <v>53</v>
      </c>
      <c r="F64" s="172" t="s">
        <v>91</v>
      </c>
      <c r="G64" s="172" t="s">
        <v>85</v>
      </c>
      <c r="H64" s="177">
        <v>1</v>
      </c>
      <c r="I64" s="178">
        <v>1621</v>
      </c>
      <c r="J64" s="176">
        <v>46012</v>
      </c>
      <c r="K64" s="172" t="s">
        <v>94</v>
      </c>
      <c r="L64" s="172" t="s">
        <v>95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659</v>
      </c>
      <c r="B65" s="176">
        <v>46024</v>
      </c>
      <c r="C65" s="172" t="s">
        <v>105</v>
      </c>
      <c r="D65" s="172" t="s">
        <v>106</v>
      </c>
      <c r="E65" s="172" t="s">
        <v>53</v>
      </c>
      <c r="F65" s="172" t="s">
        <v>91</v>
      </c>
      <c r="G65" s="172" t="s">
        <v>85</v>
      </c>
      <c r="H65" s="177">
        <v>1</v>
      </c>
      <c r="I65" s="178">
        <v>1621</v>
      </c>
      <c r="J65" s="176">
        <v>46012</v>
      </c>
      <c r="K65" s="172" t="s">
        <v>94</v>
      </c>
      <c r="L65" s="172" t="s">
        <v>95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659</v>
      </c>
      <c r="B66" s="176">
        <v>46024</v>
      </c>
      <c r="C66" s="172" t="s">
        <v>82</v>
      </c>
      <c r="D66" s="172" t="s">
        <v>96</v>
      </c>
      <c r="E66" s="172" t="s">
        <v>53</v>
      </c>
      <c r="F66" s="172" t="s">
        <v>91</v>
      </c>
      <c r="G66" s="172" t="s">
        <v>85</v>
      </c>
      <c r="H66" s="177">
        <v>1</v>
      </c>
      <c r="I66" s="178">
        <v>1621</v>
      </c>
      <c r="J66" s="176">
        <v>46012</v>
      </c>
      <c r="K66" s="172" t="s">
        <v>94</v>
      </c>
      <c r="L66" s="172" t="s">
        <v>95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659</v>
      </c>
      <c r="B67" s="176">
        <v>46024</v>
      </c>
      <c r="C67" s="172" t="s">
        <v>82</v>
      </c>
      <c r="D67" s="172" t="s">
        <v>83</v>
      </c>
      <c r="E67" s="172" t="s">
        <v>53</v>
      </c>
      <c r="F67" s="172" t="s">
        <v>91</v>
      </c>
      <c r="G67" s="172" t="s">
        <v>85</v>
      </c>
      <c r="H67" s="177">
        <v>1</v>
      </c>
      <c r="I67" s="178">
        <v>0</v>
      </c>
      <c r="J67" s="176">
        <v>46012</v>
      </c>
      <c r="K67" s="172" t="s">
        <v>86</v>
      </c>
      <c r="L67" s="172" t="s">
        <v>86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86</v>
      </c>
      <c r="B68" s="176">
        <v>46024</v>
      </c>
      <c r="C68" s="172" t="s">
        <v>110</v>
      </c>
      <c r="D68" s="172" t="s">
        <v>111</v>
      </c>
      <c r="E68" s="172" t="s">
        <v>86</v>
      </c>
      <c r="F68" s="172" t="s">
        <v>86</v>
      </c>
      <c r="G68" s="172" t="s">
        <v>660</v>
      </c>
      <c r="H68" s="177">
        <v>0</v>
      </c>
      <c r="I68" s="178">
        <v>0</v>
      </c>
      <c r="J68" s="176">
        <v>46024</v>
      </c>
      <c r="K68" s="172" t="s">
        <v>86</v>
      </c>
      <c r="L68" s="172" t="s">
        <v>86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661</v>
      </c>
      <c r="B69" s="176">
        <v>46024</v>
      </c>
      <c r="C69" s="172" t="s">
        <v>93</v>
      </c>
      <c r="D69" s="172" t="s">
        <v>24</v>
      </c>
      <c r="E69" s="172" t="s">
        <v>42</v>
      </c>
      <c r="F69" s="172" t="s">
        <v>84</v>
      </c>
      <c r="G69" s="172" t="s">
        <v>85</v>
      </c>
      <c r="H69" s="177">
        <v>1</v>
      </c>
      <c r="I69" s="178">
        <v>1600</v>
      </c>
      <c r="J69" s="176">
        <v>46014</v>
      </c>
      <c r="K69" s="172" t="s">
        <v>94</v>
      </c>
      <c r="L69" s="172" t="s">
        <v>95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661</v>
      </c>
      <c r="B70" s="176">
        <v>46024</v>
      </c>
      <c r="C70" s="172" t="s">
        <v>101</v>
      </c>
      <c r="D70" s="172" t="s">
        <v>102</v>
      </c>
      <c r="E70" s="172" t="s">
        <v>42</v>
      </c>
      <c r="F70" s="172" t="s">
        <v>84</v>
      </c>
      <c r="G70" s="172" t="s">
        <v>85</v>
      </c>
      <c r="H70" s="177">
        <v>1</v>
      </c>
      <c r="I70" s="178">
        <v>1600</v>
      </c>
      <c r="J70" s="176">
        <v>46014</v>
      </c>
      <c r="K70" s="172" t="s">
        <v>94</v>
      </c>
      <c r="L70" s="172" t="s">
        <v>95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661</v>
      </c>
      <c r="B71" s="176">
        <v>46024</v>
      </c>
      <c r="C71" s="172" t="s">
        <v>101</v>
      </c>
      <c r="D71" s="172" t="s">
        <v>103</v>
      </c>
      <c r="E71" s="172" t="s">
        <v>42</v>
      </c>
      <c r="F71" s="172" t="s">
        <v>84</v>
      </c>
      <c r="G71" s="172" t="s">
        <v>85</v>
      </c>
      <c r="H71" s="177">
        <v>1</v>
      </c>
      <c r="I71" s="178">
        <v>1600</v>
      </c>
      <c r="J71" s="176">
        <v>46014</v>
      </c>
      <c r="K71" s="172" t="s">
        <v>94</v>
      </c>
      <c r="L71" s="172" t="s">
        <v>95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661</v>
      </c>
      <c r="B72" s="176">
        <v>46024</v>
      </c>
      <c r="C72" s="172" t="s">
        <v>101</v>
      </c>
      <c r="D72" s="172" t="s">
        <v>104</v>
      </c>
      <c r="E72" s="172" t="s">
        <v>42</v>
      </c>
      <c r="F72" s="172" t="s">
        <v>84</v>
      </c>
      <c r="G72" s="172" t="s">
        <v>85</v>
      </c>
      <c r="H72" s="177">
        <v>1</v>
      </c>
      <c r="I72" s="178">
        <v>1600</v>
      </c>
      <c r="J72" s="176">
        <v>46014</v>
      </c>
      <c r="K72" s="172" t="s">
        <v>94</v>
      </c>
      <c r="L72" s="172" t="s">
        <v>95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661</v>
      </c>
      <c r="B73" s="176">
        <v>46024</v>
      </c>
      <c r="C73" s="172" t="s">
        <v>105</v>
      </c>
      <c r="D73" s="172" t="s">
        <v>106</v>
      </c>
      <c r="E73" s="172" t="s">
        <v>42</v>
      </c>
      <c r="F73" s="172" t="s">
        <v>84</v>
      </c>
      <c r="G73" s="172" t="s">
        <v>85</v>
      </c>
      <c r="H73" s="177">
        <v>1</v>
      </c>
      <c r="I73" s="178">
        <v>1600</v>
      </c>
      <c r="J73" s="176">
        <v>46014</v>
      </c>
      <c r="K73" s="172" t="s">
        <v>94</v>
      </c>
      <c r="L73" s="172" t="s">
        <v>95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662</v>
      </c>
      <c r="B74" s="176">
        <v>46024</v>
      </c>
      <c r="C74" s="172" t="s">
        <v>82</v>
      </c>
      <c r="D74" s="172" t="s">
        <v>83</v>
      </c>
      <c r="E74" s="172" t="s">
        <v>40</v>
      </c>
      <c r="F74" s="172" t="s">
        <v>118</v>
      </c>
      <c r="G74" s="172" t="s">
        <v>85</v>
      </c>
      <c r="H74" s="177">
        <v>1</v>
      </c>
      <c r="I74" s="178">
        <v>0</v>
      </c>
      <c r="J74" s="176">
        <v>46024</v>
      </c>
      <c r="K74" s="172" t="s">
        <v>86</v>
      </c>
      <c r="L74" s="172" t="s">
        <v>86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663</v>
      </c>
      <c r="B75" s="176">
        <v>46024</v>
      </c>
      <c r="C75" s="172" t="s">
        <v>82</v>
      </c>
      <c r="D75" s="172" t="s">
        <v>83</v>
      </c>
      <c r="E75" s="172" t="s">
        <v>54</v>
      </c>
      <c r="F75" s="172" t="s">
        <v>121</v>
      </c>
      <c r="G75" s="172" t="s">
        <v>85</v>
      </c>
      <c r="H75" s="177">
        <v>1</v>
      </c>
      <c r="I75" s="178">
        <v>0</v>
      </c>
      <c r="J75" s="176">
        <v>46024</v>
      </c>
      <c r="K75" s="172" t="s">
        <v>86</v>
      </c>
      <c r="L75" s="172" t="s">
        <v>86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664</v>
      </c>
      <c r="B76" s="176">
        <v>46024</v>
      </c>
      <c r="C76" s="172" t="s">
        <v>82</v>
      </c>
      <c r="D76" s="172" t="s">
        <v>83</v>
      </c>
      <c r="E76" s="172" t="s">
        <v>42</v>
      </c>
      <c r="F76" s="172" t="s">
        <v>84</v>
      </c>
      <c r="G76" s="172" t="s">
        <v>85</v>
      </c>
      <c r="H76" s="177">
        <v>1</v>
      </c>
      <c r="I76" s="178">
        <v>0</v>
      </c>
      <c r="J76" s="176">
        <v>46024</v>
      </c>
      <c r="K76" s="172" t="s">
        <v>86</v>
      </c>
      <c r="L76" s="172" t="s">
        <v>86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665</v>
      </c>
      <c r="B77" s="176">
        <v>46024</v>
      </c>
      <c r="C77" s="172" t="s">
        <v>82</v>
      </c>
      <c r="D77" s="172" t="s">
        <v>83</v>
      </c>
      <c r="E77" s="172" t="s">
        <v>54</v>
      </c>
      <c r="F77" s="172" t="s">
        <v>121</v>
      </c>
      <c r="G77" s="172" t="s">
        <v>85</v>
      </c>
      <c r="H77" s="177">
        <v>1</v>
      </c>
      <c r="I77" s="178">
        <v>0</v>
      </c>
      <c r="J77" s="176">
        <v>46024</v>
      </c>
      <c r="K77" s="172" t="s">
        <v>86</v>
      </c>
      <c r="L77" s="172" t="s">
        <v>86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666</v>
      </c>
      <c r="B78" s="176">
        <v>46024</v>
      </c>
      <c r="C78" s="172" t="s">
        <v>82</v>
      </c>
      <c r="D78" s="172" t="s">
        <v>83</v>
      </c>
      <c r="E78" s="172" t="s">
        <v>54</v>
      </c>
      <c r="F78" s="172" t="s">
        <v>121</v>
      </c>
      <c r="G78" s="172" t="s">
        <v>85</v>
      </c>
      <c r="H78" s="177">
        <v>1</v>
      </c>
      <c r="I78" s="178">
        <v>0</v>
      </c>
      <c r="J78" s="176">
        <v>46024</v>
      </c>
      <c r="K78" s="172" t="s">
        <v>86</v>
      </c>
      <c r="L78" s="172" t="s">
        <v>86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667</v>
      </c>
      <c r="B79" s="176">
        <v>46024</v>
      </c>
      <c r="C79" s="172" t="s">
        <v>82</v>
      </c>
      <c r="D79" s="172" t="s">
        <v>83</v>
      </c>
      <c r="E79" s="172" t="s">
        <v>53</v>
      </c>
      <c r="F79" s="172" t="s">
        <v>91</v>
      </c>
      <c r="G79" s="172" t="s">
        <v>85</v>
      </c>
      <c r="H79" s="177">
        <v>1</v>
      </c>
      <c r="I79" s="178">
        <v>0</v>
      </c>
      <c r="J79" s="176">
        <v>46024</v>
      </c>
      <c r="K79" s="172" t="s">
        <v>86</v>
      </c>
      <c r="L79" s="172" t="s">
        <v>86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668</v>
      </c>
      <c r="B80" s="176">
        <v>46024</v>
      </c>
      <c r="C80" s="172" t="s">
        <v>82</v>
      </c>
      <c r="D80" s="172" t="s">
        <v>83</v>
      </c>
      <c r="E80" s="172" t="s">
        <v>54</v>
      </c>
      <c r="F80" s="172" t="s">
        <v>121</v>
      </c>
      <c r="G80" s="172" t="s">
        <v>85</v>
      </c>
      <c r="H80" s="177">
        <v>1</v>
      </c>
      <c r="I80" s="178">
        <v>0</v>
      </c>
      <c r="J80" s="176">
        <v>46024</v>
      </c>
      <c r="K80" s="172" t="s">
        <v>86</v>
      </c>
      <c r="L80" s="172" t="s">
        <v>86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669</v>
      </c>
      <c r="B81" s="176">
        <v>46024</v>
      </c>
      <c r="C81" s="172" t="s">
        <v>93</v>
      </c>
      <c r="D81" s="172" t="s">
        <v>97</v>
      </c>
      <c r="E81" s="172" t="s">
        <v>53</v>
      </c>
      <c r="F81" s="172" t="s">
        <v>91</v>
      </c>
      <c r="G81" s="172" t="s">
        <v>85</v>
      </c>
      <c r="H81" s="177">
        <v>1</v>
      </c>
      <c r="I81" s="178">
        <v>0</v>
      </c>
      <c r="J81" s="176">
        <v>46019</v>
      </c>
      <c r="K81" s="172" t="s">
        <v>94</v>
      </c>
      <c r="L81" s="172" t="s">
        <v>95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669</v>
      </c>
      <c r="B82" s="176">
        <v>46024</v>
      </c>
      <c r="C82" s="172" t="s">
        <v>93</v>
      </c>
      <c r="D82" s="172" t="s">
        <v>98</v>
      </c>
      <c r="E82" s="172" t="s">
        <v>53</v>
      </c>
      <c r="F82" s="172" t="s">
        <v>91</v>
      </c>
      <c r="G82" s="172" t="s">
        <v>85</v>
      </c>
      <c r="H82" s="177">
        <v>1</v>
      </c>
      <c r="I82" s="178">
        <v>0</v>
      </c>
      <c r="J82" s="176">
        <v>46019</v>
      </c>
      <c r="K82" s="172" t="s">
        <v>94</v>
      </c>
      <c r="L82" s="172" t="s">
        <v>95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669</v>
      </c>
      <c r="B83" s="176">
        <v>46024</v>
      </c>
      <c r="C83" s="172" t="s">
        <v>82</v>
      </c>
      <c r="D83" s="172" t="s">
        <v>99</v>
      </c>
      <c r="E83" s="172" t="s">
        <v>53</v>
      </c>
      <c r="F83" s="172" t="s">
        <v>91</v>
      </c>
      <c r="G83" s="172" t="s">
        <v>85</v>
      </c>
      <c r="H83" s="177">
        <v>1</v>
      </c>
      <c r="I83" s="178">
        <v>0</v>
      </c>
      <c r="J83" s="176">
        <v>46019</v>
      </c>
      <c r="K83" s="172" t="s">
        <v>94</v>
      </c>
      <c r="L83" s="172" t="s">
        <v>95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669</v>
      </c>
      <c r="B84" s="176">
        <v>46024</v>
      </c>
      <c r="C84" s="172" t="s">
        <v>93</v>
      </c>
      <c r="D84" s="172" t="s">
        <v>24</v>
      </c>
      <c r="E84" s="172" t="s">
        <v>53</v>
      </c>
      <c r="F84" s="172" t="s">
        <v>91</v>
      </c>
      <c r="G84" s="172" t="s">
        <v>85</v>
      </c>
      <c r="H84" s="177">
        <v>1</v>
      </c>
      <c r="I84" s="178">
        <v>0</v>
      </c>
      <c r="J84" s="176">
        <v>46019</v>
      </c>
      <c r="K84" s="172" t="s">
        <v>94</v>
      </c>
      <c r="L84" s="172" t="s">
        <v>95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669</v>
      </c>
      <c r="B85" s="176">
        <v>46024</v>
      </c>
      <c r="C85" s="172" t="s">
        <v>82</v>
      </c>
      <c r="D85" s="172" t="s">
        <v>96</v>
      </c>
      <c r="E85" s="172" t="s">
        <v>53</v>
      </c>
      <c r="F85" s="172" t="s">
        <v>91</v>
      </c>
      <c r="G85" s="172" t="s">
        <v>85</v>
      </c>
      <c r="H85" s="177">
        <v>1</v>
      </c>
      <c r="I85" s="178">
        <v>0</v>
      </c>
      <c r="J85" s="176">
        <v>46019</v>
      </c>
      <c r="K85" s="172" t="s">
        <v>94</v>
      </c>
      <c r="L85" s="172" t="s">
        <v>95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670</v>
      </c>
      <c r="B86" s="176">
        <v>46024</v>
      </c>
      <c r="C86" s="172" t="s">
        <v>82</v>
      </c>
      <c r="D86" s="172" t="s">
        <v>83</v>
      </c>
      <c r="E86" s="172" t="s">
        <v>53</v>
      </c>
      <c r="F86" s="172" t="s">
        <v>91</v>
      </c>
      <c r="G86" s="172" t="s">
        <v>85</v>
      </c>
      <c r="H86" s="177">
        <v>1</v>
      </c>
      <c r="I86" s="178">
        <v>0</v>
      </c>
      <c r="J86" s="176">
        <v>46024</v>
      </c>
      <c r="K86" s="172" t="s">
        <v>86</v>
      </c>
      <c r="L86" s="172" t="s">
        <v>86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671</v>
      </c>
      <c r="B87" s="176">
        <v>46024</v>
      </c>
      <c r="C87" s="172" t="s">
        <v>93</v>
      </c>
      <c r="D87" s="172" t="s">
        <v>24</v>
      </c>
      <c r="E87" s="172" t="s">
        <v>54</v>
      </c>
      <c r="F87" s="172" t="s">
        <v>121</v>
      </c>
      <c r="G87" s="172" t="s">
        <v>85</v>
      </c>
      <c r="H87" s="177">
        <v>1</v>
      </c>
      <c r="I87" s="178">
        <v>0</v>
      </c>
      <c r="J87" s="176">
        <v>46019</v>
      </c>
      <c r="K87" s="172" t="s">
        <v>94</v>
      </c>
      <c r="L87" s="172" t="s">
        <v>95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671</v>
      </c>
      <c r="B88" s="176">
        <v>46024</v>
      </c>
      <c r="C88" s="172" t="s">
        <v>82</v>
      </c>
      <c r="D88" s="172" t="s">
        <v>96</v>
      </c>
      <c r="E88" s="172" t="s">
        <v>54</v>
      </c>
      <c r="F88" s="172" t="s">
        <v>121</v>
      </c>
      <c r="G88" s="172" t="s">
        <v>85</v>
      </c>
      <c r="H88" s="177">
        <v>1</v>
      </c>
      <c r="I88" s="178">
        <v>0</v>
      </c>
      <c r="J88" s="176">
        <v>46019</v>
      </c>
      <c r="K88" s="172" t="s">
        <v>94</v>
      </c>
      <c r="L88" s="172" t="s">
        <v>95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671</v>
      </c>
      <c r="B89" s="176">
        <v>46024</v>
      </c>
      <c r="C89" s="172" t="s">
        <v>93</v>
      </c>
      <c r="D89" s="172" t="s">
        <v>97</v>
      </c>
      <c r="E89" s="172" t="s">
        <v>54</v>
      </c>
      <c r="F89" s="172" t="s">
        <v>121</v>
      </c>
      <c r="G89" s="172" t="s">
        <v>85</v>
      </c>
      <c r="H89" s="177">
        <v>1</v>
      </c>
      <c r="I89" s="178">
        <v>0</v>
      </c>
      <c r="J89" s="176">
        <v>46019</v>
      </c>
      <c r="K89" s="172" t="s">
        <v>94</v>
      </c>
      <c r="L89" s="172" t="s">
        <v>95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671</v>
      </c>
      <c r="B90" s="176">
        <v>46024</v>
      </c>
      <c r="C90" s="172" t="s">
        <v>93</v>
      </c>
      <c r="D90" s="172" t="s">
        <v>98</v>
      </c>
      <c r="E90" s="172" t="s">
        <v>54</v>
      </c>
      <c r="F90" s="172" t="s">
        <v>121</v>
      </c>
      <c r="G90" s="172" t="s">
        <v>85</v>
      </c>
      <c r="H90" s="177">
        <v>1</v>
      </c>
      <c r="I90" s="178">
        <v>0</v>
      </c>
      <c r="J90" s="176">
        <v>46019</v>
      </c>
      <c r="K90" s="172" t="s">
        <v>94</v>
      </c>
      <c r="L90" s="172" t="s">
        <v>95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671</v>
      </c>
      <c r="B91" s="176">
        <v>46024</v>
      </c>
      <c r="C91" s="172" t="s">
        <v>82</v>
      </c>
      <c r="D91" s="172" t="s">
        <v>99</v>
      </c>
      <c r="E91" s="172" t="s">
        <v>54</v>
      </c>
      <c r="F91" s="172" t="s">
        <v>121</v>
      </c>
      <c r="G91" s="172" t="s">
        <v>85</v>
      </c>
      <c r="H91" s="177">
        <v>1</v>
      </c>
      <c r="I91" s="178">
        <v>0</v>
      </c>
      <c r="J91" s="176">
        <v>46019</v>
      </c>
      <c r="K91" s="172" t="s">
        <v>94</v>
      </c>
      <c r="L91" s="172" t="s">
        <v>95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672</v>
      </c>
      <c r="B92" s="176">
        <v>46024</v>
      </c>
      <c r="C92" s="172" t="s">
        <v>93</v>
      </c>
      <c r="D92" s="172" t="s">
        <v>24</v>
      </c>
      <c r="E92" s="172" t="s">
        <v>54</v>
      </c>
      <c r="F92" s="172" t="s">
        <v>121</v>
      </c>
      <c r="G92" s="172" t="s">
        <v>85</v>
      </c>
      <c r="H92" s="177">
        <v>1</v>
      </c>
      <c r="I92" s="178">
        <v>1621</v>
      </c>
      <c r="J92" s="176">
        <v>46017</v>
      </c>
      <c r="K92" s="172" t="s">
        <v>94</v>
      </c>
      <c r="L92" s="172" t="s">
        <v>95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672</v>
      </c>
      <c r="B93" s="176">
        <v>46024</v>
      </c>
      <c r="C93" s="172" t="s">
        <v>101</v>
      </c>
      <c r="D93" s="172" t="s">
        <v>102</v>
      </c>
      <c r="E93" s="172" t="s">
        <v>54</v>
      </c>
      <c r="F93" s="172" t="s">
        <v>121</v>
      </c>
      <c r="G93" s="172" t="s">
        <v>85</v>
      </c>
      <c r="H93" s="177">
        <v>1</v>
      </c>
      <c r="I93" s="178">
        <v>1621</v>
      </c>
      <c r="J93" s="176">
        <v>46017</v>
      </c>
      <c r="K93" s="172" t="s">
        <v>94</v>
      </c>
      <c r="L93" s="172" t="s">
        <v>95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672</v>
      </c>
      <c r="B94" s="176">
        <v>46024</v>
      </c>
      <c r="C94" s="172" t="s">
        <v>101</v>
      </c>
      <c r="D94" s="172" t="s">
        <v>103</v>
      </c>
      <c r="E94" s="172" t="s">
        <v>54</v>
      </c>
      <c r="F94" s="172" t="s">
        <v>121</v>
      </c>
      <c r="G94" s="172" t="s">
        <v>85</v>
      </c>
      <c r="H94" s="177">
        <v>1</v>
      </c>
      <c r="I94" s="178">
        <v>1621</v>
      </c>
      <c r="J94" s="176">
        <v>46017</v>
      </c>
      <c r="K94" s="172" t="s">
        <v>94</v>
      </c>
      <c r="L94" s="172" t="s">
        <v>95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672</v>
      </c>
      <c r="B95" s="176">
        <v>46024</v>
      </c>
      <c r="C95" s="172" t="s">
        <v>101</v>
      </c>
      <c r="D95" s="172" t="s">
        <v>104</v>
      </c>
      <c r="E95" s="172" t="s">
        <v>54</v>
      </c>
      <c r="F95" s="172" t="s">
        <v>121</v>
      </c>
      <c r="G95" s="172" t="s">
        <v>85</v>
      </c>
      <c r="H95" s="177">
        <v>1</v>
      </c>
      <c r="I95" s="178">
        <v>1621</v>
      </c>
      <c r="J95" s="176">
        <v>46017</v>
      </c>
      <c r="K95" s="172" t="s">
        <v>94</v>
      </c>
      <c r="L95" s="172" t="s">
        <v>95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672</v>
      </c>
      <c r="B96" s="176">
        <v>46024</v>
      </c>
      <c r="C96" s="172" t="s">
        <v>105</v>
      </c>
      <c r="D96" s="172" t="s">
        <v>106</v>
      </c>
      <c r="E96" s="172" t="s">
        <v>54</v>
      </c>
      <c r="F96" s="172" t="s">
        <v>121</v>
      </c>
      <c r="G96" s="172" t="s">
        <v>85</v>
      </c>
      <c r="H96" s="177">
        <v>1</v>
      </c>
      <c r="I96" s="178">
        <v>1621</v>
      </c>
      <c r="J96" s="176">
        <v>46017</v>
      </c>
      <c r="K96" s="172" t="s">
        <v>94</v>
      </c>
      <c r="L96" s="172" t="s">
        <v>95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672</v>
      </c>
      <c r="B97" s="176">
        <v>46024</v>
      </c>
      <c r="C97" s="172" t="s">
        <v>82</v>
      </c>
      <c r="D97" s="172" t="s">
        <v>96</v>
      </c>
      <c r="E97" s="172" t="s">
        <v>54</v>
      </c>
      <c r="F97" s="172" t="s">
        <v>121</v>
      </c>
      <c r="G97" s="172" t="s">
        <v>85</v>
      </c>
      <c r="H97" s="177">
        <v>1</v>
      </c>
      <c r="I97" s="178">
        <v>1621</v>
      </c>
      <c r="J97" s="176">
        <v>46017</v>
      </c>
      <c r="K97" s="172" t="s">
        <v>94</v>
      </c>
      <c r="L97" s="172" t="s">
        <v>95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673</v>
      </c>
      <c r="B98" s="176">
        <v>46024</v>
      </c>
      <c r="C98" s="172" t="s">
        <v>82</v>
      </c>
      <c r="D98" s="172" t="s">
        <v>83</v>
      </c>
      <c r="E98" s="172" t="s">
        <v>54</v>
      </c>
      <c r="F98" s="172" t="s">
        <v>121</v>
      </c>
      <c r="G98" s="172" t="s">
        <v>85</v>
      </c>
      <c r="H98" s="177">
        <v>1</v>
      </c>
      <c r="I98" s="178">
        <v>0</v>
      </c>
      <c r="J98" s="176">
        <v>46024</v>
      </c>
      <c r="K98" s="172" t="s">
        <v>86</v>
      </c>
      <c r="L98" s="172" t="s">
        <v>86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674</v>
      </c>
      <c r="B99" s="176">
        <v>46024</v>
      </c>
      <c r="C99" s="172" t="s">
        <v>93</v>
      </c>
      <c r="D99" s="172" t="s">
        <v>24</v>
      </c>
      <c r="E99" s="172" t="s">
        <v>54</v>
      </c>
      <c r="F99" s="172" t="s">
        <v>121</v>
      </c>
      <c r="G99" s="172" t="s">
        <v>85</v>
      </c>
      <c r="H99" s="177">
        <v>1</v>
      </c>
      <c r="I99" s="178">
        <v>1621</v>
      </c>
      <c r="J99" s="176">
        <v>46014</v>
      </c>
      <c r="K99" s="172" t="s">
        <v>94</v>
      </c>
      <c r="L99" s="172" t="s">
        <v>95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674</v>
      </c>
      <c r="B100" s="176">
        <v>46024</v>
      </c>
      <c r="C100" s="172" t="s">
        <v>101</v>
      </c>
      <c r="D100" s="172" t="s">
        <v>102</v>
      </c>
      <c r="E100" s="172" t="s">
        <v>54</v>
      </c>
      <c r="F100" s="172" t="s">
        <v>121</v>
      </c>
      <c r="G100" s="172" t="s">
        <v>85</v>
      </c>
      <c r="H100" s="177">
        <v>1</v>
      </c>
      <c r="I100" s="178">
        <v>1621</v>
      </c>
      <c r="J100" s="176">
        <v>46014</v>
      </c>
      <c r="K100" s="172" t="s">
        <v>94</v>
      </c>
      <c r="L100" s="172" t="s">
        <v>95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674</v>
      </c>
      <c r="B101" s="176">
        <v>46024</v>
      </c>
      <c r="C101" s="172" t="s">
        <v>101</v>
      </c>
      <c r="D101" s="172" t="s">
        <v>103</v>
      </c>
      <c r="E101" s="172" t="s">
        <v>54</v>
      </c>
      <c r="F101" s="172" t="s">
        <v>121</v>
      </c>
      <c r="G101" s="172" t="s">
        <v>85</v>
      </c>
      <c r="H101" s="177">
        <v>1</v>
      </c>
      <c r="I101" s="178">
        <v>1621</v>
      </c>
      <c r="J101" s="176">
        <v>46014</v>
      </c>
      <c r="K101" s="172" t="s">
        <v>94</v>
      </c>
      <c r="L101" s="172" t="s">
        <v>95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674</v>
      </c>
      <c r="B102" s="176">
        <v>46024</v>
      </c>
      <c r="C102" s="172" t="s">
        <v>101</v>
      </c>
      <c r="D102" s="172" t="s">
        <v>104</v>
      </c>
      <c r="E102" s="172" t="s">
        <v>54</v>
      </c>
      <c r="F102" s="172" t="s">
        <v>121</v>
      </c>
      <c r="G102" s="172" t="s">
        <v>85</v>
      </c>
      <c r="H102" s="177">
        <v>1</v>
      </c>
      <c r="I102" s="178">
        <v>1621</v>
      </c>
      <c r="J102" s="176">
        <v>46014</v>
      </c>
      <c r="K102" s="172" t="s">
        <v>94</v>
      </c>
      <c r="L102" s="172" t="s">
        <v>95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674</v>
      </c>
      <c r="B103" s="176">
        <v>46024</v>
      </c>
      <c r="C103" s="172" t="s">
        <v>105</v>
      </c>
      <c r="D103" s="172" t="s">
        <v>106</v>
      </c>
      <c r="E103" s="172" t="s">
        <v>54</v>
      </c>
      <c r="F103" s="172" t="s">
        <v>121</v>
      </c>
      <c r="G103" s="172" t="s">
        <v>85</v>
      </c>
      <c r="H103" s="177">
        <v>1</v>
      </c>
      <c r="I103" s="178">
        <v>1621</v>
      </c>
      <c r="J103" s="176">
        <v>46014</v>
      </c>
      <c r="K103" s="172" t="s">
        <v>94</v>
      </c>
      <c r="L103" s="172" t="s">
        <v>95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675</v>
      </c>
      <c r="B104" s="176">
        <v>46024</v>
      </c>
      <c r="C104" s="172" t="s">
        <v>82</v>
      </c>
      <c r="D104" s="172" t="s">
        <v>83</v>
      </c>
      <c r="E104" s="172" t="s">
        <v>43</v>
      </c>
      <c r="F104" s="172" t="s">
        <v>90</v>
      </c>
      <c r="G104" s="172" t="s">
        <v>85</v>
      </c>
      <c r="H104" s="177">
        <v>1</v>
      </c>
      <c r="I104" s="178">
        <v>0</v>
      </c>
      <c r="J104" s="176">
        <v>46021</v>
      </c>
      <c r="K104" s="172" t="s">
        <v>86</v>
      </c>
      <c r="L104" s="172" t="s">
        <v>86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676</v>
      </c>
      <c r="B105" s="176">
        <v>46024</v>
      </c>
      <c r="C105" s="172" t="s">
        <v>93</v>
      </c>
      <c r="D105" s="172" t="s">
        <v>24</v>
      </c>
      <c r="E105" s="172" t="s">
        <v>53</v>
      </c>
      <c r="F105" s="172" t="s">
        <v>91</v>
      </c>
      <c r="G105" s="172" t="s">
        <v>85</v>
      </c>
      <c r="H105" s="177">
        <v>1</v>
      </c>
      <c r="I105" s="178">
        <v>1621</v>
      </c>
      <c r="J105" s="176">
        <v>46008</v>
      </c>
      <c r="K105" s="172" t="s">
        <v>94</v>
      </c>
      <c r="L105" s="172" t="s">
        <v>95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676</v>
      </c>
      <c r="B106" s="176">
        <v>46024</v>
      </c>
      <c r="C106" s="172" t="s">
        <v>101</v>
      </c>
      <c r="D106" s="172" t="s">
        <v>102</v>
      </c>
      <c r="E106" s="172" t="s">
        <v>53</v>
      </c>
      <c r="F106" s="172" t="s">
        <v>91</v>
      </c>
      <c r="G106" s="172" t="s">
        <v>85</v>
      </c>
      <c r="H106" s="177">
        <v>1</v>
      </c>
      <c r="I106" s="178">
        <v>1621</v>
      </c>
      <c r="J106" s="176">
        <v>46008</v>
      </c>
      <c r="K106" s="172" t="s">
        <v>94</v>
      </c>
      <c r="L106" s="172" t="s">
        <v>95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676</v>
      </c>
      <c r="B107" s="176">
        <v>46024</v>
      </c>
      <c r="C107" s="172" t="s">
        <v>101</v>
      </c>
      <c r="D107" s="172" t="s">
        <v>103</v>
      </c>
      <c r="E107" s="172" t="s">
        <v>53</v>
      </c>
      <c r="F107" s="172" t="s">
        <v>91</v>
      </c>
      <c r="G107" s="172" t="s">
        <v>85</v>
      </c>
      <c r="H107" s="177">
        <v>1</v>
      </c>
      <c r="I107" s="178">
        <v>1621</v>
      </c>
      <c r="J107" s="176">
        <v>46008</v>
      </c>
      <c r="K107" s="172" t="s">
        <v>94</v>
      </c>
      <c r="L107" s="172" t="s">
        <v>95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676</v>
      </c>
      <c r="B108" s="176">
        <v>46024</v>
      </c>
      <c r="C108" s="172" t="s">
        <v>101</v>
      </c>
      <c r="D108" s="172" t="s">
        <v>104</v>
      </c>
      <c r="E108" s="172" t="s">
        <v>53</v>
      </c>
      <c r="F108" s="172" t="s">
        <v>91</v>
      </c>
      <c r="G108" s="172" t="s">
        <v>85</v>
      </c>
      <c r="H108" s="177">
        <v>1</v>
      </c>
      <c r="I108" s="178">
        <v>1621</v>
      </c>
      <c r="J108" s="176">
        <v>46008</v>
      </c>
      <c r="K108" s="172" t="s">
        <v>94</v>
      </c>
      <c r="L108" s="172" t="s">
        <v>95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676</v>
      </c>
      <c r="B109" s="176">
        <v>46024</v>
      </c>
      <c r="C109" s="172" t="s">
        <v>105</v>
      </c>
      <c r="D109" s="172" t="s">
        <v>106</v>
      </c>
      <c r="E109" s="172" t="s">
        <v>53</v>
      </c>
      <c r="F109" s="172" t="s">
        <v>91</v>
      </c>
      <c r="G109" s="172" t="s">
        <v>85</v>
      </c>
      <c r="H109" s="177">
        <v>1</v>
      </c>
      <c r="I109" s="178">
        <v>1621</v>
      </c>
      <c r="J109" s="176">
        <v>46008</v>
      </c>
      <c r="K109" s="172" t="s">
        <v>94</v>
      </c>
      <c r="L109" s="172" t="s">
        <v>95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676</v>
      </c>
      <c r="B110" s="176">
        <v>46024</v>
      </c>
      <c r="C110" s="172" t="s">
        <v>82</v>
      </c>
      <c r="D110" s="172" t="s">
        <v>96</v>
      </c>
      <c r="E110" s="172" t="s">
        <v>53</v>
      </c>
      <c r="F110" s="172" t="s">
        <v>91</v>
      </c>
      <c r="G110" s="172" t="s">
        <v>85</v>
      </c>
      <c r="H110" s="177">
        <v>1</v>
      </c>
      <c r="I110" s="178">
        <v>1621</v>
      </c>
      <c r="J110" s="176">
        <v>46008</v>
      </c>
      <c r="K110" s="172" t="s">
        <v>94</v>
      </c>
      <c r="L110" s="172" t="s">
        <v>95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676</v>
      </c>
      <c r="B111" s="176">
        <v>46024</v>
      </c>
      <c r="C111" s="172" t="s">
        <v>82</v>
      </c>
      <c r="D111" s="172" t="s">
        <v>83</v>
      </c>
      <c r="E111" s="172" t="s">
        <v>53</v>
      </c>
      <c r="F111" s="172" t="s">
        <v>91</v>
      </c>
      <c r="G111" s="172" t="s">
        <v>85</v>
      </c>
      <c r="H111" s="177">
        <v>1</v>
      </c>
      <c r="I111" s="178">
        <v>0</v>
      </c>
      <c r="J111" s="176">
        <v>46008</v>
      </c>
      <c r="K111" s="172" t="s">
        <v>86</v>
      </c>
      <c r="L111" s="172" t="s">
        <v>86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677</v>
      </c>
      <c r="B112" s="176">
        <v>46024</v>
      </c>
      <c r="C112" s="172" t="s">
        <v>93</v>
      </c>
      <c r="D112" s="172" t="s">
        <v>24</v>
      </c>
      <c r="E112" s="172" t="s">
        <v>42</v>
      </c>
      <c r="F112" s="172" t="s">
        <v>84</v>
      </c>
      <c r="G112" s="172" t="s">
        <v>85</v>
      </c>
      <c r="H112" s="177">
        <v>1</v>
      </c>
      <c r="I112" s="178">
        <v>1600</v>
      </c>
      <c r="J112" s="176">
        <v>46020</v>
      </c>
      <c r="K112" s="172" t="s">
        <v>94</v>
      </c>
      <c r="L112" s="172" t="s">
        <v>95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677</v>
      </c>
      <c r="B113" s="176">
        <v>46024</v>
      </c>
      <c r="C113" s="172" t="s">
        <v>101</v>
      </c>
      <c r="D113" s="172" t="s">
        <v>102</v>
      </c>
      <c r="E113" s="172" t="s">
        <v>42</v>
      </c>
      <c r="F113" s="172" t="s">
        <v>84</v>
      </c>
      <c r="G113" s="172" t="s">
        <v>85</v>
      </c>
      <c r="H113" s="177">
        <v>1</v>
      </c>
      <c r="I113" s="178">
        <v>1600</v>
      </c>
      <c r="J113" s="176">
        <v>46020</v>
      </c>
      <c r="K113" s="172" t="s">
        <v>94</v>
      </c>
      <c r="L113" s="172" t="s">
        <v>95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677</v>
      </c>
      <c r="B114" s="176">
        <v>46024</v>
      </c>
      <c r="C114" s="172" t="s">
        <v>101</v>
      </c>
      <c r="D114" s="172" t="s">
        <v>103</v>
      </c>
      <c r="E114" s="172" t="s">
        <v>42</v>
      </c>
      <c r="F114" s="172" t="s">
        <v>84</v>
      </c>
      <c r="G114" s="172" t="s">
        <v>85</v>
      </c>
      <c r="H114" s="177">
        <v>1</v>
      </c>
      <c r="I114" s="178">
        <v>1600</v>
      </c>
      <c r="J114" s="176">
        <v>46020</v>
      </c>
      <c r="K114" s="172" t="s">
        <v>94</v>
      </c>
      <c r="L114" s="172" t="s">
        <v>95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677</v>
      </c>
      <c r="B115" s="176">
        <v>46024</v>
      </c>
      <c r="C115" s="172" t="s">
        <v>101</v>
      </c>
      <c r="D115" s="172" t="s">
        <v>104</v>
      </c>
      <c r="E115" s="172" t="s">
        <v>42</v>
      </c>
      <c r="F115" s="172" t="s">
        <v>84</v>
      </c>
      <c r="G115" s="172" t="s">
        <v>85</v>
      </c>
      <c r="H115" s="177">
        <v>1</v>
      </c>
      <c r="I115" s="178">
        <v>1600</v>
      </c>
      <c r="J115" s="176">
        <v>46020</v>
      </c>
      <c r="K115" s="172" t="s">
        <v>94</v>
      </c>
      <c r="L115" s="172" t="s">
        <v>95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677</v>
      </c>
      <c r="B116" s="176">
        <v>46024</v>
      </c>
      <c r="C116" s="172" t="s">
        <v>105</v>
      </c>
      <c r="D116" s="172" t="s">
        <v>106</v>
      </c>
      <c r="E116" s="172" t="s">
        <v>42</v>
      </c>
      <c r="F116" s="172" t="s">
        <v>84</v>
      </c>
      <c r="G116" s="172" t="s">
        <v>85</v>
      </c>
      <c r="H116" s="177">
        <v>1</v>
      </c>
      <c r="I116" s="178">
        <v>1600</v>
      </c>
      <c r="J116" s="176">
        <v>46020</v>
      </c>
      <c r="K116" s="172" t="s">
        <v>94</v>
      </c>
      <c r="L116" s="172" t="s">
        <v>95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677</v>
      </c>
      <c r="B117" s="176">
        <v>46024</v>
      </c>
      <c r="C117" s="172" t="s">
        <v>82</v>
      </c>
      <c r="D117" s="172" t="s">
        <v>96</v>
      </c>
      <c r="E117" s="172" t="s">
        <v>42</v>
      </c>
      <c r="F117" s="172" t="s">
        <v>84</v>
      </c>
      <c r="G117" s="172" t="s">
        <v>85</v>
      </c>
      <c r="H117" s="177">
        <v>1</v>
      </c>
      <c r="I117" s="178">
        <v>1600</v>
      </c>
      <c r="J117" s="176">
        <v>46020</v>
      </c>
      <c r="K117" s="172" t="s">
        <v>94</v>
      </c>
      <c r="L117" s="172" t="s">
        <v>95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677</v>
      </c>
      <c r="B118" s="176">
        <v>46024</v>
      </c>
      <c r="C118" s="172" t="s">
        <v>82</v>
      </c>
      <c r="D118" s="172" t="s">
        <v>83</v>
      </c>
      <c r="E118" s="172" t="s">
        <v>42</v>
      </c>
      <c r="F118" s="172" t="s">
        <v>84</v>
      </c>
      <c r="G118" s="172" t="s">
        <v>85</v>
      </c>
      <c r="H118" s="177">
        <v>1</v>
      </c>
      <c r="I118" s="178">
        <v>0</v>
      </c>
      <c r="J118" s="176">
        <v>46020</v>
      </c>
      <c r="K118" s="172" t="s">
        <v>86</v>
      </c>
      <c r="L118" s="172" t="s">
        <v>86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678</v>
      </c>
      <c r="B119" s="176">
        <v>46024</v>
      </c>
      <c r="C119" s="172" t="s">
        <v>82</v>
      </c>
      <c r="D119" s="172" t="s">
        <v>83</v>
      </c>
      <c r="E119" s="172" t="s">
        <v>53</v>
      </c>
      <c r="F119" s="172" t="s">
        <v>91</v>
      </c>
      <c r="G119" s="172" t="s">
        <v>85</v>
      </c>
      <c r="H119" s="177">
        <v>1</v>
      </c>
      <c r="I119" s="178">
        <v>0</v>
      </c>
      <c r="J119" s="176">
        <v>46024</v>
      </c>
      <c r="K119" s="172" t="s">
        <v>86</v>
      </c>
      <c r="L119" s="172" t="s">
        <v>86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679</v>
      </c>
      <c r="B120" s="176">
        <v>46024</v>
      </c>
      <c r="C120" s="172" t="s">
        <v>93</v>
      </c>
      <c r="D120" s="172" t="s">
        <v>24</v>
      </c>
      <c r="E120" s="172" t="s">
        <v>42</v>
      </c>
      <c r="F120" s="172" t="s">
        <v>84</v>
      </c>
      <c r="G120" s="172" t="s">
        <v>85</v>
      </c>
      <c r="H120" s="177">
        <v>1</v>
      </c>
      <c r="I120" s="178">
        <v>0</v>
      </c>
      <c r="J120" s="176">
        <v>46013</v>
      </c>
      <c r="K120" s="172" t="s">
        <v>94</v>
      </c>
      <c r="L120" s="172" t="s">
        <v>95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679</v>
      </c>
      <c r="B121" s="176">
        <v>46024</v>
      </c>
      <c r="C121" s="172" t="s">
        <v>82</v>
      </c>
      <c r="D121" s="172" t="s">
        <v>96</v>
      </c>
      <c r="E121" s="172" t="s">
        <v>42</v>
      </c>
      <c r="F121" s="172" t="s">
        <v>84</v>
      </c>
      <c r="G121" s="172" t="s">
        <v>85</v>
      </c>
      <c r="H121" s="177">
        <v>1</v>
      </c>
      <c r="I121" s="178">
        <v>0</v>
      </c>
      <c r="J121" s="176">
        <v>46013</v>
      </c>
      <c r="K121" s="172" t="s">
        <v>94</v>
      </c>
      <c r="L121" s="172" t="s">
        <v>95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679</v>
      </c>
      <c r="B122" s="176">
        <v>46024</v>
      </c>
      <c r="C122" s="172" t="s">
        <v>93</v>
      </c>
      <c r="D122" s="172" t="s">
        <v>97</v>
      </c>
      <c r="E122" s="172" t="s">
        <v>42</v>
      </c>
      <c r="F122" s="172" t="s">
        <v>84</v>
      </c>
      <c r="G122" s="172" t="s">
        <v>85</v>
      </c>
      <c r="H122" s="177">
        <v>1</v>
      </c>
      <c r="I122" s="178">
        <v>0</v>
      </c>
      <c r="J122" s="176">
        <v>46013</v>
      </c>
      <c r="K122" s="172" t="s">
        <v>94</v>
      </c>
      <c r="L122" s="172" t="s">
        <v>95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679</v>
      </c>
      <c r="B123" s="176">
        <v>46024</v>
      </c>
      <c r="C123" s="172" t="s">
        <v>93</v>
      </c>
      <c r="D123" s="172" t="s">
        <v>98</v>
      </c>
      <c r="E123" s="172" t="s">
        <v>42</v>
      </c>
      <c r="F123" s="172" t="s">
        <v>84</v>
      </c>
      <c r="G123" s="172" t="s">
        <v>85</v>
      </c>
      <c r="H123" s="177">
        <v>1</v>
      </c>
      <c r="I123" s="178">
        <v>0</v>
      </c>
      <c r="J123" s="176">
        <v>46013</v>
      </c>
      <c r="K123" s="172" t="s">
        <v>94</v>
      </c>
      <c r="L123" s="172" t="s">
        <v>95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679</v>
      </c>
      <c r="B124" s="176">
        <v>46024</v>
      </c>
      <c r="C124" s="172" t="s">
        <v>82</v>
      </c>
      <c r="D124" s="172" t="s">
        <v>99</v>
      </c>
      <c r="E124" s="172" t="s">
        <v>42</v>
      </c>
      <c r="F124" s="172" t="s">
        <v>84</v>
      </c>
      <c r="G124" s="172" t="s">
        <v>85</v>
      </c>
      <c r="H124" s="177">
        <v>1</v>
      </c>
      <c r="I124" s="178">
        <v>0</v>
      </c>
      <c r="J124" s="176">
        <v>46013</v>
      </c>
      <c r="K124" s="172" t="s">
        <v>94</v>
      </c>
      <c r="L124" s="172" t="s">
        <v>95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680</v>
      </c>
      <c r="B125" s="176">
        <v>46024</v>
      </c>
      <c r="C125" s="172" t="s">
        <v>93</v>
      </c>
      <c r="D125" s="172" t="s">
        <v>24</v>
      </c>
      <c r="E125" s="172" t="s">
        <v>54</v>
      </c>
      <c r="F125" s="172" t="s">
        <v>121</v>
      </c>
      <c r="G125" s="172" t="s">
        <v>85</v>
      </c>
      <c r="H125" s="177">
        <v>1</v>
      </c>
      <c r="I125" s="178">
        <v>0</v>
      </c>
      <c r="J125" s="176">
        <v>46013</v>
      </c>
      <c r="K125" s="172" t="s">
        <v>94</v>
      </c>
      <c r="L125" s="172" t="s">
        <v>95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680</v>
      </c>
      <c r="B126" s="176">
        <v>46024</v>
      </c>
      <c r="C126" s="172" t="s">
        <v>82</v>
      </c>
      <c r="D126" s="172" t="s">
        <v>96</v>
      </c>
      <c r="E126" s="172" t="s">
        <v>54</v>
      </c>
      <c r="F126" s="172" t="s">
        <v>121</v>
      </c>
      <c r="G126" s="172" t="s">
        <v>85</v>
      </c>
      <c r="H126" s="177">
        <v>1</v>
      </c>
      <c r="I126" s="178">
        <v>0</v>
      </c>
      <c r="J126" s="176">
        <v>46013</v>
      </c>
      <c r="K126" s="172" t="s">
        <v>94</v>
      </c>
      <c r="L126" s="172" t="s">
        <v>95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680</v>
      </c>
      <c r="B127" s="176">
        <v>46024</v>
      </c>
      <c r="C127" s="172" t="s">
        <v>93</v>
      </c>
      <c r="D127" s="172" t="s">
        <v>97</v>
      </c>
      <c r="E127" s="172" t="s">
        <v>54</v>
      </c>
      <c r="F127" s="172" t="s">
        <v>121</v>
      </c>
      <c r="G127" s="172" t="s">
        <v>85</v>
      </c>
      <c r="H127" s="177">
        <v>1</v>
      </c>
      <c r="I127" s="178">
        <v>0</v>
      </c>
      <c r="J127" s="176">
        <v>46013</v>
      </c>
      <c r="K127" s="172" t="s">
        <v>94</v>
      </c>
      <c r="L127" s="172" t="s">
        <v>95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680</v>
      </c>
      <c r="B128" s="176">
        <v>46024</v>
      </c>
      <c r="C128" s="172" t="s">
        <v>93</v>
      </c>
      <c r="D128" s="172" t="s">
        <v>98</v>
      </c>
      <c r="E128" s="172" t="s">
        <v>54</v>
      </c>
      <c r="F128" s="172" t="s">
        <v>121</v>
      </c>
      <c r="G128" s="172" t="s">
        <v>85</v>
      </c>
      <c r="H128" s="177">
        <v>1</v>
      </c>
      <c r="I128" s="178">
        <v>0</v>
      </c>
      <c r="J128" s="176">
        <v>46013</v>
      </c>
      <c r="K128" s="172" t="s">
        <v>94</v>
      </c>
      <c r="L128" s="172" t="s">
        <v>95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680</v>
      </c>
      <c r="B129" s="176">
        <v>46024</v>
      </c>
      <c r="C129" s="172" t="s">
        <v>82</v>
      </c>
      <c r="D129" s="172" t="s">
        <v>99</v>
      </c>
      <c r="E129" s="172" t="s">
        <v>54</v>
      </c>
      <c r="F129" s="172" t="s">
        <v>121</v>
      </c>
      <c r="G129" s="172" t="s">
        <v>85</v>
      </c>
      <c r="H129" s="177">
        <v>1</v>
      </c>
      <c r="I129" s="178">
        <v>0</v>
      </c>
      <c r="J129" s="176">
        <v>46013</v>
      </c>
      <c r="K129" s="172" t="s">
        <v>94</v>
      </c>
      <c r="L129" s="172" t="s">
        <v>95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681</v>
      </c>
      <c r="B130" s="176">
        <v>46024</v>
      </c>
      <c r="C130" s="172" t="s">
        <v>93</v>
      </c>
      <c r="D130" s="172" t="s">
        <v>24</v>
      </c>
      <c r="E130" s="172" t="s">
        <v>53</v>
      </c>
      <c r="F130" s="172" t="s">
        <v>91</v>
      </c>
      <c r="G130" s="172" t="s">
        <v>85</v>
      </c>
      <c r="H130" s="177">
        <v>1</v>
      </c>
      <c r="I130" s="178">
        <v>1621</v>
      </c>
      <c r="J130" s="176">
        <v>46023</v>
      </c>
      <c r="K130" s="172" t="s">
        <v>94</v>
      </c>
      <c r="L130" s="172" t="s">
        <v>95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681</v>
      </c>
      <c r="B131" s="176">
        <v>46024</v>
      </c>
      <c r="C131" s="172" t="s">
        <v>101</v>
      </c>
      <c r="D131" s="172" t="s">
        <v>102</v>
      </c>
      <c r="E131" s="172" t="s">
        <v>53</v>
      </c>
      <c r="F131" s="172" t="s">
        <v>91</v>
      </c>
      <c r="G131" s="172" t="s">
        <v>85</v>
      </c>
      <c r="H131" s="177">
        <v>1</v>
      </c>
      <c r="I131" s="178">
        <v>1621</v>
      </c>
      <c r="J131" s="176">
        <v>46023</v>
      </c>
      <c r="K131" s="172" t="s">
        <v>94</v>
      </c>
      <c r="L131" s="172" t="s">
        <v>95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681</v>
      </c>
      <c r="B132" s="176">
        <v>46024</v>
      </c>
      <c r="C132" s="172" t="s">
        <v>101</v>
      </c>
      <c r="D132" s="172" t="s">
        <v>103</v>
      </c>
      <c r="E132" s="172" t="s">
        <v>53</v>
      </c>
      <c r="F132" s="172" t="s">
        <v>91</v>
      </c>
      <c r="G132" s="172" t="s">
        <v>85</v>
      </c>
      <c r="H132" s="177">
        <v>1</v>
      </c>
      <c r="I132" s="178">
        <v>1621</v>
      </c>
      <c r="J132" s="176">
        <v>46023</v>
      </c>
      <c r="K132" s="172" t="s">
        <v>94</v>
      </c>
      <c r="L132" s="172" t="s">
        <v>95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681</v>
      </c>
      <c r="B133" s="176">
        <v>46024</v>
      </c>
      <c r="C133" s="172" t="s">
        <v>101</v>
      </c>
      <c r="D133" s="172" t="s">
        <v>104</v>
      </c>
      <c r="E133" s="172" t="s">
        <v>53</v>
      </c>
      <c r="F133" s="172" t="s">
        <v>91</v>
      </c>
      <c r="G133" s="172" t="s">
        <v>85</v>
      </c>
      <c r="H133" s="177">
        <v>1</v>
      </c>
      <c r="I133" s="178">
        <v>1621</v>
      </c>
      <c r="J133" s="176">
        <v>46023</v>
      </c>
      <c r="K133" s="172" t="s">
        <v>94</v>
      </c>
      <c r="L133" s="172" t="s">
        <v>95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681</v>
      </c>
      <c r="B134" s="176">
        <v>46024</v>
      </c>
      <c r="C134" s="172" t="s">
        <v>105</v>
      </c>
      <c r="D134" s="172" t="s">
        <v>106</v>
      </c>
      <c r="E134" s="172" t="s">
        <v>53</v>
      </c>
      <c r="F134" s="172" t="s">
        <v>91</v>
      </c>
      <c r="G134" s="172" t="s">
        <v>85</v>
      </c>
      <c r="H134" s="177">
        <v>1</v>
      </c>
      <c r="I134" s="178">
        <v>1621</v>
      </c>
      <c r="J134" s="176">
        <v>46023</v>
      </c>
      <c r="K134" s="172" t="s">
        <v>94</v>
      </c>
      <c r="L134" s="172" t="s">
        <v>95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681</v>
      </c>
      <c r="B135" s="176">
        <v>46024</v>
      </c>
      <c r="C135" s="172" t="s">
        <v>82</v>
      </c>
      <c r="D135" s="172" t="s">
        <v>96</v>
      </c>
      <c r="E135" s="172" t="s">
        <v>53</v>
      </c>
      <c r="F135" s="172" t="s">
        <v>91</v>
      </c>
      <c r="G135" s="172" t="s">
        <v>85</v>
      </c>
      <c r="H135" s="177">
        <v>1</v>
      </c>
      <c r="I135" s="178">
        <v>1621</v>
      </c>
      <c r="J135" s="176">
        <v>46023</v>
      </c>
      <c r="K135" s="172" t="s">
        <v>94</v>
      </c>
      <c r="L135" s="172" t="s">
        <v>95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682</v>
      </c>
      <c r="B136" s="176">
        <v>46024</v>
      </c>
      <c r="C136" s="172" t="s">
        <v>82</v>
      </c>
      <c r="D136" s="172" t="s">
        <v>83</v>
      </c>
      <c r="E136" s="172" t="s">
        <v>53</v>
      </c>
      <c r="F136" s="172" t="s">
        <v>91</v>
      </c>
      <c r="G136" s="172" t="s">
        <v>85</v>
      </c>
      <c r="H136" s="177">
        <v>1</v>
      </c>
      <c r="I136" s="178">
        <v>0</v>
      </c>
      <c r="J136" s="176">
        <v>46024</v>
      </c>
      <c r="K136" s="172" t="s">
        <v>86</v>
      </c>
      <c r="L136" s="172" t="s">
        <v>86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683</v>
      </c>
      <c r="B137" s="176">
        <v>46024</v>
      </c>
      <c r="C137" s="172" t="s">
        <v>82</v>
      </c>
      <c r="D137" s="172" t="s">
        <v>83</v>
      </c>
      <c r="E137" s="172" t="s">
        <v>53</v>
      </c>
      <c r="F137" s="172" t="s">
        <v>91</v>
      </c>
      <c r="G137" s="172" t="s">
        <v>85</v>
      </c>
      <c r="H137" s="177">
        <v>1</v>
      </c>
      <c r="I137" s="178">
        <v>0</v>
      </c>
      <c r="J137" s="176">
        <v>46024</v>
      </c>
      <c r="K137" s="172" t="s">
        <v>86</v>
      </c>
      <c r="L137" s="172" t="s">
        <v>86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681</v>
      </c>
      <c r="B138" s="176">
        <v>46024</v>
      </c>
      <c r="C138" s="172" t="s">
        <v>82</v>
      </c>
      <c r="D138" s="172" t="s">
        <v>83</v>
      </c>
      <c r="E138" s="172" t="s">
        <v>53</v>
      </c>
      <c r="F138" s="172" t="s">
        <v>91</v>
      </c>
      <c r="G138" s="172" t="s">
        <v>85</v>
      </c>
      <c r="H138" s="177">
        <v>1</v>
      </c>
      <c r="I138" s="178">
        <v>0</v>
      </c>
      <c r="J138" s="176">
        <v>46023</v>
      </c>
      <c r="K138" s="172" t="s">
        <v>86</v>
      </c>
      <c r="L138" s="172" t="s">
        <v>86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684</v>
      </c>
      <c r="B139" s="176">
        <v>46024</v>
      </c>
      <c r="C139" s="172" t="s">
        <v>82</v>
      </c>
      <c r="D139" s="172" t="s">
        <v>83</v>
      </c>
      <c r="E139" s="172" t="s">
        <v>42</v>
      </c>
      <c r="F139" s="172" t="s">
        <v>84</v>
      </c>
      <c r="G139" s="172" t="s">
        <v>85</v>
      </c>
      <c r="H139" s="177">
        <v>1</v>
      </c>
      <c r="I139" s="178">
        <v>0</v>
      </c>
      <c r="J139" s="176">
        <v>46024</v>
      </c>
      <c r="K139" s="172" t="s">
        <v>86</v>
      </c>
      <c r="L139" s="172" t="s">
        <v>86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685</v>
      </c>
      <c r="B140" s="176">
        <v>46024</v>
      </c>
      <c r="C140" s="172" t="s">
        <v>82</v>
      </c>
      <c r="D140" s="172" t="s">
        <v>83</v>
      </c>
      <c r="E140" s="172" t="s">
        <v>42</v>
      </c>
      <c r="F140" s="172" t="s">
        <v>84</v>
      </c>
      <c r="G140" s="172" t="s">
        <v>85</v>
      </c>
      <c r="H140" s="177">
        <v>1</v>
      </c>
      <c r="I140" s="178">
        <v>0</v>
      </c>
      <c r="J140" s="176">
        <v>46024</v>
      </c>
      <c r="K140" s="172" t="s">
        <v>86</v>
      </c>
      <c r="L140" s="172" t="s">
        <v>86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686</v>
      </c>
      <c r="B141" s="176">
        <v>46024</v>
      </c>
      <c r="C141" s="172" t="s">
        <v>82</v>
      </c>
      <c r="D141" s="172" t="s">
        <v>83</v>
      </c>
      <c r="E141" s="172" t="s">
        <v>54</v>
      </c>
      <c r="F141" s="172" t="s">
        <v>121</v>
      </c>
      <c r="G141" s="172" t="s">
        <v>85</v>
      </c>
      <c r="H141" s="177">
        <v>1</v>
      </c>
      <c r="I141" s="178">
        <v>0</v>
      </c>
      <c r="J141" s="176">
        <v>46024</v>
      </c>
      <c r="K141" s="172" t="s">
        <v>86</v>
      </c>
      <c r="L141" s="172" t="s">
        <v>86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687</v>
      </c>
      <c r="B142" s="176">
        <v>46024</v>
      </c>
      <c r="C142" s="172" t="s">
        <v>82</v>
      </c>
      <c r="D142" s="172" t="s">
        <v>83</v>
      </c>
      <c r="E142" s="172" t="s">
        <v>53</v>
      </c>
      <c r="F142" s="172" t="s">
        <v>91</v>
      </c>
      <c r="G142" s="172" t="s">
        <v>85</v>
      </c>
      <c r="H142" s="177">
        <v>1</v>
      </c>
      <c r="I142" s="178">
        <v>0</v>
      </c>
      <c r="J142" s="176">
        <v>46024</v>
      </c>
      <c r="K142" s="172" t="s">
        <v>86</v>
      </c>
      <c r="L142" s="172" t="s">
        <v>86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145</v>
      </c>
      <c r="B143" s="176">
        <v>46024</v>
      </c>
      <c r="C143" s="172" t="s">
        <v>110</v>
      </c>
      <c r="D143" s="172" t="s">
        <v>140</v>
      </c>
      <c r="E143" s="172" t="s">
        <v>86</v>
      </c>
      <c r="F143" s="172" t="s">
        <v>86</v>
      </c>
      <c r="G143" s="172" t="s">
        <v>86</v>
      </c>
      <c r="H143" s="177">
        <v>0</v>
      </c>
      <c r="I143" s="178">
        <v>0</v>
      </c>
      <c r="J143" s="176">
        <v>46024</v>
      </c>
      <c r="K143" s="172" t="s">
        <v>86</v>
      </c>
      <c r="L143" s="172" t="s">
        <v>86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414</v>
      </c>
      <c r="B144" s="176">
        <v>46024</v>
      </c>
      <c r="C144" s="172" t="s">
        <v>110</v>
      </c>
      <c r="D144" s="172" t="s">
        <v>140</v>
      </c>
      <c r="E144" s="172" t="s">
        <v>86</v>
      </c>
      <c r="F144" s="172" t="s">
        <v>86</v>
      </c>
      <c r="G144" s="172" t="s">
        <v>86</v>
      </c>
      <c r="H144" s="177">
        <v>0</v>
      </c>
      <c r="I144" s="178">
        <v>0</v>
      </c>
      <c r="J144" s="176">
        <v>46024</v>
      </c>
      <c r="K144" s="172" t="s">
        <v>86</v>
      </c>
      <c r="L144" s="172" t="s">
        <v>86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139</v>
      </c>
      <c r="B145" s="176">
        <v>46024</v>
      </c>
      <c r="C145" s="172" t="s">
        <v>110</v>
      </c>
      <c r="D145" s="172" t="s">
        <v>140</v>
      </c>
      <c r="E145" s="172" t="s">
        <v>86</v>
      </c>
      <c r="F145" s="172" t="s">
        <v>86</v>
      </c>
      <c r="G145" s="172" t="s">
        <v>86</v>
      </c>
      <c r="H145" s="177">
        <v>0</v>
      </c>
      <c r="I145" s="178">
        <v>0</v>
      </c>
      <c r="J145" s="176">
        <v>46024</v>
      </c>
      <c r="K145" s="172" t="s">
        <v>86</v>
      </c>
      <c r="L145" s="172" t="s">
        <v>86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143</v>
      </c>
      <c r="B146" s="176">
        <v>46024</v>
      </c>
      <c r="C146" s="172" t="s">
        <v>110</v>
      </c>
      <c r="D146" s="172" t="s">
        <v>144</v>
      </c>
      <c r="E146" s="172" t="s">
        <v>86</v>
      </c>
      <c r="F146" s="172" t="s">
        <v>86</v>
      </c>
      <c r="G146" s="172" t="s">
        <v>86</v>
      </c>
      <c r="H146" s="177">
        <v>0</v>
      </c>
      <c r="I146" s="178">
        <v>0</v>
      </c>
      <c r="J146" s="176">
        <v>46024</v>
      </c>
      <c r="K146" s="172" t="s">
        <v>86</v>
      </c>
      <c r="L146" s="172" t="s">
        <v>86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688</v>
      </c>
      <c r="B147" s="176">
        <v>46025</v>
      </c>
      <c r="C147" s="172" t="s">
        <v>82</v>
      </c>
      <c r="D147" s="172" t="s">
        <v>83</v>
      </c>
      <c r="E147" s="172" t="s">
        <v>54</v>
      </c>
      <c r="F147" s="172" t="s">
        <v>121</v>
      </c>
      <c r="G147" s="172" t="s">
        <v>85</v>
      </c>
      <c r="H147" s="177">
        <v>1</v>
      </c>
      <c r="I147" s="178">
        <v>0</v>
      </c>
      <c r="J147" s="176">
        <v>46017</v>
      </c>
      <c r="K147" s="172" t="s">
        <v>86</v>
      </c>
      <c r="L147" s="172" t="s">
        <v>86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689</v>
      </c>
      <c r="B148" s="176">
        <v>46025</v>
      </c>
      <c r="C148" s="172" t="s">
        <v>93</v>
      </c>
      <c r="D148" s="172" t="s">
        <v>24</v>
      </c>
      <c r="E148" s="172" t="s">
        <v>42</v>
      </c>
      <c r="F148" s="172" t="s">
        <v>84</v>
      </c>
      <c r="G148" s="172" t="s">
        <v>85</v>
      </c>
      <c r="H148" s="177">
        <v>1</v>
      </c>
      <c r="I148" s="178">
        <v>1600</v>
      </c>
      <c r="J148" s="176">
        <v>46020</v>
      </c>
      <c r="K148" s="172" t="s">
        <v>94</v>
      </c>
      <c r="L148" s="172" t="s">
        <v>95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689</v>
      </c>
      <c r="B149" s="176">
        <v>46025</v>
      </c>
      <c r="C149" s="172" t="s">
        <v>101</v>
      </c>
      <c r="D149" s="172" t="s">
        <v>102</v>
      </c>
      <c r="E149" s="172" t="s">
        <v>42</v>
      </c>
      <c r="F149" s="172" t="s">
        <v>84</v>
      </c>
      <c r="G149" s="172" t="s">
        <v>85</v>
      </c>
      <c r="H149" s="177">
        <v>1</v>
      </c>
      <c r="I149" s="178">
        <v>1600</v>
      </c>
      <c r="J149" s="176">
        <v>46020</v>
      </c>
      <c r="K149" s="172" t="s">
        <v>94</v>
      </c>
      <c r="L149" s="172" t="s">
        <v>95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689</v>
      </c>
      <c r="B150" s="176">
        <v>46025</v>
      </c>
      <c r="C150" s="172" t="s">
        <v>101</v>
      </c>
      <c r="D150" s="172" t="s">
        <v>103</v>
      </c>
      <c r="E150" s="172" t="s">
        <v>42</v>
      </c>
      <c r="F150" s="172" t="s">
        <v>84</v>
      </c>
      <c r="G150" s="172" t="s">
        <v>85</v>
      </c>
      <c r="H150" s="177">
        <v>1</v>
      </c>
      <c r="I150" s="178">
        <v>1600</v>
      </c>
      <c r="J150" s="176">
        <v>46020</v>
      </c>
      <c r="K150" s="172" t="s">
        <v>94</v>
      </c>
      <c r="L150" s="172" t="s">
        <v>95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689</v>
      </c>
      <c r="B151" s="176">
        <v>46025</v>
      </c>
      <c r="C151" s="172" t="s">
        <v>101</v>
      </c>
      <c r="D151" s="172" t="s">
        <v>104</v>
      </c>
      <c r="E151" s="172" t="s">
        <v>42</v>
      </c>
      <c r="F151" s="172" t="s">
        <v>84</v>
      </c>
      <c r="G151" s="172" t="s">
        <v>85</v>
      </c>
      <c r="H151" s="177">
        <v>1</v>
      </c>
      <c r="I151" s="178">
        <v>1600</v>
      </c>
      <c r="J151" s="176">
        <v>46020</v>
      </c>
      <c r="K151" s="172" t="s">
        <v>94</v>
      </c>
      <c r="L151" s="172" t="s">
        <v>95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689</v>
      </c>
      <c r="B152" s="176">
        <v>46025</v>
      </c>
      <c r="C152" s="172" t="s">
        <v>105</v>
      </c>
      <c r="D152" s="172" t="s">
        <v>106</v>
      </c>
      <c r="E152" s="172" t="s">
        <v>42</v>
      </c>
      <c r="F152" s="172" t="s">
        <v>84</v>
      </c>
      <c r="G152" s="172" t="s">
        <v>85</v>
      </c>
      <c r="H152" s="177">
        <v>1</v>
      </c>
      <c r="I152" s="178">
        <v>1600</v>
      </c>
      <c r="J152" s="176">
        <v>46020</v>
      </c>
      <c r="K152" s="172" t="s">
        <v>94</v>
      </c>
      <c r="L152" s="172" t="s">
        <v>95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689</v>
      </c>
      <c r="B153" s="176">
        <v>46025</v>
      </c>
      <c r="C153" s="172" t="s">
        <v>82</v>
      </c>
      <c r="D153" s="172" t="s">
        <v>96</v>
      </c>
      <c r="E153" s="172" t="s">
        <v>42</v>
      </c>
      <c r="F153" s="172" t="s">
        <v>84</v>
      </c>
      <c r="G153" s="172" t="s">
        <v>85</v>
      </c>
      <c r="H153" s="177">
        <v>1</v>
      </c>
      <c r="I153" s="178">
        <v>1600</v>
      </c>
      <c r="J153" s="176">
        <v>46020</v>
      </c>
      <c r="K153" s="172" t="s">
        <v>94</v>
      </c>
      <c r="L153" s="172" t="s">
        <v>95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689</v>
      </c>
      <c r="B154" s="176">
        <v>46025</v>
      </c>
      <c r="C154" s="172" t="s">
        <v>82</v>
      </c>
      <c r="D154" s="172" t="s">
        <v>83</v>
      </c>
      <c r="E154" s="172" t="s">
        <v>42</v>
      </c>
      <c r="F154" s="172" t="s">
        <v>84</v>
      </c>
      <c r="G154" s="172" t="s">
        <v>85</v>
      </c>
      <c r="H154" s="177">
        <v>1</v>
      </c>
      <c r="I154" s="178">
        <v>0</v>
      </c>
      <c r="J154" s="176">
        <v>46020</v>
      </c>
      <c r="K154" s="172" t="s">
        <v>86</v>
      </c>
      <c r="L154" s="172" t="s">
        <v>86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690</v>
      </c>
      <c r="B155" s="176">
        <v>46025</v>
      </c>
      <c r="C155" s="172" t="s">
        <v>82</v>
      </c>
      <c r="D155" s="172" t="s">
        <v>83</v>
      </c>
      <c r="E155" s="172" t="s">
        <v>54</v>
      </c>
      <c r="F155" s="172" t="s">
        <v>121</v>
      </c>
      <c r="G155" s="172" t="s">
        <v>85</v>
      </c>
      <c r="H155" s="177">
        <v>1</v>
      </c>
      <c r="I155" s="178">
        <v>0</v>
      </c>
      <c r="J155" s="176">
        <v>46025</v>
      </c>
      <c r="K155" s="172" t="s">
        <v>86</v>
      </c>
      <c r="L155" s="172" t="s">
        <v>86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691</v>
      </c>
      <c r="B156" s="176">
        <v>46025</v>
      </c>
      <c r="C156" s="172" t="s">
        <v>82</v>
      </c>
      <c r="D156" s="172" t="s">
        <v>83</v>
      </c>
      <c r="E156" s="172" t="s">
        <v>42</v>
      </c>
      <c r="F156" s="172" t="s">
        <v>84</v>
      </c>
      <c r="G156" s="172" t="s">
        <v>85</v>
      </c>
      <c r="H156" s="177">
        <v>1</v>
      </c>
      <c r="I156" s="178">
        <v>0</v>
      </c>
      <c r="J156" s="176">
        <v>46025</v>
      </c>
      <c r="K156" s="172" t="s">
        <v>86</v>
      </c>
      <c r="L156" s="172" t="s">
        <v>86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86</v>
      </c>
      <c r="B157" s="176">
        <v>46025</v>
      </c>
      <c r="C157" s="172" t="s">
        <v>110</v>
      </c>
      <c r="D157" s="172" t="s">
        <v>111</v>
      </c>
      <c r="E157" s="172" t="s">
        <v>86</v>
      </c>
      <c r="F157" s="172" t="s">
        <v>86</v>
      </c>
      <c r="G157" s="172" t="s">
        <v>692</v>
      </c>
      <c r="H157" s="177">
        <v>0</v>
      </c>
      <c r="I157" s="178">
        <v>0</v>
      </c>
      <c r="J157" s="176">
        <v>46025</v>
      </c>
      <c r="K157" s="172" t="s">
        <v>86</v>
      </c>
      <c r="L157" s="172" t="s">
        <v>86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693</v>
      </c>
      <c r="B158" s="176">
        <v>46025</v>
      </c>
      <c r="C158" s="172" t="s">
        <v>93</v>
      </c>
      <c r="D158" s="172" t="s">
        <v>24</v>
      </c>
      <c r="E158" s="172" t="s">
        <v>53</v>
      </c>
      <c r="F158" s="172" t="s">
        <v>91</v>
      </c>
      <c r="G158" s="172" t="s">
        <v>85</v>
      </c>
      <c r="H158" s="177">
        <v>1</v>
      </c>
      <c r="I158" s="178">
        <v>1621</v>
      </c>
      <c r="J158" s="176">
        <v>46021</v>
      </c>
      <c r="K158" s="172" t="s">
        <v>94</v>
      </c>
      <c r="L158" s="172" t="s">
        <v>95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693</v>
      </c>
      <c r="B159" s="176">
        <v>46025</v>
      </c>
      <c r="C159" s="172" t="s">
        <v>101</v>
      </c>
      <c r="D159" s="172" t="s">
        <v>102</v>
      </c>
      <c r="E159" s="172" t="s">
        <v>53</v>
      </c>
      <c r="F159" s="172" t="s">
        <v>91</v>
      </c>
      <c r="G159" s="172" t="s">
        <v>85</v>
      </c>
      <c r="H159" s="177">
        <v>1</v>
      </c>
      <c r="I159" s="178">
        <v>1621</v>
      </c>
      <c r="J159" s="176">
        <v>46021</v>
      </c>
      <c r="K159" s="172" t="s">
        <v>94</v>
      </c>
      <c r="L159" s="172" t="s">
        <v>95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693</v>
      </c>
      <c r="B160" s="176">
        <v>46025</v>
      </c>
      <c r="C160" s="172" t="s">
        <v>101</v>
      </c>
      <c r="D160" s="172" t="s">
        <v>103</v>
      </c>
      <c r="E160" s="172" t="s">
        <v>53</v>
      </c>
      <c r="F160" s="172" t="s">
        <v>91</v>
      </c>
      <c r="G160" s="172" t="s">
        <v>85</v>
      </c>
      <c r="H160" s="177">
        <v>1</v>
      </c>
      <c r="I160" s="178">
        <v>1621</v>
      </c>
      <c r="J160" s="176">
        <v>46021</v>
      </c>
      <c r="K160" s="172" t="s">
        <v>94</v>
      </c>
      <c r="L160" s="172" t="s">
        <v>95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693</v>
      </c>
      <c r="B161" s="176">
        <v>46025</v>
      </c>
      <c r="C161" s="172" t="s">
        <v>101</v>
      </c>
      <c r="D161" s="172" t="s">
        <v>104</v>
      </c>
      <c r="E161" s="172" t="s">
        <v>53</v>
      </c>
      <c r="F161" s="172" t="s">
        <v>91</v>
      </c>
      <c r="G161" s="172" t="s">
        <v>85</v>
      </c>
      <c r="H161" s="177">
        <v>1</v>
      </c>
      <c r="I161" s="178">
        <v>1621</v>
      </c>
      <c r="J161" s="176">
        <v>46021</v>
      </c>
      <c r="K161" s="172" t="s">
        <v>94</v>
      </c>
      <c r="L161" s="172" t="s">
        <v>95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693</v>
      </c>
      <c r="B162" s="176">
        <v>46025</v>
      </c>
      <c r="C162" s="172" t="s">
        <v>105</v>
      </c>
      <c r="D162" s="172" t="s">
        <v>106</v>
      </c>
      <c r="E162" s="172" t="s">
        <v>53</v>
      </c>
      <c r="F162" s="172" t="s">
        <v>91</v>
      </c>
      <c r="G162" s="172" t="s">
        <v>85</v>
      </c>
      <c r="H162" s="177">
        <v>1</v>
      </c>
      <c r="I162" s="178">
        <v>1621</v>
      </c>
      <c r="J162" s="176">
        <v>46021</v>
      </c>
      <c r="K162" s="172" t="s">
        <v>94</v>
      </c>
      <c r="L162" s="172" t="s">
        <v>95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693</v>
      </c>
      <c r="B163" s="176">
        <v>46025</v>
      </c>
      <c r="C163" s="172" t="s">
        <v>82</v>
      </c>
      <c r="D163" s="172" t="s">
        <v>96</v>
      </c>
      <c r="E163" s="172" t="s">
        <v>53</v>
      </c>
      <c r="F163" s="172" t="s">
        <v>91</v>
      </c>
      <c r="G163" s="172" t="s">
        <v>85</v>
      </c>
      <c r="H163" s="177">
        <v>1</v>
      </c>
      <c r="I163" s="178">
        <v>1621</v>
      </c>
      <c r="J163" s="176">
        <v>46021</v>
      </c>
      <c r="K163" s="172" t="s">
        <v>94</v>
      </c>
      <c r="L163" s="172" t="s">
        <v>95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694</v>
      </c>
      <c r="B164" s="176">
        <v>46025</v>
      </c>
      <c r="C164" s="172" t="s">
        <v>82</v>
      </c>
      <c r="D164" s="172" t="s">
        <v>83</v>
      </c>
      <c r="E164" s="172" t="s">
        <v>43</v>
      </c>
      <c r="F164" s="172" t="s">
        <v>90</v>
      </c>
      <c r="G164" s="172" t="s">
        <v>85</v>
      </c>
      <c r="H164" s="177">
        <v>1</v>
      </c>
      <c r="I164" s="178">
        <v>0</v>
      </c>
      <c r="J164" s="176">
        <v>46025</v>
      </c>
      <c r="K164" s="172" t="s">
        <v>86</v>
      </c>
      <c r="L164" s="172" t="s">
        <v>86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694</v>
      </c>
      <c r="B165" s="176">
        <v>46025</v>
      </c>
      <c r="C165" s="172" t="s">
        <v>82</v>
      </c>
      <c r="D165" s="172" t="s">
        <v>83</v>
      </c>
      <c r="E165" s="172" t="s">
        <v>53</v>
      </c>
      <c r="F165" s="172" t="s">
        <v>91</v>
      </c>
      <c r="G165" s="172" t="s">
        <v>85</v>
      </c>
      <c r="H165" s="177">
        <v>1</v>
      </c>
      <c r="I165" s="178">
        <v>0</v>
      </c>
      <c r="J165" s="176">
        <v>46025</v>
      </c>
      <c r="K165" s="172" t="s">
        <v>86</v>
      </c>
      <c r="L165" s="172" t="s">
        <v>86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695</v>
      </c>
      <c r="B166" s="176">
        <v>46025</v>
      </c>
      <c r="C166" s="172" t="s">
        <v>167</v>
      </c>
      <c r="D166" s="172" t="s">
        <v>168</v>
      </c>
      <c r="E166" s="172" t="s">
        <v>42</v>
      </c>
      <c r="F166" s="172" t="s">
        <v>84</v>
      </c>
      <c r="G166" s="172" t="s">
        <v>85</v>
      </c>
      <c r="H166" s="177">
        <v>1</v>
      </c>
      <c r="I166" s="178">
        <v>-1600</v>
      </c>
      <c r="J166" s="176">
        <v>46012</v>
      </c>
      <c r="K166" s="172" t="s">
        <v>94</v>
      </c>
      <c r="L166" s="172" t="s">
        <v>95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695</v>
      </c>
      <c r="B167" s="176">
        <v>46025</v>
      </c>
      <c r="C167" s="172" t="s">
        <v>167</v>
      </c>
      <c r="D167" s="172" t="s">
        <v>103</v>
      </c>
      <c r="E167" s="172" t="s">
        <v>42</v>
      </c>
      <c r="F167" s="172" t="s">
        <v>84</v>
      </c>
      <c r="G167" s="172" t="s">
        <v>85</v>
      </c>
      <c r="H167" s="177">
        <v>1</v>
      </c>
      <c r="I167" s="178">
        <v>-1600</v>
      </c>
      <c r="J167" s="176">
        <v>46012</v>
      </c>
      <c r="K167" s="172" t="s">
        <v>94</v>
      </c>
      <c r="L167" s="172" t="s">
        <v>95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695</v>
      </c>
      <c r="B168" s="176">
        <v>46025</v>
      </c>
      <c r="C168" s="172" t="s">
        <v>167</v>
      </c>
      <c r="D168" s="172" t="s">
        <v>104</v>
      </c>
      <c r="E168" s="172" t="s">
        <v>42</v>
      </c>
      <c r="F168" s="172" t="s">
        <v>84</v>
      </c>
      <c r="G168" s="172" t="s">
        <v>85</v>
      </c>
      <c r="H168" s="177">
        <v>1</v>
      </c>
      <c r="I168" s="178">
        <v>-1600</v>
      </c>
      <c r="J168" s="176">
        <v>46012</v>
      </c>
      <c r="K168" s="172" t="s">
        <v>94</v>
      </c>
      <c r="L168" s="172" t="s">
        <v>95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695</v>
      </c>
      <c r="B169" s="176">
        <v>46025</v>
      </c>
      <c r="C169" s="172" t="s">
        <v>105</v>
      </c>
      <c r="D169" s="172" t="s">
        <v>169</v>
      </c>
      <c r="E169" s="172" t="s">
        <v>42</v>
      </c>
      <c r="F169" s="172" t="s">
        <v>84</v>
      </c>
      <c r="G169" s="172" t="s">
        <v>85</v>
      </c>
      <c r="H169" s="177">
        <v>1</v>
      </c>
      <c r="I169" s="178">
        <v>-1600</v>
      </c>
      <c r="J169" s="176">
        <v>46012</v>
      </c>
      <c r="K169" s="172" t="s">
        <v>94</v>
      </c>
      <c r="L169" s="172" t="s">
        <v>95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696</v>
      </c>
      <c r="B170" s="176">
        <v>46025</v>
      </c>
      <c r="C170" s="172" t="s">
        <v>93</v>
      </c>
      <c r="D170" s="172" t="s">
        <v>24</v>
      </c>
      <c r="E170" s="172" t="s">
        <v>54</v>
      </c>
      <c r="F170" s="172" t="s">
        <v>121</v>
      </c>
      <c r="G170" s="172" t="s">
        <v>85</v>
      </c>
      <c r="H170" s="177">
        <v>1</v>
      </c>
      <c r="I170" s="178">
        <v>1845</v>
      </c>
      <c r="J170" s="176">
        <v>46020</v>
      </c>
      <c r="K170" s="172" t="s">
        <v>94</v>
      </c>
      <c r="L170" s="172" t="s">
        <v>95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696</v>
      </c>
      <c r="B171" s="176">
        <v>46025</v>
      </c>
      <c r="C171" s="172" t="s">
        <v>101</v>
      </c>
      <c r="D171" s="172" t="s">
        <v>102</v>
      </c>
      <c r="E171" s="172" t="s">
        <v>54</v>
      </c>
      <c r="F171" s="172" t="s">
        <v>121</v>
      </c>
      <c r="G171" s="172" t="s">
        <v>85</v>
      </c>
      <c r="H171" s="177">
        <v>1</v>
      </c>
      <c r="I171" s="178">
        <v>1845</v>
      </c>
      <c r="J171" s="176">
        <v>46020</v>
      </c>
      <c r="K171" s="172" t="s">
        <v>94</v>
      </c>
      <c r="L171" s="172" t="s">
        <v>95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696</v>
      </c>
      <c r="B172" s="176">
        <v>46025</v>
      </c>
      <c r="C172" s="172" t="s">
        <v>101</v>
      </c>
      <c r="D172" s="172" t="s">
        <v>103</v>
      </c>
      <c r="E172" s="172" t="s">
        <v>54</v>
      </c>
      <c r="F172" s="172" t="s">
        <v>121</v>
      </c>
      <c r="G172" s="172" t="s">
        <v>85</v>
      </c>
      <c r="H172" s="177">
        <v>1</v>
      </c>
      <c r="I172" s="178">
        <v>1845</v>
      </c>
      <c r="J172" s="176">
        <v>46020</v>
      </c>
      <c r="K172" s="172" t="s">
        <v>94</v>
      </c>
      <c r="L172" s="172" t="s">
        <v>95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696</v>
      </c>
      <c r="B173" s="176">
        <v>46025</v>
      </c>
      <c r="C173" s="172" t="s">
        <v>101</v>
      </c>
      <c r="D173" s="172" t="s">
        <v>104</v>
      </c>
      <c r="E173" s="172" t="s">
        <v>54</v>
      </c>
      <c r="F173" s="172" t="s">
        <v>121</v>
      </c>
      <c r="G173" s="172" t="s">
        <v>85</v>
      </c>
      <c r="H173" s="177">
        <v>1</v>
      </c>
      <c r="I173" s="178">
        <v>1845</v>
      </c>
      <c r="J173" s="176">
        <v>46020</v>
      </c>
      <c r="K173" s="172" t="s">
        <v>94</v>
      </c>
      <c r="L173" s="172" t="s">
        <v>95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696</v>
      </c>
      <c r="B174" s="176">
        <v>46025</v>
      </c>
      <c r="C174" s="172" t="s">
        <v>105</v>
      </c>
      <c r="D174" s="172" t="s">
        <v>106</v>
      </c>
      <c r="E174" s="172" t="s">
        <v>54</v>
      </c>
      <c r="F174" s="172" t="s">
        <v>121</v>
      </c>
      <c r="G174" s="172" t="s">
        <v>85</v>
      </c>
      <c r="H174" s="177">
        <v>1</v>
      </c>
      <c r="I174" s="178">
        <v>1845</v>
      </c>
      <c r="J174" s="176">
        <v>46020</v>
      </c>
      <c r="K174" s="172" t="s">
        <v>94</v>
      </c>
      <c r="L174" s="172" t="s">
        <v>95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696</v>
      </c>
      <c r="B175" s="176">
        <v>46025</v>
      </c>
      <c r="C175" s="172" t="s">
        <v>82</v>
      </c>
      <c r="D175" s="172" t="s">
        <v>96</v>
      </c>
      <c r="E175" s="172" t="s">
        <v>54</v>
      </c>
      <c r="F175" s="172" t="s">
        <v>121</v>
      </c>
      <c r="G175" s="172" t="s">
        <v>85</v>
      </c>
      <c r="H175" s="177">
        <v>1</v>
      </c>
      <c r="I175" s="178">
        <v>1845</v>
      </c>
      <c r="J175" s="176">
        <v>46020</v>
      </c>
      <c r="K175" s="172" t="s">
        <v>94</v>
      </c>
      <c r="L175" s="172" t="s">
        <v>95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695</v>
      </c>
      <c r="B176" s="176">
        <v>46025</v>
      </c>
      <c r="C176" s="172" t="s">
        <v>82</v>
      </c>
      <c r="D176" s="172" t="s">
        <v>83</v>
      </c>
      <c r="E176" s="172" t="s">
        <v>42</v>
      </c>
      <c r="F176" s="172" t="s">
        <v>84</v>
      </c>
      <c r="G176" s="172" t="s">
        <v>85</v>
      </c>
      <c r="H176" s="177">
        <v>1</v>
      </c>
      <c r="I176" s="178">
        <v>0</v>
      </c>
      <c r="J176" s="176">
        <v>46012</v>
      </c>
      <c r="K176" s="172" t="s">
        <v>86</v>
      </c>
      <c r="L176" s="172" t="s">
        <v>86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697</v>
      </c>
      <c r="B177" s="176">
        <v>46025</v>
      </c>
      <c r="C177" s="172" t="s">
        <v>93</v>
      </c>
      <c r="D177" s="172" t="s">
        <v>273</v>
      </c>
      <c r="E177" s="172" t="s">
        <v>54</v>
      </c>
      <c r="F177" s="172" t="s">
        <v>121</v>
      </c>
      <c r="G177" s="172" t="s">
        <v>85</v>
      </c>
      <c r="H177" s="177">
        <v>1</v>
      </c>
      <c r="I177" s="178">
        <v>0</v>
      </c>
      <c r="J177" s="176">
        <v>46014</v>
      </c>
      <c r="K177" s="172" t="s">
        <v>94</v>
      </c>
      <c r="L177" s="172" t="s">
        <v>95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697</v>
      </c>
      <c r="B178" s="176">
        <v>46025</v>
      </c>
      <c r="C178" s="172" t="s">
        <v>93</v>
      </c>
      <c r="D178" s="172" t="s">
        <v>98</v>
      </c>
      <c r="E178" s="172" t="s">
        <v>54</v>
      </c>
      <c r="F178" s="172" t="s">
        <v>121</v>
      </c>
      <c r="G178" s="172" t="s">
        <v>85</v>
      </c>
      <c r="H178" s="177">
        <v>1</v>
      </c>
      <c r="I178" s="178">
        <v>0</v>
      </c>
      <c r="J178" s="176">
        <v>46014</v>
      </c>
      <c r="K178" s="172" t="s">
        <v>94</v>
      </c>
      <c r="L178" s="172" t="s">
        <v>95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697</v>
      </c>
      <c r="B179" s="176">
        <v>46025</v>
      </c>
      <c r="C179" s="172" t="s">
        <v>82</v>
      </c>
      <c r="D179" s="172" t="s">
        <v>99</v>
      </c>
      <c r="E179" s="172" t="s">
        <v>54</v>
      </c>
      <c r="F179" s="172" t="s">
        <v>121</v>
      </c>
      <c r="G179" s="172" t="s">
        <v>85</v>
      </c>
      <c r="H179" s="177">
        <v>1</v>
      </c>
      <c r="I179" s="178">
        <v>0</v>
      </c>
      <c r="J179" s="176">
        <v>46014</v>
      </c>
      <c r="K179" s="172" t="s">
        <v>94</v>
      </c>
      <c r="L179" s="172" t="s">
        <v>95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698</v>
      </c>
      <c r="B180" s="176">
        <v>46025</v>
      </c>
      <c r="C180" s="172" t="s">
        <v>93</v>
      </c>
      <c r="D180" s="172" t="s">
        <v>24</v>
      </c>
      <c r="E180" s="172" t="s">
        <v>54</v>
      </c>
      <c r="F180" s="172" t="s">
        <v>121</v>
      </c>
      <c r="G180" s="172" t="s">
        <v>85</v>
      </c>
      <c r="H180" s="177">
        <v>1</v>
      </c>
      <c r="I180" s="178">
        <v>1621</v>
      </c>
      <c r="J180" s="176">
        <v>46012</v>
      </c>
      <c r="K180" s="172" t="s">
        <v>94</v>
      </c>
      <c r="L180" s="172" t="s">
        <v>95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698</v>
      </c>
      <c r="B181" s="176">
        <v>46025</v>
      </c>
      <c r="C181" s="172" t="s">
        <v>101</v>
      </c>
      <c r="D181" s="172" t="s">
        <v>102</v>
      </c>
      <c r="E181" s="172" t="s">
        <v>54</v>
      </c>
      <c r="F181" s="172" t="s">
        <v>121</v>
      </c>
      <c r="G181" s="172" t="s">
        <v>85</v>
      </c>
      <c r="H181" s="177">
        <v>1</v>
      </c>
      <c r="I181" s="178">
        <v>1621</v>
      </c>
      <c r="J181" s="176">
        <v>46012</v>
      </c>
      <c r="K181" s="172" t="s">
        <v>94</v>
      </c>
      <c r="L181" s="172" t="s">
        <v>95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698</v>
      </c>
      <c r="B182" s="176">
        <v>46025</v>
      </c>
      <c r="C182" s="172" t="s">
        <v>101</v>
      </c>
      <c r="D182" s="172" t="s">
        <v>103</v>
      </c>
      <c r="E182" s="172" t="s">
        <v>54</v>
      </c>
      <c r="F182" s="172" t="s">
        <v>121</v>
      </c>
      <c r="G182" s="172" t="s">
        <v>85</v>
      </c>
      <c r="H182" s="177">
        <v>1</v>
      </c>
      <c r="I182" s="178">
        <v>1621</v>
      </c>
      <c r="J182" s="176">
        <v>46012</v>
      </c>
      <c r="K182" s="172" t="s">
        <v>94</v>
      </c>
      <c r="L182" s="172" t="s">
        <v>95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698</v>
      </c>
      <c r="B183" s="176">
        <v>46025</v>
      </c>
      <c r="C183" s="172" t="s">
        <v>101</v>
      </c>
      <c r="D183" s="172" t="s">
        <v>104</v>
      </c>
      <c r="E183" s="172" t="s">
        <v>54</v>
      </c>
      <c r="F183" s="172" t="s">
        <v>121</v>
      </c>
      <c r="G183" s="172" t="s">
        <v>85</v>
      </c>
      <c r="H183" s="177">
        <v>1</v>
      </c>
      <c r="I183" s="178">
        <v>1621</v>
      </c>
      <c r="J183" s="176">
        <v>46012</v>
      </c>
      <c r="K183" s="172" t="s">
        <v>94</v>
      </c>
      <c r="L183" s="172" t="s">
        <v>95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698</v>
      </c>
      <c r="B184" s="176">
        <v>46025</v>
      </c>
      <c r="C184" s="172" t="s">
        <v>105</v>
      </c>
      <c r="D184" s="172" t="s">
        <v>106</v>
      </c>
      <c r="E184" s="172" t="s">
        <v>54</v>
      </c>
      <c r="F184" s="172" t="s">
        <v>121</v>
      </c>
      <c r="G184" s="172" t="s">
        <v>85</v>
      </c>
      <c r="H184" s="177">
        <v>1</v>
      </c>
      <c r="I184" s="178">
        <v>1621</v>
      </c>
      <c r="J184" s="176">
        <v>46012</v>
      </c>
      <c r="K184" s="172" t="s">
        <v>94</v>
      </c>
      <c r="L184" s="172" t="s">
        <v>95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698</v>
      </c>
      <c r="B185" s="176">
        <v>46025</v>
      </c>
      <c r="C185" s="172" t="s">
        <v>82</v>
      </c>
      <c r="D185" s="172" t="s">
        <v>96</v>
      </c>
      <c r="E185" s="172" t="s">
        <v>54</v>
      </c>
      <c r="F185" s="172" t="s">
        <v>121</v>
      </c>
      <c r="G185" s="172" t="s">
        <v>85</v>
      </c>
      <c r="H185" s="177">
        <v>1</v>
      </c>
      <c r="I185" s="178">
        <v>1621</v>
      </c>
      <c r="J185" s="176">
        <v>46012</v>
      </c>
      <c r="K185" s="172" t="s">
        <v>94</v>
      </c>
      <c r="L185" s="172" t="s">
        <v>95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699</v>
      </c>
      <c r="B186" s="176">
        <v>46025</v>
      </c>
      <c r="C186" s="172" t="s">
        <v>93</v>
      </c>
      <c r="D186" s="172" t="s">
        <v>24</v>
      </c>
      <c r="E186" s="172" t="s">
        <v>54</v>
      </c>
      <c r="F186" s="172" t="s">
        <v>121</v>
      </c>
      <c r="G186" s="172" t="s">
        <v>85</v>
      </c>
      <c r="H186" s="177">
        <v>1</v>
      </c>
      <c r="I186" s="178">
        <v>1845</v>
      </c>
      <c r="J186" s="176">
        <v>46019</v>
      </c>
      <c r="K186" s="172" t="s">
        <v>94</v>
      </c>
      <c r="L186" s="172" t="s">
        <v>95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699</v>
      </c>
      <c r="B187" s="176">
        <v>46025</v>
      </c>
      <c r="C187" s="172" t="s">
        <v>101</v>
      </c>
      <c r="D187" s="172" t="s">
        <v>102</v>
      </c>
      <c r="E187" s="172" t="s">
        <v>54</v>
      </c>
      <c r="F187" s="172" t="s">
        <v>121</v>
      </c>
      <c r="G187" s="172" t="s">
        <v>85</v>
      </c>
      <c r="H187" s="177">
        <v>1</v>
      </c>
      <c r="I187" s="178">
        <v>1845</v>
      </c>
      <c r="J187" s="176">
        <v>46019</v>
      </c>
      <c r="K187" s="172" t="s">
        <v>94</v>
      </c>
      <c r="L187" s="172" t="s">
        <v>95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699</v>
      </c>
      <c r="B188" s="176">
        <v>46025</v>
      </c>
      <c r="C188" s="172" t="s">
        <v>101</v>
      </c>
      <c r="D188" s="172" t="s">
        <v>103</v>
      </c>
      <c r="E188" s="172" t="s">
        <v>54</v>
      </c>
      <c r="F188" s="172" t="s">
        <v>121</v>
      </c>
      <c r="G188" s="172" t="s">
        <v>85</v>
      </c>
      <c r="H188" s="177">
        <v>1</v>
      </c>
      <c r="I188" s="178">
        <v>1845</v>
      </c>
      <c r="J188" s="176">
        <v>46019</v>
      </c>
      <c r="K188" s="172" t="s">
        <v>94</v>
      </c>
      <c r="L188" s="172" t="s">
        <v>95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699</v>
      </c>
      <c r="B189" s="176">
        <v>46025</v>
      </c>
      <c r="C189" s="172" t="s">
        <v>101</v>
      </c>
      <c r="D189" s="172" t="s">
        <v>104</v>
      </c>
      <c r="E189" s="172" t="s">
        <v>54</v>
      </c>
      <c r="F189" s="172" t="s">
        <v>121</v>
      </c>
      <c r="G189" s="172" t="s">
        <v>85</v>
      </c>
      <c r="H189" s="177">
        <v>1</v>
      </c>
      <c r="I189" s="178">
        <v>1845</v>
      </c>
      <c r="J189" s="176">
        <v>46019</v>
      </c>
      <c r="K189" s="172" t="s">
        <v>94</v>
      </c>
      <c r="L189" s="172" t="s">
        <v>95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699</v>
      </c>
      <c r="B190" s="176">
        <v>46025</v>
      </c>
      <c r="C190" s="172" t="s">
        <v>105</v>
      </c>
      <c r="D190" s="172" t="s">
        <v>106</v>
      </c>
      <c r="E190" s="172" t="s">
        <v>54</v>
      </c>
      <c r="F190" s="172" t="s">
        <v>121</v>
      </c>
      <c r="G190" s="172" t="s">
        <v>85</v>
      </c>
      <c r="H190" s="177">
        <v>1</v>
      </c>
      <c r="I190" s="178">
        <v>1845</v>
      </c>
      <c r="J190" s="176">
        <v>46019</v>
      </c>
      <c r="K190" s="172" t="s">
        <v>94</v>
      </c>
      <c r="L190" s="172" t="s">
        <v>95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699</v>
      </c>
      <c r="B191" s="176">
        <v>46025</v>
      </c>
      <c r="C191" s="172" t="s">
        <v>82</v>
      </c>
      <c r="D191" s="172" t="s">
        <v>96</v>
      </c>
      <c r="E191" s="172" t="s">
        <v>54</v>
      </c>
      <c r="F191" s="172" t="s">
        <v>121</v>
      </c>
      <c r="G191" s="172" t="s">
        <v>85</v>
      </c>
      <c r="H191" s="177">
        <v>1</v>
      </c>
      <c r="I191" s="178">
        <v>1845</v>
      </c>
      <c r="J191" s="176">
        <v>46019</v>
      </c>
      <c r="K191" s="172" t="s">
        <v>94</v>
      </c>
      <c r="L191" s="172" t="s">
        <v>95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700</v>
      </c>
      <c r="B192" s="176">
        <v>46025</v>
      </c>
      <c r="C192" s="172" t="s">
        <v>93</v>
      </c>
      <c r="D192" s="172" t="s">
        <v>24</v>
      </c>
      <c r="E192" s="172" t="s">
        <v>53</v>
      </c>
      <c r="F192" s="172" t="s">
        <v>91</v>
      </c>
      <c r="G192" s="172" t="s">
        <v>85</v>
      </c>
      <c r="H192" s="177">
        <v>1</v>
      </c>
      <c r="I192" s="178">
        <v>1621</v>
      </c>
      <c r="J192" s="176">
        <v>46021</v>
      </c>
      <c r="K192" s="172" t="s">
        <v>94</v>
      </c>
      <c r="L192" s="172" t="s">
        <v>95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700</v>
      </c>
      <c r="B193" s="176">
        <v>46025</v>
      </c>
      <c r="C193" s="172" t="s">
        <v>101</v>
      </c>
      <c r="D193" s="172" t="s">
        <v>102</v>
      </c>
      <c r="E193" s="172" t="s">
        <v>53</v>
      </c>
      <c r="F193" s="172" t="s">
        <v>91</v>
      </c>
      <c r="G193" s="172" t="s">
        <v>85</v>
      </c>
      <c r="H193" s="177">
        <v>1</v>
      </c>
      <c r="I193" s="178">
        <v>1621</v>
      </c>
      <c r="J193" s="176">
        <v>46021</v>
      </c>
      <c r="K193" s="172" t="s">
        <v>94</v>
      </c>
      <c r="L193" s="172" t="s">
        <v>95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700</v>
      </c>
      <c r="B194" s="176">
        <v>46025</v>
      </c>
      <c r="C194" s="172" t="s">
        <v>101</v>
      </c>
      <c r="D194" s="172" t="s">
        <v>103</v>
      </c>
      <c r="E194" s="172" t="s">
        <v>53</v>
      </c>
      <c r="F194" s="172" t="s">
        <v>91</v>
      </c>
      <c r="G194" s="172" t="s">
        <v>85</v>
      </c>
      <c r="H194" s="177">
        <v>1</v>
      </c>
      <c r="I194" s="178">
        <v>1621</v>
      </c>
      <c r="J194" s="176">
        <v>46021</v>
      </c>
      <c r="K194" s="172" t="s">
        <v>94</v>
      </c>
      <c r="L194" s="172" t="s">
        <v>95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700</v>
      </c>
      <c r="B195" s="176">
        <v>46025</v>
      </c>
      <c r="C195" s="172" t="s">
        <v>101</v>
      </c>
      <c r="D195" s="172" t="s">
        <v>104</v>
      </c>
      <c r="E195" s="172" t="s">
        <v>53</v>
      </c>
      <c r="F195" s="172" t="s">
        <v>91</v>
      </c>
      <c r="G195" s="172" t="s">
        <v>85</v>
      </c>
      <c r="H195" s="177">
        <v>1</v>
      </c>
      <c r="I195" s="178">
        <v>1621</v>
      </c>
      <c r="J195" s="176">
        <v>46021</v>
      </c>
      <c r="K195" s="172" t="s">
        <v>94</v>
      </c>
      <c r="L195" s="172" t="s">
        <v>95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700</v>
      </c>
      <c r="B196" s="176">
        <v>46025</v>
      </c>
      <c r="C196" s="172" t="s">
        <v>105</v>
      </c>
      <c r="D196" s="172" t="s">
        <v>106</v>
      </c>
      <c r="E196" s="172" t="s">
        <v>53</v>
      </c>
      <c r="F196" s="172" t="s">
        <v>91</v>
      </c>
      <c r="G196" s="172" t="s">
        <v>85</v>
      </c>
      <c r="H196" s="177">
        <v>1</v>
      </c>
      <c r="I196" s="178">
        <v>1621</v>
      </c>
      <c r="J196" s="176">
        <v>46021</v>
      </c>
      <c r="K196" s="172" t="s">
        <v>94</v>
      </c>
      <c r="L196" s="172" t="s">
        <v>95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700</v>
      </c>
      <c r="B197" s="176">
        <v>46025</v>
      </c>
      <c r="C197" s="172" t="s">
        <v>82</v>
      </c>
      <c r="D197" s="172" t="s">
        <v>96</v>
      </c>
      <c r="E197" s="172" t="s">
        <v>53</v>
      </c>
      <c r="F197" s="172" t="s">
        <v>91</v>
      </c>
      <c r="G197" s="172" t="s">
        <v>85</v>
      </c>
      <c r="H197" s="177">
        <v>1</v>
      </c>
      <c r="I197" s="178">
        <v>1621</v>
      </c>
      <c r="J197" s="176">
        <v>46021</v>
      </c>
      <c r="K197" s="172" t="s">
        <v>94</v>
      </c>
      <c r="L197" s="172" t="s">
        <v>95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701</v>
      </c>
      <c r="B198" s="176">
        <v>46025</v>
      </c>
      <c r="C198" s="172" t="s">
        <v>82</v>
      </c>
      <c r="D198" s="172" t="s">
        <v>83</v>
      </c>
      <c r="E198" s="172" t="s">
        <v>54</v>
      </c>
      <c r="F198" s="172" t="s">
        <v>121</v>
      </c>
      <c r="G198" s="172" t="s">
        <v>85</v>
      </c>
      <c r="H198" s="177">
        <v>1</v>
      </c>
      <c r="I198" s="178">
        <v>0</v>
      </c>
      <c r="J198" s="176">
        <v>46025</v>
      </c>
      <c r="K198" s="172" t="s">
        <v>86</v>
      </c>
      <c r="L198" s="172" t="s">
        <v>86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702</v>
      </c>
      <c r="B199" s="176">
        <v>46025</v>
      </c>
      <c r="C199" s="172" t="s">
        <v>93</v>
      </c>
      <c r="D199" s="172" t="s">
        <v>24</v>
      </c>
      <c r="E199" s="172" t="s">
        <v>54</v>
      </c>
      <c r="F199" s="172" t="s">
        <v>121</v>
      </c>
      <c r="G199" s="172" t="s">
        <v>85</v>
      </c>
      <c r="H199" s="177">
        <v>1</v>
      </c>
      <c r="I199" s="178">
        <v>0</v>
      </c>
      <c r="J199" s="176">
        <v>46016</v>
      </c>
      <c r="K199" s="172" t="s">
        <v>94</v>
      </c>
      <c r="L199" s="172" t="s">
        <v>95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702</v>
      </c>
      <c r="B200" s="176">
        <v>46025</v>
      </c>
      <c r="C200" s="172" t="s">
        <v>93</v>
      </c>
      <c r="D200" s="172" t="s">
        <v>97</v>
      </c>
      <c r="E200" s="172" t="s">
        <v>54</v>
      </c>
      <c r="F200" s="172" t="s">
        <v>121</v>
      </c>
      <c r="G200" s="172" t="s">
        <v>85</v>
      </c>
      <c r="H200" s="177">
        <v>1</v>
      </c>
      <c r="I200" s="178">
        <v>0</v>
      </c>
      <c r="J200" s="176">
        <v>46016</v>
      </c>
      <c r="K200" s="172" t="s">
        <v>94</v>
      </c>
      <c r="L200" s="172" t="s">
        <v>95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702</v>
      </c>
      <c r="B201" s="176">
        <v>46025</v>
      </c>
      <c r="C201" s="172" t="s">
        <v>93</v>
      </c>
      <c r="D201" s="172" t="s">
        <v>98</v>
      </c>
      <c r="E201" s="172" t="s">
        <v>54</v>
      </c>
      <c r="F201" s="172" t="s">
        <v>121</v>
      </c>
      <c r="G201" s="172" t="s">
        <v>85</v>
      </c>
      <c r="H201" s="177">
        <v>1</v>
      </c>
      <c r="I201" s="178">
        <v>0</v>
      </c>
      <c r="J201" s="176">
        <v>46016</v>
      </c>
      <c r="K201" s="172" t="s">
        <v>94</v>
      </c>
      <c r="L201" s="172" t="s">
        <v>95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703</v>
      </c>
      <c r="B202" s="176">
        <v>46025</v>
      </c>
      <c r="C202" s="172" t="s">
        <v>82</v>
      </c>
      <c r="D202" s="172" t="s">
        <v>83</v>
      </c>
      <c r="E202" s="172" t="s">
        <v>53</v>
      </c>
      <c r="F202" s="172" t="s">
        <v>91</v>
      </c>
      <c r="G202" s="172" t="s">
        <v>85</v>
      </c>
      <c r="H202" s="177">
        <v>2</v>
      </c>
      <c r="I202" s="178">
        <v>0</v>
      </c>
      <c r="J202" s="176">
        <v>46025</v>
      </c>
      <c r="K202" s="172" t="s">
        <v>86</v>
      </c>
      <c r="L202" s="172" t="s">
        <v>86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704</v>
      </c>
      <c r="B203" s="176">
        <v>46025</v>
      </c>
      <c r="C203" s="172" t="s">
        <v>93</v>
      </c>
      <c r="D203" s="172" t="s">
        <v>24</v>
      </c>
      <c r="E203" s="172" t="s">
        <v>54</v>
      </c>
      <c r="F203" s="172" t="s">
        <v>121</v>
      </c>
      <c r="G203" s="172" t="s">
        <v>85</v>
      </c>
      <c r="H203" s="177">
        <v>1</v>
      </c>
      <c r="I203" s="178">
        <v>1845</v>
      </c>
      <c r="J203" s="176">
        <v>46023</v>
      </c>
      <c r="K203" s="172" t="s">
        <v>94</v>
      </c>
      <c r="L203" s="172" t="s">
        <v>95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704</v>
      </c>
      <c r="B204" s="176">
        <v>46025</v>
      </c>
      <c r="C204" s="172" t="s">
        <v>101</v>
      </c>
      <c r="D204" s="172" t="s">
        <v>102</v>
      </c>
      <c r="E204" s="172" t="s">
        <v>54</v>
      </c>
      <c r="F204" s="172" t="s">
        <v>121</v>
      </c>
      <c r="G204" s="172" t="s">
        <v>85</v>
      </c>
      <c r="H204" s="177">
        <v>1</v>
      </c>
      <c r="I204" s="178">
        <v>1845</v>
      </c>
      <c r="J204" s="176">
        <v>46023</v>
      </c>
      <c r="K204" s="172" t="s">
        <v>94</v>
      </c>
      <c r="L204" s="172" t="s">
        <v>95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704</v>
      </c>
      <c r="B205" s="176">
        <v>46025</v>
      </c>
      <c r="C205" s="172" t="s">
        <v>101</v>
      </c>
      <c r="D205" s="172" t="s">
        <v>103</v>
      </c>
      <c r="E205" s="172" t="s">
        <v>54</v>
      </c>
      <c r="F205" s="172" t="s">
        <v>121</v>
      </c>
      <c r="G205" s="172" t="s">
        <v>85</v>
      </c>
      <c r="H205" s="177">
        <v>1</v>
      </c>
      <c r="I205" s="178">
        <v>1845</v>
      </c>
      <c r="J205" s="176">
        <v>46023</v>
      </c>
      <c r="K205" s="172" t="s">
        <v>94</v>
      </c>
      <c r="L205" s="172" t="s">
        <v>95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704</v>
      </c>
      <c r="B206" s="176">
        <v>46025</v>
      </c>
      <c r="C206" s="172" t="s">
        <v>101</v>
      </c>
      <c r="D206" s="172" t="s">
        <v>104</v>
      </c>
      <c r="E206" s="172" t="s">
        <v>54</v>
      </c>
      <c r="F206" s="172" t="s">
        <v>121</v>
      </c>
      <c r="G206" s="172" t="s">
        <v>85</v>
      </c>
      <c r="H206" s="177">
        <v>1</v>
      </c>
      <c r="I206" s="178">
        <v>1845</v>
      </c>
      <c r="J206" s="176">
        <v>46023</v>
      </c>
      <c r="K206" s="172" t="s">
        <v>94</v>
      </c>
      <c r="L206" s="172" t="s">
        <v>95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704</v>
      </c>
      <c r="B207" s="176">
        <v>46025</v>
      </c>
      <c r="C207" s="172" t="s">
        <v>105</v>
      </c>
      <c r="D207" s="172" t="s">
        <v>106</v>
      </c>
      <c r="E207" s="172" t="s">
        <v>54</v>
      </c>
      <c r="F207" s="172" t="s">
        <v>121</v>
      </c>
      <c r="G207" s="172" t="s">
        <v>85</v>
      </c>
      <c r="H207" s="177">
        <v>1</v>
      </c>
      <c r="I207" s="178">
        <v>1845</v>
      </c>
      <c r="J207" s="176">
        <v>46023</v>
      </c>
      <c r="K207" s="172" t="s">
        <v>94</v>
      </c>
      <c r="L207" s="172" t="s">
        <v>95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704</v>
      </c>
      <c r="B208" s="176">
        <v>46025</v>
      </c>
      <c r="C208" s="172" t="s">
        <v>82</v>
      </c>
      <c r="D208" s="172" t="s">
        <v>96</v>
      </c>
      <c r="E208" s="172" t="s">
        <v>54</v>
      </c>
      <c r="F208" s="172" t="s">
        <v>121</v>
      </c>
      <c r="G208" s="172" t="s">
        <v>85</v>
      </c>
      <c r="H208" s="177">
        <v>1</v>
      </c>
      <c r="I208" s="178">
        <v>1845</v>
      </c>
      <c r="J208" s="176">
        <v>46023</v>
      </c>
      <c r="K208" s="172" t="s">
        <v>94</v>
      </c>
      <c r="L208" s="172" t="s">
        <v>95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705</v>
      </c>
      <c r="B209" s="176">
        <v>46025</v>
      </c>
      <c r="C209" s="172" t="s">
        <v>93</v>
      </c>
      <c r="D209" s="172" t="s">
        <v>24</v>
      </c>
      <c r="E209" s="172" t="s">
        <v>44</v>
      </c>
      <c r="F209" s="172" t="s">
        <v>126</v>
      </c>
      <c r="G209" s="172" t="s">
        <v>85</v>
      </c>
      <c r="H209" s="177">
        <v>1</v>
      </c>
      <c r="I209" s="178">
        <v>1202</v>
      </c>
      <c r="J209" s="176">
        <v>46022</v>
      </c>
      <c r="K209" s="172" t="s">
        <v>94</v>
      </c>
      <c r="L209" s="172" t="s">
        <v>95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705</v>
      </c>
      <c r="B210" s="176">
        <v>46025</v>
      </c>
      <c r="C210" s="172" t="s">
        <v>101</v>
      </c>
      <c r="D210" s="172" t="s">
        <v>102</v>
      </c>
      <c r="E210" s="172" t="s">
        <v>44</v>
      </c>
      <c r="F210" s="172" t="s">
        <v>126</v>
      </c>
      <c r="G210" s="172" t="s">
        <v>85</v>
      </c>
      <c r="H210" s="177">
        <v>1</v>
      </c>
      <c r="I210" s="178">
        <v>1202</v>
      </c>
      <c r="J210" s="176">
        <v>46022</v>
      </c>
      <c r="K210" s="172" t="s">
        <v>94</v>
      </c>
      <c r="L210" s="172" t="s">
        <v>95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705</v>
      </c>
      <c r="B211" s="176">
        <v>46025</v>
      </c>
      <c r="C211" s="172" t="s">
        <v>101</v>
      </c>
      <c r="D211" s="172" t="s">
        <v>103</v>
      </c>
      <c r="E211" s="172" t="s">
        <v>44</v>
      </c>
      <c r="F211" s="172" t="s">
        <v>126</v>
      </c>
      <c r="G211" s="172" t="s">
        <v>85</v>
      </c>
      <c r="H211" s="177">
        <v>1</v>
      </c>
      <c r="I211" s="178">
        <v>1202</v>
      </c>
      <c r="J211" s="176">
        <v>46022</v>
      </c>
      <c r="K211" s="172" t="s">
        <v>94</v>
      </c>
      <c r="L211" s="172" t="s">
        <v>95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705</v>
      </c>
      <c r="B212" s="176">
        <v>46025</v>
      </c>
      <c r="C212" s="172" t="s">
        <v>101</v>
      </c>
      <c r="D212" s="172" t="s">
        <v>104</v>
      </c>
      <c r="E212" s="172" t="s">
        <v>44</v>
      </c>
      <c r="F212" s="172" t="s">
        <v>126</v>
      </c>
      <c r="G212" s="172" t="s">
        <v>85</v>
      </c>
      <c r="H212" s="177">
        <v>1</v>
      </c>
      <c r="I212" s="178">
        <v>1202</v>
      </c>
      <c r="J212" s="176">
        <v>46022</v>
      </c>
      <c r="K212" s="172" t="s">
        <v>94</v>
      </c>
      <c r="L212" s="172" t="s">
        <v>95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705</v>
      </c>
      <c r="B213" s="176">
        <v>46025</v>
      </c>
      <c r="C213" s="172" t="s">
        <v>105</v>
      </c>
      <c r="D213" s="172" t="s">
        <v>106</v>
      </c>
      <c r="E213" s="172" t="s">
        <v>44</v>
      </c>
      <c r="F213" s="172" t="s">
        <v>126</v>
      </c>
      <c r="G213" s="172" t="s">
        <v>85</v>
      </c>
      <c r="H213" s="177">
        <v>1</v>
      </c>
      <c r="I213" s="178">
        <v>1202</v>
      </c>
      <c r="J213" s="176">
        <v>46022</v>
      </c>
      <c r="K213" s="172" t="s">
        <v>94</v>
      </c>
      <c r="L213" s="172" t="s">
        <v>95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705</v>
      </c>
      <c r="B214" s="176">
        <v>46025</v>
      </c>
      <c r="C214" s="172" t="s">
        <v>82</v>
      </c>
      <c r="D214" s="172" t="s">
        <v>96</v>
      </c>
      <c r="E214" s="172" t="s">
        <v>44</v>
      </c>
      <c r="F214" s="172" t="s">
        <v>126</v>
      </c>
      <c r="G214" s="172" t="s">
        <v>85</v>
      </c>
      <c r="H214" s="177">
        <v>1</v>
      </c>
      <c r="I214" s="178">
        <v>1202</v>
      </c>
      <c r="J214" s="176">
        <v>46022</v>
      </c>
      <c r="K214" s="172" t="s">
        <v>94</v>
      </c>
      <c r="L214" s="172" t="s">
        <v>95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706</v>
      </c>
      <c r="B215" s="176">
        <v>46025</v>
      </c>
      <c r="C215" s="172" t="s">
        <v>93</v>
      </c>
      <c r="D215" s="172" t="s">
        <v>24</v>
      </c>
      <c r="E215" s="172" t="s">
        <v>53</v>
      </c>
      <c r="F215" s="172" t="s">
        <v>91</v>
      </c>
      <c r="G215" s="172" t="s">
        <v>85</v>
      </c>
      <c r="H215" s="177">
        <v>1</v>
      </c>
      <c r="I215" s="178">
        <v>1621</v>
      </c>
      <c r="J215" s="176">
        <v>46024</v>
      </c>
      <c r="K215" s="172" t="s">
        <v>94</v>
      </c>
      <c r="L215" s="172" t="s">
        <v>95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706</v>
      </c>
      <c r="B216" s="176">
        <v>46025</v>
      </c>
      <c r="C216" s="172" t="s">
        <v>101</v>
      </c>
      <c r="D216" s="172" t="s">
        <v>102</v>
      </c>
      <c r="E216" s="172" t="s">
        <v>53</v>
      </c>
      <c r="F216" s="172" t="s">
        <v>91</v>
      </c>
      <c r="G216" s="172" t="s">
        <v>85</v>
      </c>
      <c r="H216" s="177">
        <v>1</v>
      </c>
      <c r="I216" s="178">
        <v>1621</v>
      </c>
      <c r="J216" s="176">
        <v>46024</v>
      </c>
      <c r="K216" s="172" t="s">
        <v>94</v>
      </c>
      <c r="L216" s="172" t="s">
        <v>95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706</v>
      </c>
      <c r="B217" s="176">
        <v>46025</v>
      </c>
      <c r="C217" s="172" t="s">
        <v>101</v>
      </c>
      <c r="D217" s="172" t="s">
        <v>103</v>
      </c>
      <c r="E217" s="172" t="s">
        <v>53</v>
      </c>
      <c r="F217" s="172" t="s">
        <v>91</v>
      </c>
      <c r="G217" s="172" t="s">
        <v>85</v>
      </c>
      <c r="H217" s="177">
        <v>1</v>
      </c>
      <c r="I217" s="178">
        <v>1621</v>
      </c>
      <c r="J217" s="176">
        <v>46024</v>
      </c>
      <c r="K217" s="172" t="s">
        <v>94</v>
      </c>
      <c r="L217" s="172" t="s">
        <v>95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706</v>
      </c>
      <c r="B218" s="176">
        <v>46025</v>
      </c>
      <c r="C218" s="172" t="s">
        <v>101</v>
      </c>
      <c r="D218" s="172" t="s">
        <v>104</v>
      </c>
      <c r="E218" s="172" t="s">
        <v>53</v>
      </c>
      <c r="F218" s="172" t="s">
        <v>91</v>
      </c>
      <c r="G218" s="172" t="s">
        <v>85</v>
      </c>
      <c r="H218" s="177">
        <v>1</v>
      </c>
      <c r="I218" s="178">
        <v>1621</v>
      </c>
      <c r="J218" s="176">
        <v>46024</v>
      </c>
      <c r="K218" s="172" t="s">
        <v>94</v>
      </c>
      <c r="L218" s="172" t="s">
        <v>95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706</v>
      </c>
      <c r="B219" s="176">
        <v>46025</v>
      </c>
      <c r="C219" s="172" t="s">
        <v>105</v>
      </c>
      <c r="D219" s="172" t="s">
        <v>106</v>
      </c>
      <c r="E219" s="172" t="s">
        <v>53</v>
      </c>
      <c r="F219" s="172" t="s">
        <v>91</v>
      </c>
      <c r="G219" s="172" t="s">
        <v>85</v>
      </c>
      <c r="H219" s="177">
        <v>1</v>
      </c>
      <c r="I219" s="178">
        <v>1621</v>
      </c>
      <c r="J219" s="176">
        <v>46024</v>
      </c>
      <c r="K219" s="172" t="s">
        <v>94</v>
      </c>
      <c r="L219" s="172" t="s">
        <v>95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706</v>
      </c>
      <c r="B220" s="176">
        <v>46025</v>
      </c>
      <c r="C220" s="172" t="s">
        <v>82</v>
      </c>
      <c r="D220" s="172" t="s">
        <v>96</v>
      </c>
      <c r="E220" s="172" t="s">
        <v>53</v>
      </c>
      <c r="F220" s="172" t="s">
        <v>91</v>
      </c>
      <c r="G220" s="172" t="s">
        <v>85</v>
      </c>
      <c r="H220" s="177">
        <v>1</v>
      </c>
      <c r="I220" s="178">
        <v>1621</v>
      </c>
      <c r="J220" s="176">
        <v>46024</v>
      </c>
      <c r="K220" s="172" t="s">
        <v>94</v>
      </c>
      <c r="L220" s="172" t="s">
        <v>95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707</v>
      </c>
      <c r="B221" s="176">
        <v>46025</v>
      </c>
      <c r="C221" s="172" t="s">
        <v>93</v>
      </c>
      <c r="D221" s="172" t="s">
        <v>24</v>
      </c>
      <c r="E221" s="172" t="s">
        <v>54</v>
      </c>
      <c r="F221" s="172" t="s">
        <v>121</v>
      </c>
      <c r="G221" s="172" t="s">
        <v>85</v>
      </c>
      <c r="H221" s="177">
        <v>1</v>
      </c>
      <c r="I221" s="178">
        <v>1845</v>
      </c>
      <c r="J221" s="176">
        <v>46022</v>
      </c>
      <c r="K221" s="172" t="s">
        <v>94</v>
      </c>
      <c r="L221" s="172" t="s">
        <v>95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707</v>
      </c>
      <c r="B222" s="176">
        <v>46025</v>
      </c>
      <c r="C222" s="172" t="s">
        <v>101</v>
      </c>
      <c r="D222" s="172" t="s">
        <v>102</v>
      </c>
      <c r="E222" s="172" t="s">
        <v>54</v>
      </c>
      <c r="F222" s="172" t="s">
        <v>121</v>
      </c>
      <c r="G222" s="172" t="s">
        <v>85</v>
      </c>
      <c r="H222" s="177">
        <v>1</v>
      </c>
      <c r="I222" s="178">
        <v>1845</v>
      </c>
      <c r="J222" s="176">
        <v>46022</v>
      </c>
      <c r="K222" s="172" t="s">
        <v>94</v>
      </c>
      <c r="L222" s="172" t="s">
        <v>95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707</v>
      </c>
      <c r="B223" s="176">
        <v>46025</v>
      </c>
      <c r="C223" s="172" t="s">
        <v>101</v>
      </c>
      <c r="D223" s="172" t="s">
        <v>103</v>
      </c>
      <c r="E223" s="172" t="s">
        <v>54</v>
      </c>
      <c r="F223" s="172" t="s">
        <v>121</v>
      </c>
      <c r="G223" s="172" t="s">
        <v>85</v>
      </c>
      <c r="H223" s="177">
        <v>1</v>
      </c>
      <c r="I223" s="178">
        <v>1845</v>
      </c>
      <c r="J223" s="176">
        <v>46022</v>
      </c>
      <c r="K223" s="172" t="s">
        <v>94</v>
      </c>
      <c r="L223" s="172" t="s">
        <v>95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707</v>
      </c>
      <c r="B224" s="176">
        <v>46025</v>
      </c>
      <c r="C224" s="172" t="s">
        <v>101</v>
      </c>
      <c r="D224" s="172" t="s">
        <v>104</v>
      </c>
      <c r="E224" s="172" t="s">
        <v>54</v>
      </c>
      <c r="F224" s="172" t="s">
        <v>121</v>
      </c>
      <c r="G224" s="172" t="s">
        <v>85</v>
      </c>
      <c r="H224" s="177">
        <v>1</v>
      </c>
      <c r="I224" s="178">
        <v>1845</v>
      </c>
      <c r="J224" s="176">
        <v>46022</v>
      </c>
      <c r="K224" s="172" t="s">
        <v>94</v>
      </c>
      <c r="L224" s="172" t="s">
        <v>95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707</v>
      </c>
      <c r="B225" s="176">
        <v>46025</v>
      </c>
      <c r="C225" s="172" t="s">
        <v>105</v>
      </c>
      <c r="D225" s="172" t="s">
        <v>106</v>
      </c>
      <c r="E225" s="172" t="s">
        <v>54</v>
      </c>
      <c r="F225" s="172" t="s">
        <v>121</v>
      </c>
      <c r="G225" s="172" t="s">
        <v>85</v>
      </c>
      <c r="H225" s="177">
        <v>1</v>
      </c>
      <c r="I225" s="178">
        <v>1845</v>
      </c>
      <c r="J225" s="176">
        <v>46022</v>
      </c>
      <c r="K225" s="172" t="s">
        <v>94</v>
      </c>
      <c r="L225" s="172" t="s">
        <v>95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707</v>
      </c>
      <c r="B226" s="176">
        <v>46025</v>
      </c>
      <c r="C226" s="172" t="s">
        <v>82</v>
      </c>
      <c r="D226" s="172" t="s">
        <v>96</v>
      </c>
      <c r="E226" s="172" t="s">
        <v>54</v>
      </c>
      <c r="F226" s="172" t="s">
        <v>121</v>
      </c>
      <c r="G226" s="172" t="s">
        <v>85</v>
      </c>
      <c r="H226" s="177">
        <v>1</v>
      </c>
      <c r="I226" s="178">
        <v>1845</v>
      </c>
      <c r="J226" s="176">
        <v>46022</v>
      </c>
      <c r="K226" s="172" t="s">
        <v>94</v>
      </c>
      <c r="L226" s="172" t="s">
        <v>95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708</v>
      </c>
      <c r="B227" s="176">
        <v>46025</v>
      </c>
      <c r="C227" s="172" t="s">
        <v>82</v>
      </c>
      <c r="D227" s="172" t="s">
        <v>83</v>
      </c>
      <c r="E227" s="172" t="s">
        <v>54</v>
      </c>
      <c r="F227" s="172" t="s">
        <v>121</v>
      </c>
      <c r="G227" s="172" t="s">
        <v>85</v>
      </c>
      <c r="H227" s="177">
        <v>1</v>
      </c>
      <c r="I227" s="178">
        <v>0</v>
      </c>
      <c r="J227" s="176">
        <v>46025</v>
      </c>
      <c r="K227" s="172" t="s">
        <v>86</v>
      </c>
      <c r="L227" s="172" t="s">
        <v>86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707</v>
      </c>
      <c r="B228" s="176">
        <v>46025</v>
      </c>
      <c r="C228" s="172" t="s">
        <v>82</v>
      </c>
      <c r="D228" s="172" t="s">
        <v>83</v>
      </c>
      <c r="E228" s="172" t="s">
        <v>54</v>
      </c>
      <c r="F228" s="172" t="s">
        <v>121</v>
      </c>
      <c r="G228" s="172" t="s">
        <v>85</v>
      </c>
      <c r="H228" s="177">
        <v>1</v>
      </c>
      <c r="I228" s="178">
        <v>0</v>
      </c>
      <c r="J228" s="176">
        <v>46022</v>
      </c>
      <c r="K228" s="172" t="s">
        <v>86</v>
      </c>
      <c r="L228" s="172" t="s">
        <v>86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709</v>
      </c>
      <c r="B229" s="176">
        <v>46025</v>
      </c>
      <c r="C229" s="172" t="s">
        <v>93</v>
      </c>
      <c r="D229" s="172" t="s">
        <v>24</v>
      </c>
      <c r="E229" s="172" t="s">
        <v>54</v>
      </c>
      <c r="F229" s="172" t="s">
        <v>121</v>
      </c>
      <c r="G229" s="172" t="s">
        <v>85</v>
      </c>
      <c r="H229" s="177">
        <v>1</v>
      </c>
      <c r="I229" s="178">
        <v>1845</v>
      </c>
      <c r="J229" s="176">
        <v>46022</v>
      </c>
      <c r="K229" s="172" t="s">
        <v>94</v>
      </c>
      <c r="L229" s="172" t="s">
        <v>95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709</v>
      </c>
      <c r="B230" s="176">
        <v>46025</v>
      </c>
      <c r="C230" s="172" t="s">
        <v>101</v>
      </c>
      <c r="D230" s="172" t="s">
        <v>102</v>
      </c>
      <c r="E230" s="172" t="s">
        <v>54</v>
      </c>
      <c r="F230" s="172" t="s">
        <v>121</v>
      </c>
      <c r="G230" s="172" t="s">
        <v>85</v>
      </c>
      <c r="H230" s="177">
        <v>1</v>
      </c>
      <c r="I230" s="178">
        <v>1845</v>
      </c>
      <c r="J230" s="176">
        <v>46022</v>
      </c>
      <c r="K230" s="172" t="s">
        <v>94</v>
      </c>
      <c r="L230" s="172" t="s">
        <v>95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709</v>
      </c>
      <c r="B231" s="176">
        <v>46025</v>
      </c>
      <c r="C231" s="172" t="s">
        <v>101</v>
      </c>
      <c r="D231" s="172" t="s">
        <v>103</v>
      </c>
      <c r="E231" s="172" t="s">
        <v>54</v>
      </c>
      <c r="F231" s="172" t="s">
        <v>121</v>
      </c>
      <c r="G231" s="172" t="s">
        <v>85</v>
      </c>
      <c r="H231" s="177">
        <v>1</v>
      </c>
      <c r="I231" s="178">
        <v>1845</v>
      </c>
      <c r="J231" s="176">
        <v>46022</v>
      </c>
      <c r="K231" s="172" t="s">
        <v>94</v>
      </c>
      <c r="L231" s="172" t="s">
        <v>95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709</v>
      </c>
      <c r="B232" s="176">
        <v>46025</v>
      </c>
      <c r="C232" s="172" t="s">
        <v>101</v>
      </c>
      <c r="D232" s="172" t="s">
        <v>104</v>
      </c>
      <c r="E232" s="172" t="s">
        <v>54</v>
      </c>
      <c r="F232" s="172" t="s">
        <v>121</v>
      </c>
      <c r="G232" s="172" t="s">
        <v>85</v>
      </c>
      <c r="H232" s="177">
        <v>1</v>
      </c>
      <c r="I232" s="178">
        <v>1845</v>
      </c>
      <c r="J232" s="176">
        <v>46022</v>
      </c>
      <c r="K232" s="172" t="s">
        <v>94</v>
      </c>
      <c r="L232" s="172" t="s">
        <v>95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709</v>
      </c>
      <c r="B233" s="176">
        <v>46025</v>
      </c>
      <c r="C233" s="172" t="s">
        <v>105</v>
      </c>
      <c r="D233" s="172" t="s">
        <v>106</v>
      </c>
      <c r="E233" s="172" t="s">
        <v>54</v>
      </c>
      <c r="F233" s="172" t="s">
        <v>121</v>
      </c>
      <c r="G233" s="172" t="s">
        <v>85</v>
      </c>
      <c r="H233" s="177">
        <v>1</v>
      </c>
      <c r="I233" s="178">
        <v>1845</v>
      </c>
      <c r="J233" s="176">
        <v>46022</v>
      </c>
      <c r="K233" s="172" t="s">
        <v>94</v>
      </c>
      <c r="L233" s="172" t="s">
        <v>95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709</v>
      </c>
      <c r="B234" s="176">
        <v>46025</v>
      </c>
      <c r="C234" s="172" t="s">
        <v>82</v>
      </c>
      <c r="D234" s="172" t="s">
        <v>96</v>
      </c>
      <c r="E234" s="172" t="s">
        <v>54</v>
      </c>
      <c r="F234" s="172" t="s">
        <v>121</v>
      </c>
      <c r="G234" s="172" t="s">
        <v>85</v>
      </c>
      <c r="H234" s="177">
        <v>1</v>
      </c>
      <c r="I234" s="178">
        <v>1845</v>
      </c>
      <c r="J234" s="176">
        <v>46022</v>
      </c>
      <c r="K234" s="172" t="s">
        <v>94</v>
      </c>
      <c r="L234" s="172" t="s">
        <v>95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709</v>
      </c>
      <c r="B235" s="176">
        <v>46025</v>
      </c>
      <c r="C235" s="172" t="s">
        <v>82</v>
      </c>
      <c r="D235" s="172" t="s">
        <v>83</v>
      </c>
      <c r="E235" s="172" t="s">
        <v>54</v>
      </c>
      <c r="F235" s="172" t="s">
        <v>121</v>
      </c>
      <c r="G235" s="172" t="s">
        <v>85</v>
      </c>
      <c r="H235" s="177">
        <v>1</v>
      </c>
      <c r="I235" s="178">
        <v>0</v>
      </c>
      <c r="J235" s="176">
        <v>46022</v>
      </c>
      <c r="K235" s="172" t="s">
        <v>86</v>
      </c>
      <c r="L235" s="172" t="s">
        <v>86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710</v>
      </c>
      <c r="B236" s="176">
        <v>46025</v>
      </c>
      <c r="C236" s="172" t="s">
        <v>82</v>
      </c>
      <c r="D236" s="172" t="s">
        <v>83</v>
      </c>
      <c r="E236" s="172" t="s">
        <v>53</v>
      </c>
      <c r="F236" s="172" t="s">
        <v>91</v>
      </c>
      <c r="G236" s="172" t="s">
        <v>85</v>
      </c>
      <c r="H236" s="177">
        <v>1</v>
      </c>
      <c r="I236" s="178">
        <v>0</v>
      </c>
      <c r="J236" s="176">
        <v>46025</v>
      </c>
      <c r="K236" s="172" t="s">
        <v>86</v>
      </c>
      <c r="L236" s="172" t="s">
        <v>86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711</v>
      </c>
      <c r="B237" s="176">
        <v>46025</v>
      </c>
      <c r="C237" s="172" t="s">
        <v>93</v>
      </c>
      <c r="D237" s="172" t="s">
        <v>24</v>
      </c>
      <c r="E237" s="172" t="s">
        <v>54</v>
      </c>
      <c r="F237" s="172" t="s">
        <v>121</v>
      </c>
      <c r="G237" s="172" t="s">
        <v>85</v>
      </c>
      <c r="H237" s="177">
        <v>1</v>
      </c>
      <c r="I237" s="178">
        <v>1845</v>
      </c>
      <c r="J237" s="176">
        <v>46021</v>
      </c>
      <c r="K237" s="172" t="s">
        <v>94</v>
      </c>
      <c r="L237" s="172" t="s">
        <v>95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711</v>
      </c>
      <c r="B238" s="176">
        <v>46025</v>
      </c>
      <c r="C238" s="172" t="s">
        <v>101</v>
      </c>
      <c r="D238" s="172" t="s">
        <v>102</v>
      </c>
      <c r="E238" s="172" t="s">
        <v>54</v>
      </c>
      <c r="F238" s="172" t="s">
        <v>121</v>
      </c>
      <c r="G238" s="172" t="s">
        <v>85</v>
      </c>
      <c r="H238" s="177">
        <v>1</v>
      </c>
      <c r="I238" s="178">
        <v>1845</v>
      </c>
      <c r="J238" s="176">
        <v>46021</v>
      </c>
      <c r="K238" s="172" t="s">
        <v>94</v>
      </c>
      <c r="L238" s="172" t="s">
        <v>95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711</v>
      </c>
      <c r="B239" s="176">
        <v>46025</v>
      </c>
      <c r="C239" s="172" t="s">
        <v>101</v>
      </c>
      <c r="D239" s="172" t="s">
        <v>103</v>
      </c>
      <c r="E239" s="172" t="s">
        <v>54</v>
      </c>
      <c r="F239" s="172" t="s">
        <v>121</v>
      </c>
      <c r="G239" s="172" t="s">
        <v>85</v>
      </c>
      <c r="H239" s="177">
        <v>1</v>
      </c>
      <c r="I239" s="178">
        <v>1845</v>
      </c>
      <c r="J239" s="176">
        <v>46021</v>
      </c>
      <c r="K239" s="172" t="s">
        <v>94</v>
      </c>
      <c r="L239" s="172" t="s">
        <v>95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711</v>
      </c>
      <c r="B240" s="176">
        <v>46025</v>
      </c>
      <c r="C240" s="172" t="s">
        <v>101</v>
      </c>
      <c r="D240" s="172" t="s">
        <v>104</v>
      </c>
      <c r="E240" s="172" t="s">
        <v>54</v>
      </c>
      <c r="F240" s="172" t="s">
        <v>121</v>
      </c>
      <c r="G240" s="172" t="s">
        <v>85</v>
      </c>
      <c r="H240" s="177">
        <v>1</v>
      </c>
      <c r="I240" s="178">
        <v>1845</v>
      </c>
      <c r="J240" s="176">
        <v>46021</v>
      </c>
      <c r="K240" s="172" t="s">
        <v>94</v>
      </c>
      <c r="L240" s="172" t="s">
        <v>95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711</v>
      </c>
      <c r="B241" s="176">
        <v>46025</v>
      </c>
      <c r="C241" s="172" t="s">
        <v>105</v>
      </c>
      <c r="D241" s="172" t="s">
        <v>106</v>
      </c>
      <c r="E241" s="172" t="s">
        <v>54</v>
      </c>
      <c r="F241" s="172" t="s">
        <v>121</v>
      </c>
      <c r="G241" s="172" t="s">
        <v>85</v>
      </c>
      <c r="H241" s="177">
        <v>1</v>
      </c>
      <c r="I241" s="178">
        <v>1845</v>
      </c>
      <c r="J241" s="176">
        <v>46021</v>
      </c>
      <c r="K241" s="172" t="s">
        <v>94</v>
      </c>
      <c r="L241" s="172" t="s">
        <v>95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711</v>
      </c>
      <c r="B242" s="176">
        <v>46025</v>
      </c>
      <c r="C242" s="172" t="s">
        <v>82</v>
      </c>
      <c r="D242" s="172" t="s">
        <v>96</v>
      </c>
      <c r="E242" s="172" t="s">
        <v>54</v>
      </c>
      <c r="F242" s="172" t="s">
        <v>121</v>
      </c>
      <c r="G242" s="172" t="s">
        <v>85</v>
      </c>
      <c r="H242" s="177">
        <v>1</v>
      </c>
      <c r="I242" s="178">
        <v>1845</v>
      </c>
      <c r="J242" s="176">
        <v>46021</v>
      </c>
      <c r="K242" s="172" t="s">
        <v>94</v>
      </c>
      <c r="L242" s="172" t="s">
        <v>95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712</v>
      </c>
      <c r="B243" s="176">
        <v>46025</v>
      </c>
      <c r="C243" s="172" t="s">
        <v>93</v>
      </c>
      <c r="D243" s="172" t="s">
        <v>24</v>
      </c>
      <c r="E243" s="172" t="s">
        <v>54</v>
      </c>
      <c r="F243" s="172" t="s">
        <v>121</v>
      </c>
      <c r="G243" s="172" t="s">
        <v>85</v>
      </c>
      <c r="H243" s="177">
        <v>1</v>
      </c>
      <c r="I243" s="178">
        <v>1845</v>
      </c>
      <c r="J243" s="176">
        <v>46021</v>
      </c>
      <c r="K243" s="172" t="s">
        <v>94</v>
      </c>
      <c r="L243" s="172" t="s">
        <v>95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712</v>
      </c>
      <c r="B244" s="176">
        <v>46025</v>
      </c>
      <c r="C244" s="172" t="s">
        <v>101</v>
      </c>
      <c r="D244" s="172" t="s">
        <v>102</v>
      </c>
      <c r="E244" s="172" t="s">
        <v>54</v>
      </c>
      <c r="F244" s="172" t="s">
        <v>121</v>
      </c>
      <c r="G244" s="172" t="s">
        <v>85</v>
      </c>
      <c r="H244" s="177">
        <v>1</v>
      </c>
      <c r="I244" s="178">
        <v>1845</v>
      </c>
      <c r="J244" s="176">
        <v>46021</v>
      </c>
      <c r="K244" s="172" t="s">
        <v>94</v>
      </c>
      <c r="L244" s="172" t="s">
        <v>95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712</v>
      </c>
      <c r="B245" s="176">
        <v>46025</v>
      </c>
      <c r="C245" s="172" t="s">
        <v>101</v>
      </c>
      <c r="D245" s="172" t="s">
        <v>103</v>
      </c>
      <c r="E245" s="172" t="s">
        <v>54</v>
      </c>
      <c r="F245" s="172" t="s">
        <v>121</v>
      </c>
      <c r="G245" s="172" t="s">
        <v>85</v>
      </c>
      <c r="H245" s="177">
        <v>1</v>
      </c>
      <c r="I245" s="178">
        <v>1845</v>
      </c>
      <c r="J245" s="176">
        <v>46021</v>
      </c>
      <c r="K245" s="172" t="s">
        <v>94</v>
      </c>
      <c r="L245" s="172" t="s">
        <v>95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712</v>
      </c>
      <c r="B246" s="176">
        <v>46025</v>
      </c>
      <c r="C246" s="172" t="s">
        <v>101</v>
      </c>
      <c r="D246" s="172" t="s">
        <v>104</v>
      </c>
      <c r="E246" s="172" t="s">
        <v>54</v>
      </c>
      <c r="F246" s="172" t="s">
        <v>121</v>
      </c>
      <c r="G246" s="172" t="s">
        <v>85</v>
      </c>
      <c r="H246" s="177">
        <v>1</v>
      </c>
      <c r="I246" s="178">
        <v>1845</v>
      </c>
      <c r="J246" s="176">
        <v>46021</v>
      </c>
      <c r="K246" s="172" t="s">
        <v>94</v>
      </c>
      <c r="L246" s="172" t="s">
        <v>95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712</v>
      </c>
      <c r="B247" s="176">
        <v>46025</v>
      </c>
      <c r="C247" s="172" t="s">
        <v>105</v>
      </c>
      <c r="D247" s="172" t="s">
        <v>106</v>
      </c>
      <c r="E247" s="172" t="s">
        <v>54</v>
      </c>
      <c r="F247" s="172" t="s">
        <v>121</v>
      </c>
      <c r="G247" s="172" t="s">
        <v>85</v>
      </c>
      <c r="H247" s="177">
        <v>1</v>
      </c>
      <c r="I247" s="178">
        <v>1845</v>
      </c>
      <c r="J247" s="176">
        <v>46021</v>
      </c>
      <c r="K247" s="172" t="s">
        <v>94</v>
      </c>
      <c r="L247" s="172" t="s">
        <v>95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711</v>
      </c>
      <c r="B248" s="176">
        <v>46025</v>
      </c>
      <c r="C248" s="172" t="s">
        <v>82</v>
      </c>
      <c r="D248" s="172" t="s">
        <v>83</v>
      </c>
      <c r="E248" s="172" t="s">
        <v>54</v>
      </c>
      <c r="F248" s="172" t="s">
        <v>121</v>
      </c>
      <c r="G248" s="172" t="s">
        <v>85</v>
      </c>
      <c r="H248" s="177">
        <v>1</v>
      </c>
      <c r="I248" s="178">
        <v>0</v>
      </c>
      <c r="J248" s="176">
        <v>46021</v>
      </c>
      <c r="K248" s="172" t="s">
        <v>86</v>
      </c>
      <c r="L248" s="172" t="s">
        <v>86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713</v>
      </c>
      <c r="B249" s="176">
        <v>46025</v>
      </c>
      <c r="C249" s="172" t="s">
        <v>82</v>
      </c>
      <c r="D249" s="172" t="s">
        <v>83</v>
      </c>
      <c r="E249" s="172" t="s">
        <v>54</v>
      </c>
      <c r="F249" s="172" t="s">
        <v>121</v>
      </c>
      <c r="G249" s="172" t="s">
        <v>85</v>
      </c>
      <c r="H249" s="177">
        <v>1</v>
      </c>
      <c r="I249" s="178">
        <v>0</v>
      </c>
      <c r="J249" s="176">
        <v>46025</v>
      </c>
      <c r="K249" s="172" t="s">
        <v>86</v>
      </c>
      <c r="L249" s="172" t="s">
        <v>86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714</v>
      </c>
      <c r="B250" s="176">
        <v>46025</v>
      </c>
      <c r="C250" s="172" t="s">
        <v>82</v>
      </c>
      <c r="D250" s="172" t="s">
        <v>83</v>
      </c>
      <c r="E250" s="172" t="s">
        <v>54</v>
      </c>
      <c r="F250" s="172" t="s">
        <v>121</v>
      </c>
      <c r="G250" s="172" t="s">
        <v>85</v>
      </c>
      <c r="H250" s="177">
        <v>1</v>
      </c>
      <c r="I250" s="178">
        <v>0</v>
      </c>
      <c r="J250" s="176">
        <v>46025</v>
      </c>
      <c r="K250" s="172" t="s">
        <v>86</v>
      </c>
      <c r="L250" s="172" t="s">
        <v>86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715</v>
      </c>
      <c r="B251" s="176">
        <v>46025</v>
      </c>
      <c r="C251" s="172" t="s">
        <v>93</v>
      </c>
      <c r="D251" s="172" t="s">
        <v>24</v>
      </c>
      <c r="E251" s="172" t="s">
        <v>54</v>
      </c>
      <c r="F251" s="172" t="s">
        <v>121</v>
      </c>
      <c r="G251" s="172" t="s">
        <v>85</v>
      </c>
      <c r="H251" s="177">
        <v>1</v>
      </c>
      <c r="I251" s="178">
        <v>1845</v>
      </c>
      <c r="J251" s="176">
        <v>46022</v>
      </c>
      <c r="K251" s="172" t="s">
        <v>94</v>
      </c>
      <c r="L251" s="172" t="s">
        <v>95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715</v>
      </c>
      <c r="B252" s="176">
        <v>46025</v>
      </c>
      <c r="C252" s="172" t="s">
        <v>101</v>
      </c>
      <c r="D252" s="172" t="s">
        <v>102</v>
      </c>
      <c r="E252" s="172" t="s">
        <v>54</v>
      </c>
      <c r="F252" s="172" t="s">
        <v>121</v>
      </c>
      <c r="G252" s="172" t="s">
        <v>85</v>
      </c>
      <c r="H252" s="177">
        <v>1</v>
      </c>
      <c r="I252" s="178">
        <v>1845</v>
      </c>
      <c r="J252" s="176">
        <v>46022</v>
      </c>
      <c r="K252" s="172" t="s">
        <v>94</v>
      </c>
      <c r="L252" s="172" t="s">
        <v>95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715</v>
      </c>
      <c r="B253" s="176">
        <v>46025</v>
      </c>
      <c r="C253" s="172" t="s">
        <v>101</v>
      </c>
      <c r="D253" s="172" t="s">
        <v>103</v>
      </c>
      <c r="E253" s="172" t="s">
        <v>54</v>
      </c>
      <c r="F253" s="172" t="s">
        <v>121</v>
      </c>
      <c r="G253" s="172" t="s">
        <v>85</v>
      </c>
      <c r="H253" s="177">
        <v>1</v>
      </c>
      <c r="I253" s="178">
        <v>1845</v>
      </c>
      <c r="J253" s="176">
        <v>46022</v>
      </c>
      <c r="K253" s="172" t="s">
        <v>94</v>
      </c>
      <c r="L253" s="172" t="s">
        <v>95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715</v>
      </c>
      <c r="B254" s="176">
        <v>46025</v>
      </c>
      <c r="C254" s="172" t="s">
        <v>101</v>
      </c>
      <c r="D254" s="172" t="s">
        <v>104</v>
      </c>
      <c r="E254" s="172" t="s">
        <v>54</v>
      </c>
      <c r="F254" s="172" t="s">
        <v>121</v>
      </c>
      <c r="G254" s="172" t="s">
        <v>85</v>
      </c>
      <c r="H254" s="177">
        <v>1</v>
      </c>
      <c r="I254" s="178">
        <v>1845</v>
      </c>
      <c r="J254" s="176">
        <v>46022</v>
      </c>
      <c r="K254" s="172" t="s">
        <v>94</v>
      </c>
      <c r="L254" s="172" t="s">
        <v>95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715</v>
      </c>
      <c r="B255" s="176">
        <v>46025</v>
      </c>
      <c r="C255" s="172" t="s">
        <v>105</v>
      </c>
      <c r="D255" s="172" t="s">
        <v>106</v>
      </c>
      <c r="E255" s="172" t="s">
        <v>54</v>
      </c>
      <c r="F255" s="172" t="s">
        <v>121</v>
      </c>
      <c r="G255" s="172" t="s">
        <v>85</v>
      </c>
      <c r="H255" s="177">
        <v>1</v>
      </c>
      <c r="I255" s="178">
        <v>1845</v>
      </c>
      <c r="J255" s="176">
        <v>46022</v>
      </c>
      <c r="K255" s="172" t="s">
        <v>94</v>
      </c>
      <c r="L255" s="172" t="s">
        <v>95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715</v>
      </c>
      <c r="B256" s="176">
        <v>46025</v>
      </c>
      <c r="C256" s="172" t="s">
        <v>82</v>
      </c>
      <c r="D256" s="172" t="s">
        <v>96</v>
      </c>
      <c r="E256" s="172" t="s">
        <v>54</v>
      </c>
      <c r="F256" s="172" t="s">
        <v>121</v>
      </c>
      <c r="G256" s="172" t="s">
        <v>85</v>
      </c>
      <c r="H256" s="177">
        <v>1</v>
      </c>
      <c r="I256" s="178">
        <v>1845</v>
      </c>
      <c r="J256" s="176">
        <v>46022</v>
      </c>
      <c r="K256" s="172" t="s">
        <v>94</v>
      </c>
      <c r="L256" s="172" t="s">
        <v>95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716</v>
      </c>
      <c r="B257" s="176">
        <v>46025</v>
      </c>
      <c r="C257" s="172" t="s">
        <v>93</v>
      </c>
      <c r="D257" s="172" t="s">
        <v>24</v>
      </c>
      <c r="E257" s="172" t="s">
        <v>54</v>
      </c>
      <c r="F257" s="172" t="s">
        <v>121</v>
      </c>
      <c r="G257" s="172" t="s">
        <v>85</v>
      </c>
      <c r="H257" s="177">
        <v>1</v>
      </c>
      <c r="I257" s="178">
        <v>1845</v>
      </c>
      <c r="J257" s="176">
        <v>46023</v>
      </c>
      <c r="K257" s="172" t="s">
        <v>94</v>
      </c>
      <c r="L257" s="172" t="s">
        <v>95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716</v>
      </c>
      <c r="B258" s="176">
        <v>46025</v>
      </c>
      <c r="C258" s="172" t="s">
        <v>101</v>
      </c>
      <c r="D258" s="172" t="s">
        <v>102</v>
      </c>
      <c r="E258" s="172" t="s">
        <v>54</v>
      </c>
      <c r="F258" s="172" t="s">
        <v>121</v>
      </c>
      <c r="G258" s="172" t="s">
        <v>85</v>
      </c>
      <c r="H258" s="177">
        <v>1</v>
      </c>
      <c r="I258" s="178">
        <v>1845</v>
      </c>
      <c r="J258" s="176">
        <v>46023</v>
      </c>
      <c r="K258" s="172" t="s">
        <v>94</v>
      </c>
      <c r="L258" s="172" t="s">
        <v>95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716</v>
      </c>
      <c r="B259" s="176">
        <v>46025</v>
      </c>
      <c r="C259" s="172" t="s">
        <v>101</v>
      </c>
      <c r="D259" s="172" t="s">
        <v>103</v>
      </c>
      <c r="E259" s="172" t="s">
        <v>54</v>
      </c>
      <c r="F259" s="172" t="s">
        <v>121</v>
      </c>
      <c r="G259" s="172" t="s">
        <v>85</v>
      </c>
      <c r="H259" s="177">
        <v>1</v>
      </c>
      <c r="I259" s="178">
        <v>1845</v>
      </c>
      <c r="J259" s="176">
        <v>46023</v>
      </c>
      <c r="K259" s="172" t="s">
        <v>94</v>
      </c>
      <c r="L259" s="172" t="s">
        <v>95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716</v>
      </c>
      <c r="B260" s="176">
        <v>46025</v>
      </c>
      <c r="C260" s="172" t="s">
        <v>101</v>
      </c>
      <c r="D260" s="172" t="s">
        <v>104</v>
      </c>
      <c r="E260" s="172" t="s">
        <v>54</v>
      </c>
      <c r="F260" s="172" t="s">
        <v>121</v>
      </c>
      <c r="G260" s="172" t="s">
        <v>85</v>
      </c>
      <c r="H260" s="177">
        <v>1</v>
      </c>
      <c r="I260" s="178">
        <v>1845</v>
      </c>
      <c r="J260" s="176">
        <v>46023</v>
      </c>
      <c r="K260" s="172" t="s">
        <v>94</v>
      </c>
      <c r="L260" s="172" t="s">
        <v>95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716</v>
      </c>
      <c r="B261" s="176">
        <v>46025</v>
      </c>
      <c r="C261" s="172" t="s">
        <v>105</v>
      </c>
      <c r="D261" s="172" t="s">
        <v>106</v>
      </c>
      <c r="E261" s="172" t="s">
        <v>54</v>
      </c>
      <c r="F261" s="172" t="s">
        <v>121</v>
      </c>
      <c r="G261" s="172" t="s">
        <v>85</v>
      </c>
      <c r="H261" s="177">
        <v>1</v>
      </c>
      <c r="I261" s="178">
        <v>1845</v>
      </c>
      <c r="J261" s="176">
        <v>46023</v>
      </c>
      <c r="K261" s="172" t="s">
        <v>94</v>
      </c>
      <c r="L261" s="172" t="s">
        <v>95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716</v>
      </c>
      <c r="B262" s="176">
        <v>46025</v>
      </c>
      <c r="C262" s="172" t="s">
        <v>82</v>
      </c>
      <c r="D262" s="172" t="s">
        <v>96</v>
      </c>
      <c r="E262" s="172" t="s">
        <v>54</v>
      </c>
      <c r="F262" s="172" t="s">
        <v>121</v>
      </c>
      <c r="G262" s="172" t="s">
        <v>85</v>
      </c>
      <c r="H262" s="177">
        <v>1</v>
      </c>
      <c r="I262" s="178">
        <v>1845</v>
      </c>
      <c r="J262" s="176">
        <v>46023</v>
      </c>
      <c r="K262" s="172" t="s">
        <v>94</v>
      </c>
      <c r="L262" s="172" t="s">
        <v>95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716</v>
      </c>
      <c r="B263" s="176">
        <v>46025</v>
      </c>
      <c r="C263" s="172" t="s">
        <v>82</v>
      </c>
      <c r="D263" s="172" t="s">
        <v>83</v>
      </c>
      <c r="E263" s="172" t="s">
        <v>54</v>
      </c>
      <c r="F263" s="172" t="s">
        <v>121</v>
      </c>
      <c r="G263" s="172" t="s">
        <v>85</v>
      </c>
      <c r="H263" s="177">
        <v>1</v>
      </c>
      <c r="I263" s="178">
        <v>0</v>
      </c>
      <c r="J263" s="176">
        <v>46023</v>
      </c>
      <c r="K263" s="172" t="s">
        <v>86</v>
      </c>
      <c r="L263" s="172" t="s">
        <v>86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717</v>
      </c>
      <c r="B264" s="176">
        <v>46025</v>
      </c>
      <c r="C264" s="172" t="s">
        <v>93</v>
      </c>
      <c r="D264" s="172" t="s">
        <v>24</v>
      </c>
      <c r="E264" s="172" t="s">
        <v>53</v>
      </c>
      <c r="F264" s="172" t="s">
        <v>91</v>
      </c>
      <c r="G264" s="172" t="s">
        <v>85</v>
      </c>
      <c r="H264" s="177">
        <v>1</v>
      </c>
      <c r="I264" s="178">
        <v>1621</v>
      </c>
      <c r="J264" s="176">
        <v>46011</v>
      </c>
      <c r="K264" s="172" t="s">
        <v>94</v>
      </c>
      <c r="L264" s="172" t="s">
        <v>95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717</v>
      </c>
      <c r="B265" s="176">
        <v>46025</v>
      </c>
      <c r="C265" s="172" t="s">
        <v>101</v>
      </c>
      <c r="D265" s="172" t="s">
        <v>102</v>
      </c>
      <c r="E265" s="172" t="s">
        <v>53</v>
      </c>
      <c r="F265" s="172" t="s">
        <v>91</v>
      </c>
      <c r="G265" s="172" t="s">
        <v>85</v>
      </c>
      <c r="H265" s="177">
        <v>1</v>
      </c>
      <c r="I265" s="178">
        <v>1621</v>
      </c>
      <c r="J265" s="176">
        <v>46011</v>
      </c>
      <c r="K265" s="172" t="s">
        <v>94</v>
      </c>
      <c r="L265" s="172" t="s">
        <v>95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717</v>
      </c>
      <c r="B266" s="176">
        <v>46025</v>
      </c>
      <c r="C266" s="172" t="s">
        <v>101</v>
      </c>
      <c r="D266" s="172" t="s">
        <v>103</v>
      </c>
      <c r="E266" s="172" t="s">
        <v>53</v>
      </c>
      <c r="F266" s="172" t="s">
        <v>91</v>
      </c>
      <c r="G266" s="172" t="s">
        <v>85</v>
      </c>
      <c r="H266" s="177">
        <v>1</v>
      </c>
      <c r="I266" s="178">
        <v>1621</v>
      </c>
      <c r="J266" s="176">
        <v>46011</v>
      </c>
      <c r="K266" s="172" t="s">
        <v>94</v>
      </c>
      <c r="L266" s="172" t="s">
        <v>95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717</v>
      </c>
      <c r="B267" s="176">
        <v>46025</v>
      </c>
      <c r="C267" s="172" t="s">
        <v>101</v>
      </c>
      <c r="D267" s="172" t="s">
        <v>104</v>
      </c>
      <c r="E267" s="172" t="s">
        <v>53</v>
      </c>
      <c r="F267" s="172" t="s">
        <v>91</v>
      </c>
      <c r="G267" s="172" t="s">
        <v>85</v>
      </c>
      <c r="H267" s="177">
        <v>1</v>
      </c>
      <c r="I267" s="178">
        <v>1621</v>
      </c>
      <c r="J267" s="176">
        <v>46011</v>
      </c>
      <c r="K267" s="172" t="s">
        <v>94</v>
      </c>
      <c r="L267" s="172" t="s">
        <v>95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717</v>
      </c>
      <c r="B268" s="176">
        <v>46025</v>
      </c>
      <c r="C268" s="172" t="s">
        <v>105</v>
      </c>
      <c r="D268" s="172" t="s">
        <v>106</v>
      </c>
      <c r="E268" s="172" t="s">
        <v>53</v>
      </c>
      <c r="F268" s="172" t="s">
        <v>91</v>
      </c>
      <c r="G268" s="172" t="s">
        <v>85</v>
      </c>
      <c r="H268" s="177">
        <v>1</v>
      </c>
      <c r="I268" s="178">
        <v>1621</v>
      </c>
      <c r="J268" s="176">
        <v>46011</v>
      </c>
      <c r="K268" s="172" t="s">
        <v>94</v>
      </c>
      <c r="L268" s="172" t="s">
        <v>95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717</v>
      </c>
      <c r="B269" s="176">
        <v>46025</v>
      </c>
      <c r="C269" s="172" t="s">
        <v>82</v>
      </c>
      <c r="D269" s="172" t="s">
        <v>96</v>
      </c>
      <c r="E269" s="172" t="s">
        <v>53</v>
      </c>
      <c r="F269" s="172" t="s">
        <v>91</v>
      </c>
      <c r="G269" s="172" t="s">
        <v>85</v>
      </c>
      <c r="H269" s="177">
        <v>1</v>
      </c>
      <c r="I269" s="178">
        <v>1621</v>
      </c>
      <c r="J269" s="176">
        <v>46011</v>
      </c>
      <c r="K269" s="172" t="s">
        <v>94</v>
      </c>
      <c r="L269" s="172" t="s">
        <v>95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718</v>
      </c>
      <c r="B270" s="176">
        <v>46025</v>
      </c>
      <c r="C270" s="172" t="s">
        <v>93</v>
      </c>
      <c r="D270" s="172" t="s">
        <v>24</v>
      </c>
      <c r="E270" s="172" t="s">
        <v>54</v>
      </c>
      <c r="F270" s="172" t="s">
        <v>121</v>
      </c>
      <c r="G270" s="172" t="s">
        <v>85</v>
      </c>
      <c r="H270" s="177">
        <v>1</v>
      </c>
      <c r="I270" s="178">
        <v>0</v>
      </c>
      <c r="J270" s="176">
        <v>46016</v>
      </c>
      <c r="K270" s="172" t="s">
        <v>94</v>
      </c>
      <c r="L270" s="172" t="s">
        <v>95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718</v>
      </c>
      <c r="B271" s="176">
        <v>46025</v>
      </c>
      <c r="C271" s="172" t="s">
        <v>82</v>
      </c>
      <c r="D271" s="172" t="s">
        <v>96</v>
      </c>
      <c r="E271" s="172" t="s">
        <v>54</v>
      </c>
      <c r="F271" s="172" t="s">
        <v>121</v>
      </c>
      <c r="G271" s="172" t="s">
        <v>85</v>
      </c>
      <c r="H271" s="177">
        <v>1</v>
      </c>
      <c r="I271" s="178">
        <v>0</v>
      </c>
      <c r="J271" s="176">
        <v>46016</v>
      </c>
      <c r="K271" s="172" t="s">
        <v>94</v>
      </c>
      <c r="L271" s="172" t="s">
        <v>95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718</v>
      </c>
      <c r="B272" s="176">
        <v>46025</v>
      </c>
      <c r="C272" s="172" t="s">
        <v>93</v>
      </c>
      <c r="D272" s="172" t="s">
        <v>97</v>
      </c>
      <c r="E272" s="172" t="s">
        <v>54</v>
      </c>
      <c r="F272" s="172" t="s">
        <v>121</v>
      </c>
      <c r="G272" s="172" t="s">
        <v>85</v>
      </c>
      <c r="H272" s="177">
        <v>1</v>
      </c>
      <c r="I272" s="178">
        <v>0</v>
      </c>
      <c r="J272" s="176">
        <v>46016</v>
      </c>
      <c r="K272" s="172" t="s">
        <v>94</v>
      </c>
      <c r="L272" s="172" t="s">
        <v>95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718</v>
      </c>
      <c r="B273" s="176">
        <v>46025</v>
      </c>
      <c r="C273" s="172" t="s">
        <v>93</v>
      </c>
      <c r="D273" s="172" t="s">
        <v>98</v>
      </c>
      <c r="E273" s="172" t="s">
        <v>54</v>
      </c>
      <c r="F273" s="172" t="s">
        <v>121</v>
      </c>
      <c r="G273" s="172" t="s">
        <v>85</v>
      </c>
      <c r="H273" s="177">
        <v>1</v>
      </c>
      <c r="I273" s="178">
        <v>0</v>
      </c>
      <c r="J273" s="176">
        <v>46016</v>
      </c>
      <c r="K273" s="172" t="s">
        <v>94</v>
      </c>
      <c r="L273" s="172" t="s">
        <v>95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718</v>
      </c>
      <c r="B274" s="176">
        <v>46025</v>
      </c>
      <c r="C274" s="172" t="s">
        <v>82</v>
      </c>
      <c r="D274" s="172" t="s">
        <v>99</v>
      </c>
      <c r="E274" s="172" t="s">
        <v>54</v>
      </c>
      <c r="F274" s="172" t="s">
        <v>121</v>
      </c>
      <c r="G274" s="172" t="s">
        <v>85</v>
      </c>
      <c r="H274" s="177">
        <v>1</v>
      </c>
      <c r="I274" s="178">
        <v>0</v>
      </c>
      <c r="J274" s="176">
        <v>46016</v>
      </c>
      <c r="K274" s="172" t="s">
        <v>94</v>
      </c>
      <c r="L274" s="172" t="s">
        <v>95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719</v>
      </c>
      <c r="B275" s="176">
        <v>46025</v>
      </c>
      <c r="C275" s="172" t="s">
        <v>93</v>
      </c>
      <c r="D275" s="172" t="s">
        <v>24</v>
      </c>
      <c r="E275" s="172" t="s">
        <v>54</v>
      </c>
      <c r="F275" s="172" t="s">
        <v>121</v>
      </c>
      <c r="G275" s="172" t="s">
        <v>85</v>
      </c>
      <c r="H275" s="177">
        <v>1</v>
      </c>
      <c r="I275" s="178">
        <v>1845</v>
      </c>
      <c r="J275" s="176">
        <v>46023</v>
      </c>
      <c r="K275" s="172" t="s">
        <v>94</v>
      </c>
      <c r="L275" s="172" t="s">
        <v>95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719</v>
      </c>
      <c r="B276" s="176">
        <v>46025</v>
      </c>
      <c r="C276" s="172" t="s">
        <v>101</v>
      </c>
      <c r="D276" s="172" t="s">
        <v>102</v>
      </c>
      <c r="E276" s="172" t="s">
        <v>54</v>
      </c>
      <c r="F276" s="172" t="s">
        <v>121</v>
      </c>
      <c r="G276" s="172" t="s">
        <v>85</v>
      </c>
      <c r="H276" s="177">
        <v>1</v>
      </c>
      <c r="I276" s="178">
        <v>1845</v>
      </c>
      <c r="J276" s="176">
        <v>46023</v>
      </c>
      <c r="K276" s="172" t="s">
        <v>94</v>
      </c>
      <c r="L276" s="172" t="s">
        <v>95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719</v>
      </c>
      <c r="B277" s="176">
        <v>46025</v>
      </c>
      <c r="C277" s="172" t="s">
        <v>101</v>
      </c>
      <c r="D277" s="172" t="s">
        <v>103</v>
      </c>
      <c r="E277" s="172" t="s">
        <v>54</v>
      </c>
      <c r="F277" s="172" t="s">
        <v>121</v>
      </c>
      <c r="G277" s="172" t="s">
        <v>85</v>
      </c>
      <c r="H277" s="177">
        <v>1</v>
      </c>
      <c r="I277" s="178">
        <v>1845</v>
      </c>
      <c r="J277" s="176">
        <v>46023</v>
      </c>
      <c r="K277" s="172" t="s">
        <v>94</v>
      </c>
      <c r="L277" s="172" t="s">
        <v>95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719</v>
      </c>
      <c r="B278" s="176">
        <v>46025</v>
      </c>
      <c r="C278" s="172" t="s">
        <v>101</v>
      </c>
      <c r="D278" s="172" t="s">
        <v>104</v>
      </c>
      <c r="E278" s="172" t="s">
        <v>54</v>
      </c>
      <c r="F278" s="172" t="s">
        <v>121</v>
      </c>
      <c r="G278" s="172" t="s">
        <v>85</v>
      </c>
      <c r="H278" s="177">
        <v>1</v>
      </c>
      <c r="I278" s="178">
        <v>1845</v>
      </c>
      <c r="J278" s="176">
        <v>46023</v>
      </c>
      <c r="K278" s="172" t="s">
        <v>94</v>
      </c>
      <c r="L278" s="172" t="s">
        <v>95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719</v>
      </c>
      <c r="B279" s="176">
        <v>46025</v>
      </c>
      <c r="C279" s="172" t="s">
        <v>105</v>
      </c>
      <c r="D279" s="172" t="s">
        <v>106</v>
      </c>
      <c r="E279" s="172" t="s">
        <v>54</v>
      </c>
      <c r="F279" s="172" t="s">
        <v>121</v>
      </c>
      <c r="G279" s="172" t="s">
        <v>85</v>
      </c>
      <c r="H279" s="177">
        <v>1</v>
      </c>
      <c r="I279" s="178">
        <v>1845</v>
      </c>
      <c r="J279" s="176">
        <v>46023</v>
      </c>
      <c r="K279" s="172" t="s">
        <v>94</v>
      </c>
      <c r="L279" s="172" t="s">
        <v>95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719</v>
      </c>
      <c r="B280" s="176">
        <v>46025</v>
      </c>
      <c r="C280" s="172" t="s">
        <v>82</v>
      </c>
      <c r="D280" s="172" t="s">
        <v>96</v>
      </c>
      <c r="E280" s="172" t="s">
        <v>54</v>
      </c>
      <c r="F280" s="172" t="s">
        <v>121</v>
      </c>
      <c r="G280" s="172" t="s">
        <v>85</v>
      </c>
      <c r="H280" s="177">
        <v>1</v>
      </c>
      <c r="I280" s="178">
        <v>1845</v>
      </c>
      <c r="J280" s="176">
        <v>46023</v>
      </c>
      <c r="K280" s="172" t="s">
        <v>94</v>
      </c>
      <c r="L280" s="172" t="s">
        <v>95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720</v>
      </c>
      <c r="B281" s="176">
        <v>46025</v>
      </c>
      <c r="C281" s="172" t="s">
        <v>93</v>
      </c>
      <c r="D281" s="172" t="s">
        <v>24</v>
      </c>
      <c r="E281" s="172" t="s">
        <v>53</v>
      </c>
      <c r="F281" s="172" t="s">
        <v>91</v>
      </c>
      <c r="G281" s="172" t="s">
        <v>85</v>
      </c>
      <c r="H281" s="177">
        <v>1</v>
      </c>
      <c r="I281" s="178">
        <v>1621</v>
      </c>
      <c r="J281" s="176">
        <v>46023</v>
      </c>
      <c r="K281" s="172" t="s">
        <v>94</v>
      </c>
      <c r="L281" s="172" t="s">
        <v>95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720</v>
      </c>
      <c r="B282" s="176">
        <v>46025</v>
      </c>
      <c r="C282" s="172" t="s">
        <v>101</v>
      </c>
      <c r="D282" s="172" t="s">
        <v>102</v>
      </c>
      <c r="E282" s="172" t="s">
        <v>53</v>
      </c>
      <c r="F282" s="172" t="s">
        <v>91</v>
      </c>
      <c r="G282" s="172" t="s">
        <v>85</v>
      </c>
      <c r="H282" s="177">
        <v>1</v>
      </c>
      <c r="I282" s="178">
        <v>1621</v>
      </c>
      <c r="J282" s="176">
        <v>46023</v>
      </c>
      <c r="K282" s="172" t="s">
        <v>94</v>
      </c>
      <c r="L282" s="172" t="s">
        <v>95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720</v>
      </c>
      <c r="B283" s="176">
        <v>46025</v>
      </c>
      <c r="C283" s="172" t="s">
        <v>101</v>
      </c>
      <c r="D283" s="172" t="s">
        <v>103</v>
      </c>
      <c r="E283" s="172" t="s">
        <v>53</v>
      </c>
      <c r="F283" s="172" t="s">
        <v>91</v>
      </c>
      <c r="G283" s="172" t="s">
        <v>85</v>
      </c>
      <c r="H283" s="177">
        <v>1</v>
      </c>
      <c r="I283" s="178">
        <v>1621</v>
      </c>
      <c r="J283" s="176">
        <v>46023</v>
      </c>
      <c r="K283" s="172" t="s">
        <v>94</v>
      </c>
      <c r="L283" s="172" t="s">
        <v>95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720</v>
      </c>
      <c r="B284" s="176">
        <v>46025</v>
      </c>
      <c r="C284" s="172" t="s">
        <v>101</v>
      </c>
      <c r="D284" s="172" t="s">
        <v>104</v>
      </c>
      <c r="E284" s="172" t="s">
        <v>53</v>
      </c>
      <c r="F284" s="172" t="s">
        <v>91</v>
      </c>
      <c r="G284" s="172" t="s">
        <v>85</v>
      </c>
      <c r="H284" s="177">
        <v>1</v>
      </c>
      <c r="I284" s="178">
        <v>1621</v>
      </c>
      <c r="J284" s="176">
        <v>46023</v>
      </c>
      <c r="K284" s="172" t="s">
        <v>94</v>
      </c>
      <c r="L284" s="172" t="s">
        <v>95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720</v>
      </c>
      <c r="B285" s="176">
        <v>46025</v>
      </c>
      <c r="C285" s="172" t="s">
        <v>105</v>
      </c>
      <c r="D285" s="172" t="s">
        <v>106</v>
      </c>
      <c r="E285" s="172" t="s">
        <v>53</v>
      </c>
      <c r="F285" s="172" t="s">
        <v>91</v>
      </c>
      <c r="G285" s="172" t="s">
        <v>85</v>
      </c>
      <c r="H285" s="177">
        <v>1</v>
      </c>
      <c r="I285" s="178">
        <v>1621</v>
      </c>
      <c r="J285" s="176">
        <v>46023</v>
      </c>
      <c r="K285" s="172" t="s">
        <v>94</v>
      </c>
      <c r="L285" s="172" t="s">
        <v>95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720</v>
      </c>
      <c r="B286" s="176">
        <v>46025</v>
      </c>
      <c r="C286" s="172" t="s">
        <v>82</v>
      </c>
      <c r="D286" s="172" t="s">
        <v>96</v>
      </c>
      <c r="E286" s="172" t="s">
        <v>53</v>
      </c>
      <c r="F286" s="172" t="s">
        <v>91</v>
      </c>
      <c r="G286" s="172" t="s">
        <v>85</v>
      </c>
      <c r="H286" s="177">
        <v>1</v>
      </c>
      <c r="I286" s="178">
        <v>1621</v>
      </c>
      <c r="J286" s="176">
        <v>46023</v>
      </c>
      <c r="K286" s="172" t="s">
        <v>94</v>
      </c>
      <c r="L286" s="172" t="s">
        <v>95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721</v>
      </c>
      <c r="B287" s="176">
        <v>46025</v>
      </c>
      <c r="C287" s="172" t="s">
        <v>82</v>
      </c>
      <c r="D287" s="172" t="s">
        <v>83</v>
      </c>
      <c r="E287" s="172" t="s">
        <v>54</v>
      </c>
      <c r="F287" s="172" t="s">
        <v>121</v>
      </c>
      <c r="G287" s="172" t="s">
        <v>85</v>
      </c>
      <c r="H287" s="177">
        <v>1</v>
      </c>
      <c r="I287" s="178">
        <v>0</v>
      </c>
      <c r="J287" s="176">
        <v>46025</v>
      </c>
      <c r="K287" s="172" t="s">
        <v>86</v>
      </c>
      <c r="L287" s="172" t="s">
        <v>86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722</v>
      </c>
      <c r="B288" s="176">
        <v>46025</v>
      </c>
      <c r="C288" s="172" t="s">
        <v>82</v>
      </c>
      <c r="D288" s="172" t="s">
        <v>83</v>
      </c>
      <c r="E288" s="172" t="s">
        <v>54</v>
      </c>
      <c r="F288" s="172" t="s">
        <v>121</v>
      </c>
      <c r="G288" s="172" t="s">
        <v>85</v>
      </c>
      <c r="H288" s="177">
        <v>1</v>
      </c>
      <c r="I288" s="178">
        <v>0</v>
      </c>
      <c r="J288" s="176">
        <v>46025</v>
      </c>
      <c r="K288" s="172" t="s">
        <v>86</v>
      </c>
      <c r="L288" s="172" t="s">
        <v>86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250</v>
      </c>
      <c r="B289" s="176">
        <v>46025</v>
      </c>
      <c r="C289" s="172" t="s">
        <v>82</v>
      </c>
      <c r="D289" s="172" t="s">
        <v>83</v>
      </c>
      <c r="E289" s="172" t="s">
        <v>44</v>
      </c>
      <c r="F289" s="172" t="s">
        <v>126</v>
      </c>
      <c r="G289" s="172" t="s">
        <v>85</v>
      </c>
      <c r="H289" s="177">
        <v>1</v>
      </c>
      <c r="I289" s="178">
        <v>0</v>
      </c>
      <c r="J289" s="176">
        <v>46025</v>
      </c>
      <c r="K289" s="172" t="s">
        <v>86</v>
      </c>
      <c r="L289" s="172" t="s">
        <v>86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723</v>
      </c>
      <c r="B290" s="176">
        <v>46025</v>
      </c>
      <c r="C290" s="172" t="s">
        <v>82</v>
      </c>
      <c r="D290" s="172" t="s">
        <v>83</v>
      </c>
      <c r="E290" s="172" t="s">
        <v>44</v>
      </c>
      <c r="F290" s="172" t="s">
        <v>126</v>
      </c>
      <c r="G290" s="172" t="s">
        <v>85</v>
      </c>
      <c r="H290" s="177">
        <v>1</v>
      </c>
      <c r="I290" s="178">
        <v>0</v>
      </c>
      <c r="J290" s="176">
        <v>46025</v>
      </c>
      <c r="K290" s="172" t="s">
        <v>86</v>
      </c>
      <c r="L290" s="172" t="s">
        <v>86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724</v>
      </c>
      <c r="B291" s="176">
        <v>46025</v>
      </c>
      <c r="C291" s="172" t="s">
        <v>82</v>
      </c>
      <c r="D291" s="172" t="s">
        <v>83</v>
      </c>
      <c r="E291" s="172" t="s">
        <v>53</v>
      </c>
      <c r="F291" s="172" t="s">
        <v>91</v>
      </c>
      <c r="G291" s="172" t="s">
        <v>85</v>
      </c>
      <c r="H291" s="177">
        <v>1</v>
      </c>
      <c r="I291" s="178">
        <v>0</v>
      </c>
      <c r="J291" s="176">
        <v>46025</v>
      </c>
      <c r="K291" s="172" t="s">
        <v>86</v>
      </c>
      <c r="L291" s="172" t="s">
        <v>86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143</v>
      </c>
      <c r="B292" s="176">
        <v>46025</v>
      </c>
      <c r="C292" s="172" t="s">
        <v>110</v>
      </c>
      <c r="D292" s="172" t="s">
        <v>144</v>
      </c>
      <c r="E292" s="172" t="s">
        <v>86</v>
      </c>
      <c r="F292" s="172" t="s">
        <v>86</v>
      </c>
      <c r="G292" s="172" t="s">
        <v>86</v>
      </c>
      <c r="H292" s="177">
        <v>0</v>
      </c>
      <c r="I292" s="178">
        <v>0</v>
      </c>
      <c r="J292" s="176">
        <v>46025</v>
      </c>
      <c r="K292" s="172" t="s">
        <v>86</v>
      </c>
      <c r="L292" s="172" t="s">
        <v>86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145</v>
      </c>
      <c r="B293" s="176">
        <v>46025</v>
      </c>
      <c r="C293" s="172" t="s">
        <v>110</v>
      </c>
      <c r="D293" s="172" t="s">
        <v>140</v>
      </c>
      <c r="E293" s="172" t="s">
        <v>86</v>
      </c>
      <c r="F293" s="172" t="s">
        <v>86</v>
      </c>
      <c r="G293" s="172" t="s">
        <v>86</v>
      </c>
      <c r="H293" s="177">
        <v>0</v>
      </c>
      <c r="I293" s="178">
        <v>0</v>
      </c>
      <c r="J293" s="176">
        <v>46025</v>
      </c>
      <c r="K293" s="172" t="s">
        <v>86</v>
      </c>
      <c r="L293" s="172" t="s">
        <v>86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139</v>
      </c>
      <c r="B294" s="176">
        <v>46025</v>
      </c>
      <c r="C294" s="172" t="s">
        <v>110</v>
      </c>
      <c r="D294" s="172" t="s">
        <v>140</v>
      </c>
      <c r="E294" s="172" t="s">
        <v>86</v>
      </c>
      <c r="F294" s="172" t="s">
        <v>86</v>
      </c>
      <c r="G294" s="172" t="s">
        <v>86</v>
      </c>
      <c r="H294" s="177">
        <v>0</v>
      </c>
      <c r="I294" s="178">
        <v>0</v>
      </c>
      <c r="J294" s="176">
        <v>46025</v>
      </c>
      <c r="K294" s="172" t="s">
        <v>86</v>
      </c>
      <c r="L294" s="172" t="s">
        <v>86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414</v>
      </c>
      <c r="B295" s="176">
        <v>46025</v>
      </c>
      <c r="C295" s="172" t="s">
        <v>110</v>
      </c>
      <c r="D295" s="172" t="s">
        <v>140</v>
      </c>
      <c r="E295" s="172" t="s">
        <v>86</v>
      </c>
      <c r="F295" s="172" t="s">
        <v>86</v>
      </c>
      <c r="G295" s="172" t="s">
        <v>86</v>
      </c>
      <c r="H295" s="177">
        <v>0</v>
      </c>
      <c r="I295" s="178">
        <v>0</v>
      </c>
      <c r="J295" s="176">
        <v>46025</v>
      </c>
      <c r="K295" s="172" t="s">
        <v>86</v>
      </c>
      <c r="L295" s="172" t="s">
        <v>86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725</v>
      </c>
      <c r="B296" s="176">
        <v>46026</v>
      </c>
      <c r="C296" s="172" t="s">
        <v>93</v>
      </c>
      <c r="D296" s="172" t="s">
        <v>24</v>
      </c>
      <c r="E296" s="172" t="s">
        <v>54</v>
      </c>
      <c r="F296" s="172" t="s">
        <v>121</v>
      </c>
      <c r="G296" s="172" t="s">
        <v>85</v>
      </c>
      <c r="H296" s="177">
        <v>1</v>
      </c>
      <c r="I296" s="178">
        <v>0</v>
      </c>
      <c r="J296" s="176">
        <v>46006</v>
      </c>
      <c r="K296" s="172" t="s">
        <v>94</v>
      </c>
      <c r="L296" s="172" t="s">
        <v>95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725</v>
      </c>
      <c r="B297" s="176">
        <v>46026</v>
      </c>
      <c r="C297" s="172" t="s">
        <v>82</v>
      </c>
      <c r="D297" s="172" t="s">
        <v>96</v>
      </c>
      <c r="E297" s="172" t="s">
        <v>54</v>
      </c>
      <c r="F297" s="172" t="s">
        <v>121</v>
      </c>
      <c r="G297" s="172" t="s">
        <v>85</v>
      </c>
      <c r="H297" s="177">
        <v>1</v>
      </c>
      <c r="I297" s="178">
        <v>0</v>
      </c>
      <c r="J297" s="176">
        <v>46006</v>
      </c>
      <c r="K297" s="172" t="s">
        <v>94</v>
      </c>
      <c r="L297" s="172" t="s">
        <v>95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725</v>
      </c>
      <c r="B298" s="176">
        <v>46026</v>
      </c>
      <c r="C298" s="172" t="s">
        <v>93</v>
      </c>
      <c r="D298" s="172" t="s">
        <v>97</v>
      </c>
      <c r="E298" s="172" t="s">
        <v>54</v>
      </c>
      <c r="F298" s="172" t="s">
        <v>121</v>
      </c>
      <c r="G298" s="172" t="s">
        <v>85</v>
      </c>
      <c r="H298" s="177">
        <v>1</v>
      </c>
      <c r="I298" s="178">
        <v>0</v>
      </c>
      <c r="J298" s="176">
        <v>46006</v>
      </c>
      <c r="K298" s="172" t="s">
        <v>94</v>
      </c>
      <c r="L298" s="172" t="s">
        <v>95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725</v>
      </c>
      <c r="B299" s="176">
        <v>46026</v>
      </c>
      <c r="C299" s="172" t="s">
        <v>93</v>
      </c>
      <c r="D299" s="172" t="s">
        <v>98</v>
      </c>
      <c r="E299" s="172" t="s">
        <v>54</v>
      </c>
      <c r="F299" s="172" t="s">
        <v>121</v>
      </c>
      <c r="G299" s="172" t="s">
        <v>85</v>
      </c>
      <c r="H299" s="177">
        <v>1</v>
      </c>
      <c r="I299" s="178">
        <v>0</v>
      </c>
      <c r="J299" s="176">
        <v>46006</v>
      </c>
      <c r="K299" s="172" t="s">
        <v>94</v>
      </c>
      <c r="L299" s="172" t="s">
        <v>95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725</v>
      </c>
      <c r="B300" s="176">
        <v>46026</v>
      </c>
      <c r="C300" s="172" t="s">
        <v>82</v>
      </c>
      <c r="D300" s="172" t="s">
        <v>99</v>
      </c>
      <c r="E300" s="172" t="s">
        <v>54</v>
      </c>
      <c r="F300" s="172" t="s">
        <v>121</v>
      </c>
      <c r="G300" s="172" t="s">
        <v>85</v>
      </c>
      <c r="H300" s="177">
        <v>1</v>
      </c>
      <c r="I300" s="178">
        <v>0</v>
      </c>
      <c r="J300" s="176">
        <v>46006</v>
      </c>
      <c r="K300" s="172" t="s">
        <v>94</v>
      </c>
      <c r="L300" s="172" t="s">
        <v>95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726</v>
      </c>
      <c r="B301" s="176">
        <v>46026</v>
      </c>
      <c r="C301" s="172" t="s">
        <v>82</v>
      </c>
      <c r="D301" s="172" t="s">
        <v>83</v>
      </c>
      <c r="E301" s="172" t="s">
        <v>42</v>
      </c>
      <c r="F301" s="172" t="s">
        <v>84</v>
      </c>
      <c r="G301" s="172" t="s">
        <v>85</v>
      </c>
      <c r="H301" s="177">
        <v>1</v>
      </c>
      <c r="I301" s="178">
        <v>0</v>
      </c>
      <c r="J301" s="176">
        <v>46026</v>
      </c>
      <c r="K301" s="172" t="s">
        <v>86</v>
      </c>
      <c r="L301" s="172" t="s">
        <v>86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727</v>
      </c>
      <c r="B302" s="176">
        <v>46026</v>
      </c>
      <c r="C302" s="172" t="s">
        <v>93</v>
      </c>
      <c r="D302" s="172" t="s">
        <v>24</v>
      </c>
      <c r="E302" s="172" t="s">
        <v>43</v>
      </c>
      <c r="F302" s="172" t="s">
        <v>90</v>
      </c>
      <c r="G302" s="172" t="s">
        <v>85</v>
      </c>
      <c r="H302" s="177">
        <v>1</v>
      </c>
      <c r="I302" s="178">
        <v>0</v>
      </c>
      <c r="J302" s="176">
        <v>46012</v>
      </c>
      <c r="K302" s="172" t="s">
        <v>94</v>
      </c>
      <c r="L302" s="172" t="s">
        <v>95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727</v>
      </c>
      <c r="B303" s="176">
        <v>46026</v>
      </c>
      <c r="C303" s="172" t="s">
        <v>93</v>
      </c>
      <c r="D303" s="172" t="s">
        <v>97</v>
      </c>
      <c r="E303" s="172" t="s">
        <v>43</v>
      </c>
      <c r="F303" s="172" t="s">
        <v>90</v>
      </c>
      <c r="G303" s="172" t="s">
        <v>85</v>
      </c>
      <c r="H303" s="177">
        <v>1</v>
      </c>
      <c r="I303" s="178">
        <v>0</v>
      </c>
      <c r="J303" s="176">
        <v>46012</v>
      </c>
      <c r="K303" s="172" t="s">
        <v>94</v>
      </c>
      <c r="L303" s="172" t="s">
        <v>95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727</v>
      </c>
      <c r="B304" s="176">
        <v>46026</v>
      </c>
      <c r="C304" s="172" t="s">
        <v>93</v>
      </c>
      <c r="D304" s="172" t="s">
        <v>98</v>
      </c>
      <c r="E304" s="172" t="s">
        <v>43</v>
      </c>
      <c r="F304" s="172" t="s">
        <v>90</v>
      </c>
      <c r="G304" s="172" t="s">
        <v>85</v>
      </c>
      <c r="H304" s="177">
        <v>1</v>
      </c>
      <c r="I304" s="178">
        <v>0</v>
      </c>
      <c r="J304" s="176">
        <v>46012</v>
      </c>
      <c r="K304" s="172" t="s">
        <v>94</v>
      </c>
      <c r="L304" s="172" t="s">
        <v>95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727</v>
      </c>
      <c r="B305" s="176">
        <v>46026</v>
      </c>
      <c r="C305" s="172" t="s">
        <v>82</v>
      </c>
      <c r="D305" s="172" t="s">
        <v>99</v>
      </c>
      <c r="E305" s="172" t="s">
        <v>43</v>
      </c>
      <c r="F305" s="172" t="s">
        <v>90</v>
      </c>
      <c r="G305" s="172" t="s">
        <v>85</v>
      </c>
      <c r="H305" s="177">
        <v>1</v>
      </c>
      <c r="I305" s="178">
        <v>0</v>
      </c>
      <c r="J305" s="176">
        <v>46012</v>
      </c>
      <c r="K305" s="172" t="s">
        <v>94</v>
      </c>
      <c r="L305" s="172" t="s">
        <v>95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728</v>
      </c>
      <c r="B306" s="176">
        <v>46026</v>
      </c>
      <c r="C306" s="172" t="s">
        <v>93</v>
      </c>
      <c r="D306" s="172" t="s">
        <v>24</v>
      </c>
      <c r="E306" s="172" t="s">
        <v>54</v>
      </c>
      <c r="F306" s="172" t="s">
        <v>121</v>
      </c>
      <c r="G306" s="172" t="s">
        <v>85</v>
      </c>
      <c r="H306" s="177">
        <v>1</v>
      </c>
      <c r="I306" s="178">
        <v>1621</v>
      </c>
      <c r="J306" s="176">
        <v>46018</v>
      </c>
      <c r="K306" s="172" t="s">
        <v>94</v>
      </c>
      <c r="L306" s="172" t="s">
        <v>95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728</v>
      </c>
      <c r="B307" s="176">
        <v>46026</v>
      </c>
      <c r="C307" s="172" t="s">
        <v>101</v>
      </c>
      <c r="D307" s="172" t="s">
        <v>102</v>
      </c>
      <c r="E307" s="172" t="s">
        <v>54</v>
      </c>
      <c r="F307" s="172" t="s">
        <v>121</v>
      </c>
      <c r="G307" s="172" t="s">
        <v>85</v>
      </c>
      <c r="H307" s="177">
        <v>1</v>
      </c>
      <c r="I307" s="178">
        <v>1621</v>
      </c>
      <c r="J307" s="176">
        <v>46018</v>
      </c>
      <c r="K307" s="172" t="s">
        <v>94</v>
      </c>
      <c r="L307" s="172" t="s">
        <v>95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728</v>
      </c>
      <c r="B308" s="176">
        <v>46026</v>
      </c>
      <c r="C308" s="172" t="s">
        <v>101</v>
      </c>
      <c r="D308" s="172" t="s">
        <v>103</v>
      </c>
      <c r="E308" s="172" t="s">
        <v>54</v>
      </c>
      <c r="F308" s="172" t="s">
        <v>121</v>
      </c>
      <c r="G308" s="172" t="s">
        <v>85</v>
      </c>
      <c r="H308" s="177">
        <v>1</v>
      </c>
      <c r="I308" s="178">
        <v>1621</v>
      </c>
      <c r="J308" s="176">
        <v>46018</v>
      </c>
      <c r="K308" s="172" t="s">
        <v>94</v>
      </c>
      <c r="L308" s="172" t="s">
        <v>95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728</v>
      </c>
      <c r="B309" s="176">
        <v>46026</v>
      </c>
      <c r="C309" s="172" t="s">
        <v>101</v>
      </c>
      <c r="D309" s="172" t="s">
        <v>104</v>
      </c>
      <c r="E309" s="172" t="s">
        <v>54</v>
      </c>
      <c r="F309" s="172" t="s">
        <v>121</v>
      </c>
      <c r="G309" s="172" t="s">
        <v>85</v>
      </c>
      <c r="H309" s="177">
        <v>1</v>
      </c>
      <c r="I309" s="178">
        <v>1621</v>
      </c>
      <c r="J309" s="176">
        <v>46018</v>
      </c>
      <c r="K309" s="172" t="s">
        <v>94</v>
      </c>
      <c r="L309" s="172" t="s">
        <v>95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728</v>
      </c>
      <c r="B310" s="176">
        <v>46026</v>
      </c>
      <c r="C310" s="172" t="s">
        <v>105</v>
      </c>
      <c r="D310" s="172" t="s">
        <v>106</v>
      </c>
      <c r="E310" s="172" t="s">
        <v>54</v>
      </c>
      <c r="F310" s="172" t="s">
        <v>121</v>
      </c>
      <c r="G310" s="172" t="s">
        <v>85</v>
      </c>
      <c r="H310" s="177">
        <v>1</v>
      </c>
      <c r="I310" s="178">
        <v>1621</v>
      </c>
      <c r="J310" s="176">
        <v>46018</v>
      </c>
      <c r="K310" s="172" t="s">
        <v>94</v>
      </c>
      <c r="L310" s="172" t="s">
        <v>95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728</v>
      </c>
      <c r="B311" s="176">
        <v>46026</v>
      </c>
      <c r="C311" s="172" t="s">
        <v>82</v>
      </c>
      <c r="D311" s="172" t="s">
        <v>96</v>
      </c>
      <c r="E311" s="172" t="s">
        <v>54</v>
      </c>
      <c r="F311" s="172" t="s">
        <v>121</v>
      </c>
      <c r="G311" s="172" t="s">
        <v>85</v>
      </c>
      <c r="H311" s="177">
        <v>1</v>
      </c>
      <c r="I311" s="178">
        <v>1621</v>
      </c>
      <c r="J311" s="176">
        <v>46018</v>
      </c>
      <c r="K311" s="172" t="s">
        <v>94</v>
      </c>
      <c r="L311" s="172" t="s">
        <v>95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729</v>
      </c>
      <c r="B312" s="176">
        <v>46026</v>
      </c>
      <c r="C312" s="172" t="s">
        <v>93</v>
      </c>
      <c r="D312" s="172" t="s">
        <v>24</v>
      </c>
      <c r="E312" s="172" t="s">
        <v>54</v>
      </c>
      <c r="F312" s="172" t="s">
        <v>121</v>
      </c>
      <c r="G312" s="172" t="s">
        <v>85</v>
      </c>
      <c r="H312" s="177">
        <v>1</v>
      </c>
      <c r="I312" s="178">
        <v>0</v>
      </c>
      <c r="J312" s="176">
        <v>46015</v>
      </c>
      <c r="K312" s="172" t="s">
        <v>94</v>
      </c>
      <c r="L312" s="172" t="s">
        <v>95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729</v>
      </c>
      <c r="B313" s="176">
        <v>46026</v>
      </c>
      <c r="C313" s="172" t="s">
        <v>82</v>
      </c>
      <c r="D313" s="172" t="s">
        <v>96</v>
      </c>
      <c r="E313" s="172" t="s">
        <v>54</v>
      </c>
      <c r="F313" s="172" t="s">
        <v>121</v>
      </c>
      <c r="G313" s="172" t="s">
        <v>85</v>
      </c>
      <c r="H313" s="177">
        <v>1</v>
      </c>
      <c r="I313" s="178">
        <v>0</v>
      </c>
      <c r="J313" s="176">
        <v>46015</v>
      </c>
      <c r="K313" s="172" t="s">
        <v>94</v>
      </c>
      <c r="L313" s="172" t="s">
        <v>95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730</v>
      </c>
      <c r="B314" s="176">
        <v>46026</v>
      </c>
      <c r="C314" s="172" t="s">
        <v>93</v>
      </c>
      <c r="D314" s="172" t="s">
        <v>273</v>
      </c>
      <c r="E314" s="172" t="s">
        <v>54</v>
      </c>
      <c r="F314" s="172" t="s">
        <v>121</v>
      </c>
      <c r="G314" s="172" t="s">
        <v>85</v>
      </c>
      <c r="H314" s="177">
        <v>1</v>
      </c>
      <c r="I314" s="178">
        <v>0</v>
      </c>
      <c r="J314" s="176">
        <v>46014</v>
      </c>
      <c r="K314" s="172" t="s">
        <v>94</v>
      </c>
      <c r="L314" s="172" t="s">
        <v>95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730</v>
      </c>
      <c r="B315" s="176">
        <v>46026</v>
      </c>
      <c r="C315" s="172" t="s">
        <v>93</v>
      </c>
      <c r="D315" s="172" t="s">
        <v>98</v>
      </c>
      <c r="E315" s="172" t="s">
        <v>54</v>
      </c>
      <c r="F315" s="172" t="s">
        <v>121</v>
      </c>
      <c r="G315" s="172" t="s">
        <v>85</v>
      </c>
      <c r="H315" s="177">
        <v>1</v>
      </c>
      <c r="I315" s="178">
        <v>0</v>
      </c>
      <c r="J315" s="176">
        <v>46014</v>
      </c>
      <c r="K315" s="172" t="s">
        <v>94</v>
      </c>
      <c r="L315" s="172" t="s">
        <v>95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730</v>
      </c>
      <c r="B316" s="176">
        <v>46026</v>
      </c>
      <c r="C316" s="172" t="s">
        <v>82</v>
      </c>
      <c r="D316" s="172" t="s">
        <v>99</v>
      </c>
      <c r="E316" s="172" t="s">
        <v>54</v>
      </c>
      <c r="F316" s="172" t="s">
        <v>121</v>
      </c>
      <c r="G316" s="172" t="s">
        <v>85</v>
      </c>
      <c r="H316" s="177">
        <v>1</v>
      </c>
      <c r="I316" s="178">
        <v>0</v>
      </c>
      <c r="J316" s="176">
        <v>46014</v>
      </c>
      <c r="K316" s="172" t="s">
        <v>94</v>
      </c>
      <c r="L316" s="172" t="s">
        <v>95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729</v>
      </c>
      <c r="B317" s="176">
        <v>46026</v>
      </c>
      <c r="C317" s="172" t="s">
        <v>93</v>
      </c>
      <c r="D317" s="172" t="s">
        <v>97</v>
      </c>
      <c r="E317" s="172" t="s">
        <v>54</v>
      </c>
      <c r="F317" s="172" t="s">
        <v>121</v>
      </c>
      <c r="G317" s="172" t="s">
        <v>85</v>
      </c>
      <c r="H317" s="177">
        <v>1</v>
      </c>
      <c r="I317" s="178">
        <v>0</v>
      </c>
      <c r="J317" s="176">
        <v>46015</v>
      </c>
      <c r="K317" s="172" t="s">
        <v>94</v>
      </c>
      <c r="L317" s="172" t="s">
        <v>95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729</v>
      </c>
      <c r="B318" s="176">
        <v>46026</v>
      </c>
      <c r="C318" s="172" t="s">
        <v>93</v>
      </c>
      <c r="D318" s="172" t="s">
        <v>98</v>
      </c>
      <c r="E318" s="172" t="s">
        <v>54</v>
      </c>
      <c r="F318" s="172" t="s">
        <v>121</v>
      </c>
      <c r="G318" s="172" t="s">
        <v>85</v>
      </c>
      <c r="H318" s="177">
        <v>1</v>
      </c>
      <c r="I318" s="178">
        <v>0</v>
      </c>
      <c r="J318" s="176">
        <v>46015</v>
      </c>
      <c r="K318" s="172" t="s">
        <v>94</v>
      </c>
      <c r="L318" s="172" t="s">
        <v>95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729</v>
      </c>
      <c r="B319" s="176">
        <v>46026</v>
      </c>
      <c r="C319" s="172" t="s">
        <v>82</v>
      </c>
      <c r="D319" s="172" t="s">
        <v>99</v>
      </c>
      <c r="E319" s="172" t="s">
        <v>54</v>
      </c>
      <c r="F319" s="172" t="s">
        <v>121</v>
      </c>
      <c r="G319" s="172" t="s">
        <v>85</v>
      </c>
      <c r="H319" s="177">
        <v>1</v>
      </c>
      <c r="I319" s="178">
        <v>0</v>
      </c>
      <c r="J319" s="176">
        <v>46015</v>
      </c>
      <c r="K319" s="172" t="s">
        <v>94</v>
      </c>
      <c r="L319" s="172" t="s">
        <v>95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728</v>
      </c>
      <c r="B320" s="176">
        <v>46026</v>
      </c>
      <c r="C320" s="172" t="s">
        <v>82</v>
      </c>
      <c r="D320" s="172" t="s">
        <v>83</v>
      </c>
      <c r="E320" s="172" t="s">
        <v>54</v>
      </c>
      <c r="F320" s="172" t="s">
        <v>121</v>
      </c>
      <c r="G320" s="172" t="s">
        <v>85</v>
      </c>
      <c r="H320" s="177">
        <v>1</v>
      </c>
      <c r="I320" s="178">
        <v>0</v>
      </c>
      <c r="J320" s="176">
        <v>46018</v>
      </c>
      <c r="K320" s="172" t="s">
        <v>86</v>
      </c>
      <c r="L320" s="172" t="s">
        <v>86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731</v>
      </c>
      <c r="B321" s="176">
        <v>46026</v>
      </c>
      <c r="C321" s="172" t="s">
        <v>82</v>
      </c>
      <c r="D321" s="172" t="s">
        <v>83</v>
      </c>
      <c r="E321" s="172" t="s">
        <v>42</v>
      </c>
      <c r="F321" s="172" t="s">
        <v>84</v>
      </c>
      <c r="G321" s="172" t="s">
        <v>85</v>
      </c>
      <c r="H321" s="177">
        <v>1</v>
      </c>
      <c r="I321" s="178">
        <v>0</v>
      </c>
      <c r="J321" s="176">
        <v>46026</v>
      </c>
      <c r="K321" s="172" t="s">
        <v>86</v>
      </c>
      <c r="L321" s="172" t="s">
        <v>86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732</v>
      </c>
      <c r="B322" s="176">
        <v>46026</v>
      </c>
      <c r="C322" s="172" t="s">
        <v>82</v>
      </c>
      <c r="D322" s="172" t="s">
        <v>83</v>
      </c>
      <c r="E322" s="172" t="s">
        <v>53</v>
      </c>
      <c r="F322" s="172" t="s">
        <v>91</v>
      </c>
      <c r="G322" s="172" t="s">
        <v>85</v>
      </c>
      <c r="H322" s="177">
        <v>1</v>
      </c>
      <c r="I322" s="178">
        <v>0</v>
      </c>
      <c r="J322" s="176">
        <v>46026</v>
      </c>
      <c r="K322" s="172" t="s">
        <v>86</v>
      </c>
      <c r="L322" s="172" t="s">
        <v>86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86</v>
      </c>
      <c r="B323" s="176">
        <v>46026</v>
      </c>
      <c r="C323" s="172" t="s">
        <v>110</v>
      </c>
      <c r="D323" s="172" t="s">
        <v>111</v>
      </c>
      <c r="E323" s="172" t="s">
        <v>86</v>
      </c>
      <c r="F323" s="172" t="s">
        <v>86</v>
      </c>
      <c r="G323" s="172" t="s">
        <v>733</v>
      </c>
      <c r="H323" s="177">
        <v>0</v>
      </c>
      <c r="I323" s="178">
        <v>0</v>
      </c>
      <c r="J323" s="176">
        <v>46026</v>
      </c>
      <c r="K323" s="172" t="s">
        <v>86</v>
      </c>
      <c r="L323" s="172" t="s">
        <v>86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734</v>
      </c>
      <c r="B324" s="176">
        <v>46026</v>
      </c>
      <c r="C324" s="172" t="s">
        <v>82</v>
      </c>
      <c r="D324" s="172" t="s">
        <v>83</v>
      </c>
      <c r="E324" s="172" t="s">
        <v>54</v>
      </c>
      <c r="F324" s="172" t="s">
        <v>121</v>
      </c>
      <c r="G324" s="172" t="s">
        <v>85</v>
      </c>
      <c r="H324" s="177">
        <v>1</v>
      </c>
      <c r="I324" s="178">
        <v>0</v>
      </c>
      <c r="J324" s="176">
        <v>46026</v>
      </c>
      <c r="K324" s="172" t="s">
        <v>86</v>
      </c>
      <c r="L324" s="172" t="s">
        <v>86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735</v>
      </c>
      <c r="B325" s="176">
        <v>46026</v>
      </c>
      <c r="C325" s="172" t="s">
        <v>93</v>
      </c>
      <c r="D325" s="172" t="s">
        <v>24</v>
      </c>
      <c r="E325" s="172" t="s">
        <v>54</v>
      </c>
      <c r="F325" s="172" t="s">
        <v>121</v>
      </c>
      <c r="G325" s="172" t="s">
        <v>85</v>
      </c>
      <c r="H325" s="177">
        <v>1</v>
      </c>
      <c r="I325" s="178">
        <v>1845</v>
      </c>
      <c r="J325" s="176">
        <v>46024</v>
      </c>
      <c r="K325" s="172" t="s">
        <v>94</v>
      </c>
      <c r="L325" s="172" t="s">
        <v>95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735</v>
      </c>
      <c r="B326" s="176">
        <v>46026</v>
      </c>
      <c r="C326" s="172" t="s">
        <v>101</v>
      </c>
      <c r="D326" s="172" t="s">
        <v>102</v>
      </c>
      <c r="E326" s="172" t="s">
        <v>54</v>
      </c>
      <c r="F326" s="172" t="s">
        <v>121</v>
      </c>
      <c r="G326" s="172" t="s">
        <v>85</v>
      </c>
      <c r="H326" s="177">
        <v>1</v>
      </c>
      <c r="I326" s="178">
        <v>1845</v>
      </c>
      <c r="J326" s="176">
        <v>46024</v>
      </c>
      <c r="K326" s="172" t="s">
        <v>94</v>
      </c>
      <c r="L326" s="172" t="s">
        <v>95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735</v>
      </c>
      <c r="B327" s="176">
        <v>46026</v>
      </c>
      <c r="C327" s="172" t="s">
        <v>101</v>
      </c>
      <c r="D327" s="172" t="s">
        <v>103</v>
      </c>
      <c r="E327" s="172" t="s">
        <v>54</v>
      </c>
      <c r="F327" s="172" t="s">
        <v>121</v>
      </c>
      <c r="G327" s="172" t="s">
        <v>85</v>
      </c>
      <c r="H327" s="177">
        <v>1</v>
      </c>
      <c r="I327" s="178">
        <v>1845</v>
      </c>
      <c r="J327" s="176">
        <v>46024</v>
      </c>
      <c r="K327" s="172" t="s">
        <v>94</v>
      </c>
      <c r="L327" s="172" t="s">
        <v>95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735</v>
      </c>
      <c r="B328" s="176">
        <v>46026</v>
      </c>
      <c r="C328" s="172" t="s">
        <v>101</v>
      </c>
      <c r="D328" s="172" t="s">
        <v>104</v>
      </c>
      <c r="E328" s="172" t="s">
        <v>54</v>
      </c>
      <c r="F328" s="172" t="s">
        <v>121</v>
      </c>
      <c r="G328" s="172" t="s">
        <v>85</v>
      </c>
      <c r="H328" s="177">
        <v>1</v>
      </c>
      <c r="I328" s="178">
        <v>1845</v>
      </c>
      <c r="J328" s="176">
        <v>46024</v>
      </c>
      <c r="K328" s="172" t="s">
        <v>94</v>
      </c>
      <c r="L328" s="172" t="s">
        <v>95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735</v>
      </c>
      <c r="B329" s="176">
        <v>46026</v>
      </c>
      <c r="C329" s="172" t="s">
        <v>105</v>
      </c>
      <c r="D329" s="172" t="s">
        <v>106</v>
      </c>
      <c r="E329" s="172" t="s">
        <v>54</v>
      </c>
      <c r="F329" s="172" t="s">
        <v>121</v>
      </c>
      <c r="G329" s="172" t="s">
        <v>85</v>
      </c>
      <c r="H329" s="177">
        <v>1</v>
      </c>
      <c r="I329" s="178">
        <v>1845</v>
      </c>
      <c r="J329" s="176">
        <v>46024</v>
      </c>
      <c r="K329" s="172" t="s">
        <v>94</v>
      </c>
      <c r="L329" s="172" t="s">
        <v>95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735</v>
      </c>
      <c r="B330" s="176">
        <v>46026</v>
      </c>
      <c r="C330" s="172" t="s">
        <v>82</v>
      </c>
      <c r="D330" s="172" t="s">
        <v>96</v>
      </c>
      <c r="E330" s="172" t="s">
        <v>54</v>
      </c>
      <c r="F330" s="172" t="s">
        <v>121</v>
      </c>
      <c r="G330" s="172" t="s">
        <v>85</v>
      </c>
      <c r="H330" s="177">
        <v>1</v>
      </c>
      <c r="I330" s="178">
        <v>1845</v>
      </c>
      <c r="J330" s="176">
        <v>46024</v>
      </c>
      <c r="K330" s="172" t="s">
        <v>94</v>
      </c>
      <c r="L330" s="172" t="s">
        <v>95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736</v>
      </c>
      <c r="B331" s="176">
        <v>46026</v>
      </c>
      <c r="C331" s="172" t="s">
        <v>82</v>
      </c>
      <c r="D331" s="172" t="s">
        <v>83</v>
      </c>
      <c r="E331" s="172" t="s">
        <v>53</v>
      </c>
      <c r="F331" s="172" t="s">
        <v>91</v>
      </c>
      <c r="G331" s="172" t="s">
        <v>85</v>
      </c>
      <c r="H331" s="177">
        <v>1</v>
      </c>
      <c r="I331" s="178">
        <v>0</v>
      </c>
      <c r="J331" s="176">
        <v>46026</v>
      </c>
      <c r="K331" s="172" t="s">
        <v>86</v>
      </c>
      <c r="L331" s="172" t="s">
        <v>86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735</v>
      </c>
      <c r="B332" s="176">
        <v>46026</v>
      </c>
      <c r="C332" s="172" t="s">
        <v>82</v>
      </c>
      <c r="D332" s="172" t="s">
        <v>83</v>
      </c>
      <c r="E332" s="172" t="s">
        <v>54</v>
      </c>
      <c r="F332" s="172" t="s">
        <v>121</v>
      </c>
      <c r="G332" s="172" t="s">
        <v>85</v>
      </c>
      <c r="H332" s="177">
        <v>1</v>
      </c>
      <c r="I332" s="178">
        <v>0</v>
      </c>
      <c r="J332" s="176">
        <v>46024</v>
      </c>
      <c r="K332" s="172" t="s">
        <v>86</v>
      </c>
      <c r="L332" s="172" t="s">
        <v>86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737</v>
      </c>
      <c r="B333" s="176">
        <v>46026</v>
      </c>
      <c r="C333" s="172" t="s">
        <v>93</v>
      </c>
      <c r="D333" s="172" t="s">
        <v>24</v>
      </c>
      <c r="E333" s="172" t="s">
        <v>40</v>
      </c>
      <c r="F333" s="172" t="s">
        <v>118</v>
      </c>
      <c r="G333" s="172" t="s">
        <v>85</v>
      </c>
      <c r="H333" s="177">
        <v>1</v>
      </c>
      <c r="I333" s="178">
        <v>1650</v>
      </c>
      <c r="J333" s="176">
        <v>46020</v>
      </c>
      <c r="K333" s="172" t="s">
        <v>94</v>
      </c>
      <c r="L333" s="172" t="s">
        <v>95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737</v>
      </c>
      <c r="B334" s="176">
        <v>46026</v>
      </c>
      <c r="C334" s="172" t="s">
        <v>101</v>
      </c>
      <c r="D334" s="172" t="s">
        <v>102</v>
      </c>
      <c r="E334" s="172" t="s">
        <v>40</v>
      </c>
      <c r="F334" s="172" t="s">
        <v>118</v>
      </c>
      <c r="G334" s="172" t="s">
        <v>85</v>
      </c>
      <c r="H334" s="177">
        <v>1</v>
      </c>
      <c r="I334" s="178">
        <v>1650</v>
      </c>
      <c r="J334" s="176">
        <v>46020</v>
      </c>
      <c r="K334" s="172" t="s">
        <v>94</v>
      </c>
      <c r="L334" s="172" t="s">
        <v>95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737</v>
      </c>
      <c r="B335" s="176">
        <v>46026</v>
      </c>
      <c r="C335" s="172" t="s">
        <v>101</v>
      </c>
      <c r="D335" s="172" t="s">
        <v>103</v>
      </c>
      <c r="E335" s="172" t="s">
        <v>40</v>
      </c>
      <c r="F335" s="172" t="s">
        <v>118</v>
      </c>
      <c r="G335" s="172" t="s">
        <v>85</v>
      </c>
      <c r="H335" s="177">
        <v>1</v>
      </c>
      <c r="I335" s="178">
        <v>1650</v>
      </c>
      <c r="J335" s="176">
        <v>46020</v>
      </c>
      <c r="K335" s="172" t="s">
        <v>94</v>
      </c>
      <c r="L335" s="172" t="s">
        <v>95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737</v>
      </c>
      <c r="B336" s="176">
        <v>46026</v>
      </c>
      <c r="C336" s="172" t="s">
        <v>101</v>
      </c>
      <c r="D336" s="172" t="s">
        <v>104</v>
      </c>
      <c r="E336" s="172" t="s">
        <v>40</v>
      </c>
      <c r="F336" s="172" t="s">
        <v>118</v>
      </c>
      <c r="G336" s="172" t="s">
        <v>85</v>
      </c>
      <c r="H336" s="177">
        <v>1</v>
      </c>
      <c r="I336" s="178">
        <v>1650</v>
      </c>
      <c r="J336" s="176">
        <v>46020</v>
      </c>
      <c r="K336" s="172" t="s">
        <v>94</v>
      </c>
      <c r="L336" s="172" t="s">
        <v>95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737</v>
      </c>
      <c r="B337" s="176">
        <v>46026</v>
      </c>
      <c r="C337" s="172" t="s">
        <v>105</v>
      </c>
      <c r="D337" s="172" t="s">
        <v>106</v>
      </c>
      <c r="E337" s="172" t="s">
        <v>40</v>
      </c>
      <c r="F337" s="172" t="s">
        <v>118</v>
      </c>
      <c r="G337" s="172" t="s">
        <v>85</v>
      </c>
      <c r="H337" s="177">
        <v>1</v>
      </c>
      <c r="I337" s="178">
        <v>1650</v>
      </c>
      <c r="J337" s="176">
        <v>46020</v>
      </c>
      <c r="K337" s="172" t="s">
        <v>94</v>
      </c>
      <c r="L337" s="172" t="s">
        <v>95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737</v>
      </c>
      <c r="B338" s="176">
        <v>46026</v>
      </c>
      <c r="C338" s="172" t="s">
        <v>82</v>
      </c>
      <c r="D338" s="172" t="s">
        <v>96</v>
      </c>
      <c r="E338" s="172" t="s">
        <v>40</v>
      </c>
      <c r="F338" s="172" t="s">
        <v>118</v>
      </c>
      <c r="G338" s="172" t="s">
        <v>85</v>
      </c>
      <c r="H338" s="177">
        <v>1</v>
      </c>
      <c r="I338" s="178">
        <v>1650</v>
      </c>
      <c r="J338" s="176">
        <v>46020</v>
      </c>
      <c r="K338" s="172" t="s">
        <v>94</v>
      </c>
      <c r="L338" s="172" t="s">
        <v>95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738</v>
      </c>
      <c r="B339" s="176">
        <v>46026</v>
      </c>
      <c r="C339" s="172" t="s">
        <v>93</v>
      </c>
      <c r="D339" s="172" t="s">
        <v>24</v>
      </c>
      <c r="E339" s="172" t="s">
        <v>42</v>
      </c>
      <c r="F339" s="172" t="s">
        <v>84</v>
      </c>
      <c r="G339" s="172" t="s">
        <v>85</v>
      </c>
      <c r="H339" s="177">
        <v>1</v>
      </c>
      <c r="I339" s="178">
        <v>1600</v>
      </c>
      <c r="J339" s="176">
        <v>46019</v>
      </c>
      <c r="K339" s="172" t="s">
        <v>94</v>
      </c>
      <c r="L339" s="172" t="s">
        <v>95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738</v>
      </c>
      <c r="B340" s="176">
        <v>46026</v>
      </c>
      <c r="C340" s="172" t="s">
        <v>101</v>
      </c>
      <c r="D340" s="172" t="s">
        <v>102</v>
      </c>
      <c r="E340" s="172" t="s">
        <v>42</v>
      </c>
      <c r="F340" s="172" t="s">
        <v>84</v>
      </c>
      <c r="G340" s="172" t="s">
        <v>85</v>
      </c>
      <c r="H340" s="177">
        <v>1</v>
      </c>
      <c r="I340" s="178">
        <v>1600</v>
      </c>
      <c r="J340" s="176">
        <v>46019</v>
      </c>
      <c r="K340" s="172" t="s">
        <v>94</v>
      </c>
      <c r="L340" s="172" t="s">
        <v>95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738</v>
      </c>
      <c r="B341" s="176">
        <v>46026</v>
      </c>
      <c r="C341" s="172" t="s">
        <v>101</v>
      </c>
      <c r="D341" s="172" t="s">
        <v>103</v>
      </c>
      <c r="E341" s="172" t="s">
        <v>42</v>
      </c>
      <c r="F341" s="172" t="s">
        <v>84</v>
      </c>
      <c r="G341" s="172" t="s">
        <v>85</v>
      </c>
      <c r="H341" s="177">
        <v>1</v>
      </c>
      <c r="I341" s="178">
        <v>1600</v>
      </c>
      <c r="J341" s="176">
        <v>46019</v>
      </c>
      <c r="K341" s="172" t="s">
        <v>94</v>
      </c>
      <c r="L341" s="172" t="s">
        <v>95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738</v>
      </c>
      <c r="B342" s="176">
        <v>46026</v>
      </c>
      <c r="C342" s="172" t="s">
        <v>101</v>
      </c>
      <c r="D342" s="172" t="s">
        <v>104</v>
      </c>
      <c r="E342" s="172" t="s">
        <v>42</v>
      </c>
      <c r="F342" s="172" t="s">
        <v>84</v>
      </c>
      <c r="G342" s="172" t="s">
        <v>85</v>
      </c>
      <c r="H342" s="177">
        <v>1</v>
      </c>
      <c r="I342" s="178">
        <v>1600</v>
      </c>
      <c r="J342" s="176">
        <v>46019</v>
      </c>
      <c r="K342" s="172" t="s">
        <v>94</v>
      </c>
      <c r="L342" s="172" t="s">
        <v>95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738</v>
      </c>
      <c r="B343" s="176">
        <v>46026</v>
      </c>
      <c r="C343" s="172" t="s">
        <v>105</v>
      </c>
      <c r="D343" s="172" t="s">
        <v>106</v>
      </c>
      <c r="E343" s="172" t="s">
        <v>42</v>
      </c>
      <c r="F343" s="172" t="s">
        <v>84</v>
      </c>
      <c r="G343" s="172" t="s">
        <v>85</v>
      </c>
      <c r="H343" s="177">
        <v>1</v>
      </c>
      <c r="I343" s="178">
        <v>1600</v>
      </c>
      <c r="J343" s="176">
        <v>46019</v>
      </c>
      <c r="K343" s="172" t="s">
        <v>94</v>
      </c>
      <c r="L343" s="172" t="s">
        <v>95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739</v>
      </c>
      <c r="B344" s="176">
        <v>46026</v>
      </c>
      <c r="C344" s="172" t="s">
        <v>82</v>
      </c>
      <c r="D344" s="172" t="s">
        <v>83</v>
      </c>
      <c r="E344" s="172" t="s">
        <v>53</v>
      </c>
      <c r="F344" s="172" t="s">
        <v>91</v>
      </c>
      <c r="G344" s="172" t="s">
        <v>85</v>
      </c>
      <c r="H344" s="177">
        <v>1</v>
      </c>
      <c r="I344" s="178">
        <v>0</v>
      </c>
      <c r="J344" s="176">
        <v>46026</v>
      </c>
      <c r="K344" s="172" t="s">
        <v>86</v>
      </c>
      <c r="L344" s="172" t="s">
        <v>86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740</v>
      </c>
      <c r="B345" s="176">
        <v>46026</v>
      </c>
      <c r="C345" s="172" t="s">
        <v>93</v>
      </c>
      <c r="D345" s="172" t="s">
        <v>24</v>
      </c>
      <c r="E345" s="172" t="s">
        <v>54</v>
      </c>
      <c r="F345" s="172" t="s">
        <v>121</v>
      </c>
      <c r="G345" s="172" t="s">
        <v>85</v>
      </c>
      <c r="H345" s="177">
        <v>1</v>
      </c>
      <c r="I345" s="178">
        <v>1845</v>
      </c>
      <c r="J345" s="176">
        <v>46023</v>
      </c>
      <c r="K345" s="172" t="s">
        <v>94</v>
      </c>
      <c r="L345" s="172" t="s">
        <v>95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740</v>
      </c>
      <c r="B346" s="176">
        <v>46026</v>
      </c>
      <c r="C346" s="172" t="s">
        <v>101</v>
      </c>
      <c r="D346" s="172" t="s">
        <v>102</v>
      </c>
      <c r="E346" s="172" t="s">
        <v>54</v>
      </c>
      <c r="F346" s="172" t="s">
        <v>121</v>
      </c>
      <c r="G346" s="172" t="s">
        <v>85</v>
      </c>
      <c r="H346" s="177">
        <v>1</v>
      </c>
      <c r="I346" s="178">
        <v>1845</v>
      </c>
      <c r="J346" s="176">
        <v>46023</v>
      </c>
      <c r="K346" s="172" t="s">
        <v>94</v>
      </c>
      <c r="L346" s="172" t="s">
        <v>95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740</v>
      </c>
      <c r="B347" s="176">
        <v>46026</v>
      </c>
      <c r="C347" s="172" t="s">
        <v>101</v>
      </c>
      <c r="D347" s="172" t="s">
        <v>103</v>
      </c>
      <c r="E347" s="172" t="s">
        <v>54</v>
      </c>
      <c r="F347" s="172" t="s">
        <v>121</v>
      </c>
      <c r="G347" s="172" t="s">
        <v>85</v>
      </c>
      <c r="H347" s="177">
        <v>1</v>
      </c>
      <c r="I347" s="178">
        <v>1845</v>
      </c>
      <c r="J347" s="176">
        <v>46023</v>
      </c>
      <c r="K347" s="172" t="s">
        <v>94</v>
      </c>
      <c r="L347" s="172" t="s">
        <v>95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740</v>
      </c>
      <c r="B348" s="176">
        <v>46026</v>
      </c>
      <c r="C348" s="172" t="s">
        <v>101</v>
      </c>
      <c r="D348" s="172" t="s">
        <v>104</v>
      </c>
      <c r="E348" s="172" t="s">
        <v>54</v>
      </c>
      <c r="F348" s="172" t="s">
        <v>121</v>
      </c>
      <c r="G348" s="172" t="s">
        <v>85</v>
      </c>
      <c r="H348" s="177">
        <v>1</v>
      </c>
      <c r="I348" s="178">
        <v>1845</v>
      </c>
      <c r="J348" s="176">
        <v>46023</v>
      </c>
      <c r="K348" s="172" t="s">
        <v>94</v>
      </c>
      <c r="L348" s="172" t="s">
        <v>95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740</v>
      </c>
      <c r="B349" s="176">
        <v>46026</v>
      </c>
      <c r="C349" s="172" t="s">
        <v>105</v>
      </c>
      <c r="D349" s="172" t="s">
        <v>106</v>
      </c>
      <c r="E349" s="172" t="s">
        <v>54</v>
      </c>
      <c r="F349" s="172" t="s">
        <v>121</v>
      </c>
      <c r="G349" s="172" t="s">
        <v>85</v>
      </c>
      <c r="H349" s="177">
        <v>1</v>
      </c>
      <c r="I349" s="178">
        <v>1845</v>
      </c>
      <c r="J349" s="176">
        <v>46023</v>
      </c>
      <c r="K349" s="172" t="s">
        <v>94</v>
      </c>
      <c r="L349" s="172" t="s">
        <v>95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741</v>
      </c>
      <c r="B350" s="176">
        <v>46026</v>
      </c>
      <c r="C350" s="172" t="s">
        <v>82</v>
      </c>
      <c r="D350" s="172" t="s">
        <v>83</v>
      </c>
      <c r="E350" s="172" t="s">
        <v>42</v>
      </c>
      <c r="F350" s="172" t="s">
        <v>84</v>
      </c>
      <c r="G350" s="172" t="s">
        <v>85</v>
      </c>
      <c r="H350" s="177">
        <v>1</v>
      </c>
      <c r="I350" s="178">
        <v>0</v>
      </c>
      <c r="J350" s="176">
        <v>46026</v>
      </c>
      <c r="K350" s="172" t="s">
        <v>86</v>
      </c>
      <c r="L350" s="172" t="s">
        <v>86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742</v>
      </c>
      <c r="B351" s="176">
        <v>46026</v>
      </c>
      <c r="C351" s="172" t="s">
        <v>93</v>
      </c>
      <c r="D351" s="172" t="s">
        <v>24</v>
      </c>
      <c r="E351" s="172" t="s">
        <v>54</v>
      </c>
      <c r="F351" s="172" t="s">
        <v>121</v>
      </c>
      <c r="G351" s="172" t="s">
        <v>85</v>
      </c>
      <c r="H351" s="177">
        <v>1</v>
      </c>
      <c r="I351" s="178">
        <v>1845</v>
      </c>
      <c r="J351" s="176">
        <v>46024</v>
      </c>
      <c r="K351" s="172" t="s">
        <v>94</v>
      </c>
      <c r="L351" s="172" t="s">
        <v>95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742</v>
      </c>
      <c r="B352" s="176">
        <v>46026</v>
      </c>
      <c r="C352" s="172" t="s">
        <v>101</v>
      </c>
      <c r="D352" s="172" t="s">
        <v>102</v>
      </c>
      <c r="E352" s="172" t="s">
        <v>54</v>
      </c>
      <c r="F352" s="172" t="s">
        <v>121</v>
      </c>
      <c r="G352" s="172" t="s">
        <v>85</v>
      </c>
      <c r="H352" s="177">
        <v>1</v>
      </c>
      <c r="I352" s="178">
        <v>1845</v>
      </c>
      <c r="J352" s="176">
        <v>46024</v>
      </c>
      <c r="K352" s="172" t="s">
        <v>94</v>
      </c>
      <c r="L352" s="172" t="s">
        <v>95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742</v>
      </c>
      <c r="B353" s="176">
        <v>46026</v>
      </c>
      <c r="C353" s="172" t="s">
        <v>101</v>
      </c>
      <c r="D353" s="172" t="s">
        <v>103</v>
      </c>
      <c r="E353" s="172" t="s">
        <v>54</v>
      </c>
      <c r="F353" s="172" t="s">
        <v>121</v>
      </c>
      <c r="G353" s="172" t="s">
        <v>85</v>
      </c>
      <c r="H353" s="177">
        <v>1</v>
      </c>
      <c r="I353" s="178">
        <v>1845</v>
      </c>
      <c r="J353" s="176">
        <v>46024</v>
      </c>
      <c r="K353" s="172" t="s">
        <v>94</v>
      </c>
      <c r="L353" s="172" t="s">
        <v>95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742</v>
      </c>
      <c r="B354" s="176">
        <v>46026</v>
      </c>
      <c r="C354" s="172" t="s">
        <v>101</v>
      </c>
      <c r="D354" s="172" t="s">
        <v>104</v>
      </c>
      <c r="E354" s="172" t="s">
        <v>54</v>
      </c>
      <c r="F354" s="172" t="s">
        <v>121</v>
      </c>
      <c r="G354" s="172" t="s">
        <v>85</v>
      </c>
      <c r="H354" s="177">
        <v>1</v>
      </c>
      <c r="I354" s="178">
        <v>1845</v>
      </c>
      <c r="J354" s="176">
        <v>46024</v>
      </c>
      <c r="K354" s="172" t="s">
        <v>94</v>
      </c>
      <c r="L354" s="172" t="s">
        <v>95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742</v>
      </c>
      <c r="B355" s="176">
        <v>46026</v>
      </c>
      <c r="C355" s="172" t="s">
        <v>105</v>
      </c>
      <c r="D355" s="172" t="s">
        <v>106</v>
      </c>
      <c r="E355" s="172" t="s">
        <v>54</v>
      </c>
      <c r="F355" s="172" t="s">
        <v>121</v>
      </c>
      <c r="G355" s="172" t="s">
        <v>85</v>
      </c>
      <c r="H355" s="177">
        <v>1</v>
      </c>
      <c r="I355" s="178">
        <v>1845</v>
      </c>
      <c r="J355" s="176">
        <v>46024</v>
      </c>
      <c r="K355" s="172" t="s">
        <v>94</v>
      </c>
      <c r="L355" s="172" t="s">
        <v>95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742</v>
      </c>
      <c r="B356" s="176">
        <v>46026</v>
      </c>
      <c r="C356" s="172" t="s">
        <v>82</v>
      </c>
      <c r="D356" s="172" t="s">
        <v>96</v>
      </c>
      <c r="E356" s="172" t="s">
        <v>54</v>
      </c>
      <c r="F356" s="172" t="s">
        <v>121</v>
      </c>
      <c r="G356" s="172" t="s">
        <v>85</v>
      </c>
      <c r="H356" s="177">
        <v>1</v>
      </c>
      <c r="I356" s="178">
        <v>1845</v>
      </c>
      <c r="J356" s="176">
        <v>46024</v>
      </c>
      <c r="K356" s="172" t="s">
        <v>94</v>
      </c>
      <c r="L356" s="172" t="s">
        <v>95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743</v>
      </c>
      <c r="B357" s="176">
        <v>46026</v>
      </c>
      <c r="C357" s="172" t="s">
        <v>93</v>
      </c>
      <c r="D357" s="172" t="s">
        <v>24</v>
      </c>
      <c r="E357" s="172" t="s">
        <v>54</v>
      </c>
      <c r="F357" s="172" t="s">
        <v>121</v>
      </c>
      <c r="G357" s="172" t="s">
        <v>85</v>
      </c>
      <c r="H357" s="177">
        <v>1</v>
      </c>
      <c r="I357" s="178">
        <v>1621</v>
      </c>
      <c r="J357" s="176">
        <v>46015</v>
      </c>
      <c r="K357" s="172" t="s">
        <v>94</v>
      </c>
      <c r="L357" s="172" t="s">
        <v>95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743</v>
      </c>
      <c r="B358" s="176">
        <v>46026</v>
      </c>
      <c r="C358" s="172" t="s">
        <v>101</v>
      </c>
      <c r="D358" s="172" t="s">
        <v>102</v>
      </c>
      <c r="E358" s="172" t="s">
        <v>54</v>
      </c>
      <c r="F358" s="172" t="s">
        <v>121</v>
      </c>
      <c r="G358" s="172" t="s">
        <v>85</v>
      </c>
      <c r="H358" s="177">
        <v>1</v>
      </c>
      <c r="I358" s="178">
        <v>1621</v>
      </c>
      <c r="J358" s="176">
        <v>46015</v>
      </c>
      <c r="K358" s="172" t="s">
        <v>94</v>
      </c>
      <c r="L358" s="172" t="s">
        <v>95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743</v>
      </c>
      <c r="B359" s="176">
        <v>46026</v>
      </c>
      <c r="C359" s="172" t="s">
        <v>101</v>
      </c>
      <c r="D359" s="172" t="s">
        <v>103</v>
      </c>
      <c r="E359" s="172" t="s">
        <v>54</v>
      </c>
      <c r="F359" s="172" t="s">
        <v>121</v>
      </c>
      <c r="G359" s="172" t="s">
        <v>85</v>
      </c>
      <c r="H359" s="177">
        <v>1</v>
      </c>
      <c r="I359" s="178">
        <v>1621</v>
      </c>
      <c r="J359" s="176">
        <v>46015</v>
      </c>
      <c r="K359" s="172" t="s">
        <v>94</v>
      </c>
      <c r="L359" s="172" t="s">
        <v>95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743</v>
      </c>
      <c r="B360" s="176">
        <v>46026</v>
      </c>
      <c r="C360" s="172" t="s">
        <v>101</v>
      </c>
      <c r="D360" s="172" t="s">
        <v>104</v>
      </c>
      <c r="E360" s="172" t="s">
        <v>54</v>
      </c>
      <c r="F360" s="172" t="s">
        <v>121</v>
      </c>
      <c r="G360" s="172" t="s">
        <v>85</v>
      </c>
      <c r="H360" s="177">
        <v>1</v>
      </c>
      <c r="I360" s="178">
        <v>1621</v>
      </c>
      <c r="J360" s="176">
        <v>46015</v>
      </c>
      <c r="K360" s="172" t="s">
        <v>94</v>
      </c>
      <c r="L360" s="172" t="s">
        <v>95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743</v>
      </c>
      <c r="B361" s="176">
        <v>46026</v>
      </c>
      <c r="C361" s="172" t="s">
        <v>105</v>
      </c>
      <c r="D361" s="172" t="s">
        <v>106</v>
      </c>
      <c r="E361" s="172" t="s">
        <v>54</v>
      </c>
      <c r="F361" s="172" t="s">
        <v>121</v>
      </c>
      <c r="G361" s="172" t="s">
        <v>85</v>
      </c>
      <c r="H361" s="177">
        <v>1</v>
      </c>
      <c r="I361" s="178">
        <v>1621</v>
      </c>
      <c r="J361" s="176">
        <v>46015</v>
      </c>
      <c r="K361" s="172" t="s">
        <v>94</v>
      </c>
      <c r="L361" s="172" t="s">
        <v>95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744</v>
      </c>
      <c r="B362" s="176">
        <v>46026</v>
      </c>
      <c r="C362" s="172" t="s">
        <v>82</v>
      </c>
      <c r="D362" s="172" t="s">
        <v>83</v>
      </c>
      <c r="E362" s="172" t="s">
        <v>53</v>
      </c>
      <c r="F362" s="172" t="s">
        <v>91</v>
      </c>
      <c r="G362" s="172" t="s">
        <v>85</v>
      </c>
      <c r="H362" s="177">
        <v>1</v>
      </c>
      <c r="I362" s="178">
        <v>0</v>
      </c>
      <c r="J362" s="176">
        <v>46026</v>
      </c>
      <c r="K362" s="172" t="s">
        <v>86</v>
      </c>
      <c r="L362" s="172" t="s">
        <v>86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745</v>
      </c>
      <c r="B363" s="176">
        <v>46026</v>
      </c>
      <c r="C363" s="172" t="s">
        <v>93</v>
      </c>
      <c r="D363" s="172" t="s">
        <v>24</v>
      </c>
      <c r="E363" s="172" t="s">
        <v>43</v>
      </c>
      <c r="F363" s="172" t="s">
        <v>90</v>
      </c>
      <c r="G363" s="172" t="s">
        <v>85</v>
      </c>
      <c r="H363" s="177">
        <v>1</v>
      </c>
      <c r="I363" s="178">
        <v>1600</v>
      </c>
      <c r="J363" s="176">
        <v>46016</v>
      </c>
      <c r="K363" s="172" t="s">
        <v>94</v>
      </c>
      <c r="L363" s="172" t="s">
        <v>95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745</v>
      </c>
      <c r="B364" s="176">
        <v>46026</v>
      </c>
      <c r="C364" s="172" t="s">
        <v>101</v>
      </c>
      <c r="D364" s="172" t="s">
        <v>102</v>
      </c>
      <c r="E364" s="172" t="s">
        <v>43</v>
      </c>
      <c r="F364" s="172" t="s">
        <v>90</v>
      </c>
      <c r="G364" s="172" t="s">
        <v>85</v>
      </c>
      <c r="H364" s="177">
        <v>1</v>
      </c>
      <c r="I364" s="178">
        <v>1600</v>
      </c>
      <c r="J364" s="176">
        <v>46016</v>
      </c>
      <c r="K364" s="172" t="s">
        <v>94</v>
      </c>
      <c r="L364" s="172" t="s">
        <v>95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745</v>
      </c>
      <c r="B365" s="176">
        <v>46026</v>
      </c>
      <c r="C365" s="172" t="s">
        <v>101</v>
      </c>
      <c r="D365" s="172" t="s">
        <v>103</v>
      </c>
      <c r="E365" s="172" t="s">
        <v>43</v>
      </c>
      <c r="F365" s="172" t="s">
        <v>90</v>
      </c>
      <c r="G365" s="172" t="s">
        <v>85</v>
      </c>
      <c r="H365" s="177">
        <v>1</v>
      </c>
      <c r="I365" s="178">
        <v>1600</v>
      </c>
      <c r="J365" s="176">
        <v>46016</v>
      </c>
      <c r="K365" s="172" t="s">
        <v>94</v>
      </c>
      <c r="L365" s="172" t="s">
        <v>95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745</v>
      </c>
      <c r="B366" s="176">
        <v>46026</v>
      </c>
      <c r="C366" s="172" t="s">
        <v>101</v>
      </c>
      <c r="D366" s="172" t="s">
        <v>104</v>
      </c>
      <c r="E366" s="172" t="s">
        <v>43</v>
      </c>
      <c r="F366" s="172" t="s">
        <v>90</v>
      </c>
      <c r="G366" s="172" t="s">
        <v>85</v>
      </c>
      <c r="H366" s="177">
        <v>1</v>
      </c>
      <c r="I366" s="178">
        <v>1600</v>
      </c>
      <c r="J366" s="176">
        <v>46016</v>
      </c>
      <c r="K366" s="172" t="s">
        <v>94</v>
      </c>
      <c r="L366" s="172" t="s">
        <v>95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745</v>
      </c>
      <c r="B367" s="176">
        <v>46026</v>
      </c>
      <c r="C367" s="172" t="s">
        <v>105</v>
      </c>
      <c r="D367" s="172" t="s">
        <v>106</v>
      </c>
      <c r="E367" s="172" t="s">
        <v>43</v>
      </c>
      <c r="F367" s="172" t="s">
        <v>90</v>
      </c>
      <c r="G367" s="172" t="s">
        <v>85</v>
      </c>
      <c r="H367" s="177">
        <v>1</v>
      </c>
      <c r="I367" s="178">
        <v>1600</v>
      </c>
      <c r="J367" s="176">
        <v>46016</v>
      </c>
      <c r="K367" s="172" t="s">
        <v>94</v>
      </c>
      <c r="L367" s="172" t="s">
        <v>95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746</v>
      </c>
      <c r="B368" s="176">
        <v>46026</v>
      </c>
      <c r="C368" s="172" t="s">
        <v>93</v>
      </c>
      <c r="D368" s="172" t="s">
        <v>24</v>
      </c>
      <c r="E368" s="172" t="s">
        <v>54</v>
      </c>
      <c r="F368" s="172" t="s">
        <v>121</v>
      </c>
      <c r="G368" s="172" t="s">
        <v>85</v>
      </c>
      <c r="H368" s="177">
        <v>1</v>
      </c>
      <c r="I368" s="178">
        <v>1845</v>
      </c>
      <c r="J368" s="176">
        <v>46020</v>
      </c>
      <c r="K368" s="172" t="s">
        <v>94</v>
      </c>
      <c r="L368" s="172" t="s">
        <v>95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746</v>
      </c>
      <c r="B369" s="176">
        <v>46026</v>
      </c>
      <c r="C369" s="172" t="s">
        <v>101</v>
      </c>
      <c r="D369" s="172" t="s">
        <v>102</v>
      </c>
      <c r="E369" s="172" t="s">
        <v>54</v>
      </c>
      <c r="F369" s="172" t="s">
        <v>121</v>
      </c>
      <c r="G369" s="172" t="s">
        <v>85</v>
      </c>
      <c r="H369" s="177">
        <v>1</v>
      </c>
      <c r="I369" s="178">
        <v>1845</v>
      </c>
      <c r="J369" s="176">
        <v>46020</v>
      </c>
      <c r="K369" s="172" t="s">
        <v>94</v>
      </c>
      <c r="L369" s="172" t="s">
        <v>95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746</v>
      </c>
      <c r="B370" s="176">
        <v>46026</v>
      </c>
      <c r="C370" s="172" t="s">
        <v>101</v>
      </c>
      <c r="D370" s="172" t="s">
        <v>103</v>
      </c>
      <c r="E370" s="172" t="s">
        <v>54</v>
      </c>
      <c r="F370" s="172" t="s">
        <v>121</v>
      </c>
      <c r="G370" s="172" t="s">
        <v>85</v>
      </c>
      <c r="H370" s="177">
        <v>1</v>
      </c>
      <c r="I370" s="178">
        <v>1845</v>
      </c>
      <c r="J370" s="176">
        <v>46020</v>
      </c>
      <c r="K370" s="172" t="s">
        <v>94</v>
      </c>
      <c r="L370" s="172" t="s">
        <v>95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746</v>
      </c>
      <c r="B371" s="176">
        <v>46026</v>
      </c>
      <c r="C371" s="172" t="s">
        <v>101</v>
      </c>
      <c r="D371" s="172" t="s">
        <v>104</v>
      </c>
      <c r="E371" s="172" t="s">
        <v>54</v>
      </c>
      <c r="F371" s="172" t="s">
        <v>121</v>
      </c>
      <c r="G371" s="172" t="s">
        <v>85</v>
      </c>
      <c r="H371" s="177">
        <v>1</v>
      </c>
      <c r="I371" s="178">
        <v>1845</v>
      </c>
      <c r="J371" s="176">
        <v>46020</v>
      </c>
      <c r="K371" s="172" t="s">
        <v>94</v>
      </c>
      <c r="L371" s="172" t="s">
        <v>95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746</v>
      </c>
      <c r="B372" s="176">
        <v>46026</v>
      </c>
      <c r="C372" s="172" t="s">
        <v>105</v>
      </c>
      <c r="D372" s="172" t="s">
        <v>106</v>
      </c>
      <c r="E372" s="172" t="s">
        <v>54</v>
      </c>
      <c r="F372" s="172" t="s">
        <v>121</v>
      </c>
      <c r="G372" s="172" t="s">
        <v>85</v>
      </c>
      <c r="H372" s="177">
        <v>1</v>
      </c>
      <c r="I372" s="178">
        <v>1845</v>
      </c>
      <c r="J372" s="176">
        <v>46020</v>
      </c>
      <c r="K372" s="172" t="s">
        <v>94</v>
      </c>
      <c r="L372" s="172" t="s">
        <v>95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746</v>
      </c>
      <c r="B373" s="176">
        <v>46026</v>
      </c>
      <c r="C373" s="172" t="s">
        <v>82</v>
      </c>
      <c r="D373" s="172" t="s">
        <v>96</v>
      </c>
      <c r="E373" s="172" t="s">
        <v>54</v>
      </c>
      <c r="F373" s="172" t="s">
        <v>121</v>
      </c>
      <c r="G373" s="172" t="s">
        <v>85</v>
      </c>
      <c r="H373" s="177">
        <v>1</v>
      </c>
      <c r="I373" s="178">
        <v>1845</v>
      </c>
      <c r="J373" s="176">
        <v>46020</v>
      </c>
      <c r="K373" s="172" t="s">
        <v>94</v>
      </c>
      <c r="L373" s="172" t="s">
        <v>95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746</v>
      </c>
      <c r="B374" s="176">
        <v>46026</v>
      </c>
      <c r="C374" s="172" t="s">
        <v>82</v>
      </c>
      <c r="D374" s="172" t="s">
        <v>83</v>
      </c>
      <c r="E374" s="172" t="s">
        <v>54</v>
      </c>
      <c r="F374" s="172" t="s">
        <v>121</v>
      </c>
      <c r="G374" s="172" t="s">
        <v>85</v>
      </c>
      <c r="H374" s="177">
        <v>1</v>
      </c>
      <c r="I374" s="178">
        <v>0</v>
      </c>
      <c r="J374" s="176">
        <v>46020</v>
      </c>
      <c r="K374" s="172" t="s">
        <v>86</v>
      </c>
      <c r="L374" s="172" t="s">
        <v>86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747</v>
      </c>
      <c r="B375" s="176">
        <v>46026</v>
      </c>
      <c r="C375" s="172" t="s">
        <v>82</v>
      </c>
      <c r="D375" s="172" t="s">
        <v>83</v>
      </c>
      <c r="E375" s="172" t="s">
        <v>53</v>
      </c>
      <c r="F375" s="172" t="s">
        <v>91</v>
      </c>
      <c r="G375" s="172" t="s">
        <v>85</v>
      </c>
      <c r="H375" s="177">
        <v>1</v>
      </c>
      <c r="I375" s="178">
        <v>0</v>
      </c>
      <c r="J375" s="176">
        <v>46026</v>
      </c>
      <c r="K375" s="172" t="s">
        <v>86</v>
      </c>
      <c r="L375" s="172" t="s">
        <v>86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748</v>
      </c>
      <c r="B376" s="176">
        <v>46026</v>
      </c>
      <c r="C376" s="172" t="s">
        <v>93</v>
      </c>
      <c r="D376" s="172" t="s">
        <v>24</v>
      </c>
      <c r="E376" s="172" t="s">
        <v>39</v>
      </c>
      <c r="F376" s="172" t="s">
        <v>88</v>
      </c>
      <c r="G376" s="172" t="s">
        <v>85</v>
      </c>
      <c r="H376" s="177">
        <v>1</v>
      </c>
      <c r="I376" s="178">
        <v>1650</v>
      </c>
      <c r="J376" s="176">
        <v>46023</v>
      </c>
      <c r="K376" s="172" t="s">
        <v>94</v>
      </c>
      <c r="L376" s="172" t="s">
        <v>95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748</v>
      </c>
      <c r="B377" s="176">
        <v>46026</v>
      </c>
      <c r="C377" s="172" t="s">
        <v>101</v>
      </c>
      <c r="D377" s="172" t="s">
        <v>102</v>
      </c>
      <c r="E377" s="172" t="s">
        <v>39</v>
      </c>
      <c r="F377" s="172" t="s">
        <v>88</v>
      </c>
      <c r="G377" s="172" t="s">
        <v>85</v>
      </c>
      <c r="H377" s="177">
        <v>1</v>
      </c>
      <c r="I377" s="178">
        <v>1650</v>
      </c>
      <c r="J377" s="176">
        <v>46023</v>
      </c>
      <c r="K377" s="172" t="s">
        <v>94</v>
      </c>
      <c r="L377" s="172" t="s">
        <v>95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748</v>
      </c>
      <c r="B378" s="176">
        <v>46026</v>
      </c>
      <c r="C378" s="172" t="s">
        <v>101</v>
      </c>
      <c r="D378" s="172" t="s">
        <v>103</v>
      </c>
      <c r="E378" s="172" t="s">
        <v>39</v>
      </c>
      <c r="F378" s="172" t="s">
        <v>88</v>
      </c>
      <c r="G378" s="172" t="s">
        <v>85</v>
      </c>
      <c r="H378" s="177">
        <v>1</v>
      </c>
      <c r="I378" s="178">
        <v>1650</v>
      </c>
      <c r="J378" s="176">
        <v>46023</v>
      </c>
      <c r="K378" s="172" t="s">
        <v>94</v>
      </c>
      <c r="L378" s="172" t="s">
        <v>95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748</v>
      </c>
      <c r="B379" s="176">
        <v>46026</v>
      </c>
      <c r="C379" s="172" t="s">
        <v>101</v>
      </c>
      <c r="D379" s="172" t="s">
        <v>104</v>
      </c>
      <c r="E379" s="172" t="s">
        <v>39</v>
      </c>
      <c r="F379" s="172" t="s">
        <v>88</v>
      </c>
      <c r="G379" s="172" t="s">
        <v>85</v>
      </c>
      <c r="H379" s="177">
        <v>1</v>
      </c>
      <c r="I379" s="178">
        <v>1650</v>
      </c>
      <c r="J379" s="176">
        <v>46023</v>
      </c>
      <c r="K379" s="172" t="s">
        <v>94</v>
      </c>
      <c r="L379" s="172" t="s">
        <v>95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748</v>
      </c>
      <c r="B380" s="176">
        <v>46026</v>
      </c>
      <c r="C380" s="172" t="s">
        <v>105</v>
      </c>
      <c r="D380" s="172" t="s">
        <v>106</v>
      </c>
      <c r="E380" s="172" t="s">
        <v>39</v>
      </c>
      <c r="F380" s="172" t="s">
        <v>88</v>
      </c>
      <c r="G380" s="172" t="s">
        <v>85</v>
      </c>
      <c r="H380" s="177">
        <v>1</v>
      </c>
      <c r="I380" s="178">
        <v>1650</v>
      </c>
      <c r="J380" s="176">
        <v>46023</v>
      </c>
      <c r="K380" s="172" t="s">
        <v>94</v>
      </c>
      <c r="L380" s="172" t="s">
        <v>95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748</v>
      </c>
      <c r="B381" s="176">
        <v>46026</v>
      </c>
      <c r="C381" s="172" t="s">
        <v>82</v>
      </c>
      <c r="D381" s="172" t="s">
        <v>96</v>
      </c>
      <c r="E381" s="172" t="s">
        <v>39</v>
      </c>
      <c r="F381" s="172" t="s">
        <v>88</v>
      </c>
      <c r="G381" s="172" t="s">
        <v>85</v>
      </c>
      <c r="H381" s="177">
        <v>1</v>
      </c>
      <c r="I381" s="178">
        <v>1650</v>
      </c>
      <c r="J381" s="176">
        <v>46023</v>
      </c>
      <c r="K381" s="172" t="s">
        <v>94</v>
      </c>
      <c r="L381" s="172" t="s">
        <v>95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749</v>
      </c>
      <c r="B382" s="176">
        <v>46026</v>
      </c>
      <c r="C382" s="172" t="s">
        <v>82</v>
      </c>
      <c r="D382" s="172" t="s">
        <v>83</v>
      </c>
      <c r="E382" s="172" t="s">
        <v>54</v>
      </c>
      <c r="F382" s="172" t="s">
        <v>121</v>
      </c>
      <c r="G382" s="172" t="s">
        <v>85</v>
      </c>
      <c r="H382" s="177">
        <v>1</v>
      </c>
      <c r="I382" s="178">
        <v>0</v>
      </c>
      <c r="J382" s="176">
        <v>46026</v>
      </c>
      <c r="K382" s="172" t="s">
        <v>86</v>
      </c>
      <c r="L382" s="172" t="s">
        <v>86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750</v>
      </c>
      <c r="B383" s="176">
        <v>46026</v>
      </c>
      <c r="C383" s="172" t="s">
        <v>93</v>
      </c>
      <c r="D383" s="172" t="s">
        <v>24</v>
      </c>
      <c r="E383" s="172" t="s">
        <v>54</v>
      </c>
      <c r="F383" s="172" t="s">
        <v>121</v>
      </c>
      <c r="G383" s="172" t="s">
        <v>85</v>
      </c>
      <c r="H383" s="177">
        <v>1</v>
      </c>
      <c r="I383" s="178">
        <v>1845</v>
      </c>
      <c r="J383" s="176">
        <v>46024</v>
      </c>
      <c r="K383" s="172" t="s">
        <v>94</v>
      </c>
      <c r="L383" s="172" t="s">
        <v>95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750</v>
      </c>
      <c r="B384" s="176">
        <v>46026</v>
      </c>
      <c r="C384" s="172" t="s">
        <v>101</v>
      </c>
      <c r="D384" s="172" t="s">
        <v>102</v>
      </c>
      <c r="E384" s="172" t="s">
        <v>54</v>
      </c>
      <c r="F384" s="172" t="s">
        <v>121</v>
      </c>
      <c r="G384" s="172" t="s">
        <v>85</v>
      </c>
      <c r="H384" s="177">
        <v>1</v>
      </c>
      <c r="I384" s="178">
        <v>1845</v>
      </c>
      <c r="J384" s="176">
        <v>46024</v>
      </c>
      <c r="K384" s="172" t="s">
        <v>94</v>
      </c>
      <c r="L384" s="172" t="s">
        <v>95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750</v>
      </c>
      <c r="B385" s="176">
        <v>46026</v>
      </c>
      <c r="C385" s="172" t="s">
        <v>101</v>
      </c>
      <c r="D385" s="172" t="s">
        <v>103</v>
      </c>
      <c r="E385" s="172" t="s">
        <v>54</v>
      </c>
      <c r="F385" s="172" t="s">
        <v>121</v>
      </c>
      <c r="G385" s="172" t="s">
        <v>85</v>
      </c>
      <c r="H385" s="177">
        <v>1</v>
      </c>
      <c r="I385" s="178">
        <v>1845</v>
      </c>
      <c r="J385" s="176">
        <v>46024</v>
      </c>
      <c r="K385" s="172" t="s">
        <v>94</v>
      </c>
      <c r="L385" s="172" t="s">
        <v>95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750</v>
      </c>
      <c r="B386" s="176">
        <v>46026</v>
      </c>
      <c r="C386" s="172" t="s">
        <v>101</v>
      </c>
      <c r="D386" s="172" t="s">
        <v>104</v>
      </c>
      <c r="E386" s="172" t="s">
        <v>54</v>
      </c>
      <c r="F386" s="172" t="s">
        <v>121</v>
      </c>
      <c r="G386" s="172" t="s">
        <v>85</v>
      </c>
      <c r="H386" s="177">
        <v>1</v>
      </c>
      <c r="I386" s="178">
        <v>1845</v>
      </c>
      <c r="J386" s="176">
        <v>46024</v>
      </c>
      <c r="K386" s="172" t="s">
        <v>94</v>
      </c>
      <c r="L386" s="172" t="s">
        <v>95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750</v>
      </c>
      <c r="B387" s="176">
        <v>46026</v>
      </c>
      <c r="C387" s="172" t="s">
        <v>105</v>
      </c>
      <c r="D387" s="172" t="s">
        <v>106</v>
      </c>
      <c r="E387" s="172" t="s">
        <v>54</v>
      </c>
      <c r="F387" s="172" t="s">
        <v>121</v>
      </c>
      <c r="G387" s="172" t="s">
        <v>85</v>
      </c>
      <c r="H387" s="177">
        <v>1</v>
      </c>
      <c r="I387" s="178">
        <v>1845</v>
      </c>
      <c r="J387" s="176">
        <v>46024</v>
      </c>
      <c r="K387" s="172" t="s">
        <v>94</v>
      </c>
      <c r="L387" s="172" t="s">
        <v>95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750</v>
      </c>
      <c r="B388" s="176">
        <v>46026</v>
      </c>
      <c r="C388" s="172" t="s">
        <v>82</v>
      </c>
      <c r="D388" s="172" t="s">
        <v>96</v>
      </c>
      <c r="E388" s="172" t="s">
        <v>54</v>
      </c>
      <c r="F388" s="172" t="s">
        <v>121</v>
      </c>
      <c r="G388" s="172" t="s">
        <v>85</v>
      </c>
      <c r="H388" s="177">
        <v>1</v>
      </c>
      <c r="I388" s="178">
        <v>1845</v>
      </c>
      <c r="J388" s="176">
        <v>46024</v>
      </c>
      <c r="K388" s="172" t="s">
        <v>94</v>
      </c>
      <c r="L388" s="172" t="s">
        <v>95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750</v>
      </c>
      <c r="B389" s="176">
        <v>46026</v>
      </c>
      <c r="C389" s="172" t="s">
        <v>82</v>
      </c>
      <c r="D389" s="172" t="s">
        <v>83</v>
      </c>
      <c r="E389" s="172" t="s">
        <v>54</v>
      </c>
      <c r="F389" s="172" t="s">
        <v>121</v>
      </c>
      <c r="G389" s="172" t="s">
        <v>85</v>
      </c>
      <c r="H389" s="177">
        <v>1</v>
      </c>
      <c r="I389" s="178">
        <v>0</v>
      </c>
      <c r="J389" s="176">
        <v>46024</v>
      </c>
      <c r="K389" s="172" t="s">
        <v>86</v>
      </c>
      <c r="L389" s="172" t="s">
        <v>86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751</v>
      </c>
      <c r="B390" s="176">
        <v>46026</v>
      </c>
      <c r="C390" s="172" t="s">
        <v>93</v>
      </c>
      <c r="D390" s="172" t="s">
        <v>24</v>
      </c>
      <c r="E390" s="172" t="s">
        <v>53</v>
      </c>
      <c r="F390" s="172" t="s">
        <v>91</v>
      </c>
      <c r="G390" s="172" t="s">
        <v>85</v>
      </c>
      <c r="H390" s="177">
        <v>1</v>
      </c>
      <c r="I390" s="178">
        <v>0</v>
      </c>
      <c r="J390" s="176">
        <v>46018</v>
      </c>
      <c r="K390" s="172" t="s">
        <v>94</v>
      </c>
      <c r="L390" s="172" t="s">
        <v>95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751</v>
      </c>
      <c r="B391" s="176">
        <v>46026</v>
      </c>
      <c r="C391" s="172" t="s">
        <v>82</v>
      </c>
      <c r="D391" s="172" t="s">
        <v>96</v>
      </c>
      <c r="E391" s="172" t="s">
        <v>53</v>
      </c>
      <c r="F391" s="172" t="s">
        <v>91</v>
      </c>
      <c r="G391" s="172" t="s">
        <v>85</v>
      </c>
      <c r="H391" s="177">
        <v>1</v>
      </c>
      <c r="I391" s="178">
        <v>0</v>
      </c>
      <c r="J391" s="176">
        <v>46018</v>
      </c>
      <c r="K391" s="172" t="s">
        <v>94</v>
      </c>
      <c r="L391" s="172" t="s">
        <v>95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751</v>
      </c>
      <c r="B392" s="176">
        <v>46026</v>
      </c>
      <c r="C392" s="172" t="s">
        <v>93</v>
      </c>
      <c r="D392" s="172" t="s">
        <v>97</v>
      </c>
      <c r="E392" s="172" t="s">
        <v>53</v>
      </c>
      <c r="F392" s="172" t="s">
        <v>91</v>
      </c>
      <c r="G392" s="172" t="s">
        <v>85</v>
      </c>
      <c r="H392" s="177">
        <v>1</v>
      </c>
      <c r="I392" s="178">
        <v>0</v>
      </c>
      <c r="J392" s="176">
        <v>46018</v>
      </c>
      <c r="K392" s="172" t="s">
        <v>94</v>
      </c>
      <c r="L392" s="172" t="s">
        <v>95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751</v>
      </c>
      <c r="B393" s="176">
        <v>46026</v>
      </c>
      <c r="C393" s="172" t="s">
        <v>93</v>
      </c>
      <c r="D393" s="172" t="s">
        <v>98</v>
      </c>
      <c r="E393" s="172" t="s">
        <v>53</v>
      </c>
      <c r="F393" s="172" t="s">
        <v>91</v>
      </c>
      <c r="G393" s="172" t="s">
        <v>85</v>
      </c>
      <c r="H393" s="177">
        <v>1</v>
      </c>
      <c r="I393" s="178">
        <v>0</v>
      </c>
      <c r="J393" s="176">
        <v>46018</v>
      </c>
      <c r="K393" s="172" t="s">
        <v>94</v>
      </c>
      <c r="L393" s="172" t="s">
        <v>95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751</v>
      </c>
      <c r="B394" s="176">
        <v>46026</v>
      </c>
      <c r="C394" s="172" t="s">
        <v>82</v>
      </c>
      <c r="D394" s="172" t="s">
        <v>99</v>
      </c>
      <c r="E394" s="172" t="s">
        <v>53</v>
      </c>
      <c r="F394" s="172" t="s">
        <v>91</v>
      </c>
      <c r="G394" s="172" t="s">
        <v>85</v>
      </c>
      <c r="H394" s="177">
        <v>1</v>
      </c>
      <c r="I394" s="178">
        <v>0</v>
      </c>
      <c r="J394" s="176">
        <v>46018</v>
      </c>
      <c r="K394" s="172" t="s">
        <v>94</v>
      </c>
      <c r="L394" s="172" t="s">
        <v>95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752</v>
      </c>
      <c r="B395" s="176">
        <v>46026</v>
      </c>
      <c r="C395" s="172" t="s">
        <v>82</v>
      </c>
      <c r="D395" s="172" t="s">
        <v>83</v>
      </c>
      <c r="E395" s="172" t="s">
        <v>40</v>
      </c>
      <c r="F395" s="172" t="s">
        <v>118</v>
      </c>
      <c r="G395" s="172" t="s">
        <v>85</v>
      </c>
      <c r="H395" s="177">
        <v>1</v>
      </c>
      <c r="I395" s="178">
        <v>0</v>
      </c>
      <c r="J395" s="176">
        <v>46026</v>
      </c>
      <c r="K395" s="172" t="s">
        <v>86</v>
      </c>
      <c r="L395" s="172" t="s">
        <v>86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753</v>
      </c>
      <c r="B396" s="176">
        <v>46026</v>
      </c>
      <c r="C396" s="172" t="s">
        <v>82</v>
      </c>
      <c r="D396" s="172" t="s">
        <v>83</v>
      </c>
      <c r="E396" s="172" t="s">
        <v>43</v>
      </c>
      <c r="F396" s="172" t="s">
        <v>90</v>
      </c>
      <c r="G396" s="172" t="s">
        <v>85</v>
      </c>
      <c r="H396" s="177">
        <v>1</v>
      </c>
      <c r="I396" s="178">
        <v>0</v>
      </c>
      <c r="J396" s="176">
        <v>46026</v>
      </c>
      <c r="K396" s="172" t="s">
        <v>86</v>
      </c>
      <c r="L396" s="172" t="s">
        <v>86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754</v>
      </c>
      <c r="B397" s="176">
        <v>46026</v>
      </c>
      <c r="C397" s="172" t="s">
        <v>82</v>
      </c>
      <c r="D397" s="172" t="s">
        <v>83</v>
      </c>
      <c r="E397" s="172" t="s">
        <v>54</v>
      </c>
      <c r="F397" s="172" t="s">
        <v>121</v>
      </c>
      <c r="G397" s="172" t="s">
        <v>85</v>
      </c>
      <c r="H397" s="177">
        <v>1</v>
      </c>
      <c r="I397" s="178">
        <v>0</v>
      </c>
      <c r="J397" s="176">
        <v>46026</v>
      </c>
      <c r="K397" s="172" t="s">
        <v>86</v>
      </c>
      <c r="L397" s="172" t="s">
        <v>86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460</v>
      </c>
      <c r="B398" s="176">
        <v>46026</v>
      </c>
      <c r="C398" s="172" t="s">
        <v>93</v>
      </c>
      <c r="D398" s="172" t="s">
        <v>24</v>
      </c>
      <c r="E398" s="172" t="s">
        <v>54</v>
      </c>
      <c r="F398" s="172" t="s">
        <v>121</v>
      </c>
      <c r="G398" s="172" t="s">
        <v>85</v>
      </c>
      <c r="H398" s="177">
        <v>1</v>
      </c>
      <c r="I398" s="178">
        <v>1845</v>
      </c>
      <c r="J398" s="176">
        <v>46023</v>
      </c>
      <c r="K398" s="172" t="s">
        <v>94</v>
      </c>
      <c r="L398" s="172" t="s">
        <v>95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460</v>
      </c>
      <c r="B399" s="176">
        <v>46026</v>
      </c>
      <c r="C399" s="172" t="s">
        <v>101</v>
      </c>
      <c r="D399" s="172" t="s">
        <v>102</v>
      </c>
      <c r="E399" s="172" t="s">
        <v>54</v>
      </c>
      <c r="F399" s="172" t="s">
        <v>121</v>
      </c>
      <c r="G399" s="172" t="s">
        <v>85</v>
      </c>
      <c r="H399" s="177">
        <v>1</v>
      </c>
      <c r="I399" s="178">
        <v>1845</v>
      </c>
      <c r="J399" s="176">
        <v>46023</v>
      </c>
      <c r="K399" s="172" t="s">
        <v>94</v>
      </c>
      <c r="L399" s="172" t="s">
        <v>95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460</v>
      </c>
      <c r="B400" s="176">
        <v>46026</v>
      </c>
      <c r="C400" s="172" t="s">
        <v>101</v>
      </c>
      <c r="D400" s="172" t="s">
        <v>103</v>
      </c>
      <c r="E400" s="172" t="s">
        <v>54</v>
      </c>
      <c r="F400" s="172" t="s">
        <v>121</v>
      </c>
      <c r="G400" s="172" t="s">
        <v>85</v>
      </c>
      <c r="H400" s="177">
        <v>1</v>
      </c>
      <c r="I400" s="178">
        <v>1845</v>
      </c>
      <c r="J400" s="176">
        <v>46023</v>
      </c>
      <c r="K400" s="172" t="s">
        <v>94</v>
      </c>
      <c r="L400" s="172" t="s">
        <v>95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460</v>
      </c>
      <c r="B401" s="176">
        <v>46026</v>
      </c>
      <c r="C401" s="172" t="s">
        <v>101</v>
      </c>
      <c r="D401" s="172" t="s">
        <v>104</v>
      </c>
      <c r="E401" s="172" t="s">
        <v>54</v>
      </c>
      <c r="F401" s="172" t="s">
        <v>121</v>
      </c>
      <c r="G401" s="172" t="s">
        <v>85</v>
      </c>
      <c r="H401" s="177">
        <v>1</v>
      </c>
      <c r="I401" s="178">
        <v>1845</v>
      </c>
      <c r="J401" s="176">
        <v>46023</v>
      </c>
      <c r="K401" s="172" t="s">
        <v>94</v>
      </c>
      <c r="L401" s="172" t="s">
        <v>95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460</v>
      </c>
      <c r="B402" s="176">
        <v>46026</v>
      </c>
      <c r="C402" s="172" t="s">
        <v>105</v>
      </c>
      <c r="D402" s="172" t="s">
        <v>106</v>
      </c>
      <c r="E402" s="172" t="s">
        <v>54</v>
      </c>
      <c r="F402" s="172" t="s">
        <v>121</v>
      </c>
      <c r="G402" s="172" t="s">
        <v>85</v>
      </c>
      <c r="H402" s="177">
        <v>1</v>
      </c>
      <c r="I402" s="178">
        <v>1845</v>
      </c>
      <c r="J402" s="176">
        <v>46023</v>
      </c>
      <c r="K402" s="172" t="s">
        <v>94</v>
      </c>
      <c r="L402" s="172" t="s">
        <v>95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755</v>
      </c>
      <c r="B403" s="176">
        <v>46026</v>
      </c>
      <c r="C403" s="172" t="s">
        <v>93</v>
      </c>
      <c r="D403" s="172" t="s">
        <v>24</v>
      </c>
      <c r="E403" s="172" t="s">
        <v>54</v>
      </c>
      <c r="F403" s="172" t="s">
        <v>121</v>
      </c>
      <c r="G403" s="172" t="s">
        <v>85</v>
      </c>
      <c r="H403" s="177">
        <v>1</v>
      </c>
      <c r="I403" s="178">
        <v>1845</v>
      </c>
      <c r="J403" s="176">
        <v>46023</v>
      </c>
      <c r="K403" s="172" t="s">
        <v>94</v>
      </c>
      <c r="L403" s="172" t="s">
        <v>95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755</v>
      </c>
      <c r="B404" s="176">
        <v>46026</v>
      </c>
      <c r="C404" s="172" t="s">
        <v>101</v>
      </c>
      <c r="D404" s="172" t="s">
        <v>102</v>
      </c>
      <c r="E404" s="172" t="s">
        <v>54</v>
      </c>
      <c r="F404" s="172" t="s">
        <v>121</v>
      </c>
      <c r="G404" s="172" t="s">
        <v>85</v>
      </c>
      <c r="H404" s="177">
        <v>1</v>
      </c>
      <c r="I404" s="178">
        <v>1845</v>
      </c>
      <c r="J404" s="176">
        <v>46023</v>
      </c>
      <c r="K404" s="172" t="s">
        <v>94</v>
      </c>
      <c r="L404" s="172" t="s">
        <v>95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755</v>
      </c>
      <c r="B405" s="176">
        <v>46026</v>
      </c>
      <c r="C405" s="172" t="s">
        <v>101</v>
      </c>
      <c r="D405" s="172" t="s">
        <v>103</v>
      </c>
      <c r="E405" s="172" t="s">
        <v>54</v>
      </c>
      <c r="F405" s="172" t="s">
        <v>121</v>
      </c>
      <c r="G405" s="172" t="s">
        <v>85</v>
      </c>
      <c r="H405" s="177">
        <v>1</v>
      </c>
      <c r="I405" s="178">
        <v>1845</v>
      </c>
      <c r="J405" s="176">
        <v>46023</v>
      </c>
      <c r="K405" s="172" t="s">
        <v>94</v>
      </c>
      <c r="L405" s="172" t="s">
        <v>95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755</v>
      </c>
      <c r="B406" s="176">
        <v>46026</v>
      </c>
      <c r="C406" s="172" t="s">
        <v>101</v>
      </c>
      <c r="D406" s="172" t="s">
        <v>104</v>
      </c>
      <c r="E406" s="172" t="s">
        <v>54</v>
      </c>
      <c r="F406" s="172" t="s">
        <v>121</v>
      </c>
      <c r="G406" s="172" t="s">
        <v>85</v>
      </c>
      <c r="H406" s="177">
        <v>1</v>
      </c>
      <c r="I406" s="178">
        <v>1845</v>
      </c>
      <c r="J406" s="176">
        <v>46023</v>
      </c>
      <c r="K406" s="172" t="s">
        <v>94</v>
      </c>
      <c r="L406" s="172" t="s">
        <v>95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755</v>
      </c>
      <c r="B407" s="176">
        <v>46026</v>
      </c>
      <c r="C407" s="172" t="s">
        <v>105</v>
      </c>
      <c r="D407" s="172" t="s">
        <v>106</v>
      </c>
      <c r="E407" s="172" t="s">
        <v>54</v>
      </c>
      <c r="F407" s="172" t="s">
        <v>121</v>
      </c>
      <c r="G407" s="172" t="s">
        <v>85</v>
      </c>
      <c r="H407" s="177">
        <v>1</v>
      </c>
      <c r="I407" s="178">
        <v>1845</v>
      </c>
      <c r="J407" s="176">
        <v>46023</v>
      </c>
      <c r="K407" s="172" t="s">
        <v>94</v>
      </c>
      <c r="L407" s="172" t="s">
        <v>95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755</v>
      </c>
      <c r="B408" s="176">
        <v>46026</v>
      </c>
      <c r="C408" s="172" t="s">
        <v>82</v>
      </c>
      <c r="D408" s="172" t="s">
        <v>96</v>
      </c>
      <c r="E408" s="172" t="s">
        <v>54</v>
      </c>
      <c r="F408" s="172" t="s">
        <v>121</v>
      </c>
      <c r="G408" s="172" t="s">
        <v>85</v>
      </c>
      <c r="H408" s="177">
        <v>1</v>
      </c>
      <c r="I408" s="178">
        <v>1845</v>
      </c>
      <c r="J408" s="176">
        <v>46023</v>
      </c>
      <c r="K408" s="172" t="s">
        <v>94</v>
      </c>
      <c r="L408" s="172" t="s">
        <v>95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756</v>
      </c>
      <c r="B409" s="176">
        <v>46026</v>
      </c>
      <c r="C409" s="172" t="s">
        <v>93</v>
      </c>
      <c r="D409" s="172" t="s">
        <v>24</v>
      </c>
      <c r="E409" s="172" t="s">
        <v>44</v>
      </c>
      <c r="F409" s="172" t="s">
        <v>126</v>
      </c>
      <c r="G409" s="172" t="s">
        <v>85</v>
      </c>
      <c r="H409" s="177">
        <v>1</v>
      </c>
      <c r="I409" s="178">
        <v>0</v>
      </c>
      <c r="J409" s="176">
        <v>46021</v>
      </c>
      <c r="K409" s="172" t="s">
        <v>94</v>
      </c>
      <c r="L409" s="172" t="s">
        <v>95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757</v>
      </c>
      <c r="B410" s="176">
        <v>46026</v>
      </c>
      <c r="C410" s="172" t="s">
        <v>93</v>
      </c>
      <c r="D410" s="172" t="s">
        <v>24</v>
      </c>
      <c r="E410" s="172" t="s">
        <v>54</v>
      </c>
      <c r="F410" s="172" t="s">
        <v>121</v>
      </c>
      <c r="G410" s="172" t="s">
        <v>85</v>
      </c>
      <c r="H410" s="177">
        <v>1</v>
      </c>
      <c r="I410" s="178">
        <v>1845</v>
      </c>
      <c r="J410" s="176">
        <v>46023</v>
      </c>
      <c r="K410" s="172" t="s">
        <v>94</v>
      </c>
      <c r="L410" s="172" t="s">
        <v>95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757</v>
      </c>
      <c r="B411" s="176">
        <v>46026</v>
      </c>
      <c r="C411" s="172" t="s">
        <v>101</v>
      </c>
      <c r="D411" s="172" t="s">
        <v>102</v>
      </c>
      <c r="E411" s="172" t="s">
        <v>54</v>
      </c>
      <c r="F411" s="172" t="s">
        <v>121</v>
      </c>
      <c r="G411" s="172" t="s">
        <v>85</v>
      </c>
      <c r="H411" s="177">
        <v>1</v>
      </c>
      <c r="I411" s="178">
        <v>1845</v>
      </c>
      <c r="J411" s="176">
        <v>46023</v>
      </c>
      <c r="K411" s="172" t="s">
        <v>94</v>
      </c>
      <c r="L411" s="172" t="s">
        <v>95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757</v>
      </c>
      <c r="B412" s="176">
        <v>46026</v>
      </c>
      <c r="C412" s="172" t="s">
        <v>101</v>
      </c>
      <c r="D412" s="172" t="s">
        <v>103</v>
      </c>
      <c r="E412" s="172" t="s">
        <v>54</v>
      </c>
      <c r="F412" s="172" t="s">
        <v>121</v>
      </c>
      <c r="G412" s="172" t="s">
        <v>85</v>
      </c>
      <c r="H412" s="177">
        <v>1</v>
      </c>
      <c r="I412" s="178">
        <v>1845</v>
      </c>
      <c r="J412" s="176">
        <v>46023</v>
      </c>
      <c r="K412" s="172" t="s">
        <v>94</v>
      </c>
      <c r="L412" s="172" t="s">
        <v>95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757</v>
      </c>
      <c r="B413" s="176">
        <v>46026</v>
      </c>
      <c r="C413" s="172" t="s">
        <v>101</v>
      </c>
      <c r="D413" s="172" t="s">
        <v>104</v>
      </c>
      <c r="E413" s="172" t="s">
        <v>54</v>
      </c>
      <c r="F413" s="172" t="s">
        <v>121</v>
      </c>
      <c r="G413" s="172" t="s">
        <v>85</v>
      </c>
      <c r="H413" s="177">
        <v>1</v>
      </c>
      <c r="I413" s="178">
        <v>1845</v>
      </c>
      <c r="J413" s="176">
        <v>46023</v>
      </c>
      <c r="K413" s="172" t="s">
        <v>94</v>
      </c>
      <c r="L413" s="172" t="s">
        <v>95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757</v>
      </c>
      <c r="B414" s="176">
        <v>46026</v>
      </c>
      <c r="C414" s="172" t="s">
        <v>105</v>
      </c>
      <c r="D414" s="172" t="s">
        <v>106</v>
      </c>
      <c r="E414" s="172" t="s">
        <v>54</v>
      </c>
      <c r="F414" s="172" t="s">
        <v>121</v>
      </c>
      <c r="G414" s="172" t="s">
        <v>85</v>
      </c>
      <c r="H414" s="177">
        <v>1</v>
      </c>
      <c r="I414" s="178">
        <v>1845</v>
      </c>
      <c r="J414" s="176">
        <v>46023</v>
      </c>
      <c r="K414" s="172" t="s">
        <v>94</v>
      </c>
      <c r="L414" s="172" t="s">
        <v>95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757</v>
      </c>
      <c r="B415" s="176">
        <v>46026</v>
      </c>
      <c r="C415" s="172" t="s">
        <v>82</v>
      </c>
      <c r="D415" s="172" t="s">
        <v>96</v>
      </c>
      <c r="E415" s="172" t="s">
        <v>54</v>
      </c>
      <c r="F415" s="172" t="s">
        <v>121</v>
      </c>
      <c r="G415" s="172" t="s">
        <v>85</v>
      </c>
      <c r="H415" s="177">
        <v>1</v>
      </c>
      <c r="I415" s="178">
        <v>1845</v>
      </c>
      <c r="J415" s="176">
        <v>46023</v>
      </c>
      <c r="K415" s="172" t="s">
        <v>94</v>
      </c>
      <c r="L415" s="172" t="s">
        <v>95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757</v>
      </c>
      <c r="B416" s="176">
        <v>46026</v>
      </c>
      <c r="C416" s="172" t="s">
        <v>82</v>
      </c>
      <c r="D416" s="172" t="s">
        <v>83</v>
      </c>
      <c r="E416" s="172" t="s">
        <v>54</v>
      </c>
      <c r="F416" s="172" t="s">
        <v>121</v>
      </c>
      <c r="G416" s="172" t="s">
        <v>85</v>
      </c>
      <c r="H416" s="177">
        <v>1</v>
      </c>
      <c r="I416" s="178">
        <v>0</v>
      </c>
      <c r="J416" s="176">
        <v>46023</v>
      </c>
      <c r="K416" s="172" t="s">
        <v>86</v>
      </c>
      <c r="L416" s="172" t="s">
        <v>86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758</v>
      </c>
      <c r="B417" s="176">
        <v>46026</v>
      </c>
      <c r="C417" s="172" t="s">
        <v>93</v>
      </c>
      <c r="D417" s="172" t="s">
        <v>24</v>
      </c>
      <c r="E417" s="172" t="s">
        <v>42</v>
      </c>
      <c r="F417" s="172" t="s">
        <v>84</v>
      </c>
      <c r="G417" s="172" t="s">
        <v>85</v>
      </c>
      <c r="H417" s="177">
        <v>1</v>
      </c>
      <c r="I417" s="178">
        <v>1600</v>
      </c>
      <c r="J417" s="176">
        <v>46025</v>
      </c>
      <c r="K417" s="172" t="s">
        <v>94</v>
      </c>
      <c r="L417" s="172" t="s">
        <v>95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758</v>
      </c>
      <c r="B418" s="176">
        <v>46026</v>
      </c>
      <c r="C418" s="172" t="s">
        <v>101</v>
      </c>
      <c r="D418" s="172" t="s">
        <v>102</v>
      </c>
      <c r="E418" s="172" t="s">
        <v>42</v>
      </c>
      <c r="F418" s="172" t="s">
        <v>84</v>
      </c>
      <c r="G418" s="172" t="s">
        <v>85</v>
      </c>
      <c r="H418" s="177">
        <v>1</v>
      </c>
      <c r="I418" s="178">
        <v>1600</v>
      </c>
      <c r="J418" s="176">
        <v>46025</v>
      </c>
      <c r="K418" s="172" t="s">
        <v>94</v>
      </c>
      <c r="L418" s="172" t="s">
        <v>95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758</v>
      </c>
      <c r="B419" s="176">
        <v>46026</v>
      </c>
      <c r="C419" s="172" t="s">
        <v>101</v>
      </c>
      <c r="D419" s="172" t="s">
        <v>103</v>
      </c>
      <c r="E419" s="172" t="s">
        <v>42</v>
      </c>
      <c r="F419" s="172" t="s">
        <v>84</v>
      </c>
      <c r="G419" s="172" t="s">
        <v>85</v>
      </c>
      <c r="H419" s="177">
        <v>1</v>
      </c>
      <c r="I419" s="178">
        <v>1600</v>
      </c>
      <c r="J419" s="176">
        <v>46025</v>
      </c>
      <c r="K419" s="172" t="s">
        <v>94</v>
      </c>
      <c r="L419" s="172" t="s">
        <v>95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758</v>
      </c>
      <c r="B420" s="176">
        <v>46026</v>
      </c>
      <c r="C420" s="172" t="s">
        <v>101</v>
      </c>
      <c r="D420" s="172" t="s">
        <v>104</v>
      </c>
      <c r="E420" s="172" t="s">
        <v>42</v>
      </c>
      <c r="F420" s="172" t="s">
        <v>84</v>
      </c>
      <c r="G420" s="172" t="s">
        <v>85</v>
      </c>
      <c r="H420" s="177">
        <v>1</v>
      </c>
      <c r="I420" s="178">
        <v>1600</v>
      </c>
      <c r="J420" s="176">
        <v>46025</v>
      </c>
      <c r="K420" s="172" t="s">
        <v>94</v>
      </c>
      <c r="L420" s="172" t="s">
        <v>95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758</v>
      </c>
      <c r="B421" s="176">
        <v>46026</v>
      </c>
      <c r="C421" s="172" t="s">
        <v>105</v>
      </c>
      <c r="D421" s="172" t="s">
        <v>106</v>
      </c>
      <c r="E421" s="172" t="s">
        <v>42</v>
      </c>
      <c r="F421" s="172" t="s">
        <v>84</v>
      </c>
      <c r="G421" s="172" t="s">
        <v>85</v>
      </c>
      <c r="H421" s="177">
        <v>1</v>
      </c>
      <c r="I421" s="178">
        <v>1600</v>
      </c>
      <c r="J421" s="176">
        <v>46025</v>
      </c>
      <c r="K421" s="172" t="s">
        <v>94</v>
      </c>
      <c r="L421" s="172" t="s">
        <v>95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758</v>
      </c>
      <c r="B422" s="176">
        <v>46026</v>
      </c>
      <c r="C422" s="172" t="s">
        <v>82</v>
      </c>
      <c r="D422" s="172" t="s">
        <v>96</v>
      </c>
      <c r="E422" s="172" t="s">
        <v>42</v>
      </c>
      <c r="F422" s="172" t="s">
        <v>84</v>
      </c>
      <c r="G422" s="172" t="s">
        <v>85</v>
      </c>
      <c r="H422" s="177">
        <v>1</v>
      </c>
      <c r="I422" s="178">
        <v>1600</v>
      </c>
      <c r="J422" s="176">
        <v>46025</v>
      </c>
      <c r="K422" s="172" t="s">
        <v>94</v>
      </c>
      <c r="L422" s="172" t="s">
        <v>95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759</v>
      </c>
      <c r="B423" s="176">
        <v>46026</v>
      </c>
      <c r="C423" s="172" t="s">
        <v>93</v>
      </c>
      <c r="D423" s="172" t="s">
        <v>24</v>
      </c>
      <c r="E423" s="172" t="s">
        <v>53</v>
      </c>
      <c r="F423" s="172" t="s">
        <v>91</v>
      </c>
      <c r="G423" s="172" t="s">
        <v>85</v>
      </c>
      <c r="H423" s="177">
        <v>1</v>
      </c>
      <c r="I423" s="178">
        <v>1621</v>
      </c>
      <c r="J423" s="176">
        <v>46023</v>
      </c>
      <c r="K423" s="172" t="s">
        <v>94</v>
      </c>
      <c r="L423" s="172" t="s">
        <v>95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759</v>
      </c>
      <c r="B424" s="176">
        <v>46026</v>
      </c>
      <c r="C424" s="172" t="s">
        <v>101</v>
      </c>
      <c r="D424" s="172" t="s">
        <v>102</v>
      </c>
      <c r="E424" s="172" t="s">
        <v>53</v>
      </c>
      <c r="F424" s="172" t="s">
        <v>91</v>
      </c>
      <c r="G424" s="172" t="s">
        <v>85</v>
      </c>
      <c r="H424" s="177">
        <v>1</v>
      </c>
      <c r="I424" s="178">
        <v>1621</v>
      </c>
      <c r="J424" s="176">
        <v>46023</v>
      </c>
      <c r="K424" s="172" t="s">
        <v>94</v>
      </c>
      <c r="L424" s="172" t="s">
        <v>95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759</v>
      </c>
      <c r="B425" s="176">
        <v>46026</v>
      </c>
      <c r="C425" s="172" t="s">
        <v>101</v>
      </c>
      <c r="D425" s="172" t="s">
        <v>103</v>
      </c>
      <c r="E425" s="172" t="s">
        <v>53</v>
      </c>
      <c r="F425" s="172" t="s">
        <v>91</v>
      </c>
      <c r="G425" s="172" t="s">
        <v>85</v>
      </c>
      <c r="H425" s="177">
        <v>1</v>
      </c>
      <c r="I425" s="178">
        <v>1621</v>
      </c>
      <c r="J425" s="176">
        <v>46023</v>
      </c>
      <c r="K425" s="172" t="s">
        <v>94</v>
      </c>
      <c r="L425" s="172" t="s">
        <v>95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759</v>
      </c>
      <c r="B426" s="176">
        <v>46026</v>
      </c>
      <c r="C426" s="172" t="s">
        <v>101</v>
      </c>
      <c r="D426" s="172" t="s">
        <v>104</v>
      </c>
      <c r="E426" s="172" t="s">
        <v>53</v>
      </c>
      <c r="F426" s="172" t="s">
        <v>91</v>
      </c>
      <c r="G426" s="172" t="s">
        <v>85</v>
      </c>
      <c r="H426" s="177">
        <v>1</v>
      </c>
      <c r="I426" s="178">
        <v>1621</v>
      </c>
      <c r="J426" s="176">
        <v>46023</v>
      </c>
      <c r="K426" s="172" t="s">
        <v>94</v>
      </c>
      <c r="L426" s="172" t="s">
        <v>95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759</v>
      </c>
      <c r="B427" s="176">
        <v>46026</v>
      </c>
      <c r="C427" s="172" t="s">
        <v>105</v>
      </c>
      <c r="D427" s="172" t="s">
        <v>106</v>
      </c>
      <c r="E427" s="172" t="s">
        <v>53</v>
      </c>
      <c r="F427" s="172" t="s">
        <v>91</v>
      </c>
      <c r="G427" s="172" t="s">
        <v>85</v>
      </c>
      <c r="H427" s="177">
        <v>1</v>
      </c>
      <c r="I427" s="178">
        <v>1621</v>
      </c>
      <c r="J427" s="176">
        <v>46023</v>
      </c>
      <c r="K427" s="172" t="s">
        <v>94</v>
      </c>
      <c r="L427" s="172" t="s">
        <v>95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759</v>
      </c>
      <c r="B428" s="176">
        <v>46026</v>
      </c>
      <c r="C428" s="172" t="s">
        <v>82</v>
      </c>
      <c r="D428" s="172" t="s">
        <v>96</v>
      </c>
      <c r="E428" s="172" t="s">
        <v>53</v>
      </c>
      <c r="F428" s="172" t="s">
        <v>91</v>
      </c>
      <c r="G428" s="172" t="s">
        <v>85</v>
      </c>
      <c r="H428" s="177">
        <v>1</v>
      </c>
      <c r="I428" s="178">
        <v>1621</v>
      </c>
      <c r="J428" s="176">
        <v>46023</v>
      </c>
      <c r="K428" s="172" t="s">
        <v>94</v>
      </c>
      <c r="L428" s="172" t="s">
        <v>95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760</v>
      </c>
      <c r="B429" s="176">
        <v>46026</v>
      </c>
      <c r="C429" s="172" t="s">
        <v>93</v>
      </c>
      <c r="D429" s="172" t="s">
        <v>24</v>
      </c>
      <c r="E429" s="172" t="s">
        <v>42</v>
      </c>
      <c r="F429" s="172" t="s">
        <v>84</v>
      </c>
      <c r="G429" s="172" t="s">
        <v>85</v>
      </c>
      <c r="H429" s="177">
        <v>1</v>
      </c>
      <c r="I429" s="178">
        <v>1600</v>
      </c>
      <c r="J429" s="176">
        <v>46019</v>
      </c>
      <c r="K429" s="172" t="s">
        <v>94</v>
      </c>
      <c r="L429" s="172" t="s">
        <v>95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760</v>
      </c>
      <c r="B430" s="176">
        <v>46026</v>
      </c>
      <c r="C430" s="172" t="s">
        <v>101</v>
      </c>
      <c r="D430" s="172" t="s">
        <v>102</v>
      </c>
      <c r="E430" s="172" t="s">
        <v>42</v>
      </c>
      <c r="F430" s="172" t="s">
        <v>84</v>
      </c>
      <c r="G430" s="172" t="s">
        <v>85</v>
      </c>
      <c r="H430" s="177">
        <v>1</v>
      </c>
      <c r="I430" s="178">
        <v>1600</v>
      </c>
      <c r="J430" s="176">
        <v>46019</v>
      </c>
      <c r="K430" s="172" t="s">
        <v>94</v>
      </c>
      <c r="L430" s="172" t="s">
        <v>95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760</v>
      </c>
      <c r="B431" s="176">
        <v>46026</v>
      </c>
      <c r="C431" s="172" t="s">
        <v>101</v>
      </c>
      <c r="D431" s="172" t="s">
        <v>103</v>
      </c>
      <c r="E431" s="172" t="s">
        <v>42</v>
      </c>
      <c r="F431" s="172" t="s">
        <v>84</v>
      </c>
      <c r="G431" s="172" t="s">
        <v>85</v>
      </c>
      <c r="H431" s="177">
        <v>1</v>
      </c>
      <c r="I431" s="178">
        <v>1600</v>
      </c>
      <c r="J431" s="176">
        <v>46019</v>
      </c>
      <c r="K431" s="172" t="s">
        <v>94</v>
      </c>
      <c r="L431" s="172" t="s">
        <v>95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760</v>
      </c>
      <c r="B432" s="176">
        <v>46026</v>
      </c>
      <c r="C432" s="172" t="s">
        <v>101</v>
      </c>
      <c r="D432" s="172" t="s">
        <v>104</v>
      </c>
      <c r="E432" s="172" t="s">
        <v>42</v>
      </c>
      <c r="F432" s="172" t="s">
        <v>84</v>
      </c>
      <c r="G432" s="172" t="s">
        <v>85</v>
      </c>
      <c r="H432" s="177">
        <v>1</v>
      </c>
      <c r="I432" s="178">
        <v>1600</v>
      </c>
      <c r="J432" s="176">
        <v>46019</v>
      </c>
      <c r="K432" s="172" t="s">
        <v>94</v>
      </c>
      <c r="L432" s="172" t="s">
        <v>95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760</v>
      </c>
      <c r="B433" s="176">
        <v>46026</v>
      </c>
      <c r="C433" s="172" t="s">
        <v>105</v>
      </c>
      <c r="D433" s="172" t="s">
        <v>106</v>
      </c>
      <c r="E433" s="172" t="s">
        <v>42</v>
      </c>
      <c r="F433" s="172" t="s">
        <v>84</v>
      </c>
      <c r="G433" s="172" t="s">
        <v>85</v>
      </c>
      <c r="H433" s="177">
        <v>1</v>
      </c>
      <c r="I433" s="178">
        <v>1600</v>
      </c>
      <c r="J433" s="176">
        <v>46019</v>
      </c>
      <c r="K433" s="172" t="s">
        <v>94</v>
      </c>
      <c r="L433" s="172" t="s">
        <v>95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760</v>
      </c>
      <c r="B434" s="176">
        <v>46026</v>
      </c>
      <c r="C434" s="172" t="s">
        <v>82</v>
      </c>
      <c r="D434" s="172" t="s">
        <v>96</v>
      </c>
      <c r="E434" s="172" t="s">
        <v>42</v>
      </c>
      <c r="F434" s="172" t="s">
        <v>84</v>
      </c>
      <c r="G434" s="172" t="s">
        <v>85</v>
      </c>
      <c r="H434" s="177">
        <v>1</v>
      </c>
      <c r="I434" s="178">
        <v>1600</v>
      </c>
      <c r="J434" s="176">
        <v>46019</v>
      </c>
      <c r="K434" s="172" t="s">
        <v>94</v>
      </c>
      <c r="L434" s="172" t="s">
        <v>95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758</v>
      </c>
      <c r="B435" s="176">
        <v>46026</v>
      </c>
      <c r="C435" s="172" t="s">
        <v>82</v>
      </c>
      <c r="D435" s="172" t="s">
        <v>83</v>
      </c>
      <c r="E435" s="172" t="s">
        <v>42</v>
      </c>
      <c r="F435" s="172" t="s">
        <v>84</v>
      </c>
      <c r="G435" s="172" t="s">
        <v>85</v>
      </c>
      <c r="H435" s="177">
        <v>1</v>
      </c>
      <c r="I435" s="178">
        <v>0</v>
      </c>
      <c r="J435" s="176">
        <v>46025</v>
      </c>
      <c r="K435" s="172" t="s">
        <v>86</v>
      </c>
      <c r="L435" s="172" t="s">
        <v>86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761</v>
      </c>
      <c r="B436" s="176">
        <v>46026</v>
      </c>
      <c r="C436" s="172" t="s">
        <v>93</v>
      </c>
      <c r="D436" s="172" t="s">
        <v>24</v>
      </c>
      <c r="E436" s="172" t="s">
        <v>44</v>
      </c>
      <c r="F436" s="172" t="s">
        <v>126</v>
      </c>
      <c r="G436" s="172" t="s">
        <v>85</v>
      </c>
      <c r="H436" s="177">
        <v>1</v>
      </c>
      <c r="I436" s="178">
        <v>1202</v>
      </c>
      <c r="J436" s="176">
        <v>46025</v>
      </c>
      <c r="K436" s="172" t="s">
        <v>94</v>
      </c>
      <c r="L436" s="172" t="s">
        <v>95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761</v>
      </c>
      <c r="B437" s="176">
        <v>46026</v>
      </c>
      <c r="C437" s="172" t="s">
        <v>101</v>
      </c>
      <c r="D437" s="172" t="s">
        <v>102</v>
      </c>
      <c r="E437" s="172" t="s">
        <v>44</v>
      </c>
      <c r="F437" s="172" t="s">
        <v>126</v>
      </c>
      <c r="G437" s="172" t="s">
        <v>85</v>
      </c>
      <c r="H437" s="177">
        <v>1</v>
      </c>
      <c r="I437" s="178">
        <v>1202</v>
      </c>
      <c r="J437" s="176">
        <v>46025</v>
      </c>
      <c r="K437" s="172" t="s">
        <v>94</v>
      </c>
      <c r="L437" s="172" t="s">
        <v>95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761</v>
      </c>
      <c r="B438" s="176">
        <v>46026</v>
      </c>
      <c r="C438" s="172" t="s">
        <v>101</v>
      </c>
      <c r="D438" s="172" t="s">
        <v>103</v>
      </c>
      <c r="E438" s="172" t="s">
        <v>44</v>
      </c>
      <c r="F438" s="172" t="s">
        <v>126</v>
      </c>
      <c r="G438" s="172" t="s">
        <v>85</v>
      </c>
      <c r="H438" s="177">
        <v>1</v>
      </c>
      <c r="I438" s="178">
        <v>1202</v>
      </c>
      <c r="J438" s="176">
        <v>46025</v>
      </c>
      <c r="K438" s="172" t="s">
        <v>94</v>
      </c>
      <c r="L438" s="172" t="s">
        <v>95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761</v>
      </c>
      <c r="B439" s="176">
        <v>46026</v>
      </c>
      <c r="C439" s="172" t="s">
        <v>101</v>
      </c>
      <c r="D439" s="172" t="s">
        <v>104</v>
      </c>
      <c r="E439" s="172" t="s">
        <v>44</v>
      </c>
      <c r="F439" s="172" t="s">
        <v>126</v>
      </c>
      <c r="G439" s="172" t="s">
        <v>85</v>
      </c>
      <c r="H439" s="177">
        <v>1</v>
      </c>
      <c r="I439" s="178">
        <v>1202</v>
      </c>
      <c r="J439" s="176">
        <v>46025</v>
      </c>
      <c r="K439" s="172" t="s">
        <v>94</v>
      </c>
      <c r="L439" s="172" t="s">
        <v>95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761</v>
      </c>
      <c r="B440" s="176">
        <v>46026</v>
      </c>
      <c r="C440" s="172" t="s">
        <v>105</v>
      </c>
      <c r="D440" s="172" t="s">
        <v>106</v>
      </c>
      <c r="E440" s="172" t="s">
        <v>44</v>
      </c>
      <c r="F440" s="172" t="s">
        <v>126</v>
      </c>
      <c r="G440" s="172" t="s">
        <v>85</v>
      </c>
      <c r="H440" s="177">
        <v>1</v>
      </c>
      <c r="I440" s="178">
        <v>1202</v>
      </c>
      <c r="J440" s="176">
        <v>46025</v>
      </c>
      <c r="K440" s="172" t="s">
        <v>94</v>
      </c>
      <c r="L440" s="172" t="s">
        <v>95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761</v>
      </c>
      <c r="B441" s="176">
        <v>46026</v>
      </c>
      <c r="C441" s="172" t="s">
        <v>82</v>
      </c>
      <c r="D441" s="172" t="s">
        <v>96</v>
      </c>
      <c r="E441" s="172" t="s">
        <v>44</v>
      </c>
      <c r="F441" s="172" t="s">
        <v>126</v>
      </c>
      <c r="G441" s="172" t="s">
        <v>85</v>
      </c>
      <c r="H441" s="177">
        <v>1</v>
      </c>
      <c r="I441" s="178">
        <v>1202</v>
      </c>
      <c r="J441" s="176">
        <v>46025</v>
      </c>
      <c r="K441" s="172" t="s">
        <v>94</v>
      </c>
      <c r="L441" s="172" t="s">
        <v>95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760</v>
      </c>
      <c r="B442" s="176">
        <v>46026</v>
      </c>
      <c r="C442" s="172" t="s">
        <v>82</v>
      </c>
      <c r="D442" s="172" t="s">
        <v>83</v>
      </c>
      <c r="E442" s="172" t="s">
        <v>42</v>
      </c>
      <c r="F442" s="172" t="s">
        <v>84</v>
      </c>
      <c r="G442" s="172" t="s">
        <v>85</v>
      </c>
      <c r="H442" s="177">
        <v>1</v>
      </c>
      <c r="I442" s="178">
        <v>0</v>
      </c>
      <c r="J442" s="176">
        <v>46019</v>
      </c>
      <c r="K442" s="172" t="s">
        <v>86</v>
      </c>
      <c r="L442" s="172" t="s">
        <v>86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762</v>
      </c>
      <c r="B443" s="176">
        <v>46026</v>
      </c>
      <c r="C443" s="172" t="s">
        <v>93</v>
      </c>
      <c r="D443" s="172" t="s">
        <v>24</v>
      </c>
      <c r="E443" s="172" t="s">
        <v>53</v>
      </c>
      <c r="F443" s="172" t="s">
        <v>91</v>
      </c>
      <c r="G443" s="172" t="s">
        <v>85</v>
      </c>
      <c r="H443" s="177">
        <v>1</v>
      </c>
      <c r="I443" s="178">
        <v>1621</v>
      </c>
      <c r="J443" s="176">
        <v>46025</v>
      </c>
      <c r="K443" s="172" t="s">
        <v>94</v>
      </c>
      <c r="L443" s="172" t="s">
        <v>95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762</v>
      </c>
      <c r="B444" s="176">
        <v>46026</v>
      </c>
      <c r="C444" s="172" t="s">
        <v>101</v>
      </c>
      <c r="D444" s="172" t="s">
        <v>102</v>
      </c>
      <c r="E444" s="172" t="s">
        <v>53</v>
      </c>
      <c r="F444" s="172" t="s">
        <v>91</v>
      </c>
      <c r="G444" s="172" t="s">
        <v>85</v>
      </c>
      <c r="H444" s="177">
        <v>1</v>
      </c>
      <c r="I444" s="178">
        <v>1621</v>
      </c>
      <c r="J444" s="176">
        <v>46025</v>
      </c>
      <c r="K444" s="172" t="s">
        <v>94</v>
      </c>
      <c r="L444" s="172" t="s">
        <v>95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762</v>
      </c>
      <c r="B445" s="176">
        <v>46026</v>
      </c>
      <c r="C445" s="172" t="s">
        <v>101</v>
      </c>
      <c r="D445" s="172" t="s">
        <v>103</v>
      </c>
      <c r="E445" s="172" t="s">
        <v>53</v>
      </c>
      <c r="F445" s="172" t="s">
        <v>91</v>
      </c>
      <c r="G445" s="172" t="s">
        <v>85</v>
      </c>
      <c r="H445" s="177">
        <v>1</v>
      </c>
      <c r="I445" s="178">
        <v>1621</v>
      </c>
      <c r="J445" s="176">
        <v>46025</v>
      </c>
      <c r="K445" s="172" t="s">
        <v>94</v>
      </c>
      <c r="L445" s="172" t="s">
        <v>95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762</v>
      </c>
      <c r="B446" s="176">
        <v>46026</v>
      </c>
      <c r="C446" s="172" t="s">
        <v>101</v>
      </c>
      <c r="D446" s="172" t="s">
        <v>104</v>
      </c>
      <c r="E446" s="172" t="s">
        <v>53</v>
      </c>
      <c r="F446" s="172" t="s">
        <v>91</v>
      </c>
      <c r="G446" s="172" t="s">
        <v>85</v>
      </c>
      <c r="H446" s="177">
        <v>1</v>
      </c>
      <c r="I446" s="178">
        <v>1621</v>
      </c>
      <c r="J446" s="176">
        <v>46025</v>
      </c>
      <c r="K446" s="172" t="s">
        <v>94</v>
      </c>
      <c r="L446" s="172" t="s">
        <v>95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762</v>
      </c>
      <c r="B447" s="176">
        <v>46026</v>
      </c>
      <c r="C447" s="172" t="s">
        <v>105</v>
      </c>
      <c r="D447" s="172" t="s">
        <v>106</v>
      </c>
      <c r="E447" s="172" t="s">
        <v>53</v>
      </c>
      <c r="F447" s="172" t="s">
        <v>91</v>
      </c>
      <c r="G447" s="172" t="s">
        <v>85</v>
      </c>
      <c r="H447" s="177">
        <v>1</v>
      </c>
      <c r="I447" s="178">
        <v>1621</v>
      </c>
      <c r="J447" s="176">
        <v>46025</v>
      </c>
      <c r="K447" s="172" t="s">
        <v>94</v>
      </c>
      <c r="L447" s="172" t="s">
        <v>95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762</v>
      </c>
      <c r="B448" s="176">
        <v>46026</v>
      </c>
      <c r="C448" s="172" t="s">
        <v>82</v>
      </c>
      <c r="D448" s="172" t="s">
        <v>96</v>
      </c>
      <c r="E448" s="172" t="s">
        <v>53</v>
      </c>
      <c r="F448" s="172" t="s">
        <v>91</v>
      </c>
      <c r="G448" s="172" t="s">
        <v>85</v>
      </c>
      <c r="H448" s="177">
        <v>1</v>
      </c>
      <c r="I448" s="178">
        <v>1621</v>
      </c>
      <c r="J448" s="176">
        <v>46025</v>
      </c>
      <c r="K448" s="172" t="s">
        <v>94</v>
      </c>
      <c r="L448" s="172" t="s">
        <v>95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763</v>
      </c>
      <c r="B449" s="176">
        <v>46026</v>
      </c>
      <c r="C449" s="172" t="s">
        <v>93</v>
      </c>
      <c r="D449" s="172" t="s">
        <v>24</v>
      </c>
      <c r="E449" s="172" t="s">
        <v>43</v>
      </c>
      <c r="F449" s="172" t="s">
        <v>90</v>
      </c>
      <c r="G449" s="172" t="s">
        <v>85</v>
      </c>
      <c r="H449" s="177">
        <v>1</v>
      </c>
      <c r="I449" s="178">
        <v>1600</v>
      </c>
      <c r="J449" s="176">
        <v>46025</v>
      </c>
      <c r="K449" s="172" t="s">
        <v>94</v>
      </c>
      <c r="L449" s="172" t="s">
        <v>95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763</v>
      </c>
      <c r="B450" s="176">
        <v>46026</v>
      </c>
      <c r="C450" s="172" t="s">
        <v>101</v>
      </c>
      <c r="D450" s="172" t="s">
        <v>102</v>
      </c>
      <c r="E450" s="172" t="s">
        <v>43</v>
      </c>
      <c r="F450" s="172" t="s">
        <v>90</v>
      </c>
      <c r="G450" s="172" t="s">
        <v>85</v>
      </c>
      <c r="H450" s="177">
        <v>1</v>
      </c>
      <c r="I450" s="178">
        <v>1600</v>
      </c>
      <c r="J450" s="176">
        <v>46025</v>
      </c>
      <c r="K450" s="172" t="s">
        <v>94</v>
      </c>
      <c r="L450" s="172" t="s">
        <v>95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763</v>
      </c>
      <c r="B451" s="176">
        <v>46026</v>
      </c>
      <c r="C451" s="172" t="s">
        <v>101</v>
      </c>
      <c r="D451" s="172" t="s">
        <v>103</v>
      </c>
      <c r="E451" s="172" t="s">
        <v>43</v>
      </c>
      <c r="F451" s="172" t="s">
        <v>90</v>
      </c>
      <c r="G451" s="172" t="s">
        <v>85</v>
      </c>
      <c r="H451" s="177">
        <v>1</v>
      </c>
      <c r="I451" s="178">
        <v>1600</v>
      </c>
      <c r="J451" s="176">
        <v>46025</v>
      </c>
      <c r="K451" s="172" t="s">
        <v>94</v>
      </c>
      <c r="L451" s="172" t="s">
        <v>95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763</v>
      </c>
      <c r="B452" s="176">
        <v>46026</v>
      </c>
      <c r="C452" s="172" t="s">
        <v>101</v>
      </c>
      <c r="D452" s="172" t="s">
        <v>104</v>
      </c>
      <c r="E452" s="172" t="s">
        <v>43</v>
      </c>
      <c r="F452" s="172" t="s">
        <v>90</v>
      </c>
      <c r="G452" s="172" t="s">
        <v>85</v>
      </c>
      <c r="H452" s="177">
        <v>1</v>
      </c>
      <c r="I452" s="178">
        <v>1600</v>
      </c>
      <c r="J452" s="176">
        <v>46025</v>
      </c>
      <c r="K452" s="172" t="s">
        <v>94</v>
      </c>
      <c r="L452" s="172" t="s">
        <v>95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763</v>
      </c>
      <c r="B453" s="176">
        <v>46026</v>
      </c>
      <c r="C453" s="172" t="s">
        <v>105</v>
      </c>
      <c r="D453" s="172" t="s">
        <v>106</v>
      </c>
      <c r="E453" s="172" t="s">
        <v>43</v>
      </c>
      <c r="F453" s="172" t="s">
        <v>90</v>
      </c>
      <c r="G453" s="172" t="s">
        <v>85</v>
      </c>
      <c r="H453" s="177">
        <v>1</v>
      </c>
      <c r="I453" s="178">
        <v>1600</v>
      </c>
      <c r="J453" s="176">
        <v>46025</v>
      </c>
      <c r="K453" s="172" t="s">
        <v>94</v>
      </c>
      <c r="L453" s="172" t="s">
        <v>95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763</v>
      </c>
      <c r="B454" s="176">
        <v>46026</v>
      </c>
      <c r="C454" s="172" t="s">
        <v>82</v>
      </c>
      <c r="D454" s="172" t="s">
        <v>96</v>
      </c>
      <c r="E454" s="172" t="s">
        <v>43</v>
      </c>
      <c r="F454" s="172" t="s">
        <v>90</v>
      </c>
      <c r="G454" s="172" t="s">
        <v>85</v>
      </c>
      <c r="H454" s="177">
        <v>1</v>
      </c>
      <c r="I454" s="178">
        <v>1600</v>
      </c>
      <c r="J454" s="176">
        <v>46025</v>
      </c>
      <c r="K454" s="172" t="s">
        <v>94</v>
      </c>
      <c r="L454" s="172" t="s">
        <v>95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764</v>
      </c>
      <c r="B455" s="176">
        <v>46026</v>
      </c>
      <c r="C455" s="172" t="s">
        <v>82</v>
      </c>
      <c r="D455" s="172" t="s">
        <v>83</v>
      </c>
      <c r="E455" s="172" t="s">
        <v>42</v>
      </c>
      <c r="F455" s="172" t="s">
        <v>84</v>
      </c>
      <c r="G455" s="172" t="s">
        <v>85</v>
      </c>
      <c r="H455" s="177">
        <v>1</v>
      </c>
      <c r="I455" s="178">
        <v>0</v>
      </c>
      <c r="J455" s="176">
        <v>46026</v>
      </c>
      <c r="K455" s="172" t="s">
        <v>86</v>
      </c>
      <c r="L455" s="172" t="s">
        <v>86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765</v>
      </c>
      <c r="B456" s="176">
        <v>46026</v>
      </c>
      <c r="C456" s="172" t="s">
        <v>82</v>
      </c>
      <c r="D456" s="172" t="s">
        <v>83</v>
      </c>
      <c r="E456" s="172" t="s">
        <v>44</v>
      </c>
      <c r="F456" s="172" t="s">
        <v>126</v>
      </c>
      <c r="G456" s="172" t="s">
        <v>85</v>
      </c>
      <c r="H456" s="177">
        <v>1</v>
      </c>
      <c r="I456" s="178">
        <v>0</v>
      </c>
      <c r="J456" s="176">
        <v>46026</v>
      </c>
      <c r="K456" s="172" t="s">
        <v>86</v>
      </c>
      <c r="L456" s="172" t="s">
        <v>86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695</v>
      </c>
      <c r="B457" s="176">
        <v>46026</v>
      </c>
      <c r="C457" s="172" t="s">
        <v>93</v>
      </c>
      <c r="D457" s="172" t="s">
        <v>273</v>
      </c>
      <c r="E457" s="172" t="s">
        <v>42</v>
      </c>
      <c r="F457" s="172" t="s">
        <v>84</v>
      </c>
      <c r="G457" s="172" t="s">
        <v>85</v>
      </c>
      <c r="H457" s="177">
        <v>1</v>
      </c>
      <c r="I457" s="178">
        <v>0</v>
      </c>
      <c r="J457" s="176">
        <v>46012</v>
      </c>
      <c r="K457" s="172" t="s">
        <v>94</v>
      </c>
      <c r="L457" s="172" t="s">
        <v>95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695</v>
      </c>
      <c r="B458" s="176">
        <v>46026</v>
      </c>
      <c r="C458" s="172" t="s">
        <v>93</v>
      </c>
      <c r="D458" s="172" t="s">
        <v>98</v>
      </c>
      <c r="E458" s="172" t="s">
        <v>42</v>
      </c>
      <c r="F458" s="172" t="s">
        <v>84</v>
      </c>
      <c r="G458" s="172" t="s">
        <v>85</v>
      </c>
      <c r="H458" s="177">
        <v>1</v>
      </c>
      <c r="I458" s="178">
        <v>0</v>
      </c>
      <c r="J458" s="176">
        <v>46012</v>
      </c>
      <c r="K458" s="172" t="s">
        <v>94</v>
      </c>
      <c r="L458" s="172" t="s">
        <v>95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695</v>
      </c>
      <c r="B459" s="176">
        <v>46026</v>
      </c>
      <c r="C459" s="172" t="s">
        <v>82</v>
      </c>
      <c r="D459" s="172" t="s">
        <v>99</v>
      </c>
      <c r="E459" s="172" t="s">
        <v>42</v>
      </c>
      <c r="F459" s="172" t="s">
        <v>84</v>
      </c>
      <c r="G459" s="172" t="s">
        <v>85</v>
      </c>
      <c r="H459" s="177">
        <v>1</v>
      </c>
      <c r="I459" s="178">
        <v>0</v>
      </c>
      <c r="J459" s="176">
        <v>46012</v>
      </c>
      <c r="K459" s="172" t="s">
        <v>94</v>
      </c>
      <c r="L459" s="172" t="s">
        <v>95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766</v>
      </c>
      <c r="B460" s="176">
        <v>46026</v>
      </c>
      <c r="C460" s="172" t="s">
        <v>82</v>
      </c>
      <c r="D460" s="172" t="s">
        <v>83</v>
      </c>
      <c r="E460" s="172" t="s">
        <v>42</v>
      </c>
      <c r="F460" s="172" t="s">
        <v>84</v>
      </c>
      <c r="G460" s="172" t="s">
        <v>85</v>
      </c>
      <c r="H460" s="177">
        <v>1</v>
      </c>
      <c r="I460" s="178">
        <v>0</v>
      </c>
      <c r="J460" s="176">
        <v>46026</v>
      </c>
      <c r="K460" s="172" t="s">
        <v>86</v>
      </c>
      <c r="L460" s="172" t="s">
        <v>86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767</v>
      </c>
      <c r="B461" s="176">
        <v>46026</v>
      </c>
      <c r="C461" s="172" t="s">
        <v>93</v>
      </c>
      <c r="D461" s="172" t="s">
        <v>24</v>
      </c>
      <c r="E461" s="172" t="s">
        <v>54</v>
      </c>
      <c r="F461" s="172" t="s">
        <v>121</v>
      </c>
      <c r="G461" s="172" t="s">
        <v>85</v>
      </c>
      <c r="H461" s="177">
        <v>1</v>
      </c>
      <c r="I461" s="178">
        <v>1845</v>
      </c>
      <c r="J461" s="176">
        <v>46023</v>
      </c>
      <c r="K461" s="172" t="s">
        <v>94</v>
      </c>
      <c r="L461" s="172" t="s">
        <v>95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767</v>
      </c>
      <c r="B462" s="176">
        <v>46026</v>
      </c>
      <c r="C462" s="172" t="s">
        <v>101</v>
      </c>
      <c r="D462" s="172" t="s">
        <v>102</v>
      </c>
      <c r="E462" s="172" t="s">
        <v>54</v>
      </c>
      <c r="F462" s="172" t="s">
        <v>121</v>
      </c>
      <c r="G462" s="172" t="s">
        <v>85</v>
      </c>
      <c r="H462" s="177">
        <v>1</v>
      </c>
      <c r="I462" s="178">
        <v>1845</v>
      </c>
      <c r="J462" s="176">
        <v>46023</v>
      </c>
      <c r="K462" s="172" t="s">
        <v>94</v>
      </c>
      <c r="L462" s="172" t="s">
        <v>95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767</v>
      </c>
      <c r="B463" s="176">
        <v>46026</v>
      </c>
      <c r="C463" s="172" t="s">
        <v>101</v>
      </c>
      <c r="D463" s="172" t="s">
        <v>103</v>
      </c>
      <c r="E463" s="172" t="s">
        <v>54</v>
      </c>
      <c r="F463" s="172" t="s">
        <v>121</v>
      </c>
      <c r="G463" s="172" t="s">
        <v>85</v>
      </c>
      <c r="H463" s="177">
        <v>1</v>
      </c>
      <c r="I463" s="178">
        <v>1845</v>
      </c>
      <c r="J463" s="176">
        <v>46023</v>
      </c>
      <c r="K463" s="172" t="s">
        <v>94</v>
      </c>
      <c r="L463" s="172" t="s">
        <v>95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767</v>
      </c>
      <c r="B464" s="176">
        <v>46026</v>
      </c>
      <c r="C464" s="172" t="s">
        <v>101</v>
      </c>
      <c r="D464" s="172" t="s">
        <v>104</v>
      </c>
      <c r="E464" s="172" t="s">
        <v>54</v>
      </c>
      <c r="F464" s="172" t="s">
        <v>121</v>
      </c>
      <c r="G464" s="172" t="s">
        <v>85</v>
      </c>
      <c r="H464" s="177">
        <v>1</v>
      </c>
      <c r="I464" s="178">
        <v>1845</v>
      </c>
      <c r="J464" s="176">
        <v>46023</v>
      </c>
      <c r="K464" s="172" t="s">
        <v>94</v>
      </c>
      <c r="L464" s="172" t="s">
        <v>95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767</v>
      </c>
      <c r="B465" s="176">
        <v>46026</v>
      </c>
      <c r="C465" s="172" t="s">
        <v>105</v>
      </c>
      <c r="D465" s="172" t="s">
        <v>106</v>
      </c>
      <c r="E465" s="172" t="s">
        <v>54</v>
      </c>
      <c r="F465" s="172" t="s">
        <v>121</v>
      </c>
      <c r="G465" s="172" t="s">
        <v>85</v>
      </c>
      <c r="H465" s="177">
        <v>1</v>
      </c>
      <c r="I465" s="178">
        <v>1845</v>
      </c>
      <c r="J465" s="176">
        <v>46023</v>
      </c>
      <c r="K465" s="172" t="s">
        <v>94</v>
      </c>
      <c r="L465" s="172" t="s">
        <v>95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767</v>
      </c>
      <c r="B466" s="176">
        <v>46026</v>
      </c>
      <c r="C466" s="172" t="s">
        <v>82</v>
      </c>
      <c r="D466" s="172" t="s">
        <v>96</v>
      </c>
      <c r="E466" s="172" t="s">
        <v>54</v>
      </c>
      <c r="F466" s="172" t="s">
        <v>121</v>
      </c>
      <c r="G466" s="172" t="s">
        <v>85</v>
      </c>
      <c r="H466" s="177">
        <v>1</v>
      </c>
      <c r="I466" s="178">
        <v>1845</v>
      </c>
      <c r="J466" s="176">
        <v>46023</v>
      </c>
      <c r="K466" s="172" t="s">
        <v>94</v>
      </c>
      <c r="L466" s="172" t="s">
        <v>95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768</v>
      </c>
      <c r="B467" s="176">
        <v>46026</v>
      </c>
      <c r="C467" s="172" t="s">
        <v>93</v>
      </c>
      <c r="D467" s="172" t="s">
        <v>24</v>
      </c>
      <c r="E467" s="172" t="s">
        <v>42</v>
      </c>
      <c r="F467" s="172" t="s">
        <v>84</v>
      </c>
      <c r="G467" s="172" t="s">
        <v>85</v>
      </c>
      <c r="H467" s="177">
        <v>1</v>
      </c>
      <c r="I467" s="178">
        <v>1600</v>
      </c>
      <c r="J467" s="176">
        <v>46020</v>
      </c>
      <c r="K467" s="172" t="s">
        <v>94</v>
      </c>
      <c r="L467" s="172" t="s">
        <v>95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768</v>
      </c>
      <c r="B468" s="176">
        <v>46026</v>
      </c>
      <c r="C468" s="172" t="s">
        <v>101</v>
      </c>
      <c r="D468" s="172" t="s">
        <v>102</v>
      </c>
      <c r="E468" s="172" t="s">
        <v>42</v>
      </c>
      <c r="F468" s="172" t="s">
        <v>84</v>
      </c>
      <c r="G468" s="172" t="s">
        <v>85</v>
      </c>
      <c r="H468" s="177">
        <v>1</v>
      </c>
      <c r="I468" s="178">
        <v>1600</v>
      </c>
      <c r="J468" s="176">
        <v>46020</v>
      </c>
      <c r="K468" s="172" t="s">
        <v>94</v>
      </c>
      <c r="L468" s="172" t="s">
        <v>95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768</v>
      </c>
      <c r="B469" s="176">
        <v>46026</v>
      </c>
      <c r="C469" s="172" t="s">
        <v>101</v>
      </c>
      <c r="D469" s="172" t="s">
        <v>103</v>
      </c>
      <c r="E469" s="172" t="s">
        <v>42</v>
      </c>
      <c r="F469" s="172" t="s">
        <v>84</v>
      </c>
      <c r="G469" s="172" t="s">
        <v>85</v>
      </c>
      <c r="H469" s="177">
        <v>1</v>
      </c>
      <c r="I469" s="178">
        <v>1600</v>
      </c>
      <c r="J469" s="176">
        <v>46020</v>
      </c>
      <c r="K469" s="172" t="s">
        <v>94</v>
      </c>
      <c r="L469" s="172" t="s">
        <v>95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768</v>
      </c>
      <c r="B470" s="176">
        <v>46026</v>
      </c>
      <c r="C470" s="172" t="s">
        <v>101</v>
      </c>
      <c r="D470" s="172" t="s">
        <v>104</v>
      </c>
      <c r="E470" s="172" t="s">
        <v>42</v>
      </c>
      <c r="F470" s="172" t="s">
        <v>84</v>
      </c>
      <c r="G470" s="172" t="s">
        <v>85</v>
      </c>
      <c r="H470" s="177">
        <v>1</v>
      </c>
      <c r="I470" s="178">
        <v>1600</v>
      </c>
      <c r="J470" s="176">
        <v>46020</v>
      </c>
      <c r="K470" s="172" t="s">
        <v>94</v>
      </c>
      <c r="L470" s="172" t="s">
        <v>95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768</v>
      </c>
      <c r="B471" s="176">
        <v>46026</v>
      </c>
      <c r="C471" s="172" t="s">
        <v>105</v>
      </c>
      <c r="D471" s="172" t="s">
        <v>106</v>
      </c>
      <c r="E471" s="172" t="s">
        <v>42</v>
      </c>
      <c r="F471" s="172" t="s">
        <v>84</v>
      </c>
      <c r="G471" s="172" t="s">
        <v>85</v>
      </c>
      <c r="H471" s="177">
        <v>1</v>
      </c>
      <c r="I471" s="178">
        <v>1600</v>
      </c>
      <c r="J471" s="176">
        <v>46020</v>
      </c>
      <c r="K471" s="172" t="s">
        <v>94</v>
      </c>
      <c r="L471" s="172" t="s">
        <v>95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768</v>
      </c>
      <c r="B472" s="176">
        <v>46026</v>
      </c>
      <c r="C472" s="172" t="s">
        <v>82</v>
      </c>
      <c r="D472" s="172" t="s">
        <v>96</v>
      </c>
      <c r="E472" s="172" t="s">
        <v>42</v>
      </c>
      <c r="F472" s="172" t="s">
        <v>84</v>
      </c>
      <c r="G472" s="172" t="s">
        <v>85</v>
      </c>
      <c r="H472" s="177">
        <v>1</v>
      </c>
      <c r="I472" s="178">
        <v>1600</v>
      </c>
      <c r="J472" s="176">
        <v>46020</v>
      </c>
      <c r="K472" s="172" t="s">
        <v>94</v>
      </c>
      <c r="L472" s="172" t="s">
        <v>95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767</v>
      </c>
      <c r="B473" s="176">
        <v>46026</v>
      </c>
      <c r="C473" s="172" t="s">
        <v>82</v>
      </c>
      <c r="D473" s="172" t="s">
        <v>83</v>
      </c>
      <c r="E473" s="172" t="s">
        <v>54</v>
      </c>
      <c r="F473" s="172" t="s">
        <v>121</v>
      </c>
      <c r="G473" s="172" t="s">
        <v>85</v>
      </c>
      <c r="H473" s="177">
        <v>1</v>
      </c>
      <c r="I473" s="178">
        <v>0</v>
      </c>
      <c r="J473" s="176">
        <v>46023</v>
      </c>
      <c r="K473" s="172" t="s">
        <v>86</v>
      </c>
      <c r="L473" s="172" t="s">
        <v>86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686</v>
      </c>
      <c r="B474" s="176">
        <v>46026</v>
      </c>
      <c r="C474" s="172" t="s">
        <v>82</v>
      </c>
      <c r="D474" s="172" t="s">
        <v>83</v>
      </c>
      <c r="E474" s="172" t="s">
        <v>54</v>
      </c>
      <c r="F474" s="172" t="s">
        <v>121</v>
      </c>
      <c r="G474" s="172" t="s">
        <v>85</v>
      </c>
      <c r="H474" s="177">
        <v>1</v>
      </c>
      <c r="I474" s="178">
        <v>0</v>
      </c>
      <c r="J474" s="176">
        <v>46024</v>
      </c>
      <c r="K474" s="172" t="s">
        <v>86</v>
      </c>
      <c r="L474" s="172" t="s">
        <v>86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769</v>
      </c>
      <c r="B475" s="176">
        <v>46026</v>
      </c>
      <c r="C475" s="172" t="s">
        <v>82</v>
      </c>
      <c r="D475" s="172" t="s">
        <v>83</v>
      </c>
      <c r="E475" s="172" t="s">
        <v>54</v>
      </c>
      <c r="F475" s="172" t="s">
        <v>121</v>
      </c>
      <c r="G475" s="172" t="s">
        <v>85</v>
      </c>
      <c r="H475" s="177">
        <v>1</v>
      </c>
      <c r="I475" s="178">
        <v>0</v>
      </c>
      <c r="J475" s="176">
        <v>46026</v>
      </c>
      <c r="K475" s="172" t="s">
        <v>86</v>
      </c>
      <c r="L475" s="172" t="s">
        <v>86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768</v>
      </c>
      <c r="B476" s="176">
        <v>46026</v>
      </c>
      <c r="C476" s="172" t="s">
        <v>82</v>
      </c>
      <c r="D476" s="172" t="s">
        <v>83</v>
      </c>
      <c r="E476" s="172" t="s">
        <v>42</v>
      </c>
      <c r="F476" s="172" t="s">
        <v>84</v>
      </c>
      <c r="G476" s="172" t="s">
        <v>85</v>
      </c>
      <c r="H476" s="177">
        <v>1</v>
      </c>
      <c r="I476" s="178">
        <v>0</v>
      </c>
      <c r="J476" s="176">
        <v>46020</v>
      </c>
      <c r="K476" s="172" t="s">
        <v>86</v>
      </c>
      <c r="L476" s="172" t="s">
        <v>86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770</v>
      </c>
      <c r="B477" s="176">
        <v>46026</v>
      </c>
      <c r="C477" s="172" t="s">
        <v>93</v>
      </c>
      <c r="D477" s="172" t="s">
        <v>24</v>
      </c>
      <c r="E477" s="172" t="s">
        <v>53</v>
      </c>
      <c r="F477" s="172" t="s">
        <v>91</v>
      </c>
      <c r="G477" s="172" t="s">
        <v>85</v>
      </c>
      <c r="H477" s="177">
        <v>1</v>
      </c>
      <c r="I477" s="178">
        <v>1621</v>
      </c>
      <c r="J477" s="176">
        <v>46024</v>
      </c>
      <c r="K477" s="172" t="s">
        <v>94</v>
      </c>
      <c r="L477" s="172" t="s">
        <v>95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770</v>
      </c>
      <c r="B478" s="176">
        <v>46026</v>
      </c>
      <c r="C478" s="172" t="s">
        <v>101</v>
      </c>
      <c r="D478" s="172" t="s">
        <v>102</v>
      </c>
      <c r="E478" s="172" t="s">
        <v>53</v>
      </c>
      <c r="F478" s="172" t="s">
        <v>91</v>
      </c>
      <c r="G478" s="172" t="s">
        <v>85</v>
      </c>
      <c r="H478" s="177">
        <v>1</v>
      </c>
      <c r="I478" s="178">
        <v>1621</v>
      </c>
      <c r="J478" s="176">
        <v>46024</v>
      </c>
      <c r="K478" s="172" t="s">
        <v>94</v>
      </c>
      <c r="L478" s="172" t="s">
        <v>95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770</v>
      </c>
      <c r="B479" s="176">
        <v>46026</v>
      </c>
      <c r="C479" s="172" t="s">
        <v>101</v>
      </c>
      <c r="D479" s="172" t="s">
        <v>103</v>
      </c>
      <c r="E479" s="172" t="s">
        <v>53</v>
      </c>
      <c r="F479" s="172" t="s">
        <v>91</v>
      </c>
      <c r="G479" s="172" t="s">
        <v>85</v>
      </c>
      <c r="H479" s="177">
        <v>1</v>
      </c>
      <c r="I479" s="178">
        <v>1621</v>
      </c>
      <c r="J479" s="176">
        <v>46024</v>
      </c>
      <c r="K479" s="172" t="s">
        <v>94</v>
      </c>
      <c r="L479" s="172" t="s">
        <v>95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770</v>
      </c>
      <c r="B480" s="176">
        <v>46026</v>
      </c>
      <c r="C480" s="172" t="s">
        <v>101</v>
      </c>
      <c r="D480" s="172" t="s">
        <v>104</v>
      </c>
      <c r="E480" s="172" t="s">
        <v>53</v>
      </c>
      <c r="F480" s="172" t="s">
        <v>91</v>
      </c>
      <c r="G480" s="172" t="s">
        <v>85</v>
      </c>
      <c r="H480" s="177">
        <v>1</v>
      </c>
      <c r="I480" s="178">
        <v>1621</v>
      </c>
      <c r="J480" s="176">
        <v>46024</v>
      </c>
      <c r="K480" s="172" t="s">
        <v>94</v>
      </c>
      <c r="L480" s="172" t="s">
        <v>95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770</v>
      </c>
      <c r="B481" s="176">
        <v>46026</v>
      </c>
      <c r="C481" s="172" t="s">
        <v>105</v>
      </c>
      <c r="D481" s="172" t="s">
        <v>106</v>
      </c>
      <c r="E481" s="172" t="s">
        <v>53</v>
      </c>
      <c r="F481" s="172" t="s">
        <v>91</v>
      </c>
      <c r="G481" s="172" t="s">
        <v>85</v>
      </c>
      <c r="H481" s="177">
        <v>1</v>
      </c>
      <c r="I481" s="178">
        <v>1621</v>
      </c>
      <c r="J481" s="176">
        <v>46024</v>
      </c>
      <c r="K481" s="172" t="s">
        <v>94</v>
      </c>
      <c r="L481" s="172" t="s">
        <v>95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770</v>
      </c>
      <c r="B482" s="176">
        <v>46026</v>
      </c>
      <c r="C482" s="172" t="s">
        <v>82</v>
      </c>
      <c r="D482" s="172" t="s">
        <v>96</v>
      </c>
      <c r="E482" s="172" t="s">
        <v>53</v>
      </c>
      <c r="F482" s="172" t="s">
        <v>91</v>
      </c>
      <c r="G482" s="172" t="s">
        <v>85</v>
      </c>
      <c r="H482" s="177">
        <v>1</v>
      </c>
      <c r="I482" s="178">
        <v>1621</v>
      </c>
      <c r="J482" s="176">
        <v>46024</v>
      </c>
      <c r="K482" s="172" t="s">
        <v>94</v>
      </c>
      <c r="L482" s="172" t="s">
        <v>95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771</v>
      </c>
      <c r="B483" s="176">
        <v>46026</v>
      </c>
      <c r="C483" s="172" t="s">
        <v>82</v>
      </c>
      <c r="D483" s="172" t="s">
        <v>83</v>
      </c>
      <c r="E483" s="172" t="s">
        <v>43</v>
      </c>
      <c r="F483" s="172" t="s">
        <v>90</v>
      </c>
      <c r="G483" s="172" t="s">
        <v>85</v>
      </c>
      <c r="H483" s="177">
        <v>1</v>
      </c>
      <c r="I483" s="178">
        <v>0</v>
      </c>
      <c r="J483" s="176">
        <v>46026</v>
      </c>
      <c r="K483" s="172" t="s">
        <v>86</v>
      </c>
      <c r="L483" s="172" t="s">
        <v>86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772</v>
      </c>
      <c r="B484" s="176">
        <v>46026</v>
      </c>
      <c r="C484" s="172" t="s">
        <v>82</v>
      </c>
      <c r="D484" s="172" t="s">
        <v>83</v>
      </c>
      <c r="E484" s="172" t="s">
        <v>53</v>
      </c>
      <c r="F484" s="172" t="s">
        <v>91</v>
      </c>
      <c r="G484" s="172" t="s">
        <v>85</v>
      </c>
      <c r="H484" s="177">
        <v>1</v>
      </c>
      <c r="I484" s="178">
        <v>0</v>
      </c>
      <c r="J484" s="176">
        <v>46026</v>
      </c>
      <c r="K484" s="172" t="s">
        <v>86</v>
      </c>
      <c r="L484" s="172" t="s">
        <v>86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143</v>
      </c>
      <c r="B485" s="176">
        <v>46026</v>
      </c>
      <c r="C485" s="172" t="s">
        <v>110</v>
      </c>
      <c r="D485" s="172" t="s">
        <v>144</v>
      </c>
      <c r="E485" s="172" t="s">
        <v>86</v>
      </c>
      <c r="F485" s="172" t="s">
        <v>86</v>
      </c>
      <c r="G485" s="172" t="s">
        <v>86</v>
      </c>
      <c r="H485" s="177">
        <v>0</v>
      </c>
      <c r="I485" s="178">
        <v>0</v>
      </c>
      <c r="J485" s="176">
        <v>46026</v>
      </c>
      <c r="K485" s="172" t="s">
        <v>86</v>
      </c>
      <c r="L485" s="172" t="s">
        <v>86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145</v>
      </c>
      <c r="B486" s="176">
        <v>46026</v>
      </c>
      <c r="C486" s="172" t="s">
        <v>110</v>
      </c>
      <c r="D486" s="172" t="s">
        <v>140</v>
      </c>
      <c r="E486" s="172" t="s">
        <v>86</v>
      </c>
      <c r="F486" s="172" t="s">
        <v>86</v>
      </c>
      <c r="G486" s="172" t="s">
        <v>86</v>
      </c>
      <c r="H486" s="177">
        <v>0</v>
      </c>
      <c r="I486" s="178">
        <v>0</v>
      </c>
      <c r="J486" s="176">
        <v>46026</v>
      </c>
      <c r="K486" s="172" t="s">
        <v>86</v>
      </c>
      <c r="L486" s="172" t="s">
        <v>86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414</v>
      </c>
      <c r="B487" s="176">
        <v>46026</v>
      </c>
      <c r="C487" s="172" t="s">
        <v>110</v>
      </c>
      <c r="D487" s="172" t="s">
        <v>140</v>
      </c>
      <c r="E487" s="172" t="s">
        <v>86</v>
      </c>
      <c r="F487" s="172" t="s">
        <v>86</v>
      </c>
      <c r="G487" s="172" t="s">
        <v>86</v>
      </c>
      <c r="H487" s="177">
        <v>0</v>
      </c>
      <c r="I487" s="178">
        <v>0</v>
      </c>
      <c r="J487" s="176">
        <v>46026</v>
      </c>
      <c r="K487" s="172" t="s">
        <v>86</v>
      </c>
      <c r="L487" s="172" t="s">
        <v>86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139</v>
      </c>
      <c r="B488" s="176">
        <v>46026</v>
      </c>
      <c r="C488" s="172" t="s">
        <v>110</v>
      </c>
      <c r="D488" s="172" t="s">
        <v>140</v>
      </c>
      <c r="E488" s="172" t="s">
        <v>86</v>
      </c>
      <c r="F488" s="172" t="s">
        <v>86</v>
      </c>
      <c r="G488" s="172" t="s">
        <v>86</v>
      </c>
      <c r="H488" s="177">
        <v>0</v>
      </c>
      <c r="I488" s="178">
        <v>0</v>
      </c>
      <c r="J488" s="176">
        <v>46026</v>
      </c>
      <c r="K488" s="172" t="s">
        <v>86</v>
      </c>
      <c r="L488" s="172" t="s">
        <v>86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Сводная</vt:lpstr>
      <vt:lpstr>АВС 01.02</vt:lpstr>
      <vt:lpstr>АВС ЯНВАРЬ</vt:lpstr>
      <vt:lpstr>АВС 26-31.01</vt:lpstr>
      <vt:lpstr>АВС 19-25.01</vt:lpstr>
      <vt:lpstr>АВС 12-18.01</vt:lpstr>
      <vt:lpstr>АВС 05-11.01</vt:lpstr>
      <vt:lpstr>АВС 01-04.01</vt:lpstr>
      <vt:lpstr>Юнит 01.02</vt:lpstr>
      <vt:lpstr>ЯНВАРЬ</vt:lpstr>
      <vt:lpstr>Юнит 26-31.01</vt:lpstr>
      <vt:lpstr>Юнит 19-25.01</vt:lpstr>
      <vt:lpstr>Юнит 12-18.01</vt:lpstr>
      <vt:lpstr>Отчет 01.02</vt:lpstr>
      <vt:lpstr>Отчет 26-31.01</vt:lpstr>
      <vt:lpstr>Юнит 05-11.01</vt:lpstr>
      <vt:lpstr>Юнит 01-04.01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2026-01-27T08:32:46Z</dcterms:modified>
</cp:coreProperties>
</file>