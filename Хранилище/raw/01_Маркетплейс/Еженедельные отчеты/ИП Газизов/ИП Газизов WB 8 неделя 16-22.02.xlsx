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8 неделя 16-22.02\"/>
    </mc:Choice>
  </mc:AlternateContent>
  <xr:revisionPtr revIDLastSave="0" documentId="13_ncr:1_{2A7EDCDA-5DE0-4989-A541-BCC720D0D935}" xr6:coauthVersionLast="45" xr6:coauthVersionMax="45" xr10:uidLastSave="{00000000-0000-0000-0000-000000000000}"/>
  <bookViews>
    <workbookView xWindow="-110" yWindow="-110" windowWidth="19420" windowHeight="10420" activeTab="5" xr2:uid="{00000000-000D-0000-FFFF-FFFF00000000}"/>
  </bookViews>
  <sheets>
    <sheet name="Реклама" sheetId="1" r:id="rId1"/>
    <sheet name="Сводная" sheetId="3" r:id="rId2"/>
    <sheet name="АВС 8" sheetId="32" r:id="rId3"/>
    <sheet name="АВС ЯНВАРЬ" sheetId="16" r:id="rId4"/>
    <sheet name="Юнит 9" sheetId="31" r:id="rId5"/>
    <sheet name="Юнит 8" sheetId="29" r:id="rId6"/>
    <sheet name="ЯНВАРЬ" sheetId="30" r:id="rId7"/>
    <sheet name="ДЕКАБРЬ" sheetId="2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5" i="29" l="1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I105" i="29" l="1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110" i="32"/>
  <c r="J114" i="32" s="1"/>
  <c r="K109" i="32" s="1"/>
  <c r="J111" i="32"/>
  <c r="J112" i="32"/>
  <c r="J113" i="32"/>
  <c r="J109" i="32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C105" i="16"/>
  <c r="C106" i="16"/>
  <c r="C107" i="16"/>
  <c r="C108" i="16"/>
  <c r="C104" i="16"/>
  <c r="C4" i="16"/>
  <c r="C5" i="16"/>
  <c r="C7" i="16"/>
  <c r="C6" i="16"/>
  <c r="C93" i="16"/>
  <c r="C12" i="16"/>
  <c r="C87" i="16"/>
  <c r="C9" i="16"/>
  <c r="C92" i="16"/>
  <c r="C11" i="16"/>
  <c r="C96" i="16"/>
  <c r="C94" i="16"/>
  <c r="C18" i="16"/>
  <c r="C30" i="16"/>
  <c r="C10" i="16"/>
  <c r="C37" i="16"/>
  <c r="C38" i="16"/>
  <c r="C49" i="16"/>
  <c r="C57" i="16"/>
  <c r="C39" i="16"/>
  <c r="C16" i="16"/>
  <c r="C14" i="16"/>
  <c r="C99" i="16"/>
  <c r="C84" i="16"/>
  <c r="C97" i="16"/>
  <c r="C67" i="16"/>
  <c r="C85" i="16"/>
  <c r="C89" i="16"/>
  <c r="C29" i="16"/>
  <c r="C83" i="16"/>
  <c r="C66" i="16"/>
  <c r="C40" i="16"/>
  <c r="C41" i="16"/>
  <c r="C28" i="16"/>
  <c r="C60" i="16"/>
  <c r="C61" i="16"/>
  <c r="C32" i="16"/>
  <c r="C24" i="16"/>
  <c r="C69" i="16"/>
  <c r="C76" i="16"/>
  <c r="C86" i="16"/>
  <c r="C13" i="16"/>
  <c r="C42" i="16"/>
  <c r="C17" i="16"/>
  <c r="C25" i="16"/>
  <c r="C88" i="16"/>
  <c r="C90" i="16"/>
  <c r="C98" i="16"/>
  <c r="C78" i="16"/>
  <c r="C36" i="16"/>
  <c r="C34" i="16"/>
  <c r="C56" i="16"/>
  <c r="C80" i="16"/>
  <c r="C43" i="16"/>
  <c r="C27" i="16"/>
  <c r="C44" i="16"/>
  <c r="C79" i="16"/>
  <c r="C82" i="16"/>
  <c r="C45" i="16"/>
  <c r="C46" i="16"/>
  <c r="C47" i="16"/>
  <c r="C55" i="16"/>
  <c r="C68" i="16"/>
  <c r="C22" i="16"/>
  <c r="C48" i="16"/>
  <c r="C53" i="16"/>
  <c r="C23" i="16"/>
  <c r="C72" i="16"/>
  <c r="C35" i="16"/>
  <c r="C31" i="16"/>
  <c r="C15" i="16"/>
  <c r="C20" i="16"/>
  <c r="C64" i="16"/>
  <c r="C59" i="16"/>
  <c r="C26" i="16"/>
  <c r="C71" i="16"/>
  <c r="C62" i="16"/>
  <c r="C77" i="16"/>
  <c r="C63" i="16"/>
  <c r="C70" i="16"/>
  <c r="C81" i="16"/>
  <c r="C95" i="16"/>
  <c r="C19" i="16"/>
  <c r="C21" i="16"/>
  <c r="C91" i="16"/>
  <c r="C74" i="16"/>
  <c r="C65" i="16"/>
  <c r="C58" i="16"/>
  <c r="C73" i="16"/>
  <c r="C75" i="16"/>
  <c r="C51" i="16"/>
  <c r="C50" i="16"/>
  <c r="C33" i="16"/>
  <c r="C52" i="16"/>
  <c r="C54" i="16"/>
  <c r="C8" i="16"/>
  <c r="Y12" i="3"/>
  <c r="X12" i="3"/>
  <c r="W12" i="3"/>
  <c r="G12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J105" i="32" l="1"/>
  <c r="K95" i="32" s="1"/>
  <c r="K112" i="32"/>
  <c r="K113" i="32"/>
  <c r="K45" i="32"/>
  <c r="K13" i="32"/>
  <c r="K36" i="32"/>
  <c r="K4" i="32"/>
  <c r="K68" i="32"/>
  <c r="K23" i="32"/>
  <c r="K12" i="32"/>
  <c r="K22" i="32"/>
  <c r="K35" i="32"/>
  <c r="K54" i="32"/>
  <c r="K43" i="32"/>
  <c r="K92" i="32"/>
  <c r="K55" i="32"/>
  <c r="K33" i="32"/>
  <c r="K101" i="32"/>
  <c r="K65" i="32"/>
  <c r="K57" i="32"/>
  <c r="K25" i="32"/>
  <c r="K21" i="32"/>
  <c r="K94" i="32"/>
  <c r="K46" i="32"/>
  <c r="K14" i="32"/>
  <c r="K100" i="32"/>
  <c r="K6" i="32"/>
  <c r="K17" i="32"/>
  <c r="K28" i="32"/>
  <c r="K38" i="32"/>
  <c r="K49" i="32"/>
  <c r="K60" i="32"/>
  <c r="K73" i="32"/>
  <c r="K7" i="32"/>
  <c r="K19" i="32"/>
  <c r="K29" i="32"/>
  <c r="K39" i="32"/>
  <c r="K51" i="32"/>
  <c r="K61" i="32"/>
  <c r="K75" i="32"/>
  <c r="K104" i="32"/>
  <c r="K5" i="32"/>
  <c r="K15" i="32"/>
  <c r="K27" i="32"/>
  <c r="K37" i="32"/>
  <c r="K47" i="32"/>
  <c r="K59" i="32"/>
  <c r="K70" i="32"/>
  <c r="K9" i="32"/>
  <c r="K20" i="32"/>
  <c r="K30" i="32"/>
  <c r="K41" i="32"/>
  <c r="K52" i="32"/>
  <c r="K62" i="32"/>
  <c r="K76" i="32"/>
  <c r="K103" i="32"/>
  <c r="K102" i="32"/>
  <c r="K78" i="32"/>
  <c r="K84" i="32"/>
  <c r="K91" i="32"/>
  <c r="K85" i="32"/>
  <c r="K99" i="32"/>
  <c r="K77" i="32"/>
  <c r="K83" i="32"/>
  <c r="L4" i="32"/>
  <c r="K114" i="32"/>
  <c r="L109" i="32"/>
  <c r="M109" i="32" s="1"/>
  <c r="G109" i="32" s="1"/>
  <c r="K10" i="32"/>
  <c r="K18" i="32"/>
  <c r="K26" i="32"/>
  <c r="K34" i="32"/>
  <c r="K42" i="32"/>
  <c r="K50" i="32"/>
  <c r="K58" i="32"/>
  <c r="K66" i="32"/>
  <c r="K74" i="32"/>
  <c r="K82" i="32"/>
  <c r="K90" i="32"/>
  <c r="K98" i="32"/>
  <c r="K111" i="32"/>
  <c r="K81" i="32"/>
  <c r="K89" i="32"/>
  <c r="K97" i="32"/>
  <c r="K110" i="32"/>
  <c r="K8" i="32"/>
  <c r="K16" i="32"/>
  <c r="K24" i="32"/>
  <c r="K32" i="32"/>
  <c r="K40" i="32"/>
  <c r="K48" i="32"/>
  <c r="K56" i="32"/>
  <c r="K64" i="32"/>
  <c r="K72" i="32"/>
  <c r="K80" i="32"/>
  <c r="K88" i="32"/>
  <c r="K96" i="32"/>
  <c r="K63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K53" i="32" l="1"/>
  <c r="K11" i="32"/>
  <c r="K69" i="32"/>
  <c r="K31" i="32"/>
  <c r="K93" i="32"/>
  <c r="K44" i="32"/>
  <c r="K86" i="32"/>
  <c r="K67" i="32"/>
  <c r="K105" i="32"/>
  <c r="L110" i="32"/>
  <c r="M110" i="32" s="1"/>
  <c r="G110" i="32" s="1"/>
  <c r="M4" i="32"/>
  <c r="G4" i="32" s="1"/>
  <c r="L5" i="32"/>
  <c r="AA99" i="29"/>
  <c r="AN99" i="29"/>
  <c r="AD99" i="29"/>
  <c r="AQ101" i="29"/>
  <c r="AS101" i="29"/>
  <c r="AQ99" i="29"/>
  <c r="AW99" i="29" s="1"/>
  <c r="AS99" i="29"/>
  <c r="L6" i="32" l="1"/>
  <c r="M5" i="32"/>
  <c r="G5" i="32" s="1"/>
  <c r="L111" i="32"/>
  <c r="AF99" i="29"/>
  <c r="M111" i="32" l="1"/>
  <c r="G111" i="32" s="1"/>
  <c r="L112" i="32"/>
  <c r="M6" i="32"/>
  <c r="L7" i="32"/>
  <c r="L8" i="32" l="1"/>
  <c r="M7" i="32"/>
  <c r="G7" i="32" s="1"/>
  <c r="M112" i="32"/>
  <c r="G112" i="32" s="1"/>
  <c r="L113" i="32"/>
  <c r="M113" i="32" s="1"/>
  <c r="G113" i="32" s="1"/>
  <c r="L9" i="32" l="1"/>
  <c r="M8" i="32"/>
  <c r="G8" i="32" l="1"/>
  <c r="G6" i="32"/>
  <c r="M9" i="32"/>
  <c r="G9" i="32" s="1"/>
  <c r="L10" i="32"/>
  <c r="M10" i="32" l="1"/>
  <c r="L11" i="32"/>
  <c r="L12" i="32" l="1"/>
  <c r="M11" i="32"/>
  <c r="G11" i="32" s="1"/>
  <c r="M12" i="32" l="1"/>
  <c r="L13" i="32"/>
  <c r="AA49" i="29"/>
  <c r="X50" i="29"/>
  <c r="U51" i="29"/>
  <c r="AD51" i="29" s="1"/>
  <c r="G12" i="32" l="1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L15" i="32" l="1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M15" i="32" l="1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G13" i="32" l="1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L18" i="32" l="1"/>
  <c r="M17" i="32"/>
  <c r="AT100" i="29"/>
  <c r="AU100" i="29"/>
  <c r="AS102" i="29"/>
  <c r="AQ102" i="29"/>
  <c r="AW102" i="29" s="1"/>
  <c r="AS103" i="29"/>
  <c r="AQ103" i="29"/>
  <c r="AW103" i="29" s="1"/>
  <c r="G15" i="32" l="1"/>
  <c r="M18" i="32"/>
  <c r="L19" i="32"/>
  <c r="AQ100" i="29"/>
  <c r="AS100" i="29"/>
  <c r="M19" i="32" l="1"/>
  <c r="L20" i="32"/>
  <c r="AW100" i="29"/>
  <c r="G19" i="32" l="1"/>
  <c r="G17" i="32"/>
  <c r="M20" i="32"/>
  <c r="G20" i="32" s="1"/>
  <c r="L21" i="32"/>
  <c r="M21" i="32" l="1"/>
  <c r="L22" i="32"/>
  <c r="G21" i="32" l="1"/>
  <c r="G18" i="32"/>
  <c r="M22" i="32"/>
  <c r="L23" i="32"/>
  <c r="G16" i="32" l="1"/>
  <c r="L24" i="32"/>
  <c r="M23" i="32"/>
  <c r="G22" i="32" l="1"/>
  <c r="L25" i="32"/>
  <c r="M24" i="32"/>
  <c r="E100" i="29"/>
  <c r="L100" i="29" s="1"/>
  <c r="E101" i="29"/>
  <c r="L101" i="29" s="1"/>
  <c r="E103" i="29"/>
  <c r="L103" i="29" s="1"/>
  <c r="AH122" i="31"/>
  <c r="R121" i="31"/>
  <c r="Q121" i="31"/>
  <c r="P121" i="31"/>
  <c r="O121" i="31"/>
  <c r="M121" i="31"/>
  <c r="K121" i="31"/>
  <c r="H121" i="31"/>
  <c r="AM119" i="31"/>
  <c r="AK119" i="31"/>
  <c r="AJ119" i="31"/>
  <c r="AI119" i="31"/>
  <c r="AH119" i="31"/>
  <c r="AU119" i="31" s="1"/>
  <c r="AG119" i="31"/>
  <c r="AE119" i="31"/>
  <c r="AA119" i="31"/>
  <c r="Z119" i="31"/>
  <c r="Y119" i="31"/>
  <c r="W119" i="31"/>
  <c r="V119" i="31"/>
  <c r="T119" i="31"/>
  <c r="S119" i="31"/>
  <c r="N119" i="31"/>
  <c r="J119" i="31"/>
  <c r="I119" i="31"/>
  <c r="H119" i="31"/>
  <c r="G119" i="31"/>
  <c r="F119" i="31"/>
  <c r="AU118" i="31"/>
  <c r="AU117" i="31"/>
  <c r="AT117" i="31"/>
  <c r="AR117" i="31"/>
  <c r="AN117" i="31"/>
  <c r="AF117" i="31"/>
  <c r="AB117" i="31"/>
  <c r="AA117" i="31"/>
  <c r="X117" i="31"/>
  <c r="U117" i="31"/>
  <c r="Q117" i="31"/>
  <c r="E117" i="31"/>
  <c r="L117" i="31" s="1"/>
  <c r="AU116" i="31"/>
  <c r="AT116" i="31"/>
  <c r="AR116" i="31"/>
  <c r="AN116" i="31"/>
  <c r="AF116" i="31"/>
  <c r="AB116" i="31"/>
  <c r="AA116" i="31"/>
  <c r="X116" i="31"/>
  <c r="U116" i="31"/>
  <c r="Q116" i="31"/>
  <c r="E116" i="31"/>
  <c r="L116" i="31" s="1"/>
  <c r="AU115" i="31"/>
  <c r="AT115" i="31"/>
  <c r="AR115" i="31"/>
  <c r="AN115" i="31"/>
  <c r="AF115" i="31"/>
  <c r="AB115" i="31"/>
  <c r="AA115" i="31"/>
  <c r="X115" i="31"/>
  <c r="U115" i="31"/>
  <c r="Q115" i="31"/>
  <c r="E115" i="31"/>
  <c r="L115" i="31" s="1"/>
  <c r="AU114" i="31"/>
  <c r="AT114" i="31"/>
  <c r="AR114" i="31"/>
  <c r="AN114" i="31"/>
  <c r="AF114" i="31"/>
  <c r="AB114" i="31"/>
  <c r="AA114" i="31"/>
  <c r="X114" i="31"/>
  <c r="U114" i="31"/>
  <c r="Q114" i="31"/>
  <c r="E114" i="31"/>
  <c r="L114" i="31" s="1"/>
  <c r="AU113" i="31"/>
  <c r="AT113" i="31"/>
  <c r="AR113" i="31"/>
  <c r="AN113" i="31"/>
  <c r="AF113" i="31"/>
  <c r="AB113" i="31"/>
  <c r="AA113" i="31"/>
  <c r="X113" i="31"/>
  <c r="U113" i="31"/>
  <c r="Q113" i="31"/>
  <c r="E113" i="31"/>
  <c r="L113" i="31" s="1"/>
  <c r="AU112" i="31"/>
  <c r="AT112" i="31"/>
  <c r="AR112" i="31"/>
  <c r="AN112" i="31"/>
  <c r="AF112" i="31"/>
  <c r="AB112" i="31"/>
  <c r="AA112" i="31"/>
  <c r="X112" i="31"/>
  <c r="U112" i="31"/>
  <c r="Q112" i="31"/>
  <c r="E112" i="31"/>
  <c r="L112" i="31" s="1"/>
  <c r="AU111" i="31"/>
  <c r="AT111" i="31"/>
  <c r="AR111" i="31"/>
  <c r="AN111" i="31"/>
  <c r="AF111" i="31"/>
  <c r="AB111" i="31"/>
  <c r="AA111" i="31"/>
  <c r="X111" i="31"/>
  <c r="U111" i="31"/>
  <c r="Q111" i="31"/>
  <c r="E111" i="31"/>
  <c r="L111" i="31" s="1"/>
  <c r="AU110" i="31"/>
  <c r="AT110" i="31"/>
  <c r="AT118" i="31" s="1"/>
  <c r="AR110" i="31"/>
  <c r="AN110" i="31"/>
  <c r="AF110" i="31"/>
  <c r="AB110" i="31"/>
  <c r="AA110" i="31"/>
  <c r="X110" i="31"/>
  <c r="X119" i="31" s="1"/>
  <c r="U110" i="31"/>
  <c r="Q110" i="31"/>
  <c r="E110" i="31"/>
  <c r="L110" i="31" s="1"/>
  <c r="AM108" i="31"/>
  <c r="AK108" i="31"/>
  <c r="AJ108" i="31"/>
  <c r="AI108" i="31"/>
  <c r="AI121" i="31" s="1"/>
  <c r="AH108" i="31"/>
  <c r="AG108" i="31"/>
  <c r="AF108" i="31"/>
  <c r="AE108" i="31"/>
  <c r="AB108" i="31"/>
  <c r="AA108" i="31"/>
  <c r="Z108" i="31"/>
  <c r="Y108" i="31"/>
  <c r="W108" i="31"/>
  <c r="V108" i="31"/>
  <c r="T108" i="31"/>
  <c r="S108" i="31"/>
  <c r="S121" i="31" s="1"/>
  <c r="N108" i="31"/>
  <c r="J108" i="31"/>
  <c r="I108" i="31"/>
  <c r="H108" i="31"/>
  <c r="G108" i="31"/>
  <c r="F108" i="31"/>
  <c r="AR107" i="31"/>
  <c r="AQ107" i="31"/>
  <c r="AU106" i="31"/>
  <c r="AT106" i="31"/>
  <c r="AS106" i="31"/>
  <c r="AR106" i="31"/>
  <c r="AF106" i="31"/>
  <c r="AD106" i="31"/>
  <c r="AB106" i="31"/>
  <c r="AA106" i="31"/>
  <c r="X106" i="31"/>
  <c r="AN106" i="31" s="1"/>
  <c r="U106" i="31"/>
  <c r="AQ106" i="31" s="1"/>
  <c r="AW106" i="31" s="1"/>
  <c r="Q106" i="31"/>
  <c r="E106" i="31"/>
  <c r="L106" i="31" s="1"/>
  <c r="AU105" i="31"/>
  <c r="AT105" i="31"/>
  <c r="AS105" i="31"/>
  <c r="AR105" i="31"/>
  <c r="AF105" i="31"/>
  <c r="AD105" i="31"/>
  <c r="AB105" i="31"/>
  <c r="AA105" i="31"/>
  <c r="X105" i="31"/>
  <c r="AN105" i="31" s="1"/>
  <c r="U105" i="31"/>
  <c r="AQ105" i="31" s="1"/>
  <c r="AW105" i="31" s="1"/>
  <c r="Q105" i="31"/>
  <c r="E105" i="31"/>
  <c r="L105" i="31" s="1"/>
  <c r="AU104" i="31"/>
  <c r="AT104" i="31"/>
  <c r="AS104" i="31"/>
  <c r="AR104" i="31"/>
  <c r="AF104" i="31"/>
  <c r="AD104" i="31"/>
  <c r="AB104" i="31"/>
  <c r="AA104" i="31"/>
  <c r="X104" i="31"/>
  <c r="AN104" i="31" s="1"/>
  <c r="U104" i="31"/>
  <c r="AQ104" i="31" s="1"/>
  <c r="AW104" i="31" s="1"/>
  <c r="Q104" i="31"/>
  <c r="E104" i="31"/>
  <c r="L104" i="31" s="1"/>
  <c r="AU103" i="31"/>
  <c r="AT103" i="31"/>
  <c r="AS103" i="31"/>
  <c r="AR103" i="31"/>
  <c r="AF103" i="31"/>
  <c r="AD103" i="31"/>
  <c r="AB103" i="31"/>
  <c r="AA103" i="31"/>
  <c r="X103" i="31"/>
  <c r="AN103" i="31" s="1"/>
  <c r="U103" i="31"/>
  <c r="AQ103" i="31" s="1"/>
  <c r="AW103" i="31" s="1"/>
  <c r="Q103" i="31"/>
  <c r="E103" i="31"/>
  <c r="L103" i="31" s="1"/>
  <c r="AU102" i="31"/>
  <c r="AU107" i="31" s="1"/>
  <c r="AT102" i="31"/>
  <c r="AT107" i="31" s="1"/>
  <c r="AS102" i="31"/>
  <c r="AS107" i="31" s="1"/>
  <c r="AR102" i="31"/>
  <c r="AF102" i="31"/>
  <c r="AD102" i="31"/>
  <c r="AB102" i="31"/>
  <c r="AA102" i="31"/>
  <c r="X102" i="31"/>
  <c r="U102" i="31"/>
  <c r="AQ102" i="31" s="1"/>
  <c r="AW102" i="31" s="1"/>
  <c r="Q102" i="31"/>
  <c r="E102" i="31"/>
  <c r="AM100" i="31"/>
  <c r="AK100" i="31"/>
  <c r="AK121" i="31" s="1"/>
  <c r="AJ100" i="31"/>
  <c r="AJ121" i="31" s="1"/>
  <c r="AI100" i="31"/>
  <c r="AH100" i="31"/>
  <c r="AG100" i="31"/>
  <c r="AG121" i="31" s="1"/>
  <c r="AE100" i="31"/>
  <c r="AE121" i="31" s="1"/>
  <c r="Z100" i="31"/>
  <c r="Y100" i="31"/>
  <c r="Y121" i="31" s="1"/>
  <c r="W100" i="31"/>
  <c r="W121" i="31" s="1"/>
  <c r="V100" i="31"/>
  <c r="V121" i="31" s="1"/>
  <c r="T100" i="31"/>
  <c r="T121" i="31" s="1"/>
  <c r="S100" i="31"/>
  <c r="N100" i="31"/>
  <c r="N121" i="31" s="1"/>
  <c r="J100" i="31"/>
  <c r="J121" i="31" s="1"/>
  <c r="I100" i="31"/>
  <c r="H100" i="31"/>
  <c r="G100" i="31"/>
  <c r="G121" i="31" s="1"/>
  <c r="F100" i="31"/>
  <c r="F121" i="31" s="1"/>
  <c r="AU98" i="31"/>
  <c r="AT98" i="31"/>
  <c r="AR98" i="31"/>
  <c r="AQ98" i="31"/>
  <c r="AW98" i="31" s="1"/>
  <c r="AD98" i="31"/>
  <c r="AB98" i="31"/>
  <c r="AA98" i="31"/>
  <c r="X98" i="31"/>
  <c r="AN98" i="31" s="1"/>
  <c r="U98" i="31"/>
  <c r="AS98" i="31" s="1"/>
  <c r="R98" i="31"/>
  <c r="Q98" i="31"/>
  <c r="L98" i="31"/>
  <c r="E98" i="31"/>
  <c r="AU97" i="31"/>
  <c r="AT97" i="31"/>
  <c r="AR97" i="31"/>
  <c r="AQ97" i="31"/>
  <c r="AW97" i="31" s="1"/>
  <c r="AF97" i="31"/>
  <c r="AD97" i="31"/>
  <c r="AB97" i="31"/>
  <c r="AA97" i="31"/>
  <c r="X97" i="31"/>
  <c r="AN97" i="31" s="1"/>
  <c r="U97" i="31"/>
  <c r="AS97" i="31" s="1"/>
  <c r="R97" i="31"/>
  <c r="Q97" i="31"/>
  <c r="L97" i="31"/>
  <c r="E97" i="31"/>
  <c r="AU96" i="31"/>
  <c r="AT96" i="31"/>
  <c r="AR96" i="31"/>
  <c r="AQ96" i="31"/>
  <c r="AW96" i="31" s="1"/>
  <c r="AF96" i="31"/>
  <c r="AD96" i="31"/>
  <c r="AB96" i="31"/>
  <c r="AA96" i="31"/>
  <c r="X96" i="31"/>
  <c r="AN96" i="31" s="1"/>
  <c r="U96" i="31"/>
  <c r="AS96" i="31" s="1"/>
  <c r="R96" i="31"/>
  <c r="Q96" i="31"/>
  <c r="L96" i="31"/>
  <c r="E96" i="31"/>
  <c r="AU95" i="31"/>
  <c r="AT95" i="31"/>
  <c r="AR95" i="31"/>
  <c r="AQ95" i="31"/>
  <c r="AW95" i="31" s="1"/>
  <c r="AF95" i="31"/>
  <c r="AD95" i="31"/>
  <c r="AB95" i="31"/>
  <c r="AA95" i="31"/>
  <c r="X95" i="31"/>
  <c r="AN95" i="31" s="1"/>
  <c r="U95" i="31"/>
  <c r="AS95" i="31" s="1"/>
  <c r="R95" i="31"/>
  <c r="Q95" i="31"/>
  <c r="L95" i="31"/>
  <c r="E95" i="31"/>
  <c r="AU94" i="31"/>
  <c r="AT94" i="31"/>
  <c r="AR94" i="31"/>
  <c r="AQ94" i="31"/>
  <c r="AW94" i="31" s="1"/>
  <c r="AD94" i="31"/>
  <c r="AB94" i="31"/>
  <c r="AA94" i="31"/>
  <c r="X94" i="31"/>
  <c r="AN94" i="31" s="1"/>
  <c r="U94" i="31"/>
  <c r="AS94" i="31" s="1"/>
  <c r="R94" i="31"/>
  <c r="Q94" i="31"/>
  <c r="L94" i="31"/>
  <c r="E94" i="31"/>
  <c r="AU93" i="31"/>
  <c r="AT93" i="31"/>
  <c r="AR93" i="31"/>
  <c r="AQ93" i="31"/>
  <c r="AW93" i="31" s="1"/>
  <c r="AF93" i="31"/>
  <c r="AD93" i="31"/>
  <c r="AB93" i="31"/>
  <c r="AA93" i="31"/>
  <c r="X93" i="31"/>
  <c r="AN93" i="31" s="1"/>
  <c r="U93" i="31"/>
  <c r="AS93" i="31" s="1"/>
  <c r="R93" i="31"/>
  <c r="Q93" i="31"/>
  <c r="L93" i="31"/>
  <c r="E93" i="31"/>
  <c r="AU92" i="31"/>
  <c r="AT92" i="31"/>
  <c r="AR92" i="31"/>
  <c r="AQ92" i="31"/>
  <c r="AW92" i="31" s="1"/>
  <c r="AF92" i="31"/>
  <c r="AD92" i="31"/>
  <c r="AB92" i="31"/>
  <c r="AA92" i="31"/>
  <c r="X92" i="31"/>
  <c r="AN92" i="31" s="1"/>
  <c r="U92" i="31"/>
  <c r="AS92" i="31" s="1"/>
  <c r="R92" i="31"/>
  <c r="Q92" i="31"/>
  <c r="L92" i="31"/>
  <c r="E92" i="31"/>
  <c r="AU91" i="31"/>
  <c r="AT91" i="31"/>
  <c r="AR91" i="31"/>
  <c r="AQ91" i="31"/>
  <c r="AW91" i="31" s="1"/>
  <c r="AF91" i="31"/>
  <c r="AD91" i="31"/>
  <c r="AB91" i="31"/>
  <c r="AA91" i="31"/>
  <c r="X91" i="31"/>
  <c r="AN91" i="31" s="1"/>
  <c r="U91" i="31"/>
  <c r="AS91" i="31" s="1"/>
  <c r="R91" i="31"/>
  <c r="Q91" i="31"/>
  <c r="L91" i="31"/>
  <c r="E91" i="31"/>
  <c r="AU90" i="31"/>
  <c r="AT90" i="31"/>
  <c r="AR90" i="31"/>
  <c r="AQ90" i="31"/>
  <c r="AW90" i="31" s="1"/>
  <c r="AD90" i="31"/>
  <c r="AB90" i="31"/>
  <c r="AA90" i="31"/>
  <c r="X90" i="31"/>
  <c r="AN90" i="31" s="1"/>
  <c r="U90" i="31"/>
  <c r="AS90" i="31" s="1"/>
  <c r="R90" i="31"/>
  <c r="Q90" i="31"/>
  <c r="L90" i="31"/>
  <c r="E90" i="31"/>
  <c r="AU89" i="31"/>
  <c r="AT89" i="31"/>
  <c r="AR89" i="31"/>
  <c r="AQ89" i="31"/>
  <c r="AW89" i="31" s="1"/>
  <c r="AF89" i="31"/>
  <c r="AD89" i="31"/>
  <c r="AB89" i="31"/>
  <c r="AA89" i="31"/>
  <c r="X89" i="31"/>
  <c r="AN89" i="31" s="1"/>
  <c r="U89" i="31"/>
  <c r="AS89" i="31" s="1"/>
  <c r="R89" i="31"/>
  <c r="Q89" i="31"/>
  <c r="L89" i="31"/>
  <c r="E89" i="31"/>
  <c r="AU88" i="31"/>
  <c r="AT88" i="31"/>
  <c r="AR88" i="31"/>
  <c r="AQ88" i="31"/>
  <c r="AW88" i="31" s="1"/>
  <c r="AF88" i="31"/>
  <c r="AD88" i="31"/>
  <c r="AB88" i="31"/>
  <c r="AA88" i="31"/>
  <c r="X88" i="31"/>
  <c r="AN88" i="31" s="1"/>
  <c r="U88" i="31"/>
  <c r="AS88" i="31" s="1"/>
  <c r="R88" i="31"/>
  <c r="Q88" i="31"/>
  <c r="L88" i="31"/>
  <c r="E88" i="31"/>
  <c r="AU87" i="31"/>
  <c r="AT87" i="31"/>
  <c r="AR87" i="31"/>
  <c r="AQ87" i="31"/>
  <c r="AW87" i="31" s="1"/>
  <c r="AF87" i="31"/>
  <c r="AD87" i="31"/>
  <c r="AB87" i="31"/>
  <c r="AA87" i="31"/>
  <c r="X87" i="31"/>
  <c r="AN87" i="31" s="1"/>
  <c r="U87" i="31"/>
  <c r="AS87" i="31" s="1"/>
  <c r="R87" i="31"/>
  <c r="Q87" i="31"/>
  <c r="L87" i="31"/>
  <c r="E87" i="31"/>
  <c r="AU86" i="31"/>
  <c r="AT86" i="31"/>
  <c r="AR86" i="31"/>
  <c r="AQ86" i="31"/>
  <c r="AW86" i="31" s="1"/>
  <c r="AD86" i="31"/>
  <c r="AB86" i="31"/>
  <c r="AA86" i="31"/>
  <c r="X86" i="31"/>
  <c r="AN86" i="31" s="1"/>
  <c r="U86" i="31"/>
  <c r="AS86" i="31" s="1"/>
  <c r="R86" i="31"/>
  <c r="Q86" i="31"/>
  <c r="L86" i="31"/>
  <c r="E86" i="31"/>
  <c r="AU85" i="31"/>
  <c r="AT85" i="31"/>
  <c r="AR85" i="31"/>
  <c r="AQ85" i="31"/>
  <c r="AW85" i="31" s="1"/>
  <c r="AF85" i="31"/>
  <c r="AD85" i="31"/>
  <c r="AB85" i="31"/>
  <c r="AA85" i="31"/>
  <c r="X85" i="31"/>
  <c r="AN85" i="31" s="1"/>
  <c r="U85" i="31"/>
  <c r="AS85" i="31" s="1"/>
  <c r="R85" i="31"/>
  <c r="Q85" i="31"/>
  <c r="L85" i="31"/>
  <c r="E85" i="31"/>
  <c r="AU84" i="31"/>
  <c r="AT84" i="31"/>
  <c r="AR84" i="31"/>
  <c r="AQ84" i="31"/>
  <c r="AW84" i="31" s="1"/>
  <c r="AF84" i="31"/>
  <c r="AD84" i="31"/>
  <c r="AB84" i="31"/>
  <c r="AA84" i="31"/>
  <c r="X84" i="31"/>
  <c r="AN84" i="31" s="1"/>
  <c r="U84" i="31"/>
  <c r="AS84" i="31" s="1"/>
  <c r="R84" i="31"/>
  <c r="Q84" i="31"/>
  <c r="L84" i="31"/>
  <c r="E84" i="31"/>
  <c r="AU83" i="31"/>
  <c r="AT83" i="31"/>
  <c r="AR83" i="31"/>
  <c r="AQ83" i="31"/>
  <c r="AW83" i="31" s="1"/>
  <c r="AL83" i="31"/>
  <c r="AF83" i="31"/>
  <c r="AD83" i="31"/>
  <c r="AB83" i="31"/>
  <c r="AA83" i="31"/>
  <c r="X83" i="31"/>
  <c r="AN83" i="31" s="1"/>
  <c r="U83" i="31"/>
  <c r="AS83" i="31" s="1"/>
  <c r="R83" i="31"/>
  <c r="Q83" i="31"/>
  <c r="L83" i="31"/>
  <c r="E83" i="31"/>
  <c r="AU82" i="31"/>
  <c r="AT82" i="31"/>
  <c r="AS82" i="31"/>
  <c r="AR82" i="31"/>
  <c r="AQ82" i="31"/>
  <c r="AW82" i="31" s="1"/>
  <c r="AL82" i="31"/>
  <c r="AF82" i="31"/>
  <c r="AD82" i="31"/>
  <c r="AB82" i="31"/>
  <c r="AA82" i="31"/>
  <c r="X82" i="31"/>
  <c r="AN82" i="31" s="1"/>
  <c r="U82" i="31"/>
  <c r="R82" i="31"/>
  <c r="Q82" i="31"/>
  <c r="L82" i="31"/>
  <c r="E82" i="31"/>
  <c r="AU81" i="31"/>
  <c r="AT81" i="31"/>
  <c r="AS81" i="31"/>
  <c r="AR81" i="31"/>
  <c r="AQ81" i="31"/>
  <c r="AW81" i="31" s="1"/>
  <c r="AL81" i="31"/>
  <c r="AF81" i="31"/>
  <c r="AD81" i="31"/>
  <c r="AB81" i="31"/>
  <c r="AA81" i="31"/>
  <c r="X81" i="31"/>
  <c r="AN81" i="31" s="1"/>
  <c r="U81" i="31"/>
  <c r="R81" i="31"/>
  <c r="Q81" i="31"/>
  <c r="L81" i="31"/>
  <c r="E81" i="31"/>
  <c r="AU80" i="31"/>
  <c r="AT80" i="31"/>
  <c r="AS80" i="31"/>
  <c r="AR80" i="31"/>
  <c r="AQ80" i="31"/>
  <c r="AW80" i="31" s="1"/>
  <c r="AL80" i="31"/>
  <c r="AF80" i="31"/>
  <c r="AD80" i="31"/>
  <c r="AB80" i="31"/>
  <c r="AA80" i="31"/>
  <c r="X80" i="31"/>
  <c r="AN80" i="31" s="1"/>
  <c r="U80" i="31"/>
  <c r="R80" i="31"/>
  <c r="Q80" i="31"/>
  <c r="L80" i="31"/>
  <c r="E80" i="31"/>
  <c r="AU79" i="31"/>
  <c r="AT79" i="31"/>
  <c r="AS79" i="31"/>
  <c r="AR79" i="31"/>
  <c r="AQ79" i="31"/>
  <c r="AW79" i="31" s="1"/>
  <c r="AO79" i="31"/>
  <c r="AV79" i="31" s="1" a="1"/>
  <c r="AV79" i="31" s="1"/>
  <c r="AZ79" i="31" s="1"/>
  <c r="AL79" i="31"/>
  <c r="AD79" i="31"/>
  <c r="AB79" i="31"/>
  <c r="AA79" i="31"/>
  <c r="AF79" i="31" s="1"/>
  <c r="X79" i="31"/>
  <c r="AN79" i="31" s="1"/>
  <c r="U79" i="31"/>
  <c r="R79" i="31"/>
  <c r="Q79" i="31"/>
  <c r="E79" i="31"/>
  <c r="L79" i="31" s="1"/>
  <c r="AU78" i="31"/>
  <c r="AT78" i="31"/>
  <c r="AR78" i="31"/>
  <c r="AN78" i="31"/>
  <c r="AL78" i="31"/>
  <c r="AB78" i="31"/>
  <c r="AA78" i="31"/>
  <c r="AF78" i="31" s="1"/>
  <c r="X78" i="31"/>
  <c r="U78" i="31"/>
  <c r="AQ78" i="31" s="1"/>
  <c r="AW78" i="31" s="1"/>
  <c r="R78" i="31"/>
  <c r="Q78" i="31"/>
  <c r="E78" i="31"/>
  <c r="L78" i="31" s="1"/>
  <c r="AU77" i="31"/>
  <c r="AT77" i="31"/>
  <c r="AR77" i="31"/>
  <c r="AN77" i="31"/>
  <c r="AL77" i="31"/>
  <c r="AB77" i="31"/>
  <c r="AA77" i="31"/>
  <c r="AF77" i="31" s="1"/>
  <c r="X77" i="31"/>
  <c r="U77" i="31"/>
  <c r="AQ77" i="31" s="1"/>
  <c r="AW77" i="31" s="1"/>
  <c r="R77" i="31"/>
  <c r="Q77" i="31"/>
  <c r="E77" i="31"/>
  <c r="L77" i="31" s="1"/>
  <c r="AU76" i="31"/>
  <c r="AT76" i="31"/>
  <c r="AR76" i="31"/>
  <c r="AN76" i="31"/>
  <c r="AL76" i="31"/>
  <c r="AB76" i="31"/>
  <c r="AA76" i="31"/>
  <c r="AF76" i="31" s="1"/>
  <c r="X76" i="31"/>
  <c r="U76" i="31"/>
  <c r="AQ76" i="31" s="1"/>
  <c r="AW76" i="31" s="1"/>
  <c r="R76" i="31"/>
  <c r="Q76" i="31"/>
  <c r="E76" i="31"/>
  <c r="L76" i="31" s="1"/>
  <c r="AU75" i="31"/>
  <c r="AT75" i="31"/>
  <c r="AR75" i="31"/>
  <c r="AN75" i="31"/>
  <c r="AL75" i="31"/>
  <c r="AB75" i="31"/>
  <c r="AA75" i="31"/>
  <c r="AF75" i="31" s="1"/>
  <c r="X75" i="31"/>
  <c r="U75" i="31"/>
  <c r="AQ75" i="31" s="1"/>
  <c r="AW75" i="31" s="1"/>
  <c r="R75" i="31"/>
  <c r="Q75" i="31"/>
  <c r="E75" i="31"/>
  <c r="L75" i="31" s="1"/>
  <c r="AU74" i="31"/>
  <c r="AT74" i="31"/>
  <c r="AR74" i="31"/>
  <c r="AN74" i="31"/>
  <c r="AL74" i="31"/>
  <c r="AB74" i="31"/>
  <c r="AA74" i="31"/>
  <c r="AF74" i="31" s="1"/>
  <c r="X74" i="31"/>
  <c r="U74" i="31"/>
  <c r="AQ74" i="31" s="1"/>
  <c r="AW74" i="31" s="1"/>
  <c r="R74" i="31"/>
  <c r="Q74" i="31"/>
  <c r="E74" i="31"/>
  <c r="L74" i="31" s="1"/>
  <c r="AU73" i="31"/>
  <c r="AT73" i="31"/>
  <c r="AR73" i="31"/>
  <c r="AN73" i="31"/>
  <c r="AL73" i="31"/>
  <c r="AB73" i="31"/>
  <c r="AA73" i="31"/>
  <c r="AF73" i="31" s="1"/>
  <c r="X73" i="31"/>
  <c r="U73" i="31"/>
  <c r="AQ73" i="31" s="1"/>
  <c r="AW73" i="31" s="1"/>
  <c r="R73" i="31"/>
  <c r="Q73" i="31"/>
  <c r="E73" i="31"/>
  <c r="L73" i="31" s="1"/>
  <c r="AU72" i="31"/>
  <c r="AT72" i="31"/>
  <c r="AS72" i="31"/>
  <c r="AR72" i="31"/>
  <c r="AN72" i="31"/>
  <c r="AL72" i="31"/>
  <c r="AB72" i="31"/>
  <c r="AA72" i="31"/>
  <c r="AF72" i="31" s="1"/>
  <c r="X72" i="31"/>
  <c r="U72" i="31"/>
  <c r="AQ72" i="31" s="1"/>
  <c r="AW72" i="31" s="1"/>
  <c r="R72" i="31"/>
  <c r="Q72" i="31"/>
  <c r="E72" i="31"/>
  <c r="L72" i="31" s="1"/>
  <c r="AU71" i="31"/>
  <c r="AT71" i="31"/>
  <c r="AS71" i="31"/>
  <c r="AR71" i="31"/>
  <c r="AN71" i="31"/>
  <c r="AL71" i="31"/>
  <c r="AB71" i="31"/>
  <c r="AA71" i="31"/>
  <c r="AF71" i="31" s="1"/>
  <c r="X71" i="31"/>
  <c r="U71" i="31"/>
  <c r="AQ71" i="31" s="1"/>
  <c r="AW71" i="31" s="1"/>
  <c r="R71" i="31"/>
  <c r="Q71" i="31"/>
  <c r="E71" i="31"/>
  <c r="L71" i="31" s="1"/>
  <c r="AU70" i="31"/>
  <c r="AT70" i="31"/>
  <c r="AS70" i="31"/>
  <c r="AR70" i="31"/>
  <c r="AN70" i="31"/>
  <c r="AL70" i="31"/>
  <c r="AB70" i="31"/>
  <c r="AA70" i="31"/>
  <c r="AF70" i="31" s="1"/>
  <c r="X70" i="31"/>
  <c r="U70" i="31"/>
  <c r="AQ70" i="31" s="1"/>
  <c r="AW70" i="31" s="1"/>
  <c r="R70" i="31"/>
  <c r="Q70" i="31"/>
  <c r="E70" i="31"/>
  <c r="L70" i="31" s="1"/>
  <c r="AU69" i="31"/>
  <c r="AT69" i="31"/>
  <c r="AS69" i="31"/>
  <c r="AR69" i="31"/>
  <c r="AN69" i="31"/>
  <c r="AL69" i="31"/>
  <c r="AB69" i="31"/>
  <c r="AA69" i="31"/>
  <c r="AF69" i="31" s="1"/>
  <c r="X69" i="31"/>
  <c r="U69" i="31"/>
  <c r="AQ69" i="31" s="1"/>
  <c r="AW69" i="31" s="1"/>
  <c r="R69" i="31"/>
  <c r="Q69" i="31"/>
  <c r="E69" i="31"/>
  <c r="L69" i="31" s="1"/>
  <c r="AU68" i="31"/>
  <c r="AT68" i="31"/>
  <c r="AS68" i="31"/>
  <c r="AR68" i="31"/>
  <c r="AN68" i="31"/>
  <c r="AL68" i="31"/>
  <c r="AB68" i="31"/>
  <c r="AA68" i="31"/>
  <c r="AF68" i="31" s="1"/>
  <c r="X68" i="31"/>
  <c r="U68" i="31"/>
  <c r="AQ68" i="31" s="1"/>
  <c r="AW68" i="31" s="1"/>
  <c r="R68" i="31"/>
  <c r="Q68" i="31"/>
  <c r="E68" i="31"/>
  <c r="L68" i="31" s="1"/>
  <c r="AU67" i="31"/>
  <c r="AT67" i="31"/>
  <c r="AS67" i="31"/>
  <c r="AR67" i="31"/>
  <c r="AN67" i="31"/>
  <c r="AL67" i="31"/>
  <c r="AB67" i="31"/>
  <c r="AA67" i="31"/>
  <c r="AF67" i="31" s="1"/>
  <c r="X67" i="31"/>
  <c r="U67" i="31"/>
  <c r="AQ67" i="31" s="1"/>
  <c r="AW67" i="31" s="1"/>
  <c r="R67" i="31"/>
  <c r="Q67" i="31"/>
  <c r="E67" i="31"/>
  <c r="L67" i="31" s="1"/>
  <c r="AU66" i="31"/>
  <c r="AT66" i="31"/>
  <c r="AS66" i="31"/>
  <c r="AR66" i="31"/>
  <c r="AN66" i="31"/>
  <c r="AL66" i="31"/>
  <c r="AB66" i="31"/>
  <c r="AA66" i="31"/>
  <c r="AF66" i="31" s="1"/>
  <c r="X66" i="31"/>
  <c r="U66" i="31"/>
  <c r="AQ66" i="31" s="1"/>
  <c r="AW66" i="31" s="1"/>
  <c r="R66" i="31"/>
  <c r="Q66" i="31"/>
  <c r="E66" i="31"/>
  <c r="L66" i="31" s="1"/>
  <c r="AU65" i="31"/>
  <c r="AT65" i="31"/>
  <c r="AS65" i="31"/>
  <c r="AR65" i="31"/>
  <c r="AN65" i="31"/>
  <c r="AL65" i="31"/>
  <c r="AB65" i="31"/>
  <c r="AA65" i="31"/>
  <c r="AF65" i="31" s="1"/>
  <c r="X65" i="31"/>
  <c r="U65" i="31"/>
  <c r="AQ65" i="31" s="1"/>
  <c r="AW65" i="31" s="1"/>
  <c r="R65" i="31"/>
  <c r="Q65" i="31"/>
  <c r="E65" i="31"/>
  <c r="L65" i="31" s="1"/>
  <c r="AU64" i="31"/>
  <c r="AT64" i="31"/>
  <c r="AS64" i="31"/>
  <c r="AR64" i="31"/>
  <c r="AN64" i="31"/>
  <c r="AL64" i="31"/>
  <c r="AB64" i="31"/>
  <c r="AA64" i="31"/>
  <c r="X64" i="31"/>
  <c r="U64" i="31"/>
  <c r="AQ64" i="31" s="1"/>
  <c r="AW64" i="31" s="1"/>
  <c r="R64" i="31"/>
  <c r="Q64" i="31"/>
  <c r="E64" i="31"/>
  <c r="L64" i="31" s="1"/>
  <c r="AU63" i="31"/>
  <c r="AT63" i="31"/>
  <c r="AS63" i="31"/>
  <c r="AR63" i="31"/>
  <c r="AN63" i="31"/>
  <c r="AL63" i="31"/>
  <c r="AB63" i="31"/>
  <c r="AA63" i="31"/>
  <c r="X63" i="31"/>
  <c r="U63" i="31"/>
  <c r="AQ63" i="31" s="1"/>
  <c r="AW63" i="31" s="1"/>
  <c r="R63" i="31"/>
  <c r="Q63" i="31"/>
  <c r="E63" i="31"/>
  <c r="L63" i="31" s="1"/>
  <c r="AU62" i="31"/>
  <c r="AT62" i="31"/>
  <c r="AS62" i="31"/>
  <c r="AR62" i="31"/>
  <c r="AN62" i="31"/>
  <c r="AL62" i="31"/>
  <c r="AB62" i="31"/>
  <c r="AA62" i="31"/>
  <c r="X62" i="31"/>
  <c r="U62" i="31"/>
  <c r="AQ62" i="31" s="1"/>
  <c r="AW62" i="31" s="1"/>
  <c r="R62" i="31"/>
  <c r="Q62" i="31"/>
  <c r="E62" i="31"/>
  <c r="L62" i="31" s="1"/>
  <c r="AU61" i="31"/>
  <c r="AT61" i="31"/>
  <c r="AS61" i="31"/>
  <c r="AR61" i="31"/>
  <c r="AN61" i="31"/>
  <c r="AL61" i="31"/>
  <c r="AB61" i="31"/>
  <c r="AA61" i="31"/>
  <c r="X61" i="31"/>
  <c r="U61" i="31"/>
  <c r="AQ61" i="31" s="1"/>
  <c r="AW61" i="31" s="1"/>
  <c r="R61" i="31"/>
  <c r="Q61" i="31"/>
  <c r="E61" i="31"/>
  <c r="L61" i="31" s="1"/>
  <c r="AU60" i="31"/>
  <c r="AT60" i="31"/>
  <c r="AS60" i="31"/>
  <c r="AR60" i="31"/>
  <c r="AN60" i="31"/>
  <c r="AL60" i="31"/>
  <c r="AB60" i="31"/>
  <c r="AA60" i="31"/>
  <c r="X60" i="31"/>
  <c r="U60" i="31"/>
  <c r="AQ60" i="31" s="1"/>
  <c r="AW60" i="31" s="1"/>
  <c r="R60" i="31"/>
  <c r="Q60" i="31"/>
  <c r="E60" i="31"/>
  <c r="L60" i="31" s="1"/>
  <c r="AU59" i="31"/>
  <c r="AT59" i="31"/>
  <c r="AS59" i="31"/>
  <c r="AR59" i="31"/>
  <c r="AN59" i="31"/>
  <c r="AL59" i="31"/>
  <c r="AB59" i="31"/>
  <c r="AA59" i="31"/>
  <c r="X59" i="31"/>
  <c r="U59" i="31"/>
  <c r="AQ59" i="31" s="1"/>
  <c r="AW59" i="31" s="1"/>
  <c r="R59" i="31"/>
  <c r="Q59" i="31"/>
  <c r="E59" i="31"/>
  <c r="L59" i="31" s="1"/>
  <c r="AU58" i="31"/>
  <c r="AT58" i="31"/>
  <c r="AS58" i="31"/>
  <c r="AR58" i="31"/>
  <c r="AN58" i="31"/>
  <c r="AL58" i="31"/>
  <c r="AB58" i="31"/>
  <c r="AA58" i="31"/>
  <c r="X58" i="31"/>
  <c r="U58" i="31"/>
  <c r="AQ58" i="31" s="1"/>
  <c r="AW58" i="31" s="1"/>
  <c r="R58" i="31"/>
  <c r="Q58" i="31"/>
  <c r="E58" i="31"/>
  <c r="L58" i="31" s="1"/>
  <c r="AU57" i="31"/>
  <c r="AT57" i="31"/>
  <c r="AS57" i="31"/>
  <c r="AR57" i="31"/>
  <c r="AN57" i="31"/>
  <c r="AL57" i="31"/>
  <c r="AB57" i="31"/>
  <c r="AA57" i="31"/>
  <c r="X57" i="31"/>
  <c r="U57" i="31"/>
  <c r="AQ57" i="31" s="1"/>
  <c r="AW57" i="31" s="1"/>
  <c r="R57" i="31"/>
  <c r="Q57" i="31"/>
  <c r="E57" i="31"/>
  <c r="L57" i="31" s="1"/>
  <c r="AU56" i="31"/>
  <c r="AT56" i="31"/>
  <c r="AS56" i="31"/>
  <c r="AR56" i="31"/>
  <c r="AN56" i="31"/>
  <c r="AL56" i="31"/>
  <c r="AB56" i="31"/>
  <c r="AA56" i="31"/>
  <c r="AF56" i="31" s="1"/>
  <c r="X56" i="31"/>
  <c r="U56" i="31"/>
  <c r="AQ56" i="31" s="1"/>
  <c r="AW56" i="31" s="1"/>
  <c r="R56" i="31"/>
  <c r="Q56" i="31"/>
  <c r="E56" i="31"/>
  <c r="L56" i="31" s="1"/>
  <c r="AU55" i="31"/>
  <c r="AT55" i="31"/>
  <c r="AS55" i="31"/>
  <c r="AR55" i="31"/>
  <c r="AN55" i="31"/>
  <c r="AL55" i="31"/>
  <c r="AB55" i="31"/>
  <c r="AA55" i="31"/>
  <c r="X55" i="31"/>
  <c r="U55" i="31"/>
  <c r="AQ55" i="31" s="1"/>
  <c r="AW55" i="31" s="1"/>
  <c r="R55" i="31"/>
  <c r="Q55" i="31"/>
  <c r="E55" i="31"/>
  <c r="L55" i="31" s="1"/>
  <c r="AU54" i="31"/>
  <c r="AT54" i="31"/>
  <c r="AS54" i="31"/>
  <c r="AR54" i="31"/>
  <c r="AN54" i="31"/>
  <c r="AL54" i="31"/>
  <c r="AB54" i="31"/>
  <c r="AA54" i="31"/>
  <c r="X54" i="31"/>
  <c r="U54" i="31"/>
  <c r="AQ54" i="31" s="1"/>
  <c r="AW54" i="31" s="1"/>
  <c r="R54" i="31"/>
  <c r="Q54" i="31"/>
  <c r="E54" i="31"/>
  <c r="L54" i="31" s="1"/>
  <c r="AU53" i="31"/>
  <c r="AT53" i="31"/>
  <c r="AS53" i="31"/>
  <c r="AR53" i="31"/>
  <c r="AN53" i="31"/>
  <c r="AL53" i="31"/>
  <c r="AB53" i="31"/>
  <c r="AA53" i="31"/>
  <c r="X53" i="31"/>
  <c r="U53" i="31"/>
  <c r="AQ53" i="31" s="1"/>
  <c r="AW53" i="31" s="1"/>
  <c r="R53" i="31"/>
  <c r="Q53" i="31"/>
  <c r="E53" i="31"/>
  <c r="L53" i="31" s="1"/>
  <c r="AU52" i="31"/>
  <c r="AT52" i="31"/>
  <c r="AS52" i="31"/>
  <c r="AR52" i="31"/>
  <c r="AN52" i="31"/>
  <c r="AL52" i="31"/>
  <c r="AB52" i="31"/>
  <c r="AA52" i="31"/>
  <c r="X52" i="31"/>
  <c r="U52" i="31"/>
  <c r="AQ52" i="31" s="1"/>
  <c r="AW52" i="31" s="1"/>
  <c r="R52" i="31"/>
  <c r="Q52" i="31"/>
  <c r="E52" i="31"/>
  <c r="L52" i="31" s="1"/>
  <c r="AU51" i="31"/>
  <c r="AT51" i="31"/>
  <c r="AR51" i="31"/>
  <c r="AN51" i="31"/>
  <c r="AL51" i="31"/>
  <c r="AF51" i="31"/>
  <c r="AB51" i="31"/>
  <c r="AA51" i="31"/>
  <c r="X51" i="31"/>
  <c r="U51" i="31"/>
  <c r="AQ51" i="31" s="1"/>
  <c r="AW51" i="31" s="1"/>
  <c r="Q51" i="31"/>
  <c r="L51" i="31"/>
  <c r="E51" i="31"/>
  <c r="AU50" i="31"/>
  <c r="AT50" i="31"/>
  <c r="AR50" i="31"/>
  <c r="AN50" i="31"/>
  <c r="AL50" i="31"/>
  <c r="AF50" i="31"/>
  <c r="AB50" i="31"/>
  <c r="AA50" i="31"/>
  <c r="X50" i="31"/>
  <c r="U50" i="31"/>
  <c r="AQ50" i="31" s="1"/>
  <c r="AW50" i="31" s="1"/>
  <c r="Q50" i="31"/>
  <c r="L50" i="31"/>
  <c r="E50" i="31"/>
  <c r="AU49" i="31"/>
  <c r="AT49" i="31"/>
  <c r="AR49" i="31"/>
  <c r="AN49" i="31"/>
  <c r="AL49" i="31"/>
  <c r="AF49" i="31"/>
  <c r="AB49" i="31"/>
  <c r="AA49" i="31"/>
  <c r="X49" i="31"/>
  <c r="U49" i="31"/>
  <c r="AQ49" i="31" s="1"/>
  <c r="AW49" i="31" s="1"/>
  <c r="Q49" i="31"/>
  <c r="L49" i="31"/>
  <c r="E49" i="31"/>
  <c r="AU48" i="31"/>
  <c r="AT48" i="31"/>
  <c r="AR48" i="31"/>
  <c r="AN48" i="31"/>
  <c r="AL48" i="31"/>
  <c r="AF48" i="31"/>
  <c r="AB48" i="31"/>
  <c r="AA48" i="31"/>
  <c r="X48" i="31"/>
  <c r="U48" i="31"/>
  <c r="AQ48" i="31" s="1"/>
  <c r="AW48" i="31" s="1"/>
  <c r="Q48" i="31"/>
  <c r="L48" i="31"/>
  <c r="E48" i="31"/>
  <c r="AU47" i="31"/>
  <c r="AT47" i="31"/>
  <c r="AR47" i="31"/>
  <c r="AN47" i="31"/>
  <c r="AL47" i="31"/>
  <c r="AF47" i="31"/>
  <c r="AB47" i="31"/>
  <c r="AA47" i="31"/>
  <c r="X47" i="31"/>
  <c r="U47" i="31"/>
  <c r="AQ47" i="31" s="1"/>
  <c r="AW47" i="31" s="1"/>
  <c r="R47" i="31"/>
  <c r="Q47" i="31"/>
  <c r="L47" i="31"/>
  <c r="E47" i="31"/>
  <c r="AU46" i="31"/>
  <c r="AT46" i="31"/>
  <c r="AR46" i="31"/>
  <c r="AN46" i="31"/>
  <c r="AL46" i="31"/>
  <c r="AF46" i="31"/>
  <c r="AB46" i="31"/>
  <c r="AA46" i="31"/>
  <c r="X46" i="31"/>
  <c r="U46" i="31"/>
  <c r="AQ46" i="31" s="1"/>
  <c r="AW46" i="31" s="1"/>
  <c r="R46" i="31"/>
  <c r="Q46" i="31"/>
  <c r="L46" i="31"/>
  <c r="E46" i="31"/>
  <c r="AU45" i="31"/>
  <c r="AT45" i="31"/>
  <c r="AR45" i="31"/>
  <c r="AN45" i="31"/>
  <c r="AL45" i="31"/>
  <c r="AF45" i="31"/>
  <c r="AB45" i="31"/>
  <c r="AA45" i="31"/>
  <c r="X45" i="31"/>
  <c r="U45" i="31"/>
  <c r="AQ45" i="31" s="1"/>
  <c r="AW45" i="31" s="1"/>
  <c r="R45" i="31"/>
  <c r="Q45" i="31"/>
  <c r="L45" i="31"/>
  <c r="E45" i="31"/>
  <c r="AU44" i="31"/>
  <c r="AT44" i="31"/>
  <c r="AR44" i="31"/>
  <c r="AN44" i="31"/>
  <c r="AL44" i="31"/>
  <c r="AB44" i="31"/>
  <c r="AA44" i="31"/>
  <c r="AF44" i="31" s="1"/>
  <c r="X44" i="31"/>
  <c r="U44" i="31"/>
  <c r="AQ44" i="31" s="1"/>
  <c r="AW44" i="31" s="1"/>
  <c r="R44" i="31"/>
  <c r="Q44" i="31"/>
  <c r="L44" i="31"/>
  <c r="E44" i="31"/>
  <c r="AU43" i="31"/>
  <c r="AT43" i="31"/>
  <c r="AR43" i="31"/>
  <c r="AN43" i="31"/>
  <c r="AL43" i="31"/>
  <c r="AB43" i="31"/>
  <c r="AA43" i="31"/>
  <c r="AF43" i="31" s="1"/>
  <c r="X43" i="31"/>
  <c r="U43" i="31"/>
  <c r="AQ43" i="31" s="1"/>
  <c r="AW43" i="31" s="1"/>
  <c r="R43" i="31"/>
  <c r="Q43" i="31"/>
  <c r="L43" i="31"/>
  <c r="E43" i="31"/>
  <c r="AU42" i="31"/>
  <c r="AT42" i="31"/>
  <c r="AR42" i="31"/>
  <c r="AN42" i="31"/>
  <c r="AL42" i="31"/>
  <c r="AB42" i="31"/>
  <c r="AA42" i="31"/>
  <c r="AF42" i="31" s="1"/>
  <c r="X42" i="31"/>
  <c r="U42" i="31"/>
  <c r="AQ42" i="31" s="1"/>
  <c r="AW42" i="31" s="1"/>
  <c r="R42" i="31"/>
  <c r="Q42" i="31"/>
  <c r="L42" i="31"/>
  <c r="E42" i="31"/>
  <c r="AU41" i="31"/>
  <c r="AT41" i="31"/>
  <c r="AR41" i="31"/>
  <c r="AN41" i="31"/>
  <c r="AL41" i="31"/>
  <c r="AB41" i="31"/>
  <c r="AA41" i="31"/>
  <c r="AF41" i="31" s="1"/>
  <c r="X41" i="31"/>
  <c r="U41" i="31"/>
  <c r="AQ41" i="31" s="1"/>
  <c r="AW41" i="31" s="1"/>
  <c r="R41" i="31"/>
  <c r="Q41" i="31"/>
  <c r="L41" i="31"/>
  <c r="E41" i="31"/>
  <c r="AU40" i="31"/>
  <c r="AT40" i="31"/>
  <c r="AR40" i="31"/>
  <c r="AN40" i="31"/>
  <c r="AL40" i="31"/>
  <c r="AB40" i="31"/>
  <c r="AA40" i="31"/>
  <c r="AF40" i="31" s="1"/>
  <c r="X40" i="31"/>
  <c r="U40" i="31"/>
  <c r="AQ40" i="31" s="1"/>
  <c r="AW40" i="31" s="1"/>
  <c r="R40" i="31"/>
  <c r="Q40" i="31"/>
  <c r="L40" i="31"/>
  <c r="E40" i="31"/>
  <c r="AU39" i="31"/>
  <c r="AT39" i="31"/>
  <c r="AR39" i="31"/>
  <c r="AN39" i="31"/>
  <c r="AL39" i="31"/>
  <c r="AF39" i="31"/>
  <c r="AB39" i="31"/>
  <c r="AA39" i="31"/>
  <c r="X39" i="31"/>
  <c r="U39" i="31"/>
  <c r="AQ39" i="31" s="1"/>
  <c r="AW39" i="31" s="1"/>
  <c r="R39" i="31"/>
  <c r="Q39" i="31"/>
  <c r="L39" i="31"/>
  <c r="E39" i="31"/>
  <c r="AU38" i="31"/>
  <c r="AT38" i="31"/>
  <c r="AR38" i="31"/>
  <c r="AN38" i="31"/>
  <c r="AL38" i="31"/>
  <c r="AB38" i="31"/>
  <c r="AA38" i="31"/>
  <c r="AF38" i="31" s="1"/>
  <c r="X38" i="31"/>
  <c r="U38" i="31"/>
  <c r="AQ38" i="31" s="1"/>
  <c r="AW38" i="31" s="1"/>
  <c r="R38" i="31"/>
  <c r="Q38" i="31"/>
  <c r="L38" i="31"/>
  <c r="E38" i="31"/>
  <c r="AU37" i="31"/>
  <c r="AT37" i="31"/>
  <c r="AR37" i="31"/>
  <c r="AN37" i="31"/>
  <c r="AL37" i="31"/>
  <c r="AB37" i="31"/>
  <c r="AA37" i="31"/>
  <c r="AF37" i="31" s="1"/>
  <c r="X37" i="31"/>
  <c r="U37" i="31"/>
  <c r="AQ37" i="31" s="1"/>
  <c r="AW37" i="31" s="1"/>
  <c r="R37" i="31"/>
  <c r="Q37" i="31"/>
  <c r="L37" i="31"/>
  <c r="E37" i="31"/>
  <c r="AU36" i="31"/>
  <c r="AT36" i="31"/>
  <c r="AR36" i="31"/>
  <c r="AN36" i="31"/>
  <c r="AL36" i="31"/>
  <c r="AB36" i="31"/>
  <c r="AA36" i="31"/>
  <c r="AF36" i="31" s="1"/>
  <c r="X36" i="31"/>
  <c r="U36" i="31"/>
  <c r="AQ36" i="31" s="1"/>
  <c r="AW36" i="31" s="1"/>
  <c r="R36" i="31"/>
  <c r="Q36" i="31"/>
  <c r="L36" i="31"/>
  <c r="E36" i="31"/>
  <c r="AU35" i="31"/>
  <c r="AT35" i="31"/>
  <c r="AR35" i="31"/>
  <c r="AN35" i="31"/>
  <c r="AL35" i="31"/>
  <c r="AB35" i="31"/>
  <c r="AA35" i="31"/>
  <c r="AF35" i="31" s="1"/>
  <c r="X35" i="31"/>
  <c r="U35" i="31"/>
  <c r="AQ35" i="31" s="1"/>
  <c r="AW35" i="31" s="1"/>
  <c r="R35" i="31"/>
  <c r="Q35" i="31"/>
  <c r="L35" i="31"/>
  <c r="E35" i="31"/>
  <c r="AU34" i="31"/>
  <c r="AT34" i="31"/>
  <c r="AR34" i="31"/>
  <c r="AN34" i="31"/>
  <c r="AL34" i="31"/>
  <c r="AB34" i="31"/>
  <c r="AA34" i="31"/>
  <c r="AF34" i="31" s="1"/>
  <c r="X34" i="31"/>
  <c r="U34" i="31"/>
  <c r="AQ34" i="31" s="1"/>
  <c r="AW34" i="31" s="1"/>
  <c r="R34" i="31"/>
  <c r="Q34" i="31"/>
  <c r="L34" i="31"/>
  <c r="E34" i="31"/>
  <c r="AU33" i="31"/>
  <c r="AT33" i="31"/>
  <c r="AR33" i="31"/>
  <c r="AN33" i="31"/>
  <c r="AL33" i="31"/>
  <c r="AD33" i="31"/>
  <c r="AO33" i="31" s="1"/>
  <c r="AV33" i="31" s="1" a="1"/>
  <c r="AV33" i="31" s="1"/>
  <c r="AZ33" i="31" s="1"/>
  <c r="AB33" i="31"/>
  <c r="AA33" i="31"/>
  <c r="AF33" i="31" s="1"/>
  <c r="X33" i="31"/>
  <c r="U33" i="31"/>
  <c r="AQ33" i="31" s="1"/>
  <c r="AW33" i="31" s="1"/>
  <c r="R33" i="31"/>
  <c r="Q33" i="31"/>
  <c r="L33" i="31"/>
  <c r="E33" i="31"/>
  <c r="AU32" i="31"/>
  <c r="AT32" i="31"/>
  <c r="AR32" i="31"/>
  <c r="AN32" i="31"/>
  <c r="AL32" i="31"/>
  <c r="AD32" i="31"/>
  <c r="AO32" i="31" s="1"/>
  <c r="AV32" i="31" s="1" a="1"/>
  <c r="AV32" i="31" s="1"/>
  <c r="AZ32" i="31" s="1"/>
  <c r="AB32" i="31"/>
  <c r="AA32" i="31"/>
  <c r="AF32" i="31" s="1"/>
  <c r="X32" i="31"/>
  <c r="U32" i="31"/>
  <c r="AQ32" i="31" s="1"/>
  <c r="AW32" i="31" s="1"/>
  <c r="R32" i="31"/>
  <c r="Q32" i="31"/>
  <c r="L32" i="31"/>
  <c r="E32" i="31"/>
  <c r="AU31" i="31"/>
  <c r="AT31" i="31"/>
  <c r="AR31" i="31"/>
  <c r="AN31" i="31"/>
  <c r="AL31" i="31"/>
  <c r="AD31" i="31"/>
  <c r="AO31" i="31" s="1"/>
  <c r="AV31" i="31" s="1" a="1"/>
  <c r="AV31" i="31" s="1"/>
  <c r="AZ31" i="31" s="1"/>
  <c r="AB31" i="31"/>
  <c r="AA31" i="31"/>
  <c r="AF31" i="31" s="1"/>
  <c r="X31" i="31"/>
  <c r="U31" i="31"/>
  <c r="AQ31" i="31" s="1"/>
  <c r="AW31" i="31" s="1"/>
  <c r="R31" i="31"/>
  <c r="Q31" i="31"/>
  <c r="L31" i="31"/>
  <c r="E31" i="31"/>
  <c r="AU30" i="31"/>
  <c r="AT30" i="31"/>
  <c r="AR30" i="31"/>
  <c r="AX30" i="31" s="1"/>
  <c r="AN30" i="31"/>
  <c r="AL30" i="31"/>
  <c r="AD30" i="31"/>
  <c r="AO30" i="31" s="1"/>
  <c r="AV30" i="31" s="1" a="1"/>
  <c r="AV30" i="31" s="1"/>
  <c r="AZ30" i="31" s="1"/>
  <c r="AB30" i="31"/>
  <c r="AA30" i="31"/>
  <c r="AF30" i="31" s="1"/>
  <c r="X30" i="31"/>
  <c r="U30" i="31"/>
  <c r="AQ30" i="31" s="1"/>
  <c r="AW30" i="31" s="1"/>
  <c r="R30" i="31"/>
  <c r="Q30" i="31"/>
  <c r="L30" i="31"/>
  <c r="E30" i="31"/>
  <c r="AU29" i="31"/>
  <c r="AT29" i="31"/>
  <c r="AR29" i="31"/>
  <c r="AL29" i="31"/>
  <c r="AD29" i="31"/>
  <c r="AO29" i="31" s="1"/>
  <c r="AV29" i="31" s="1" a="1"/>
  <c r="AV29" i="31" s="1"/>
  <c r="AZ29" i="31" s="1"/>
  <c r="AB29" i="31"/>
  <c r="AA29" i="31"/>
  <c r="AF29" i="31" s="1"/>
  <c r="X29" i="31"/>
  <c r="AN29" i="31" s="1"/>
  <c r="U29" i="31"/>
  <c r="AQ29" i="31" s="1"/>
  <c r="AW29" i="31" s="1"/>
  <c r="R29" i="31"/>
  <c r="Q29" i="31"/>
  <c r="L29" i="31"/>
  <c r="E29" i="31"/>
  <c r="AU28" i="31"/>
  <c r="AT28" i="31"/>
  <c r="AS28" i="31"/>
  <c r="AR28" i="31"/>
  <c r="AQ28" i="31"/>
  <c r="AW28" i="31" s="1"/>
  <c r="AN28" i="31"/>
  <c r="AL28" i="31"/>
  <c r="AB28" i="31"/>
  <c r="AA28" i="31"/>
  <c r="X28" i="31"/>
  <c r="U28" i="31"/>
  <c r="Q28" i="31"/>
  <c r="E28" i="31"/>
  <c r="L28" i="31" s="1"/>
  <c r="AU27" i="31"/>
  <c r="AT27" i="31"/>
  <c r="AS27" i="31"/>
  <c r="AR27" i="31"/>
  <c r="AQ27" i="31"/>
  <c r="AW27" i="31" s="1"/>
  <c r="AN27" i="31"/>
  <c r="AL27" i="31"/>
  <c r="AB27" i="31"/>
  <c r="AA27" i="31"/>
  <c r="X27" i="31"/>
  <c r="U27" i="31"/>
  <c r="Q27" i="31"/>
  <c r="E27" i="31"/>
  <c r="L27" i="31" s="1"/>
  <c r="AU26" i="31"/>
  <c r="AT26" i="31"/>
  <c r="AS26" i="31"/>
  <c r="AR26" i="31"/>
  <c r="AQ26" i="31"/>
  <c r="AW26" i="31" s="1"/>
  <c r="AN26" i="31"/>
  <c r="AL26" i="31"/>
  <c r="AB26" i="31"/>
  <c r="AA26" i="31"/>
  <c r="X26" i="31"/>
  <c r="U26" i="31"/>
  <c r="R26" i="31"/>
  <c r="Q26" i="31"/>
  <c r="E26" i="31"/>
  <c r="L26" i="31" s="1"/>
  <c r="AU25" i="31"/>
  <c r="AT25" i="31"/>
  <c r="AS25" i="31"/>
  <c r="AR25" i="31"/>
  <c r="AQ25" i="31"/>
  <c r="AW25" i="31" s="1"/>
  <c r="AN25" i="31"/>
  <c r="AL25" i="31"/>
  <c r="AB25" i="31"/>
  <c r="AA25" i="31"/>
  <c r="X25" i="31"/>
  <c r="U25" i="31"/>
  <c r="R25" i="31"/>
  <c r="Q25" i="31"/>
  <c r="E25" i="31"/>
  <c r="L25" i="31" s="1"/>
  <c r="AU24" i="31"/>
  <c r="AT24" i="31"/>
  <c r="AS24" i="31"/>
  <c r="AR24" i="31"/>
  <c r="AQ24" i="31"/>
  <c r="AW24" i="31" s="1"/>
  <c r="AN24" i="31"/>
  <c r="AL24" i="31"/>
  <c r="AB24" i="31"/>
  <c r="AA24" i="31"/>
  <c r="X24" i="31"/>
  <c r="U24" i="31"/>
  <c r="R24" i="31"/>
  <c r="Q24" i="31"/>
  <c r="E24" i="31"/>
  <c r="L24" i="31" s="1"/>
  <c r="AU23" i="31"/>
  <c r="AT23" i="31"/>
  <c r="AS23" i="31"/>
  <c r="AR23" i="31"/>
  <c r="AQ23" i="31"/>
  <c r="AW23" i="31" s="1"/>
  <c r="AN23" i="31"/>
  <c r="AL23" i="31"/>
  <c r="AB23" i="31"/>
  <c r="AA23" i="31"/>
  <c r="X23" i="31"/>
  <c r="U23" i="31"/>
  <c r="AD23" i="31" s="1"/>
  <c r="R23" i="31"/>
  <c r="Q23" i="31"/>
  <c r="E23" i="31"/>
  <c r="L23" i="31" s="1"/>
  <c r="AU22" i="31"/>
  <c r="AT22" i="31"/>
  <c r="AS22" i="31"/>
  <c r="AR22" i="31"/>
  <c r="AQ22" i="31"/>
  <c r="AW22" i="31" s="1"/>
  <c r="AN22" i="31"/>
  <c r="AL22" i="31"/>
  <c r="AB22" i="31"/>
  <c r="AA22" i="31"/>
  <c r="AO22" i="31" s="1"/>
  <c r="AV22" i="31" s="1" a="1"/>
  <c r="AV22" i="31" s="1"/>
  <c r="X22" i="31"/>
  <c r="U22" i="31"/>
  <c r="AD22" i="31" s="1"/>
  <c r="R22" i="31"/>
  <c r="Q22" i="31"/>
  <c r="E22" i="31"/>
  <c r="L22" i="31" s="1"/>
  <c r="AU21" i="31"/>
  <c r="AT21" i="31"/>
  <c r="AS21" i="31"/>
  <c r="AR21" i="31"/>
  <c r="AQ21" i="31"/>
  <c r="AW21" i="31" s="1"/>
  <c r="AN21" i="31"/>
  <c r="AL21" i="31"/>
  <c r="AB21" i="31"/>
  <c r="AA21" i="31"/>
  <c r="X21" i="31"/>
  <c r="U21" i="31"/>
  <c r="AD21" i="31" s="1"/>
  <c r="R21" i="31"/>
  <c r="Q21" i="31"/>
  <c r="E21" i="31"/>
  <c r="L21" i="31" s="1"/>
  <c r="AU20" i="31"/>
  <c r="AT20" i="31"/>
  <c r="AS20" i="31"/>
  <c r="AR20" i="31"/>
  <c r="AQ20" i="31"/>
  <c r="AW20" i="31" s="1"/>
  <c r="AN20" i="31"/>
  <c r="AL20" i="31"/>
  <c r="AB20" i="31"/>
  <c r="AA20" i="31"/>
  <c r="AO20" i="31" s="1"/>
  <c r="AV20" i="31" s="1" a="1"/>
  <c r="AV20" i="31" s="1"/>
  <c r="X20" i="31"/>
  <c r="U20" i="31"/>
  <c r="AD20" i="31" s="1"/>
  <c r="R20" i="31"/>
  <c r="Q20" i="31"/>
  <c r="E20" i="31"/>
  <c r="L20" i="31" s="1"/>
  <c r="AU19" i="31"/>
  <c r="AT19" i="31"/>
  <c r="AS19" i="31"/>
  <c r="AR19" i="31"/>
  <c r="AQ19" i="31"/>
  <c r="AW19" i="31" s="1"/>
  <c r="AN19" i="31"/>
  <c r="AL19" i="31"/>
  <c r="AB19" i="31"/>
  <c r="AA19" i="31"/>
  <c r="X19" i="31"/>
  <c r="U19" i="31"/>
  <c r="AD19" i="31" s="1"/>
  <c r="R19" i="31"/>
  <c r="Q19" i="31"/>
  <c r="E19" i="31"/>
  <c r="L19" i="31" s="1"/>
  <c r="AU18" i="31"/>
  <c r="AT18" i="31"/>
  <c r="AS18" i="31"/>
  <c r="AR18" i="31"/>
  <c r="AQ18" i="31"/>
  <c r="AW18" i="31" s="1"/>
  <c r="AN18" i="31"/>
  <c r="AL18" i="31"/>
  <c r="AB18" i="31"/>
  <c r="AA18" i="31"/>
  <c r="AO18" i="31" s="1"/>
  <c r="AV18" i="31" s="1" a="1"/>
  <c r="AV18" i="31" s="1"/>
  <c r="X18" i="31"/>
  <c r="U18" i="31"/>
  <c r="AD18" i="31" s="1"/>
  <c r="R18" i="31"/>
  <c r="Q18" i="31"/>
  <c r="E18" i="31"/>
  <c r="L18" i="31" s="1"/>
  <c r="AU17" i="31"/>
  <c r="AT17" i="31"/>
  <c r="AS17" i="31"/>
  <c r="AR17" i="31"/>
  <c r="AQ17" i="31"/>
  <c r="AW17" i="31" s="1"/>
  <c r="AN17" i="31"/>
  <c r="AL17" i="31"/>
  <c r="AB17" i="31"/>
  <c r="AA17" i="31"/>
  <c r="X17" i="31"/>
  <c r="U17" i="31"/>
  <c r="AD17" i="31" s="1"/>
  <c r="R17" i="31"/>
  <c r="Q17" i="31"/>
  <c r="E17" i="31"/>
  <c r="L17" i="31" s="1"/>
  <c r="AU16" i="31"/>
  <c r="AT16" i="31"/>
  <c r="AS16" i="31"/>
  <c r="AR16" i="31"/>
  <c r="AQ16" i="31"/>
  <c r="AW16" i="31" s="1"/>
  <c r="AN16" i="31"/>
  <c r="AL16" i="31"/>
  <c r="AB16" i="31"/>
  <c r="AA16" i="31"/>
  <c r="X16" i="31"/>
  <c r="U16" i="31"/>
  <c r="AD16" i="31" s="1"/>
  <c r="R16" i="31"/>
  <c r="Q16" i="31"/>
  <c r="E16" i="31"/>
  <c r="L16" i="31" s="1"/>
  <c r="AU15" i="31"/>
  <c r="AT15" i="31"/>
  <c r="AS15" i="31"/>
  <c r="AR15" i="31"/>
  <c r="AQ15" i="31"/>
  <c r="AW15" i="31" s="1"/>
  <c r="AN15" i="31"/>
  <c r="AL15" i="31"/>
  <c r="AB15" i="31"/>
  <c r="AA15" i="31"/>
  <c r="X15" i="31"/>
  <c r="U15" i="31"/>
  <c r="AD15" i="31" s="1"/>
  <c r="R15" i="31"/>
  <c r="Q15" i="31"/>
  <c r="E15" i="31"/>
  <c r="L15" i="31" s="1"/>
  <c r="AU14" i="31"/>
  <c r="AT14" i="31"/>
  <c r="AS14" i="31"/>
  <c r="AR14" i="31"/>
  <c r="AQ14" i="31"/>
  <c r="AW14" i="31" s="1"/>
  <c r="AN14" i="31"/>
  <c r="AL14" i="31"/>
  <c r="AF14" i="31"/>
  <c r="AB14" i="31"/>
  <c r="AA14" i="31"/>
  <c r="X14" i="31"/>
  <c r="U14" i="31"/>
  <c r="AD14" i="31" s="1"/>
  <c r="R14" i="31"/>
  <c r="Q14" i="31"/>
  <c r="E14" i="31"/>
  <c r="L14" i="31" s="1"/>
  <c r="AU13" i="31"/>
  <c r="AT13" i="31"/>
  <c r="AS13" i="31"/>
  <c r="AR13" i="31"/>
  <c r="AQ13" i="31"/>
  <c r="AW13" i="31" s="1"/>
  <c r="AN13" i="31"/>
  <c r="AL13" i="31"/>
  <c r="AF13" i="31"/>
  <c r="AB13" i="31"/>
  <c r="AA13" i="31"/>
  <c r="X13" i="31"/>
  <c r="U13" i="31"/>
  <c r="AD13" i="31" s="1"/>
  <c r="R13" i="31"/>
  <c r="Q13" i="31"/>
  <c r="E13" i="31"/>
  <c r="L13" i="31" s="1"/>
  <c r="AU12" i="31"/>
  <c r="AT12" i="31"/>
  <c r="AS12" i="31"/>
  <c r="AR12" i="31"/>
  <c r="AQ12" i="31"/>
  <c r="AW12" i="31" s="1"/>
  <c r="AN12" i="31"/>
  <c r="AL12" i="31"/>
  <c r="AF12" i="31"/>
  <c r="AB12" i="31"/>
  <c r="AA12" i="31"/>
  <c r="X12" i="31"/>
  <c r="U12" i="31"/>
  <c r="AD12" i="31" s="1"/>
  <c r="R12" i="31"/>
  <c r="Q12" i="31"/>
  <c r="E12" i="31"/>
  <c r="L12" i="31" s="1"/>
  <c r="AU11" i="31"/>
  <c r="AT11" i="31"/>
  <c r="AS11" i="31"/>
  <c r="AR11" i="31"/>
  <c r="AQ11" i="31"/>
  <c r="AW11" i="31" s="1"/>
  <c r="AN11" i="31"/>
  <c r="AL11" i="31"/>
  <c r="AF11" i="31"/>
  <c r="AB11" i="31"/>
  <c r="AA11" i="31"/>
  <c r="X11" i="31"/>
  <c r="U11" i="31"/>
  <c r="AD11" i="31" s="1"/>
  <c r="R11" i="31"/>
  <c r="Q11" i="31"/>
  <c r="E11" i="31"/>
  <c r="L11" i="31" s="1"/>
  <c r="AU10" i="31"/>
  <c r="AT10" i="31"/>
  <c r="AS10" i="31"/>
  <c r="AR10" i="31"/>
  <c r="AQ10" i="31"/>
  <c r="AW10" i="31" s="1"/>
  <c r="AN10" i="31"/>
  <c r="AL10" i="31"/>
  <c r="AF10" i="31"/>
  <c r="AB10" i="31"/>
  <c r="AA10" i="31"/>
  <c r="X10" i="31"/>
  <c r="U10" i="31"/>
  <c r="AD10" i="31" s="1"/>
  <c r="R10" i="31"/>
  <c r="Q10" i="31"/>
  <c r="E10" i="31"/>
  <c r="L10" i="31" s="1"/>
  <c r="AU9" i="31"/>
  <c r="AT9" i="31"/>
  <c r="AS9" i="31"/>
  <c r="AR9" i="31"/>
  <c r="AQ9" i="31"/>
  <c r="AW9" i="31" s="1"/>
  <c r="AN9" i="31"/>
  <c r="AL9" i="31"/>
  <c r="AF9" i="31"/>
  <c r="AB9" i="31"/>
  <c r="AA9" i="31"/>
  <c r="X9" i="31"/>
  <c r="U9" i="31"/>
  <c r="AD9" i="31" s="1"/>
  <c r="R9" i="31"/>
  <c r="Q9" i="31"/>
  <c r="E9" i="31"/>
  <c r="L9" i="31" s="1"/>
  <c r="AU8" i="31"/>
  <c r="AT8" i="31"/>
  <c r="AS8" i="31"/>
  <c r="AR8" i="31"/>
  <c r="AQ8" i="31"/>
  <c r="AW8" i="31" s="1"/>
  <c r="AN8" i="31"/>
  <c r="AL8" i="31"/>
  <c r="AB8" i="31"/>
  <c r="AA8" i="31"/>
  <c r="X8" i="31"/>
  <c r="U8" i="31"/>
  <c r="AD8" i="31" s="1"/>
  <c r="R8" i="31"/>
  <c r="Q8" i="31"/>
  <c r="E8" i="31"/>
  <c r="L8" i="31" s="1"/>
  <c r="AU7" i="31"/>
  <c r="AU99" i="31" s="1"/>
  <c r="AT7" i="31"/>
  <c r="AT99" i="31" s="1"/>
  <c r="AS7" i="31"/>
  <c r="AR7" i="31"/>
  <c r="AR99" i="31" s="1"/>
  <c r="AQ7" i="31"/>
  <c r="AN7" i="31"/>
  <c r="AL7" i="31"/>
  <c r="AB7" i="31"/>
  <c r="AA7" i="31"/>
  <c r="X7" i="31"/>
  <c r="U7" i="31"/>
  <c r="AD7" i="31" s="1"/>
  <c r="R7" i="31"/>
  <c r="Q7" i="31"/>
  <c r="E7" i="31"/>
  <c r="L7" i="31" s="1"/>
  <c r="AU6" i="31"/>
  <c r="AT6" i="31"/>
  <c r="AS6" i="31"/>
  <c r="AR6" i="31"/>
  <c r="AQ6" i="31"/>
  <c r="AW6" i="31" s="1"/>
  <c r="AN6" i="31"/>
  <c r="AL6" i="31"/>
  <c r="AF6" i="31"/>
  <c r="AB6" i="31"/>
  <c r="AA6" i="31"/>
  <c r="X6" i="31"/>
  <c r="U6" i="31"/>
  <c r="AD6" i="31" s="1"/>
  <c r="R6" i="31"/>
  <c r="Q6" i="31"/>
  <c r="E6" i="31"/>
  <c r="L6" i="31" s="1"/>
  <c r="AU5" i="31"/>
  <c r="AT5" i="31"/>
  <c r="AS5" i="31"/>
  <c r="AR5" i="31"/>
  <c r="AQ5" i="31"/>
  <c r="AW5" i="31" s="1"/>
  <c r="AN5" i="31"/>
  <c r="AL5" i="31"/>
  <c r="AF5" i="31"/>
  <c r="AB5" i="31"/>
  <c r="AA5" i="31"/>
  <c r="X5" i="31"/>
  <c r="U5" i="31"/>
  <c r="AD5" i="31" s="1"/>
  <c r="R5" i="31"/>
  <c r="Q5" i="31"/>
  <c r="E5" i="31"/>
  <c r="L5" i="31" s="1"/>
  <c r="AU4" i="31"/>
  <c r="AT4" i="31"/>
  <c r="AS4" i="31"/>
  <c r="AR4" i="31"/>
  <c r="AQ4" i="31"/>
  <c r="AW4" i="31" s="1"/>
  <c r="AN4" i="31"/>
  <c r="AL4" i="31"/>
  <c r="AF4" i="31"/>
  <c r="AD4" i="31"/>
  <c r="AB4" i="31"/>
  <c r="AA4" i="31"/>
  <c r="X4" i="31"/>
  <c r="U4" i="31"/>
  <c r="R4" i="31"/>
  <c r="Q4" i="31"/>
  <c r="E4" i="31"/>
  <c r="L4" i="31" s="1"/>
  <c r="AU3" i="31"/>
  <c r="AT3" i="31"/>
  <c r="AS3" i="31"/>
  <c r="AR3" i="31"/>
  <c r="AQ3" i="31"/>
  <c r="AW3" i="31" s="1"/>
  <c r="AL3" i="31"/>
  <c r="AD3" i="31"/>
  <c r="AB3" i="31"/>
  <c r="AA3" i="31"/>
  <c r="AF3" i="31" s="1"/>
  <c r="X3" i="31"/>
  <c r="U3" i="31"/>
  <c r="R3" i="31"/>
  <c r="Q3" i="31"/>
  <c r="E3" i="31"/>
  <c r="L3" i="31" s="1"/>
  <c r="L100" i="31" s="1"/>
  <c r="AA19" i="3"/>
  <c r="V19" i="3"/>
  <c r="T19" i="3"/>
  <c r="M25" i="32" l="1"/>
  <c r="L26" i="32"/>
  <c r="E99" i="29"/>
  <c r="L99" i="29" s="1"/>
  <c r="E102" i="29"/>
  <c r="L102" i="29" s="1"/>
  <c r="AX20" i="31"/>
  <c r="AZ20" i="31"/>
  <c r="AB100" i="31"/>
  <c r="AX32" i="31"/>
  <c r="AO7" i="31"/>
  <c r="AV7" i="31" s="1" a="1"/>
  <c r="AV7" i="31" s="1"/>
  <c r="AX18" i="31"/>
  <c r="AZ18" i="31"/>
  <c r="AX22" i="31"/>
  <c r="AZ22" i="31"/>
  <c r="AO6" i="31"/>
  <c r="AV6" i="31" s="1" a="1"/>
  <c r="AV6" i="31" s="1"/>
  <c r="AO4" i="31"/>
  <c r="AV4" i="31" s="1" a="1"/>
  <c r="AV4" i="31" s="1"/>
  <c r="AX31" i="31"/>
  <c r="AO16" i="31"/>
  <c r="AV16" i="31" s="1" a="1"/>
  <c r="AV16" i="31" s="1"/>
  <c r="AF16" i="31"/>
  <c r="E100" i="31"/>
  <c r="AQ99" i="31"/>
  <c r="AW7" i="31"/>
  <c r="AW99" i="31" s="1"/>
  <c r="AO17" i="31"/>
  <c r="AV17" i="31" s="1" a="1"/>
  <c r="AV17" i="31" s="1"/>
  <c r="AO21" i="31"/>
  <c r="AV21" i="31" s="1" a="1"/>
  <c r="AV21" i="31" s="1"/>
  <c r="X100" i="31"/>
  <c r="AN3" i="31"/>
  <c r="AO5" i="31"/>
  <c r="AV5" i="31" s="1" a="1"/>
  <c r="AV5" i="31" s="1"/>
  <c r="AZ5" i="31" s="1"/>
  <c r="AF7" i="31"/>
  <c r="AO9" i="31"/>
  <c r="AV9" i="31" s="1" a="1"/>
  <c r="AV9" i="31" s="1"/>
  <c r="AO10" i="31"/>
  <c r="AV10" i="31" s="1" a="1"/>
  <c r="AV10" i="31" s="1"/>
  <c r="AO11" i="31"/>
  <c r="AV11" i="31" s="1" a="1"/>
  <c r="AV11" i="31" s="1"/>
  <c r="AO12" i="31"/>
  <c r="AV12" i="31" s="1" a="1"/>
  <c r="AV12" i="31" s="1"/>
  <c r="AO13" i="31"/>
  <c r="AV13" i="31" s="1" a="1"/>
  <c r="AV13" i="31" s="1"/>
  <c r="AO14" i="31"/>
  <c r="AV14" i="31" s="1" a="1"/>
  <c r="AV14" i="31" s="1"/>
  <c r="AO15" i="31"/>
  <c r="AV15" i="31" s="1" a="1"/>
  <c r="AV15" i="31" s="1"/>
  <c r="AF15" i="31"/>
  <c r="AX29" i="31"/>
  <c r="AX33" i="31"/>
  <c r="AO8" i="31"/>
  <c r="AV8" i="31" s="1" a="1"/>
  <c r="AV8" i="31" s="1"/>
  <c r="AA100" i="31"/>
  <c r="AA121" i="31" s="1"/>
  <c r="AC12" i="31" s="1"/>
  <c r="AF8" i="31"/>
  <c r="AO19" i="31"/>
  <c r="AV19" i="31" s="1" a="1"/>
  <c r="AV19" i="31" s="1"/>
  <c r="AO23" i="31"/>
  <c r="AV23" i="31" s="1" a="1"/>
  <c r="AV23" i="31" s="1"/>
  <c r="AS29" i="31"/>
  <c r="AS99" i="31" s="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F86" i="31"/>
  <c r="AF90" i="31"/>
  <c r="AF94" i="31"/>
  <c r="AF98" i="31"/>
  <c r="AC19" i="31"/>
  <c r="AC27" i="31"/>
  <c r="AD34" i="31"/>
  <c r="AO34" i="31" s="1"/>
  <c r="AV34" i="31" s="1" a="1"/>
  <c r="AV34" i="31" s="1"/>
  <c r="AZ34" i="31" s="1"/>
  <c r="AD35" i="31"/>
  <c r="AO35" i="31" s="1"/>
  <c r="AV35" i="31" s="1" a="1"/>
  <c r="AV35" i="31" s="1"/>
  <c r="AZ35" i="31" s="1"/>
  <c r="AD36" i="31"/>
  <c r="AO36" i="31" s="1"/>
  <c r="AV36" i="31" s="1" a="1"/>
  <c r="AV36" i="31" s="1"/>
  <c r="AZ36" i="31" s="1"/>
  <c r="AD37" i="31"/>
  <c r="AO37" i="31" s="1"/>
  <c r="AV37" i="31" s="1" a="1"/>
  <c r="AV37" i="31" s="1"/>
  <c r="AZ37" i="31" s="1"/>
  <c r="AD38" i="31"/>
  <c r="AO38" i="31" s="1"/>
  <c r="AV38" i="31" s="1" a="1"/>
  <c r="AV38" i="31" s="1"/>
  <c r="AZ38" i="31" s="1"/>
  <c r="AD39" i="31"/>
  <c r="AO39" i="31" s="1"/>
  <c r="AV39" i="31" s="1" a="1"/>
  <c r="AV39" i="31" s="1"/>
  <c r="AZ39" i="31" s="1"/>
  <c r="AD40" i="31"/>
  <c r="AO40" i="31" s="1"/>
  <c r="AV40" i="31" s="1" a="1"/>
  <c r="AV40" i="31" s="1"/>
  <c r="AZ40" i="31" s="1"/>
  <c r="AD41" i="31"/>
  <c r="AO41" i="31" s="1"/>
  <c r="AV41" i="31" s="1" a="1"/>
  <c r="AV41" i="31" s="1"/>
  <c r="AZ41" i="31" s="1"/>
  <c r="AD42" i="31"/>
  <c r="AO42" i="31" s="1"/>
  <c r="AV42" i="31" s="1" a="1"/>
  <c r="AV42" i="31" s="1"/>
  <c r="AZ42" i="31" s="1"/>
  <c r="AD43" i="31"/>
  <c r="AO43" i="31" s="1"/>
  <c r="AV43" i="31" s="1" a="1"/>
  <c r="AV43" i="31" s="1"/>
  <c r="AZ43" i="31" s="1"/>
  <c r="AD44" i="31"/>
  <c r="AO44" i="31" s="1"/>
  <c r="AV44" i="31" s="1" a="1"/>
  <c r="AV44" i="31" s="1"/>
  <c r="AZ44" i="31" s="1"/>
  <c r="AD45" i="31"/>
  <c r="AO45" i="31" s="1"/>
  <c r="AV45" i="31" s="1" a="1"/>
  <c r="AV45" i="31" s="1"/>
  <c r="AZ45" i="31" s="1"/>
  <c r="AD46" i="31"/>
  <c r="AO46" i="31" s="1"/>
  <c r="AV46" i="31" s="1" a="1"/>
  <c r="AV46" i="31" s="1"/>
  <c r="AZ46" i="31" s="1"/>
  <c r="AD47" i="31"/>
  <c r="AO47" i="31" s="1"/>
  <c r="AV47" i="31" s="1" a="1"/>
  <c r="AV47" i="31" s="1"/>
  <c r="AD48" i="31"/>
  <c r="AO48" i="31" s="1"/>
  <c r="AV48" i="31" s="1" a="1"/>
  <c r="AV48" i="31" s="1"/>
  <c r="AD49" i="31"/>
  <c r="AO49" i="31" s="1"/>
  <c r="AV49" i="31" s="1" a="1"/>
  <c r="AV49" i="31" s="1"/>
  <c r="AD50" i="31"/>
  <c r="AO50" i="31" s="1"/>
  <c r="AD51" i="31"/>
  <c r="AX79" i="31"/>
  <c r="AD108" i="31"/>
  <c r="E119" i="31"/>
  <c r="AD24" i="31"/>
  <c r="AD100" i="31" s="1"/>
  <c r="AD121" i="31" s="1"/>
  <c r="AD25" i="31"/>
  <c r="AO25" i="31" s="1"/>
  <c r="AV25" i="31" s="1" a="1"/>
  <c r="AV25" i="31" s="1"/>
  <c r="AD26" i="31"/>
  <c r="AO26" i="31" s="1"/>
  <c r="AV26" i="31" s="1" a="1"/>
  <c r="AV26" i="31" s="1"/>
  <c r="AD27" i="31"/>
  <c r="AO27" i="31" s="1"/>
  <c r="AV27" i="31" s="1" a="1"/>
  <c r="AV27" i="31" s="1"/>
  <c r="AD28" i="31"/>
  <c r="AO28" i="31" s="1"/>
  <c r="AV28" i="31" s="1"/>
  <c r="AF17" i="31"/>
  <c r="AF18" i="31"/>
  <c r="AF19" i="31"/>
  <c r="AF20" i="31"/>
  <c r="AF21" i="31"/>
  <c r="AF22" i="31"/>
  <c r="AF23" i="31"/>
  <c r="AF24" i="31"/>
  <c r="AF25" i="31"/>
  <c r="AF26" i="31"/>
  <c r="AF27" i="31"/>
  <c r="AF28" i="31"/>
  <c r="R48" i="31"/>
  <c r="R49" i="31"/>
  <c r="R50" i="31"/>
  <c r="AV50" i="31" a="1"/>
  <c r="AV50" i="31" s="1"/>
  <c r="AZ50" i="31" s="1"/>
  <c r="R51" i="31"/>
  <c r="E108" i="31"/>
  <c r="L102" i="31"/>
  <c r="L108" i="31" s="1"/>
  <c r="L121" i="31" s="1"/>
  <c r="R27" i="31"/>
  <c r="R28" i="31"/>
  <c r="AQ113" i="31"/>
  <c r="AW113" i="31" s="1"/>
  <c r="R113" i="31"/>
  <c r="AD113" i="31"/>
  <c r="AS113" i="31"/>
  <c r="AQ117" i="31"/>
  <c r="AW117" i="31" s="1"/>
  <c r="R117" i="31"/>
  <c r="AD117" i="31"/>
  <c r="AS117" i="31"/>
  <c r="AW107" i="31"/>
  <c r="AO105" i="31"/>
  <c r="U100" i="31"/>
  <c r="AO51" i="31"/>
  <c r="AV51" i="31" s="1" a="1"/>
  <c r="AV51" i="31" s="1"/>
  <c r="AS51" i="31"/>
  <c r="AO58" i="31"/>
  <c r="AV58" i="31" s="1" a="1"/>
  <c r="AV58" i="31" s="1"/>
  <c r="AZ58" i="31" s="1"/>
  <c r="AN102" i="31"/>
  <c r="AN108" i="31" s="1"/>
  <c r="X108" i="31"/>
  <c r="AS73" i="31"/>
  <c r="AS74" i="31"/>
  <c r="AS75" i="31"/>
  <c r="AS76" i="31"/>
  <c r="AS77" i="31"/>
  <c r="AS78" i="31"/>
  <c r="AC83" i="31"/>
  <c r="AO83" i="31"/>
  <c r="AV83" i="31" s="1" a="1"/>
  <c r="AV83" i="31" s="1"/>
  <c r="AC85" i="31"/>
  <c r="AC93" i="31"/>
  <c r="AQ116" i="31"/>
  <c r="AW116" i="31" s="1"/>
  <c r="R116" i="31"/>
  <c r="AD116" i="31"/>
  <c r="AS116" i="31"/>
  <c r="AD52" i="31"/>
  <c r="AO52" i="31" s="1"/>
  <c r="AV52" i="31" s="1" a="1"/>
  <c r="AV52" i="31" s="1"/>
  <c r="AD53" i="31"/>
  <c r="AO53" i="31" s="1"/>
  <c r="AV53" i="31" s="1" a="1"/>
  <c r="AV53" i="31" s="1"/>
  <c r="AD54" i="31"/>
  <c r="AO54" i="31" s="1"/>
  <c r="AV54" i="31" s="1" a="1"/>
  <c r="AV54" i="31" s="1"/>
  <c r="AD55" i="31"/>
  <c r="AO55" i="31" s="1"/>
  <c r="AV55" i="31" s="1" a="1"/>
  <c r="AV55" i="31" s="1"/>
  <c r="AD56" i="31"/>
  <c r="AO56" i="31" s="1"/>
  <c r="AV56" i="31" s="1" a="1"/>
  <c r="AV56" i="31" s="1"/>
  <c r="AZ56" i="31" s="1"/>
  <c r="AD57" i="31"/>
  <c r="AO57" i="31" s="1"/>
  <c r="AV57" i="31" s="1" a="1"/>
  <c r="AV57" i="31" s="1"/>
  <c r="AD58" i="31"/>
  <c r="AD59" i="31"/>
  <c r="AO59" i="31" s="1"/>
  <c r="AV59" i="31" s="1" a="1"/>
  <c r="AV59" i="31" s="1"/>
  <c r="AD60" i="31"/>
  <c r="AO60" i="31" s="1"/>
  <c r="AV60" i="31" s="1" a="1"/>
  <c r="AV60" i="31" s="1"/>
  <c r="AD61" i="31"/>
  <c r="AO61" i="31" s="1"/>
  <c r="AV61" i="31" s="1" a="1"/>
  <c r="AV61" i="31" s="1"/>
  <c r="AD62" i="31"/>
  <c r="AO62" i="31" s="1"/>
  <c r="AV62" i="31" s="1" a="1"/>
  <c r="AV62" i="31" s="1"/>
  <c r="AD63" i="31"/>
  <c r="AO63" i="31" s="1"/>
  <c r="AV63" i="31" s="1" a="1"/>
  <c r="AV63" i="31" s="1"/>
  <c r="AD64" i="31"/>
  <c r="AO64" i="31" s="1"/>
  <c r="AV64" i="31" s="1" a="1"/>
  <c r="AV64" i="31" s="1"/>
  <c r="AD65" i="31"/>
  <c r="AO65" i="31" s="1"/>
  <c r="AV65" i="31" s="1" a="1"/>
  <c r="AV65" i="31" s="1"/>
  <c r="AZ65" i="31" s="1"/>
  <c r="AD66" i="31"/>
  <c r="AO66" i="31" s="1"/>
  <c r="AV66" i="31" s="1" a="1"/>
  <c r="AV66" i="31" s="1"/>
  <c r="AZ66" i="31" s="1"/>
  <c r="AD67" i="31"/>
  <c r="AO67" i="31" s="1"/>
  <c r="AV67" i="31" s="1" a="1"/>
  <c r="AV67" i="31" s="1"/>
  <c r="AZ67" i="31" s="1"/>
  <c r="AD68" i="31"/>
  <c r="AO68" i="31" s="1"/>
  <c r="AV68" i="31" s="1" a="1"/>
  <c r="AV68" i="31" s="1"/>
  <c r="AZ68" i="31" s="1"/>
  <c r="AD69" i="31"/>
  <c r="AO69" i="31" s="1"/>
  <c r="AV69" i="31" s="1" a="1"/>
  <c r="AV69" i="31" s="1"/>
  <c r="AZ69" i="31" s="1"/>
  <c r="AD70" i="31"/>
  <c r="AO70" i="31" s="1"/>
  <c r="AV70" i="31" s="1" a="1"/>
  <c r="AV70" i="31" s="1"/>
  <c r="AZ70" i="31" s="1"/>
  <c r="AD71" i="31"/>
  <c r="AO71" i="31" s="1"/>
  <c r="AV71" i="31" s="1" a="1"/>
  <c r="AV71" i="31" s="1"/>
  <c r="AZ71" i="31" s="1"/>
  <c r="AD72" i="31"/>
  <c r="AO72" i="31" s="1"/>
  <c r="AV72" i="31" s="1" a="1"/>
  <c r="AV72" i="31" s="1"/>
  <c r="AZ72" i="31" s="1"/>
  <c r="AD73" i="31"/>
  <c r="AO73" i="31" s="1"/>
  <c r="AV73" i="31" s="1" a="1"/>
  <c r="AV73" i="31" s="1"/>
  <c r="AZ73" i="31" s="1"/>
  <c r="AD74" i="31"/>
  <c r="AO74" i="31" s="1"/>
  <c r="AV74" i="31" s="1" a="1"/>
  <c r="AV74" i="31" s="1"/>
  <c r="AZ74" i="31" s="1"/>
  <c r="AD75" i="31"/>
  <c r="AO75" i="31" s="1"/>
  <c r="AV75" i="31" s="1" a="1"/>
  <c r="AV75" i="31" s="1"/>
  <c r="AZ75" i="31" s="1"/>
  <c r="AD76" i="31"/>
  <c r="AO76" i="31" s="1"/>
  <c r="AV76" i="31" s="1" a="1"/>
  <c r="AV76" i="31" s="1"/>
  <c r="AZ76" i="31" s="1"/>
  <c r="AD77" i="31"/>
  <c r="AO77" i="31" s="1"/>
  <c r="AV77" i="31" s="1" a="1"/>
  <c r="AV77" i="31" s="1"/>
  <c r="AZ77" i="31" s="1"/>
  <c r="AD78" i="31"/>
  <c r="AO78" i="31" s="1"/>
  <c r="AV78" i="31" s="1" a="1"/>
  <c r="AV78" i="31" s="1"/>
  <c r="AZ78" i="31" s="1"/>
  <c r="AC84" i="31"/>
  <c r="AC92" i="31"/>
  <c r="AH121" i="31"/>
  <c r="AU121" i="31" s="1"/>
  <c r="AB119" i="31"/>
  <c r="AQ115" i="31"/>
  <c r="AW115" i="31" s="1"/>
  <c r="R115" i="31"/>
  <c r="AD115" i="31"/>
  <c r="AO115" i="31" s="1"/>
  <c r="AV115" i="31" s="1" a="1"/>
  <c r="AV115" i="31" s="1"/>
  <c r="AS115" i="31"/>
  <c r="AF52" i="31"/>
  <c r="AF53" i="31"/>
  <c r="AF54" i="31"/>
  <c r="AF55" i="31"/>
  <c r="AF57" i="31"/>
  <c r="AF58" i="31"/>
  <c r="AF59" i="31"/>
  <c r="AF60" i="31"/>
  <c r="AF61" i="31"/>
  <c r="AF62" i="31"/>
  <c r="AF63" i="31"/>
  <c r="AF64" i="31"/>
  <c r="AC80" i="31"/>
  <c r="AO80" i="31"/>
  <c r="AV80" i="31" s="1" a="1"/>
  <c r="AV80" i="31" s="1"/>
  <c r="AZ80" i="31" s="1"/>
  <c r="AC91" i="31"/>
  <c r="I121" i="31"/>
  <c r="AQ114" i="31"/>
  <c r="AW114" i="31" s="1"/>
  <c r="R114" i="31"/>
  <c r="AD114" i="31"/>
  <c r="AS114" i="31"/>
  <c r="AO116" i="31"/>
  <c r="AV116" i="31" s="1" a="1"/>
  <c r="AV116" i="31" s="1"/>
  <c r="AC81" i="31"/>
  <c r="AO81" i="31"/>
  <c r="AV81" i="31" s="1" a="1"/>
  <c r="AV81" i="31" s="1"/>
  <c r="AC89" i="31"/>
  <c r="AC97" i="31"/>
  <c r="Z121" i="31"/>
  <c r="L119" i="31"/>
  <c r="AN119" i="31"/>
  <c r="AQ112" i="31"/>
  <c r="AW112" i="31" s="1"/>
  <c r="R112" i="31"/>
  <c r="AD112" i="31"/>
  <c r="AS112" i="31"/>
  <c r="AC88" i="31"/>
  <c r="AO88" i="31"/>
  <c r="AV88" i="31" s="1" a="1"/>
  <c r="AV88" i="31" s="1"/>
  <c r="AC96" i="31"/>
  <c r="AM121" i="31"/>
  <c r="AU108" i="31"/>
  <c r="AR118" i="31"/>
  <c r="AQ111" i="31"/>
  <c r="AW111" i="31" s="1"/>
  <c r="R111" i="31"/>
  <c r="AD111" i="31"/>
  <c r="AO111" i="31" s="1"/>
  <c r="AV111" i="31" s="1" a="1"/>
  <c r="AV111" i="31" s="1"/>
  <c r="AS111" i="31"/>
  <c r="AF119" i="31"/>
  <c r="AC82" i="31"/>
  <c r="AO82" i="31"/>
  <c r="AV82" i="31" s="1" a="1"/>
  <c r="AV82" i="31" s="1"/>
  <c r="AC87" i="31"/>
  <c r="AC95" i="31"/>
  <c r="AQ110" i="31"/>
  <c r="R110" i="31"/>
  <c r="U119" i="31"/>
  <c r="AD110" i="31"/>
  <c r="AD119" i="31" s="1"/>
  <c r="AS110" i="31"/>
  <c r="AO112" i="31"/>
  <c r="AV112" i="31" s="1" a="1"/>
  <c r="AV112" i="31" s="1"/>
  <c r="AL117" i="31"/>
  <c r="AO117" i="31" s="1"/>
  <c r="AV117" i="31" s="1" a="1"/>
  <c r="AV117" i="31" s="1"/>
  <c r="AL116" i="31"/>
  <c r="AL115" i="31"/>
  <c r="AL114" i="31"/>
  <c r="AO114" i="31" s="1"/>
  <c r="AV114" i="31" s="1" a="1"/>
  <c r="AV114" i="31" s="1"/>
  <c r="AL113" i="31"/>
  <c r="AO113" i="31" s="1"/>
  <c r="AV113" i="31" s="1" a="1"/>
  <c r="AV113" i="31" s="1"/>
  <c r="AL112" i="31"/>
  <c r="AL111" i="31"/>
  <c r="AL110" i="31"/>
  <c r="AL106" i="31"/>
  <c r="AO106" i="31" s="1"/>
  <c r="AV106" i="31" s="1" a="1"/>
  <c r="AV106" i="31" s="1"/>
  <c r="AL105" i="31"/>
  <c r="AL104" i="31"/>
  <c r="AO104" i="31" s="1"/>
  <c r="AV104" i="31" s="1" a="1"/>
  <c r="AV104" i="31" s="1"/>
  <c r="AL103" i="31"/>
  <c r="AO103" i="31" s="1"/>
  <c r="AV103" i="31" s="1" a="1"/>
  <c r="AV103" i="31" s="1"/>
  <c r="AL102" i="31"/>
  <c r="AL108" i="31" s="1"/>
  <c r="AL98" i="31"/>
  <c r="AO98" i="31" s="1"/>
  <c r="AV98" i="31" s="1" a="1"/>
  <c r="AV98" i="31" s="1"/>
  <c r="AL97" i="31"/>
  <c r="AO97" i="31" s="1"/>
  <c r="AV97" i="31" s="1" a="1"/>
  <c r="AV97" i="31" s="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O89" i="31" s="1"/>
  <c r="AV89" i="31" s="1" a="1"/>
  <c r="AV89" i="31" s="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AL100" i="31" s="1"/>
  <c r="U108" i="31"/>
  <c r="R102" i="31"/>
  <c r="R103" i="31"/>
  <c r="R104" i="31"/>
  <c r="R105" i="31"/>
  <c r="AV105" i="31" a="1"/>
  <c r="AV105" i="31" s="1"/>
  <c r="R106" i="31"/>
  <c r="AF100" i="31"/>
  <c r="AU100" i="31"/>
  <c r="AO104" i="30"/>
  <c r="AO3" i="28"/>
  <c r="Z8" i="3"/>
  <c r="Y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Z7" i="3"/>
  <c r="Y7" i="3"/>
  <c r="X7" i="3"/>
  <c r="W7" i="3"/>
  <c r="U7" i="3"/>
  <c r="S7" i="3"/>
  <c r="R7" i="3"/>
  <c r="Q7" i="3"/>
  <c r="P7" i="3"/>
  <c r="N7" i="3"/>
  <c r="O7" i="3" s="1"/>
  <c r="M7" i="3"/>
  <c r="K7" i="3"/>
  <c r="J7" i="3"/>
  <c r="I7" i="3"/>
  <c r="H7" i="3"/>
  <c r="G7" i="3"/>
  <c r="AG119" i="30"/>
  <c r="AI50" i="30"/>
  <c r="AI12" i="30"/>
  <c r="AI15" i="30"/>
  <c r="AI10" i="30"/>
  <c r="AI9" i="30"/>
  <c r="AI28" i="30"/>
  <c r="AI26" i="30"/>
  <c r="AI3" i="30"/>
  <c r="AI8" i="30"/>
  <c r="AH15" i="30"/>
  <c r="AH9" i="30"/>
  <c r="G23" i="32" l="1"/>
  <c r="M26" i="32"/>
  <c r="L27" i="32"/>
  <c r="L7" i="3"/>
  <c r="AZ117" i="31"/>
  <c r="AX117" i="31"/>
  <c r="AZ60" i="31"/>
  <c r="AX60" i="31"/>
  <c r="AZ52" i="31"/>
  <c r="AX52" i="31"/>
  <c r="AZ47" i="31"/>
  <c r="AX47" i="31"/>
  <c r="AZ95" i="31"/>
  <c r="AX95" i="31"/>
  <c r="AZ112" i="31"/>
  <c r="AX112" i="31"/>
  <c r="AZ116" i="31"/>
  <c r="AX116" i="31"/>
  <c r="AZ59" i="31"/>
  <c r="AX59" i="31"/>
  <c r="AZ96" i="31"/>
  <c r="AX96" i="31"/>
  <c r="AZ89" i="31"/>
  <c r="AX89" i="31"/>
  <c r="AZ97" i="31"/>
  <c r="AX97" i="31"/>
  <c r="AZ106" i="31"/>
  <c r="AX106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3" i="31"/>
  <c r="AX113" i="31"/>
  <c r="AZ64" i="31"/>
  <c r="AX64" i="31"/>
  <c r="AZ28" i="31"/>
  <c r="AX28" i="31"/>
  <c r="AZ103" i="31"/>
  <c r="AX103" i="31"/>
  <c r="AZ114" i="31"/>
  <c r="AX114" i="31"/>
  <c r="AZ111" i="31"/>
  <c r="AX111" i="31"/>
  <c r="AZ63" i="31"/>
  <c r="AX63" i="31"/>
  <c r="AZ55" i="31"/>
  <c r="AX55" i="31"/>
  <c r="AX27" i="31"/>
  <c r="AZ27" i="31"/>
  <c r="AZ85" i="31"/>
  <c r="AX85" i="31"/>
  <c r="AZ93" i="31"/>
  <c r="AX93" i="31"/>
  <c r="AZ104" i="31"/>
  <c r="AX104" i="31"/>
  <c r="AZ62" i="31"/>
  <c r="AX62" i="31"/>
  <c r="AZ54" i="31"/>
  <c r="AX54" i="31"/>
  <c r="AX26" i="31"/>
  <c r="AZ26" i="31"/>
  <c r="AZ49" i="31"/>
  <c r="AX49" i="31"/>
  <c r="AZ86" i="31"/>
  <c r="AX86" i="31"/>
  <c r="AZ94" i="31"/>
  <c r="AX94" i="31"/>
  <c r="AZ115" i="31"/>
  <c r="AX115" i="31"/>
  <c r="AZ61" i="31"/>
  <c r="AX61" i="31"/>
  <c r="AZ53" i="31"/>
  <c r="AX53" i="31"/>
  <c r="AX25" i="31"/>
  <c r="AZ25" i="31"/>
  <c r="AZ48" i="31"/>
  <c r="AX48" i="31"/>
  <c r="AW110" i="31"/>
  <c r="AW118" i="31" s="1"/>
  <c r="AQ118" i="31"/>
  <c r="AX71" i="31"/>
  <c r="AX73" i="31"/>
  <c r="AX80" i="31"/>
  <c r="AX74" i="31"/>
  <c r="AC23" i="31"/>
  <c r="AC90" i="31"/>
  <c r="AX44" i="31"/>
  <c r="AZ14" i="31"/>
  <c r="AX14" i="31"/>
  <c r="AZ10" i="31"/>
  <c r="AX10" i="31"/>
  <c r="AX39" i="31"/>
  <c r="AX21" i="31"/>
  <c r="AZ21" i="31"/>
  <c r="AX16" i="31"/>
  <c r="AZ16" i="31"/>
  <c r="AX6" i="31"/>
  <c r="AZ6" i="31"/>
  <c r="AZ88" i="31"/>
  <c r="AX88" i="31"/>
  <c r="AL119" i="31"/>
  <c r="AO84" i="31"/>
  <c r="AV84" i="31" s="1" a="1"/>
  <c r="AV84" i="31" s="1"/>
  <c r="AZ83" i="31"/>
  <c r="AX83" i="31"/>
  <c r="AX65" i="31"/>
  <c r="AX66" i="31"/>
  <c r="AX67" i="31"/>
  <c r="AC22" i="31"/>
  <c r="AX23" i="31"/>
  <c r="AZ23" i="31"/>
  <c r="AC13" i="31"/>
  <c r="AC9" i="31"/>
  <c r="AX36" i="31"/>
  <c r="AX17" i="31"/>
  <c r="AZ17" i="31"/>
  <c r="AX43" i="31"/>
  <c r="AX42" i="31"/>
  <c r="AB121" i="31"/>
  <c r="AX56" i="31"/>
  <c r="AC21" i="31"/>
  <c r="AC98" i="31"/>
  <c r="AX19" i="31"/>
  <c r="AZ19" i="31"/>
  <c r="AZ13" i="31"/>
  <c r="AX13" i="31"/>
  <c r="AZ9" i="31"/>
  <c r="AX9" i="31"/>
  <c r="AC6" i="31"/>
  <c r="AX46" i="31"/>
  <c r="AC7" i="31"/>
  <c r="AO24" i="31"/>
  <c r="AV24" i="31" s="1" a="1"/>
  <c r="AV24" i="31" s="1"/>
  <c r="AZ105" i="31"/>
  <c r="AX105" i="31"/>
  <c r="AS118" i="31"/>
  <c r="AX75" i="31"/>
  <c r="AX70" i="31"/>
  <c r="U121" i="31"/>
  <c r="AX58" i="31"/>
  <c r="AC28" i="31"/>
  <c r="AC20" i="31"/>
  <c r="AC86" i="31"/>
  <c r="AX45" i="31"/>
  <c r="AX40" i="31"/>
  <c r="AV99" i="31"/>
  <c r="AZ7" i="31"/>
  <c r="AX7" i="31"/>
  <c r="AZ81" i="31"/>
  <c r="AX81" i="31"/>
  <c r="AO110" i="31"/>
  <c r="AX69" i="31"/>
  <c r="AO102" i="31"/>
  <c r="AX68" i="31"/>
  <c r="AC114" i="31"/>
  <c r="AC106" i="31"/>
  <c r="AC105" i="31"/>
  <c r="AC104" i="31"/>
  <c r="AC103" i="31"/>
  <c r="AC102" i="31"/>
  <c r="AC108" i="31" s="1"/>
  <c r="AC115" i="31"/>
  <c r="AC116" i="31"/>
  <c r="AC110" i="31"/>
  <c r="AC119" i="31" s="1"/>
  <c r="AC111" i="31"/>
  <c r="AC112" i="31"/>
  <c r="AC78" i="31"/>
  <c r="AC77" i="31"/>
  <c r="AC76" i="31"/>
  <c r="AC75" i="31"/>
  <c r="AC74" i="31"/>
  <c r="AC73" i="31"/>
  <c r="AC72" i="31"/>
  <c r="AC71" i="31"/>
  <c r="AC70" i="31"/>
  <c r="AC69" i="31"/>
  <c r="AC68" i="31"/>
  <c r="AC67" i="31"/>
  <c r="AC66" i="31"/>
  <c r="AC65" i="31"/>
  <c r="AC64" i="31"/>
  <c r="AC63" i="31"/>
  <c r="AC62" i="31"/>
  <c r="AC61" i="31"/>
  <c r="AC60" i="31"/>
  <c r="AC59" i="31"/>
  <c r="AC58" i="31"/>
  <c r="AC57" i="31"/>
  <c r="AC56" i="31"/>
  <c r="AC55" i="31"/>
  <c r="AC79" i="31"/>
  <c r="AC54" i="31"/>
  <c r="AC53" i="31"/>
  <c r="AC52" i="31"/>
  <c r="AC117" i="31"/>
  <c r="AC113" i="31"/>
  <c r="AC51" i="31"/>
  <c r="AC50" i="31"/>
  <c r="AC49" i="31"/>
  <c r="AC48" i="31"/>
  <c r="AC47" i="31"/>
  <c r="AC46" i="31"/>
  <c r="AC45" i="31"/>
  <c r="AC44" i="31"/>
  <c r="AC43" i="31"/>
  <c r="AC42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4" i="31"/>
  <c r="AC3" i="31"/>
  <c r="AC100" i="31" s="1"/>
  <c r="AC121" i="31" s="1"/>
  <c r="AC5" i="31"/>
  <c r="AC15" i="31"/>
  <c r="AZ12" i="31"/>
  <c r="AX12" i="31"/>
  <c r="AX34" i="31"/>
  <c r="AX37" i="31"/>
  <c r="AF121" i="31"/>
  <c r="AC26" i="31"/>
  <c r="AC18" i="31"/>
  <c r="AC94" i="31"/>
  <c r="AX50" i="31"/>
  <c r="AC8" i="31"/>
  <c r="AC11" i="31"/>
  <c r="AN100" i="31"/>
  <c r="AN121" i="31" s="1"/>
  <c r="AO3" i="31"/>
  <c r="E121" i="31"/>
  <c r="AZ82" i="31"/>
  <c r="AX82" i="31"/>
  <c r="AC25" i="31"/>
  <c r="AC17" i="31"/>
  <c r="AX41" i="31"/>
  <c r="AZ8" i="31"/>
  <c r="AX8" i="31"/>
  <c r="AZ15" i="31"/>
  <c r="AX15" i="31"/>
  <c r="AZ11" i="31"/>
  <c r="AX11" i="31"/>
  <c r="X121" i="31"/>
  <c r="AC16" i="31"/>
  <c r="AZ4" i="31"/>
  <c r="AX4" i="31"/>
  <c r="AX35" i="31"/>
  <c r="AX5" i="31"/>
  <c r="AX76" i="31"/>
  <c r="AX72" i="31"/>
  <c r="AX77" i="31"/>
  <c r="AX78" i="31"/>
  <c r="AC24" i="31"/>
  <c r="AX38" i="31"/>
  <c r="AC14" i="31"/>
  <c r="AC10" i="31"/>
  <c r="F7" i="3"/>
  <c r="AE7" i="3"/>
  <c r="AH7" i="3"/>
  <c r="AB7" i="3"/>
  <c r="AC7" i="3"/>
  <c r="Y6" i="3"/>
  <c r="Y19" i="3" s="1"/>
  <c r="S6" i="3"/>
  <c r="S19" i="3" s="1"/>
  <c r="AE9" i="3"/>
  <c r="AF9" i="3"/>
  <c r="AG9" i="3"/>
  <c r="AH9" i="3"/>
  <c r="AE10" i="3"/>
  <c r="AF10" i="3"/>
  <c r="AG10" i="3"/>
  <c r="AH10" i="3"/>
  <c r="AE13" i="3"/>
  <c r="AH13" i="3"/>
  <c r="AE14" i="3"/>
  <c r="AH14" i="3"/>
  <c r="Z5" i="3"/>
  <c r="Y5" i="3"/>
  <c r="X5" i="3"/>
  <c r="W5" i="3"/>
  <c r="U5" i="3"/>
  <c r="S5" i="3"/>
  <c r="R5" i="3"/>
  <c r="Q5" i="3"/>
  <c r="P5" i="3"/>
  <c r="N5" i="3"/>
  <c r="O5" i="3" s="1"/>
  <c r="M5" i="3"/>
  <c r="K5" i="3"/>
  <c r="J5" i="3"/>
  <c r="I5" i="3"/>
  <c r="H5" i="3"/>
  <c r="G5" i="3"/>
  <c r="L5" i="3"/>
  <c r="AL108" i="28"/>
  <c r="M27" i="32" l="1"/>
  <c r="L28" i="32"/>
  <c r="AH5" i="3"/>
  <c r="AE5" i="3"/>
  <c r="AO100" i="31"/>
  <c r="AV3" i="31"/>
  <c r="AO108" i="31"/>
  <c r="AV102" i="31" a="1"/>
  <c r="AV102" i="31" s="1"/>
  <c r="AZ84" i="31"/>
  <c r="AX84" i="31"/>
  <c r="AO119" i="31"/>
  <c r="AV110" i="31" a="1"/>
  <c r="AV110" i="31" s="1"/>
  <c r="AX24" i="31"/>
  <c r="AX99" i="31" s="1"/>
  <c r="AZ24" i="31"/>
  <c r="AG7" i="3"/>
  <c r="AF7" i="3"/>
  <c r="F5" i="3"/>
  <c r="AB5" i="3"/>
  <c r="AC5" i="3"/>
  <c r="M28" i="32" l="1"/>
  <c r="L29" i="32"/>
  <c r="AZ102" i="31"/>
  <c r="AZ108" i="31" s="1"/>
  <c r="AX102" i="31"/>
  <c r="AX107" i="31" s="1"/>
  <c r="AV107" i="31"/>
  <c r="AO121" i="31"/>
  <c r="AZ3" i="31"/>
  <c r="AZ100" i="31" s="1"/>
  <c r="AX3" i="31"/>
  <c r="AV118" i="31"/>
  <c r="AZ110" i="31"/>
  <c r="AZ119" i="31" s="1"/>
  <c r="AX110" i="31"/>
  <c r="AX118" i="31" s="1"/>
  <c r="AG5" i="3"/>
  <c r="AF5" i="3"/>
  <c r="Y4" i="3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19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L30" i="32" l="1"/>
  <c r="M29" i="32"/>
  <c r="AZ121" i="31"/>
  <c r="AH121" i="30"/>
  <c r="W6" i="3"/>
  <c r="W19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19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L31" i="32" l="1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M31" i="32" l="1"/>
  <c r="L32" i="32"/>
  <c r="L121" i="30"/>
  <c r="E121" i="30"/>
  <c r="AL100" i="30"/>
  <c r="AL119" i="30"/>
  <c r="L33" i="32" l="1"/>
  <c r="M32" i="32"/>
  <c r="AT53" i="30"/>
  <c r="G24" i="32" l="1"/>
  <c r="M33" i="32"/>
  <c r="G33" i="32" s="1"/>
  <c r="L34" i="32"/>
  <c r="U52" i="30"/>
  <c r="AD52" i="30" s="1"/>
  <c r="AA54" i="30"/>
  <c r="X50" i="30"/>
  <c r="AN50" i="30" s="1"/>
  <c r="AA62" i="30"/>
  <c r="U60" i="30"/>
  <c r="AQ60" i="30" s="1"/>
  <c r="AW60" i="30" s="1"/>
  <c r="X55" i="30"/>
  <c r="AN55" i="30" s="1"/>
  <c r="AA71" i="30"/>
  <c r="X72" i="30"/>
  <c r="AN72" i="30" s="1"/>
  <c r="X74" i="30"/>
  <c r="AN74" i="30" s="1"/>
  <c r="AA73" i="30"/>
  <c r="U71" i="30"/>
  <c r="AD71" i="30" s="1"/>
  <c r="AA65" i="30"/>
  <c r="AA57" i="30"/>
  <c r="U55" i="30"/>
  <c r="AD55" i="30" s="1"/>
  <c r="X65" i="30"/>
  <c r="AN65" i="30" s="1"/>
  <c r="U58" i="30"/>
  <c r="AS58" i="30" s="1"/>
  <c r="X57" i="30"/>
  <c r="AN57" i="30" s="1"/>
  <c r="U69" i="30"/>
  <c r="AD69" i="30" s="1"/>
  <c r="X68" i="30"/>
  <c r="AN68" i="30" s="1"/>
  <c r="X60" i="30"/>
  <c r="AN60" i="30" s="1"/>
  <c r="U72" i="30"/>
  <c r="AT72" i="30"/>
  <c r="AU72" i="30"/>
  <c r="X71" i="30"/>
  <c r="AN71" i="30" s="1"/>
  <c r="AA70" i="30"/>
  <c r="AU68" i="30"/>
  <c r="AT68" i="30"/>
  <c r="X67" i="30"/>
  <c r="AN67" i="30" s="1"/>
  <c r="AA66" i="30"/>
  <c r="U64" i="30"/>
  <c r="AT64" i="30"/>
  <c r="AU64" i="30"/>
  <c r="X63" i="30"/>
  <c r="AN63" i="30" s="1"/>
  <c r="AU60" i="30"/>
  <c r="AT60" i="30"/>
  <c r="X59" i="30"/>
  <c r="AN59" i="30" s="1"/>
  <c r="AA58" i="30"/>
  <c r="U56" i="30"/>
  <c r="AU56" i="30"/>
  <c r="AT56" i="30"/>
  <c r="AU52" i="30"/>
  <c r="AT52" i="30"/>
  <c r="X51" i="30"/>
  <c r="AN51" i="30" s="1"/>
  <c r="AA50" i="30"/>
  <c r="U73" i="30"/>
  <c r="AT73" i="30"/>
  <c r="AU73" i="30"/>
  <c r="AA74" i="30"/>
  <c r="U63" i="30"/>
  <c r="AA49" i="30"/>
  <c r="AU71" i="30"/>
  <c r="AT71" i="30"/>
  <c r="X70" i="30"/>
  <c r="AN70" i="30" s="1"/>
  <c r="AA69" i="30"/>
  <c r="U67" i="30"/>
  <c r="AU67" i="30"/>
  <c r="AT67" i="30"/>
  <c r="X66" i="30"/>
  <c r="AN66" i="30" s="1"/>
  <c r="AU63" i="30"/>
  <c r="AT63" i="30"/>
  <c r="X62" i="30"/>
  <c r="AN62" i="30" s="1"/>
  <c r="AA61" i="30"/>
  <c r="U59" i="30"/>
  <c r="AU59" i="30"/>
  <c r="AT59" i="30"/>
  <c r="X58" i="30"/>
  <c r="AN58" i="30" s="1"/>
  <c r="AU55" i="30"/>
  <c r="AT55" i="30"/>
  <c r="X54" i="30"/>
  <c r="AN54" i="30" s="1"/>
  <c r="AA53" i="30"/>
  <c r="U51" i="30"/>
  <c r="AU51" i="30"/>
  <c r="AT51" i="30"/>
  <c r="X49" i="30"/>
  <c r="AN49" i="30" s="1"/>
  <c r="AU74" i="30"/>
  <c r="AT74" i="30"/>
  <c r="U74" i="30"/>
  <c r="X73" i="30"/>
  <c r="AN73" i="30" s="1"/>
  <c r="AA72" i="30"/>
  <c r="AU70" i="30"/>
  <c r="AT70" i="30"/>
  <c r="U70" i="30"/>
  <c r="X69" i="30"/>
  <c r="AN69" i="30" s="1"/>
  <c r="AA68" i="30"/>
  <c r="AU66" i="30"/>
  <c r="AT66" i="30"/>
  <c r="U66" i="30"/>
  <c r="AA64" i="30"/>
  <c r="U62" i="30"/>
  <c r="AU62" i="30"/>
  <c r="AT62" i="30"/>
  <c r="X61" i="30"/>
  <c r="AN61" i="30" s="1"/>
  <c r="AA60" i="30"/>
  <c r="AU58" i="30"/>
  <c r="AT58" i="30"/>
  <c r="AA56" i="30"/>
  <c r="U54" i="30"/>
  <c r="AU54" i="30"/>
  <c r="AT54" i="30"/>
  <c r="X53" i="30"/>
  <c r="AN53" i="30" s="1"/>
  <c r="AA52" i="30"/>
  <c r="U50" i="30"/>
  <c r="AU50" i="30"/>
  <c r="AT50" i="30"/>
  <c r="X52" i="30"/>
  <c r="AN52" i="30" s="1"/>
  <c r="AU69" i="30"/>
  <c r="AT69" i="30"/>
  <c r="AA67" i="30"/>
  <c r="AT65" i="30"/>
  <c r="U65" i="30"/>
  <c r="AU65" i="30"/>
  <c r="X64" i="30"/>
  <c r="AN64" i="30" s="1"/>
  <c r="AA63" i="30"/>
  <c r="U61" i="30"/>
  <c r="AU61" i="30"/>
  <c r="AT61" i="30"/>
  <c r="AA59" i="30"/>
  <c r="AU57" i="30"/>
  <c r="U57" i="30"/>
  <c r="AT57" i="30"/>
  <c r="X56" i="30"/>
  <c r="AN56" i="30" s="1"/>
  <c r="AA55" i="30"/>
  <c r="U53" i="30"/>
  <c r="AU53" i="30"/>
  <c r="AA51" i="30"/>
  <c r="U49" i="30"/>
  <c r="AT49" i="30"/>
  <c r="AU49" i="30"/>
  <c r="U68" i="30"/>
  <c r="X89" i="30"/>
  <c r="AN89" i="30" s="1"/>
  <c r="X90" i="30"/>
  <c r="AN90" i="30" s="1"/>
  <c r="M34" i="32" l="1"/>
  <c r="G34" i="32" s="1"/>
  <c r="L35" i="32"/>
  <c r="X35" i="30"/>
  <c r="AN35" i="30" s="1"/>
  <c r="AA93" i="30"/>
  <c r="AF93" i="30" s="1"/>
  <c r="X93" i="30"/>
  <c r="AN93" i="30" s="1"/>
  <c r="R52" i="30"/>
  <c r="AS52" i="30"/>
  <c r="AQ52" i="30"/>
  <c r="AW52" i="30" s="1"/>
  <c r="AS60" i="30"/>
  <c r="AO52" i="30"/>
  <c r="AV52" i="30" s="1" a="1"/>
  <c r="AV52" i="30" s="1"/>
  <c r="AQ55" i="30"/>
  <c r="AW55" i="30" s="1"/>
  <c r="AO69" i="30"/>
  <c r="AV69" i="30" s="1" a="1"/>
  <c r="AV69" i="30" s="1"/>
  <c r="AD60" i="30"/>
  <c r="AO60" i="30" s="1"/>
  <c r="AV60" i="30" s="1" a="1"/>
  <c r="AV60" i="30" s="1"/>
  <c r="AF71" i="30"/>
  <c r="AO71" i="30"/>
  <c r="AV71" i="30" s="1" a="1"/>
  <c r="AV71" i="30" s="1"/>
  <c r="AF57" i="30"/>
  <c r="AF65" i="30"/>
  <c r="AF62" i="30"/>
  <c r="AO55" i="30"/>
  <c r="AF73" i="30"/>
  <c r="AF54" i="30"/>
  <c r="R60" i="30"/>
  <c r="X92" i="30"/>
  <c r="AN92" i="30" s="1"/>
  <c r="R69" i="30"/>
  <c r="AQ69" i="30"/>
  <c r="AW69" i="30" s="1"/>
  <c r="AS69" i="30"/>
  <c r="AD58" i="30"/>
  <c r="AO58" i="30" s="1"/>
  <c r="AQ71" i="30"/>
  <c r="R71" i="30"/>
  <c r="AS55" i="30"/>
  <c r="AQ58" i="30"/>
  <c r="R55" i="30"/>
  <c r="X38" i="30"/>
  <c r="AN38" i="30" s="1"/>
  <c r="R58" i="30"/>
  <c r="AA36" i="30"/>
  <c r="AA92" i="30"/>
  <c r="AA40" i="30"/>
  <c r="X36" i="30"/>
  <c r="AN36" i="30" s="1"/>
  <c r="AA35" i="30"/>
  <c r="X91" i="30"/>
  <c r="AN91" i="30" s="1"/>
  <c r="AA38" i="30"/>
  <c r="X39" i="30"/>
  <c r="AN39" i="30" s="1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N37" i="30" s="1"/>
  <c r="AU93" i="30"/>
  <c r="AT93" i="30"/>
  <c r="U93" i="30"/>
  <c r="AA91" i="30"/>
  <c r="AU89" i="30"/>
  <c r="U89" i="30"/>
  <c r="AT89" i="30"/>
  <c r="AD57" i="30"/>
  <c r="AO57" i="30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V49" i="30" s="1" a="1"/>
  <c r="AV49" i="30" s="1"/>
  <c r="AS49" i="30"/>
  <c r="AQ49" i="30"/>
  <c r="R49" i="30"/>
  <c r="AD65" i="30"/>
  <c r="AO65" i="30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AQ51" i="30"/>
  <c r="AS51" i="30"/>
  <c r="R51" i="30"/>
  <c r="AD59" i="30"/>
  <c r="AO59" i="30" s="1"/>
  <c r="AQ59" i="30"/>
  <c r="AW59" i="30" s="1"/>
  <c r="R59" i="30"/>
  <c r="AS59" i="30"/>
  <c r="AD67" i="30"/>
  <c r="AO67" i="30" s="1"/>
  <c r="R67" i="30"/>
  <c r="AS67" i="30"/>
  <c r="AQ67" i="30"/>
  <c r="AF49" i="30"/>
  <c r="AD63" i="30"/>
  <c r="AO63" i="30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N40" i="30" s="1"/>
  <c r="AF55" i="30"/>
  <c r="AV55" i="30" a="1"/>
  <c r="AV55" i="30" s="1"/>
  <c r="AD61" i="30"/>
  <c r="AO61" i="30" s="1"/>
  <c r="AQ61" i="30"/>
  <c r="AW61" i="30" s="1"/>
  <c r="R61" i="30"/>
  <c r="AS61" i="30"/>
  <c r="AD54" i="30"/>
  <c r="AQ54" i="30"/>
  <c r="AS54" i="30"/>
  <c r="R54" i="30"/>
  <c r="AD62" i="30"/>
  <c r="AO62" i="30" s="1"/>
  <c r="AS62" i="30"/>
  <c r="R62" i="30"/>
  <c r="AQ62" i="30"/>
  <c r="AW62" i="30" s="1"/>
  <c r="AD56" i="30"/>
  <c r="AO56" i="30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R68" i="30"/>
  <c r="AS68" i="30"/>
  <c r="AQ68" i="30"/>
  <c r="AW68" i="30" s="1"/>
  <c r="AF63" i="30"/>
  <c r="AF56" i="30"/>
  <c r="AF64" i="30"/>
  <c r="AD73" i="30"/>
  <c r="AO73" i="30" s="1"/>
  <c r="AQ73" i="30"/>
  <c r="R73" i="30"/>
  <c r="AS73" i="30"/>
  <c r="AF58" i="30"/>
  <c r="AF66" i="30"/>
  <c r="AD72" i="30"/>
  <c r="AQ72" i="30"/>
  <c r="AS72" i="30"/>
  <c r="R72" i="30"/>
  <c r="L39" i="32" l="1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66" i="30" s="1" a="1"/>
  <c r="AV66" i="30" s="1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V54" i="30" s="1" a="1"/>
  <c r="AV54" i="30" s="1"/>
  <c r="AO53" i="30"/>
  <c r="AV53" i="30" s="1" a="1"/>
  <c r="AV53" i="30" s="1"/>
  <c r="AF37" i="30"/>
  <c r="AF92" i="30"/>
  <c r="AV63" i="30" a="1"/>
  <c r="AV63" i="30" s="1"/>
  <c r="AZ63" i="30" s="1"/>
  <c r="AF36" i="30"/>
  <c r="AV58" i="30" a="1"/>
  <c r="AV58" i="30" s="1"/>
  <c r="AW58" i="30" s="1"/>
  <c r="AO72" i="30"/>
  <c r="AV72" i="30" s="1" a="1"/>
  <c r="AV72" i="30" s="1"/>
  <c r="AF38" i="30"/>
  <c r="AO50" i="30"/>
  <c r="AV50" i="30" s="1" a="1"/>
  <c r="AV50" i="30" s="1"/>
  <c r="AO70" i="30"/>
  <c r="AV70" i="30" s="1" a="1"/>
  <c r="AV70" i="30" s="1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V64" i="30" s="1" a="1"/>
  <c r="AV64" i="30" s="1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AS92" i="30"/>
  <c r="W100" i="30"/>
  <c r="AD90" i="30"/>
  <c r="AO90" i="30" s="1"/>
  <c r="R90" i="30"/>
  <c r="AQ90" i="30"/>
  <c r="AW90" i="30" s="1"/>
  <c r="AS90" i="30"/>
  <c r="T100" i="30"/>
  <c r="AF39" i="30"/>
  <c r="AZ60" i="30"/>
  <c r="AX60" i="30"/>
  <c r="W108" i="30"/>
  <c r="Z108" i="30"/>
  <c r="AD89" i="30"/>
  <c r="AO89" i="30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Z69" i="30"/>
  <c r="AX69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N111" i="30" s="1"/>
  <c r="AA111" i="30"/>
  <c r="X112" i="30"/>
  <c r="AN112" i="30" s="1"/>
  <c r="AA112" i="30"/>
  <c r="X113" i="30"/>
  <c r="AN113" i="30" s="1"/>
  <c r="AA113" i="30"/>
  <c r="X114" i="30"/>
  <c r="AN114" i="30" s="1"/>
  <c r="AA114" i="30"/>
  <c r="AU115" i="30"/>
  <c r="X115" i="30"/>
  <c r="AN115" i="30" s="1"/>
  <c r="AA115" i="30"/>
  <c r="X116" i="30"/>
  <c r="AN116" i="30" s="1"/>
  <c r="AA116" i="30"/>
  <c r="X117" i="30"/>
  <c r="AN117" i="30" s="1"/>
  <c r="AA117" i="30"/>
  <c r="X103" i="30"/>
  <c r="AN103" i="30" s="1"/>
  <c r="AA103" i="30"/>
  <c r="X104" i="30"/>
  <c r="AN104" i="30" s="1"/>
  <c r="AA104" i="30"/>
  <c r="X105" i="30"/>
  <c r="AN105" i="30" s="1"/>
  <c r="AA105" i="30"/>
  <c r="U106" i="30"/>
  <c r="X106" i="30"/>
  <c r="AN106" i="30" s="1"/>
  <c r="AA106" i="30"/>
  <c r="X4" i="30"/>
  <c r="AN4" i="30" s="1"/>
  <c r="AA4" i="30"/>
  <c r="X5" i="30"/>
  <c r="AN5" i="30" s="1"/>
  <c r="AA5" i="30"/>
  <c r="X6" i="30"/>
  <c r="AN6" i="30" s="1"/>
  <c r="AA6" i="30"/>
  <c r="X7" i="30"/>
  <c r="AN7" i="30" s="1"/>
  <c r="AA7" i="30"/>
  <c r="X8" i="30"/>
  <c r="AN8" i="30" s="1"/>
  <c r="AA8" i="30"/>
  <c r="X9" i="30"/>
  <c r="AN9" i="30" s="1"/>
  <c r="AA9" i="30"/>
  <c r="U10" i="30"/>
  <c r="X10" i="30"/>
  <c r="AN10" i="30" s="1"/>
  <c r="AA10" i="30"/>
  <c r="X11" i="30"/>
  <c r="AN11" i="30" s="1"/>
  <c r="AA11" i="30"/>
  <c r="X12" i="30"/>
  <c r="AN12" i="30" s="1"/>
  <c r="AA12" i="30"/>
  <c r="X13" i="30"/>
  <c r="AN13" i="30" s="1"/>
  <c r="AA13" i="30"/>
  <c r="X14" i="30"/>
  <c r="AN14" i="30" s="1"/>
  <c r="AA14" i="30"/>
  <c r="X15" i="30"/>
  <c r="AN15" i="30" s="1"/>
  <c r="AA15" i="30"/>
  <c r="X16" i="30"/>
  <c r="AN16" i="30" s="1"/>
  <c r="AA16" i="30"/>
  <c r="X17" i="30"/>
  <c r="AN17" i="30" s="1"/>
  <c r="AA17" i="30"/>
  <c r="X18" i="30"/>
  <c r="AN18" i="30" s="1"/>
  <c r="AA18" i="30"/>
  <c r="X19" i="30"/>
  <c r="AN19" i="30" s="1"/>
  <c r="AA19" i="30"/>
  <c r="X20" i="30"/>
  <c r="AN20" i="30" s="1"/>
  <c r="AA20" i="30"/>
  <c r="X21" i="30"/>
  <c r="AN21" i="30" s="1"/>
  <c r="AA21" i="30"/>
  <c r="X22" i="30"/>
  <c r="AN22" i="30" s="1"/>
  <c r="AA22" i="30"/>
  <c r="X23" i="30"/>
  <c r="AN23" i="30" s="1"/>
  <c r="AA23" i="30"/>
  <c r="X24" i="30"/>
  <c r="AN24" i="30" s="1"/>
  <c r="AA24" i="30"/>
  <c r="X25" i="30"/>
  <c r="AN25" i="30" s="1"/>
  <c r="AA25" i="30"/>
  <c r="U26" i="30"/>
  <c r="X26" i="30"/>
  <c r="AN26" i="30" s="1"/>
  <c r="AA26" i="30"/>
  <c r="X27" i="30"/>
  <c r="AN27" i="30" s="1"/>
  <c r="AA27" i="30"/>
  <c r="X28" i="30"/>
  <c r="AN28" i="30" s="1"/>
  <c r="AA28" i="30"/>
  <c r="X29" i="30"/>
  <c r="AN29" i="30" s="1"/>
  <c r="AA29" i="30"/>
  <c r="X30" i="30"/>
  <c r="AN30" i="30" s="1"/>
  <c r="AA30" i="30"/>
  <c r="X31" i="30"/>
  <c r="AN31" i="30" s="1"/>
  <c r="AA31" i="30"/>
  <c r="X32" i="30"/>
  <c r="AN32" i="30" s="1"/>
  <c r="AA32" i="30"/>
  <c r="X33" i="30"/>
  <c r="AN33" i="30" s="1"/>
  <c r="AA33" i="30"/>
  <c r="U34" i="30"/>
  <c r="X34" i="30"/>
  <c r="AN34" i="30" s="1"/>
  <c r="AA34" i="30"/>
  <c r="AO38" i="30"/>
  <c r="X41" i="30"/>
  <c r="AN41" i="30" s="1"/>
  <c r="AA41" i="30"/>
  <c r="U42" i="30"/>
  <c r="X42" i="30"/>
  <c r="AN42" i="30" s="1"/>
  <c r="AA42" i="30"/>
  <c r="X43" i="30"/>
  <c r="AN43" i="30" s="1"/>
  <c r="AA43" i="30"/>
  <c r="X44" i="30"/>
  <c r="AN44" i="30" s="1"/>
  <c r="AA44" i="30"/>
  <c r="X45" i="30"/>
  <c r="AN45" i="30" s="1"/>
  <c r="AA45" i="30"/>
  <c r="X46" i="30"/>
  <c r="AN46" i="30" s="1"/>
  <c r="AA46" i="30"/>
  <c r="U47" i="30"/>
  <c r="X47" i="30"/>
  <c r="AN47" i="30" s="1"/>
  <c r="AA47" i="30"/>
  <c r="X48" i="30"/>
  <c r="AN48" i="30" s="1"/>
  <c r="AA48" i="30"/>
  <c r="X75" i="30"/>
  <c r="AN75" i="30" s="1"/>
  <c r="AA75" i="30"/>
  <c r="X76" i="30"/>
  <c r="AN76" i="30" s="1"/>
  <c r="AA76" i="30"/>
  <c r="U77" i="30"/>
  <c r="X77" i="30"/>
  <c r="AN77" i="30" s="1"/>
  <c r="AA77" i="30"/>
  <c r="X78" i="30"/>
  <c r="AN78" i="30" s="1"/>
  <c r="AA78" i="30"/>
  <c r="X79" i="30"/>
  <c r="AN79" i="30" s="1"/>
  <c r="AA79" i="30"/>
  <c r="X80" i="30"/>
  <c r="AN80" i="30" s="1"/>
  <c r="AA80" i="30"/>
  <c r="X81" i="30"/>
  <c r="AN81" i="30" s="1"/>
  <c r="AA81" i="30"/>
  <c r="X82" i="30"/>
  <c r="AN82" i="30" s="1"/>
  <c r="AA82" i="30"/>
  <c r="X83" i="30"/>
  <c r="AN83" i="30" s="1"/>
  <c r="AA83" i="30"/>
  <c r="X84" i="30"/>
  <c r="AN84" i="30" s="1"/>
  <c r="AA84" i="30"/>
  <c r="X85" i="30"/>
  <c r="AN85" i="30" s="1"/>
  <c r="AA85" i="30"/>
  <c r="X86" i="30"/>
  <c r="AN86" i="30" s="1"/>
  <c r="AA86" i="30"/>
  <c r="X87" i="30"/>
  <c r="AN87" i="30" s="1"/>
  <c r="AA87" i="30"/>
  <c r="X88" i="30"/>
  <c r="AN88" i="30" s="1"/>
  <c r="AA88" i="30"/>
  <c r="X94" i="30"/>
  <c r="AN94" i="30" s="1"/>
  <c r="AA94" i="30"/>
  <c r="AU95" i="30"/>
  <c r="X95" i="30"/>
  <c r="AN95" i="30" s="1"/>
  <c r="AA95" i="30"/>
  <c r="AT95" i="30"/>
  <c r="X96" i="30"/>
  <c r="AN96" i="30" s="1"/>
  <c r="AA96" i="30"/>
  <c r="X97" i="30"/>
  <c r="AN97" i="30" s="1"/>
  <c r="AA97" i="30"/>
  <c r="AU98" i="30"/>
  <c r="X98" i="30"/>
  <c r="AN98" i="30" s="1"/>
  <c r="AA98" i="30"/>
  <c r="G25" i="32" l="1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X66" i="30"/>
  <c r="AZ66" i="30"/>
  <c r="AX50" i="30"/>
  <c r="AZ50" i="30"/>
  <c r="AW54" i="30"/>
  <c r="AX54" i="30"/>
  <c r="AZ54" i="30"/>
  <c r="AO39" i="30"/>
  <c r="AO40" i="30"/>
  <c r="AV40" i="30" s="1" a="1"/>
  <c r="AV40" i="30" s="1"/>
  <c r="AW70" i="30"/>
  <c r="AZ70" i="30"/>
  <c r="AX70" i="30"/>
  <c r="AZ64" i="30"/>
  <c r="AX64" i="30"/>
  <c r="AW72" i="30"/>
  <c r="AZ72" i="30"/>
  <c r="AX72" i="30"/>
  <c r="AW53" i="30"/>
  <c r="AZ53" i="30"/>
  <c r="AX53" i="30"/>
  <c r="AW50" i="30"/>
  <c r="AZ67" i="30"/>
  <c r="AX58" i="30"/>
  <c r="AX51" i="30"/>
  <c r="AO93" i="30"/>
  <c r="AV93" i="30" s="1" a="1"/>
  <c r="AV93" i="30" s="1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V36" i="30" s="1" a="1"/>
  <c r="AV36" i="30" s="1"/>
  <c r="AX65" i="30"/>
  <c r="AZ73" i="30"/>
  <c r="AO35" i="30"/>
  <c r="AV35" i="30" s="1" a="1"/>
  <c r="AV35" i="30" s="1"/>
  <c r="AO37" i="30"/>
  <c r="AV37" i="30" s="1" a="1"/>
  <c r="AV37" i="30" s="1"/>
  <c r="AV89" i="30" a="1"/>
  <c r="AV89" i="30" s="1"/>
  <c r="AO91" i="30"/>
  <c r="AV91" i="30" s="1" a="1"/>
  <c r="AV91" i="30" s="1"/>
  <c r="AG100" i="30"/>
  <c r="Q6" i="3" s="1"/>
  <c r="Q19" i="3" s="1"/>
  <c r="AM100" i="30"/>
  <c r="AV39" i="30" a="1"/>
  <c r="AV39" i="30" s="1"/>
  <c r="AX39" i="30" s="1"/>
  <c r="AD42" i="30"/>
  <c r="AO42" i="30" s="1"/>
  <c r="AV42" i="30" s="1" a="1"/>
  <c r="AV42" i="30" s="1"/>
  <c r="AS42" i="30"/>
  <c r="AQ42" i="30"/>
  <c r="AW42" i="30" s="1"/>
  <c r="R42" i="30"/>
  <c r="AF113" i="30"/>
  <c r="AF79" i="30"/>
  <c r="AD77" i="30"/>
  <c r="AO77" i="30" s="1"/>
  <c r="R77" i="30"/>
  <c r="AS77" i="30"/>
  <c r="AQ77" i="30"/>
  <c r="AW77" i="30" s="1"/>
  <c r="AD34" i="30"/>
  <c r="AO34" i="30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19" i="3" s="1"/>
  <c r="N6" i="3"/>
  <c r="N19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19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19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G28" i="32" l="1"/>
  <c r="G32" i="32"/>
  <c r="L41" i="32"/>
  <c r="M40" i="32"/>
  <c r="G40" i="32" s="1"/>
  <c r="M37" i="32"/>
  <c r="L38" i="32"/>
  <c r="M38" i="32" s="1"/>
  <c r="AX92" i="30"/>
  <c r="AZ39" i="30"/>
  <c r="AZ91" i="30"/>
  <c r="AX91" i="30"/>
  <c r="AW37" i="30"/>
  <c r="AZ37" i="30"/>
  <c r="AX37" i="30"/>
  <c r="AZ35" i="30"/>
  <c r="AX35" i="30"/>
  <c r="AZ93" i="30"/>
  <c r="AX93" i="30"/>
  <c r="AX36" i="30"/>
  <c r="AZ36" i="30"/>
  <c r="AV34" i="30" a="1"/>
  <c r="AV34" i="30" s="1"/>
  <c r="AW34" i="30" s="1"/>
  <c r="AO106" i="30"/>
  <c r="AV106" i="30" s="1" a="1"/>
  <c r="AV106" i="30" s="1"/>
  <c r="AV10" i="30" a="1"/>
  <c r="AV10" i="30" s="1"/>
  <c r="AZ10" i="30" s="1"/>
  <c r="AV77" i="30" a="1"/>
  <c r="AV77" i="30" s="1"/>
  <c r="AO47" i="30"/>
  <c r="AV47" i="30" s="1" a="1"/>
  <c r="AV47" i="30" s="1"/>
  <c r="AO26" i="30"/>
  <c r="AV26" i="30" s="1" a="1"/>
  <c r="AV26" i="30" s="1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19" i="3" s="1"/>
  <c r="AW40" i="30"/>
  <c r="AZ40" i="30"/>
  <c r="AX40" i="30"/>
  <c r="AD48" i="30"/>
  <c r="AQ48" i="30"/>
  <c r="AS48" i="30"/>
  <c r="R48" i="30"/>
  <c r="S121" i="30"/>
  <c r="AU121" i="30" s="1"/>
  <c r="H6" i="3"/>
  <c r="H19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H8" i="3"/>
  <c r="F8" i="3"/>
  <c r="AQ15" i="30"/>
  <c r="R15" i="30"/>
  <c r="AD15" i="30"/>
  <c r="AS15" i="30"/>
  <c r="AD23" i="30"/>
  <c r="AS23" i="30"/>
  <c r="R23" i="30"/>
  <c r="AQ23" i="30"/>
  <c r="AW23" i="30" s="1"/>
  <c r="AN110" i="30"/>
  <c r="AN119" i="30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3" i="30"/>
  <c r="AN100" i="30" s="1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G121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2" i="30"/>
  <c r="AN108" i="30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G37" i="32" l="1"/>
  <c r="G26" i="32"/>
  <c r="G36" i="32"/>
  <c r="M41" i="32"/>
  <c r="L42" i="32"/>
  <c r="L6" i="3"/>
  <c r="L19" i="3" s="1"/>
  <c r="J19" i="3"/>
  <c r="O6" i="3"/>
  <c r="O19" i="3" s="1"/>
  <c r="M19" i="3"/>
  <c r="N20" i="3" s="1"/>
  <c r="R20" i="3"/>
  <c r="AO3" i="30"/>
  <c r="AZ47" i="30"/>
  <c r="AX47" i="30"/>
  <c r="AW47" i="30"/>
  <c r="AX10" i="30"/>
  <c r="AW10" i="30"/>
  <c r="AZ106" i="30"/>
  <c r="AX106" i="30"/>
  <c r="AO102" i="30"/>
  <c r="AW26" i="30"/>
  <c r="AX26" i="30"/>
  <c r="AZ26" i="30"/>
  <c r="AO98" i="30"/>
  <c r="AV98" i="30" s="1" a="1"/>
  <c r="AV98" i="30" s="1"/>
  <c r="AO15" i="30"/>
  <c r="AV15" i="30" s="1" a="1"/>
  <c r="AV15" i="30" s="1"/>
  <c r="AO28" i="30"/>
  <c r="AV28" i="30" s="1"/>
  <c r="AO5" i="30"/>
  <c r="AV5" i="30" s="1" a="1"/>
  <c r="AV5" i="30" s="1"/>
  <c r="AO96" i="30"/>
  <c r="AV96" i="30" s="1" a="1"/>
  <c r="AV96" i="30" s="1"/>
  <c r="AO115" i="30"/>
  <c r="AV115" i="30" s="1" a="1"/>
  <c r="AV115" i="30" s="1"/>
  <c r="AO17" i="30"/>
  <c r="AV17" i="30" s="1" a="1"/>
  <c r="AV17" i="30" s="1"/>
  <c r="AO81" i="30"/>
  <c r="AV81" i="30" s="1" a="1"/>
  <c r="AV81" i="30" s="1"/>
  <c r="AO117" i="30"/>
  <c r="AV117" i="30" s="1" a="1"/>
  <c r="AV117" i="30" s="1"/>
  <c r="AO30" i="30"/>
  <c r="AV30" i="30" s="1" a="1"/>
  <c r="AV30" i="30" s="1"/>
  <c r="AO95" i="30"/>
  <c r="AV95" i="30" s="1" a="1"/>
  <c r="AV95" i="30" s="1"/>
  <c r="AO46" i="30"/>
  <c r="AV46" i="30" s="1" a="1"/>
  <c r="AV46" i="30" s="1"/>
  <c r="AO14" i="30"/>
  <c r="AV14" i="30" s="1" a="1"/>
  <c r="AV14" i="30" s="1"/>
  <c r="AO7" i="30"/>
  <c r="AV7" i="30" s="1" a="1"/>
  <c r="AV7" i="30" s="1"/>
  <c r="AO9" i="30"/>
  <c r="AV9" i="30" s="1" a="1"/>
  <c r="AV9" i="30" s="1"/>
  <c r="AO18" i="30"/>
  <c r="AV18" i="30" s="1" a="1"/>
  <c r="AV18" i="30" s="1"/>
  <c r="AO75" i="30"/>
  <c r="AV75" i="30" s="1" a="1"/>
  <c r="AV75" i="30" s="1"/>
  <c r="AO16" i="30"/>
  <c r="AV16" i="30" s="1" a="1"/>
  <c r="AV16" i="30" s="1"/>
  <c r="AO29" i="30"/>
  <c r="AV29" i="30" s="1" a="1"/>
  <c r="AV29" i="30" s="1"/>
  <c r="AO32" i="30"/>
  <c r="AV32" i="30" s="1" a="1"/>
  <c r="AV32" i="30" s="1"/>
  <c r="AO87" i="30"/>
  <c r="AV87" i="30" s="1" a="1"/>
  <c r="AV87" i="30" s="1"/>
  <c r="AO19" i="30"/>
  <c r="AV19" i="30" s="1" a="1"/>
  <c r="AV19" i="30" s="1"/>
  <c r="AO45" i="30"/>
  <c r="AV45" i="30" s="1" a="1"/>
  <c r="AV45" i="30" s="1"/>
  <c r="AO86" i="30"/>
  <c r="AV86" i="30" s="1" a="1"/>
  <c r="AV86" i="30" s="1"/>
  <c r="AO88" i="30"/>
  <c r="AV88" i="30" s="1" a="1"/>
  <c r="AV88" i="30" s="1"/>
  <c r="AO22" i="30"/>
  <c r="AV22" i="30" s="1" a="1"/>
  <c r="AV22" i="30" s="1"/>
  <c r="AZ34" i="30"/>
  <c r="AO44" i="30"/>
  <c r="AV44" i="30" s="1" a="1"/>
  <c r="AV44" i="30" s="1"/>
  <c r="AO48" i="30"/>
  <c r="AV48" i="30" s="1" a="1"/>
  <c r="AV48" i="30" s="1"/>
  <c r="AO79" i="30"/>
  <c r="AV79" i="30" s="1" a="1"/>
  <c r="AV79" i="30" s="1"/>
  <c r="AO24" i="30"/>
  <c r="AV24" i="30" s="1" a="1"/>
  <c r="AV24" i="30" s="1"/>
  <c r="AO12" i="30"/>
  <c r="AV12" i="30" s="1" a="1"/>
  <c r="AV12" i="30" s="1"/>
  <c r="AO97" i="30"/>
  <c r="AV97" i="30" s="1" a="1"/>
  <c r="AV97" i="30" s="1"/>
  <c r="AO21" i="30"/>
  <c r="AV21" i="30" s="1" a="1"/>
  <c r="AV21" i="30" s="1"/>
  <c r="AX34" i="30"/>
  <c r="AO103" i="30"/>
  <c r="AV103" i="30" s="1" a="1"/>
  <c r="AV103" i="30" s="1"/>
  <c r="AO8" i="30"/>
  <c r="AV8" i="30" s="1" a="1"/>
  <c r="AV8" i="30" s="1"/>
  <c r="AO80" i="30"/>
  <c r="AV80" i="30" s="1" a="1"/>
  <c r="AV80" i="30" s="1"/>
  <c r="AO76" i="30"/>
  <c r="AV76" i="30" s="1" a="1"/>
  <c r="AV76" i="30" s="1"/>
  <c r="AO113" i="30"/>
  <c r="AV113" i="30" s="1" a="1"/>
  <c r="AV113" i="30" s="1"/>
  <c r="AO27" i="30"/>
  <c r="AV27" i="30" s="1" a="1"/>
  <c r="AV27" i="30" s="1"/>
  <c r="AV104" i="30" a="1"/>
  <c r="AV104" i="30" s="1"/>
  <c r="AO33" i="30"/>
  <c r="AV33" i="30" s="1" a="1"/>
  <c r="AV33" i="30" s="1"/>
  <c r="AO11" i="30"/>
  <c r="AV11" i="30" s="1" a="1"/>
  <c r="AV11" i="30" s="1"/>
  <c r="AO4" i="30"/>
  <c r="AV4" i="30" s="1" a="1"/>
  <c r="AV4" i="30" s="1"/>
  <c r="AO20" i="30"/>
  <c r="AV20" i="30" s="1" a="1"/>
  <c r="AV20" i="30" s="1"/>
  <c r="AO43" i="30"/>
  <c r="AV43" i="30" s="1" a="1"/>
  <c r="AV43" i="30" s="1"/>
  <c r="AO78" i="30"/>
  <c r="AV78" i="30" s="1" a="1"/>
  <c r="AV78" i="30" s="1"/>
  <c r="AO111" i="30"/>
  <c r="AV111" i="30" s="1" a="1"/>
  <c r="AV111" i="30" s="1"/>
  <c r="AO85" i="30"/>
  <c r="AV85" i="30" s="1" a="1"/>
  <c r="AV85" i="30" s="1"/>
  <c r="AO25" i="30"/>
  <c r="AV25" i="30" s="1" a="1"/>
  <c r="AV25" i="30" s="1"/>
  <c r="AO116" i="30"/>
  <c r="AV116" i="30" s="1" a="1"/>
  <c r="AV116" i="30" s="1"/>
  <c r="AO6" i="30"/>
  <c r="AV6" i="30" s="1" a="1"/>
  <c r="AV6" i="30" s="1"/>
  <c r="AO31" i="30"/>
  <c r="AV31" i="30" s="1" a="1"/>
  <c r="AV31" i="30" s="1"/>
  <c r="AO82" i="30"/>
  <c r="AV82" i="30" s="1" a="1"/>
  <c r="AV82" i="30" s="1"/>
  <c r="AO105" i="30"/>
  <c r="AV105" i="30" s="1" a="1"/>
  <c r="AV105" i="30" s="1"/>
  <c r="AX105" i="30" s="1"/>
  <c r="AO41" i="30"/>
  <c r="AV41" i="30" s="1" a="1"/>
  <c r="AV41" i="30" s="1"/>
  <c r="AO114" i="30"/>
  <c r="AV114" i="30" s="1" a="1"/>
  <c r="AV114" i="30" s="1"/>
  <c r="AO13" i="30"/>
  <c r="AV13" i="30" s="1" a="1"/>
  <c r="AV13" i="30" s="1"/>
  <c r="AO94" i="30"/>
  <c r="AV94" i="30" s="1" a="1"/>
  <c r="AV94" i="30" s="1"/>
  <c r="AO23" i="30"/>
  <c r="AV23" i="30" s="1" a="1"/>
  <c r="AV23" i="30" s="1"/>
  <c r="AO83" i="30"/>
  <c r="AV83" i="30" s="1" a="1"/>
  <c r="AV83" i="30" s="1"/>
  <c r="AO84" i="30"/>
  <c r="AV84" i="30" s="1" a="1"/>
  <c r="AV84" i="30" s="1"/>
  <c r="AO112" i="30"/>
  <c r="F6" i="3"/>
  <c r="U121" i="30"/>
  <c r="AS107" i="30"/>
  <c r="AV110" i="30" a="1"/>
  <c r="AV110" i="30" s="1"/>
  <c r="Z6" i="3"/>
  <c r="Z19" i="3" s="1"/>
  <c r="Z20" i="3" s="1"/>
  <c r="AN121" i="30"/>
  <c r="AD100" i="30"/>
  <c r="AH6" i="3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41" i="32" l="1"/>
  <c r="G31" i="32"/>
  <c r="M42" i="32"/>
  <c r="L43" i="32"/>
  <c r="T20" i="3"/>
  <c r="V20" i="3"/>
  <c r="AA20" i="3"/>
  <c r="Y20" i="3"/>
  <c r="S20" i="3"/>
  <c r="X20" i="3"/>
  <c r="W20" i="3"/>
  <c r="U20" i="3"/>
  <c r="Q20" i="3"/>
  <c r="AO119" i="30"/>
  <c r="AX9" i="30"/>
  <c r="AW9" i="30"/>
  <c r="AZ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X78" i="30"/>
  <c r="AZ113" i="30"/>
  <c r="AX113" i="30"/>
  <c r="AX12" i="30"/>
  <c r="AZ12" i="30"/>
  <c r="AW12" i="30"/>
  <c r="AX95" i="30"/>
  <c r="AZ95" i="30"/>
  <c r="AW28" i="30"/>
  <c r="AZ28" i="30"/>
  <c r="AX28" i="30"/>
  <c r="AV112" i="30" a="1"/>
  <c r="AV112" i="30" s="1"/>
  <c r="AW6" i="30"/>
  <c r="AZ6" i="30"/>
  <c r="AX6" i="30"/>
  <c r="AX43" i="30"/>
  <c r="AZ43" i="30"/>
  <c r="AW48" i="30"/>
  <c r="AZ48" i="30"/>
  <c r="AX48" i="30"/>
  <c r="AW18" i="30"/>
  <c r="AZ18" i="30"/>
  <c r="AX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W5" i="30"/>
  <c r="AZ5" i="30"/>
  <c r="AX5" i="30"/>
  <c r="AZ114" i="30"/>
  <c r="AX114" i="30"/>
  <c r="AX4" i="30"/>
  <c r="AW4" i="30"/>
  <c r="AZ4" i="30"/>
  <c r="AZ76" i="30"/>
  <c r="AX76" i="30"/>
  <c r="AZ97" i="30"/>
  <c r="AX97" i="30"/>
  <c r="AZ87" i="30"/>
  <c r="AW87" i="30"/>
  <c r="AX87" i="30"/>
  <c r="AX81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V99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19" i="3" s="1"/>
  <c r="P20" i="3" s="1"/>
  <c r="AD121" i="30"/>
  <c r="AE8" i="3"/>
  <c r="AC8" i="3"/>
  <c r="AB8" i="3"/>
  <c r="M43" i="32" l="1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F8" i="3"/>
  <c r="AG8" i="3"/>
  <c r="AE6" i="3"/>
  <c r="AB6" i="3"/>
  <c r="AB19" i="3" s="1"/>
  <c r="AC6" i="3"/>
  <c r="AW3" i="30"/>
  <c r="AZ3" i="30"/>
  <c r="AZ100" i="30" s="1"/>
  <c r="AX3" i="30"/>
  <c r="AO121" i="30"/>
  <c r="G43" i="32" l="1"/>
  <c r="G30" i="32"/>
  <c r="M44" i="32"/>
  <c r="L45" i="32"/>
  <c r="AC19" i="3"/>
  <c r="AD6" i="3"/>
  <c r="AZ121" i="30"/>
  <c r="AC121" i="30"/>
  <c r="AF6" i="3"/>
  <c r="AG6" i="3"/>
  <c r="G27" i="32" l="1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2" i="3" s="1"/>
  <c r="AN110" i="29"/>
  <c r="T113" i="29"/>
  <c r="I12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N104" i="28" s="1"/>
  <c r="AA104" i="28"/>
  <c r="U105" i="28"/>
  <c r="U111" i="28"/>
  <c r="U113" i="28"/>
  <c r="AD113" i="28" s="1"/>
  <c r="X113" i="28"/>
  <c r="AN113" i="28" s="1"/>
  <c r="U114" i="28"/>
  <c r="X114" i="28"/>
  <c r="AN114" i="28" s="1"/>
  <c r="U115" i="28"/>
  <c r="R115" i="28" s="1"/>
  <c r="X115" i="28"/>
  <c r="AN115" i="28" s="1"/>
  <c r="AA115" i="28"/>
  <c r="U116" i="28"/>
  <c r="AD116" i="28" s="1"/>
  <c r="X116" i="28"/>
  <c r="AN116" i="28" s="1"/>
  <c r="U117" i="28"/>
  <c r="AA117" i="28"/>
  <c r="AA110" i="28"/>
  <c r="X110" i="28"/>
  <c r="AN110" i="28" s="1"/>
  <c r="U110" i="28"/>
  <c r="AB4" i="28"/>
  <c r="U5" i="28"/>
  <c r="X5" i="28"/>
  <c r="X6" i="28"/>
  <c r="AN6" i="28" s="1"/>
  <c r="AA7" i="28"/>
  <c r="AB7" i="28"/>
  <c r="U8" i="28"/>
  <c r="R8" i="28" s="1"/>
  <c r="AA8" i="28"/>
  <c r="U9" i="28"/>
  <c r="AD9" i="28" s="1"/>
  <c r="X10" i="28"/>
  <c r="X11" i="28"/>
  <c r="AN11" i="28" s="1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AN21" i="28" s="1"/>
  <c r="U23" i="28"/>
  <c r="R23" i="28" s="1"/>
  <c r="U24" i="28"/>
  <c r="X24" i="28"/>
  <c r="AN24" i="28" s="1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AN33" i="28" s="1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N51" i="28" s="1"/>
  <c r="AA51" i="28"/>
  <c r="AA52" i="28"/>
  <c r="U53" i="28"/>
  <c r="X53" i="28"/>
  <c r="AN53" i="28" s="1"/>
  <c r="U54" i="28"/>
  <c r="AD54" i="28" s="1"/>
  <c r="X54" i="28"/>
  <c r="AN54" i="28" s="1"/>
  <c r="U56" i="28"/>
  <c r="AD56" i="28" s="1"/>
  <c r="X56" i="28"/>
  <c r="X57" i="28"/>
  <c r="U58" i="28"/>
  <c r="AD58" i="28" s="1"/>
  <c r="U60" i="28"/>
  <c r="AD60" i="28" s="1"/>
  <c r="X61" i="28"/>
  <c r="AN61" i="28" s="1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AN70" i="28" s="1"/>
  <c r="X71" i="28"/>
  <c r="U72" i="28"/>
  <c r="U73" i="28"/>
  <c r="X74" i="28"/>
  <c r="AN74" i="28" s="1"/>
  <c r="X75" i="28"/>
  <c r="AA76" i="28"/>
  <c r="U77" i="28"/>
  <c r="X77" i="28"/>
  <c r="AN77" i="28" s="1"/>
  <c r="U78" i="28"/>
  <c r="AD78" i="28" s="1"/>
  <c r="X78" i="28"/>
  <c r="AN78" i="28" s="1"/>
  <c r="U79" i="28"/>
  <c r="R79" i="28" s="1"/>
  <c r="AA79" i="28"/>
  <c r="X81" i="28"/>
  <c r="AN81" i="28" s="1"/>
  <c r="AA81" i="28"/>
  <c r="X82" i="28"/>
  <c r="AA82" i="28"/>
  <c r="U83" i="28"/>
  <c r="AD83" i="28" s="1"/>
  <c r="AA83" i="28"/>
  <c r="X84" i="28"/>
  <c r="AN84" i="28" s="1"/>
  <c r="AA84" i="28"/>
  <c r="U85" i="28"/>
  <c r="AD85" i="28" s="1"/>
  <c r="U86" i="28"/>
  <c r="AD86" i="28" s="1"/>
  <c r="X86" i="28"/>
  <c r="AN86" i="28" s="1"/>
  <c r="AA87" i="28"/>
  <c r="U88" i="28"/>
  <c r="R88" i="28" s="1"/>
  <c r="X88" i="28"/>
  <c r="AN88" i="28" s="1"/>
  <c r="U90" i="28"/>
  <c r="AD90" i="28" s="1"/>
  <c r="AA91" i="28"/>
  <c r="U93" i="28"/>
  <c r="U94" i="28"/>
  <c r="AD94" i="28" s="1"/>
  <c r="X94" i="28"/>
  <c r="U95" i="28"/>
  <c r="R95" i="28" s="1"/>
  <c r="X95" i="28"/>
  <c r="AN95" i="28" s="1"/>
  <c r="AA95" i="28"/>
  <c r="U96" i="28"/>
  <c r="AA96" i="28"/>
  <c r="AA97" i="28"/>
  <c r="U98" i="28"/>
  <c r="X98" i="28"/>
  <c r="AN98" i="28" s="1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AN5" i="28"/>
  <c r="AN10" i="28"/>
  <c r="AN13" i="28"/>
  <c r="AN14" i="28"/>
  <c r="AN17" i="28"/>
  <c r="AN19" i="28"/>
  <c r="AN20" i="28"/>
  <c r="AN27" i="28"/>
  <c r="AN28" i="28"/>
  <c r="AN29" i="28"/>
  <c r="AN34" i="28"/>
  <c r="AN35" i="28"/>
  <c r="AN37" i="28"/>
  <c r="AN40" i="28"/>
  <c r="AN41" i="28"/>
  <c r="AN42" i="28"/>
  <c r="AN43" i="28"/>
  <c r="AN48" i="28"/>
  <c r="AN50" i="28"/>
  <c r="AN56" i="28"/>
  <c r="AN57" i="28"/>
  <c r="AN69" i="28"/>
  <c r="AN71" i="28"/>
  <c r="AN75" i="28"/>
  <c r="AN82" i="28"/>
  <c r="AN94" i="28"/>
  <c r="L3" i="29" l="1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AN45" i="28" s="1"/>
  <c r="U34" i="28"/>
  <c r="U22" i="28"/>
  <c r="U13" i="28"/>
  <c r="U4" i="28"/>
  <c r="R94" i="28"/>
  <c r="AA94" i="28"/>
  <c r="U81" i="28"/>
  <c r="AD81" i="28" s="1"/>
  <c r="X79" i="28"/>
  <c r="AN79" i="28" s="1"/>
  <c r="AA70" i="28"/>
  <c r="U67" i="28"/>
  <c r="AD67" i="28" s="1"/>
  <c r="U61" i="28"/>
  <c r="X58" i="28"/>
  <c r="AN58" i="28" s="1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AN117" i="28" s="1"/>
  <c r="X112" i="28"/>
  <c r="AN112" i="28" s="1"/>
  <c r="U103" i="28"/>
  <c r="X90" i="28"/>
  <c r="AN90" i="28" s="1"/>
  <c r="X85" i="28"/>
  <c r="AN85" i="28" s="1"/>
  <c r="AA78" i="28"/>
  <c r="AA31" i="28"/>
  <c r="AA15" i="28"/>
  <c r="AF115" i="28"/>
  <c r="X89" i="28"/>
  <c r="AN89" i="28" s="1"/>
  <c r="U80" i="28"/>
  <c r="X64" i="28"/>
  <c r="AN64" i="28" s="1"/>
  <c r="U45" i="28"/>
  <c r="AD45" i="28" s="1"/>
  <c r="AF41" i="28"/>
  <c r="AA35" i="28"/>
  <c r="U102" i="28"/>
  <c r="AA105" i="28"/>
  <c r="AF7" i="28"/>
  <c r="U68" i="28"/>
  <c r="R68" i="28" s="1"/>
  <c r="X60" i="28"/>
  <c r="AN60" i="28" s="1"/>
  <c r="AA43" i="28"/>
  <c r="AA38" i="28"/>
  <c r="U27" i="28"/>
  <c r="X16" i="28"/>
  <c r="AN16" i="28" s="1"/>
  <c r="U25" i="28"/>
  <c r="AA23" i="28"/>
  <c r="U11" i="28"/>
  <c r="R11" i="28" s="1"/>
  <c r="U7" i="28"/>
  <c r="AF25" i="28"/>
  <c r="X73" i="28"/>
  <c r="AN73" i="28" s="1"/>
  <c r="AF96" i="28"/>
  <c r="AF82" i="28"/>
  <c r="AF81" i="28"/>
  <c r="U71" i="28"/>
  <c r="R71" i="28" s="1"/>
  <c r="AA68" i="28"/>
  <c r="AF47" i="28"/>
  <c r="U43" i="28"/>
  <c r="X36" i="28"/>
  <c r="AN36" i="28" s="1"/>
  <c r="AF17" i="28"/>
  <c r="AF65" i="28"/>
  <c r="AF48" i="28"/>
  <c r="AF39" i="28"/>
  <c r="R28" i="28"/>
  <c r="AA71" i="28"/>
  <c r="X66" i="28"/>
  <c r="AN66" i="28" s="1"/>
  <c r="AA58" i="28"/>
  <c r="U47" i="28"/>
  <c r="AA24" i="28"/>
  <c r="AA10" i="28"/>
  <c r="R17" i="28"/>
  <c r="X92" i="28"/>
  <c r="AN92" i="28" s="1"/>
  <c r="X76" i="28"/>
  <c r="AN76" i="28" s="1"/>
  <c r="AA74" i="28"/>
  <c r="AA61" i="28"/>
  <c r="AA55" i="28"/>
  <c r="U41" i="28"/>
  <c r="AD41" i="28" s="1"/>
  <c r="AD39" i="28"/>
  <c r="X22" i="28"/>
  <c r="AN22" i="28" s="1"/>
  <c r="AA21" i="28"/>
  <c r="X18" i="28"/>
  <c r="AN18" i="28" s="1"/>
  <c r="X8" i="28"/>
  <c r="AN8" i="28" s="1"/>
  <c r="U6" i="28"/>
  <c r="AA102" i="28"/>
  <c r="X87" i="28"/>
  <c r="AN87" i="28" s="1"/>
  <c r="U84" i="28"/>
  <c r="R84" i="28" s="1"/>
  <c r="AA72" i="28"/>
  <c r="U69" i="28"/>
  <c r="AF66" i="28"/>
  <c r="AA59" i="28"/>
  <c r="AF49" i="28"/>
  <c r="X46" i="28"/>
  <c r="AN46" i="28" s="1"/>
  <c r="X26" i="28"/>
  <c r="AN26" i="28" s="1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2" i="3" s="1"/>
  <c r="AE113" i="29"/>
  <c r="R12" i="3" s="1"/>
  <c r="AS111" i="29"/>
  <c r="AQ111" i="29"/>
  <c r="AW111" i="29" s="1"/>
  <c r="E98" i="29"/>
  <c r="L98" i="29" s="1"/>
  <c r="W113" i="29"/>
  <c r="K12" i="3" s="1"/>
  <c r="AA113" i="29"/>
  <c r="AN111" i="29"/>
  <c r="L115" i="29"/>
  <c r="L124" i="29" s="1"/>
  <c r="E124" i="29"/>
  <c r="AR123" i="29"/>
  <c r="AQ120" i="29"/>
  <c r="AW120" i="29" s="1"/>
  <c r="AU97" i="29"/>
  <c r="AG113" i="29"/>
  <c r="Q12" i="3" s="1"/>
  <c r="AU108" i="29"/>
  <c r="W124" i="29"/>
  <c r="AT115" i="29"/>
  <c r="AS116" i="29"/>
  <c r="AS117" i="29"/>
  <c r="AQ117" i="29"/>
  <c r="AW117" i="29" s="1"/>
  <c r="AT90" i="29"/>
  <c r="Y113" i="29"/>
  <c r="M12" i="3" s="1"/>
  <c r="O12" i="3" s="1"/>
  <c r="AM113" i="29"/>
  <c r="U12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AN65" i="28" s="1"/>
  <c r="U50" i="28"/>
  <c r="X49" i="28"/>
  <c r="AN49" i="28" s="1"/>
  <c r="AB37" i="28"/>
  <c r="AB35" i="28"/>
  <c r="U35" i="28"/>
  <c r="AA29" i="28"/>
  <c r="AA22" i="28"/>
  <c r="AB18" i="28"/>
  <c r="AB15" i="28"/>
  <c r="X9" i="28"/>
  <c r="AN9" i="28" s="1"/>
  <c r="AD8" i="28"/>
  <c r="X102" i="28"/>
  <c r="AN102" i="28" s="1"/>
  <c r="AD115" i="28"/>
  <c r="AA114" i="28"/>
  <c r="AA112" i="28"/>
  <c r="X106" i="28"/>
  <c r="AN106" i="28" s="1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N59" i="28" s="1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N97" i="28" s="1"/>
  <c r="AB83" i="28"/>
  <c r="U76" i="28"/>
  <c r="R76" i="28" s="1"/>
  <c r="AA73" i="28"/>
  <c r="X63" i="28"/>
  <c r="AN63" i="28" s="1"/>
  <c r="AB53" i="28"/>
  <c r="U51" i="28"/>
  <c r="X44" i="28"/>
  <c r="AN44" i="28" s="1"/>
  <c r="AB38" i="28"/>
  <c r="U36" i="28"/>
  <c r="X32" i="28"/>
  <c r="AN32" i="28" s="1"/>
  <c r="U31" i="28"/>
  <c r="AA30" i="28"/>
  <c r="AB28" i="28"/>
  <c r="X25" i="28"/>
  <c r="AN25" i="28" s="1"/>
  <c r="AA20" i="28"/>
  <c r="U19" i="28"/>
  <c r="R19" i="28" s="1"/>
  <c r="AF14" i="28"/>
  <c r="X12" i="28"/>
  <c r="AN12" i="28" s="1"/>
  <c r="X4" i="28"/>
  <c r="AN4" i="28" s="1"/>
  <c r="AA113" i="28"/>
  <c r="AA111" i="28"/>
  <c r="Q97" i="28"/>
  <c r="Q65" i="28"/>
  <c r="Q54" i="28"/>
  <c r="Q49" i="28"/>
  <c r="Q24" i="28"/>
  <c r="Q19" i="28"/>
  <c r="Q14" i="28"/>
  <c r="X93" i="28"/>
  <c r="AN93" i="28" s="1"/>
  <c r="U92" i="28"/>
  <c r="AA89" i="28"/>
  <c r="AA80" i="28"/>
  <c r="U74" i="28"/>
  <c r="AD74" i="28" s="1"/>
  <c r="X68" i="28"/>
  <c r="AN68" i="28" s="1"/>
  <c r="AA67" i="28"/>
  <c r="AA62" i="28"/>
  <c r="U59" i="28"/>
  <c r="U57" i="28"/>
  <c r="X52" i="28"/>
  <c r="AN52" i="28" s="1"/>
  <c r="AA46" i="28"/>
  <c r="AA45" i="28"/>
  <c r="U44" i="28"/>
  <c r="X39" i="28"/>
  <c r="AN39" i="28" s="1"/>
  <c r="AA33" i="28"/>
  <c r="X30" i="28"/>
  <c r="AN30" i="28" s="1"/>
  <c r="AA13" i="28"/>
  <c r="X7" i="28"/>
  <c r="AN7" i="28" s="1"/>
  <c r="AA5" i="28"/>
  <c r="AB102" i="28"/>
  <c r="U112" i="28"/>
  <c r="X111" i="28"/>
  <c r="AN111" i="28" s="1"/>
  <c r="X105" i="28"/>
  <c r="AN105" i="28" s="1"/>
  <c r="X103" i="28"/>
  <c r="AN103" i="28" s="1"/>
  <c r="Q59" i="28"/>
  <c r="Q112" i="28"/>
  <c r="X91" i="28"/>
  <c r="AN91" i="28" s="1"/>
  <c r="U70" i="28"/>
  <c r="AD70" i="28" s="1"/>
  <c r="X62" i="28"/>
  <c r="AN62" i="28" s="1"/>
  <c r="AA54" i="28"/>
  <c r="U52" i="28"/>
  <c r="AA19" i="28"/>
  <c r="AA116" i="28"/>
  <c r="AA106" i="28"/>
  <c r="Q32" i="28"/>
  <c r="Q27" i="28"/>
  <c r="AA90" i="28"/>
  <c r="AA88" i="28"/>
  <c r="X83" i="28"/>
  <c r="AN83" i="28" s="1"/>
  <c r="X67" i="28"/>
  <c r="AN67" i="28" s="1"/>
  <c r="X38" i="28"/>
  <c r="AN38" i="28" s="1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N15" i="28" s="1"/>
  <c r="AF11" i="28"/>
  <c r="R60" i="28"/>
  <c r="X96" i="28"/>
  <c r="AN96" i="28" s="1"/>
  <c r="AD88" i="28"/>
  <c r="U66" i="28"/>
  <c r="X55" i="28"/>
  <c r="AN55" i="28" s="1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N31" i="28" s="1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N47" i="28" s="1"/>
  <c r="AF43" i="28"/>
  <c r="AF34" i="28"/>
  <c r="AF13" i="28"/>
  <c r="U10" i="28"/>
  <c r="AF52" i="28"/>
  <c r="AF98" i="28"/>
  <c r="U91" i="28"/>
  <c r="X80" i="28"/>
  <c r="AN80" i="28" s="1"/>
  <c r="AA77" i="28"/>
  <c r="X72" i="28"/>
  <c r="AN72" i="28" s="1"/>
  <c r="AA69" i="28"/>
  <c r="AF62" i="28"/>
  <c r="AA60" i="28"/>
  <c r="R59" i="28"/>
  <c r="AD59" i="28"/>
  <c r="AF38" i="28"/>
  <c r="AA36" i="28"/>
  <c r="X23" i="28"/>
  <c r="AN23" i="28" s="1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D99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D43" i="16"/>
  <c r="K53" i="16"/>
  <c r="K30" i="16"/>
  <c r="K47" i="16"/>
  <c r="K49" i="16"/>
  <c r="K62" i="16"/>
  <c r="K75" i="16"/>
  <c r="K79" i="16"/>
  <c r="K94" i="16"/>
  <c r="K106" i="16"/>
  <c r="K105" i="16"/>
  <c r="K104" i="16"/>
  <c r="D104" i="16"/>
  <c r="E113" i="29" l="1"/>
  <c r="E105" i="29"/>
  <c r="L105" i="29"/>
  <c r="D22" i="16"/>
  <c r="D11" i="16"/>
  <c r="D86" i="16"/>
  <c r="D92" i="16"/>
  <c r="D60" i="16"/>
  <c r="D54" i="16"/>
  <c r="D39" i="16"/>
  <c r="D108" i="16"/>
  <c r="D106" i="16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2" i="3"/>
  <c r="AH12" i="3"/>
  <c r="AQ3" i="29"/>
  <c r="AA105" i="29"/>
  <c r="AU113" i="29"/>
  <c r="H12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Z12" i="3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D109" i="16"/>
  <c r="E104" i="16"/>
  <c r="F104" i="16" s="1"/>
  <c r="D96" i="16"/>
  <c r="D47" i="16"/>
  <c r="D95" i="16"/>
  <c r="D44" i="16"/>
  <c r="D55" i="16"/>
  <c r="D26" i="16"/>
  <c r="G29" i="32" l="1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2" i="3" s="1"/>
  <c r="E105" i="16"/>
  <c r="L5" i="16"/>
  <c r="M4" i="16"/>
  <c r="G4" i="16" s="1"/>
  <c r="L106" i="16"/>
  <c r="D100" i="16"/>
  <c r="E4" i="16"/>
  <c r="G39" i="32" l="1"/>
  <c r="M49" i="32"/>
  <c r="L50" i="32"/>
  <c r="L76" i="32"/>
  <c r="AE12" i="3"/>
  <c r="AW20" i="29"/>
  <c r="M106" i="16"/>
  <c r="G106" i="16" s="1"/>
  <c r="L107" i="16"/>
  <c r="M5" i="16"/>
  <c r="L6" i="16"/>
  <c r="E5" i="16"/>
  <c r="F4" i="16"/>
  <c r="F105" i="16"/>
  <c r="E106" i="16"/>
  <c r="G48" i="32" l="1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M77" i="32" l="1"/>
  <c r="L78" i="32"/>
  <c r="M51" i="32"/>
  <c r="L52" i="32"/>
  <c r="F107" i="16"/>
  <c r="E108" i="16"/>
  <c r="F108" i="16" s="1"/>
  <c r="F6" i="16"/>
  <c r="E7" i="16"/>
  <c r="M7" i="16"/>
  <c r="G7" i="16" s="1"/>
  <c r="L8" i="16"/>
  <c r="G49" i="32" l="1"/>
  <c r="G6" i="16"/>
  <c r="M52" i="32"/>
  <c r="L53" i="32"/>
  <c r="M78" i="32"/>
  <c r="L79" i="32"/>
  <c r="L9" i="16"/>
  <c r="M8" i="16"/>
  <c r="G8" i="16" s="1"/>
  <c r="E8" i="16"/>
  <c r="F7" i="16"/>
  <c r="G44" i="32" l="1"/>
  <c r="L80" i="32"/>
  <c r="M79" i="32"/>
  <c r="L54" i="32"/>
  <c r="M53" i="32"/>
  <c r="F8" i="16"/>
  <c r="E9" i="16"/>
  <c r="M9" i="16"/>
  <c r="L10" i="16"/>
  <c r="M54" i="32" l="1"/>
  <c r="L55" i="32"/>
  <c r="L81" i="32"/>
  <c r="M80" i="32"/>
  <c r="M10" i="16"/>
  <c r="L11" i="16"/>
  <c r="E10" i="16"/>
  <c r="F9" i="16"/>
  <c r="G47" i="32" l="1"/>
  <c r="L56" i="32"/>
  <c r="M55" i="32"/>
  <c r="M81" i="32"/>
  <c r="L82" i="32"/>
  <c r="F10" i="16"/>
  <c r="E11" i="16"/>
  <c r="M11" i="16"/>
  <c r="L12" i="16"/>
  <c r="M82" i="32" l="1"/>
  <c r="G82" i="32" s="1"/>
  <c r="L83" i="32"/>
  <c r="L57" i="32"/>
  <c r="M56" i="32"/>
  <c r="L13" i="16"/>
  <c r="M12" i="16"/>
  <c r="G9" i="16" s="1"/>
  <c r="E12" i="16"/>
  <c r="F11" i="16"/>
  <c r="G42" i="32" l="1"/>
  <c r="M57" i="32"/>
  <c r="L58" i="32"/>
  <c r="M83" i="32"/>
  <c r="G83" i="32" s="1"/>
  <c r="L84" i="32"/>
  <c r="G12" i="16"/>
  <c r="E13" i="16"/>
  <c r="F12" i="16"/>
  <c r="L14" i="16"/>
  <c r="M13" i="16"/>
  <c r="G45" i="32" l="1"/>
  <c r="M84" i="32"/>
  <c r="G84" i="32" s="1"/>
  <c r="L85" i="32"/>
  <c r="M58" i="32"/>
  <c r="L59" i="32"/>
  <c r="E14" i="16"/>
  <c r="F13" i="16"/>
  <c r="M14" i="16"/>
  <c r="L15" i="16"/>
  <c r="G35" i="32" l="1"/>
  <c r="M59" i="32"/>
  <c r="L60" i="32"/>
  <c r="M85" i="32"/>
  <c r="L86" i="32"/>
  <c r="L16" i="16"/>
  <c r="M15" i="16"/>
  <c r="E15" i="16"/>
  <c r="F14" i="16"/>
  <c r="G51" i="32" l="1"/>
  <c r="G76" i="32"/>
  <c r="L87" i="32"/>
  <c r="M86" i="32"/>
  <c r="G86" i="32" s="1"/>
  <c r="M60" i="32"/>
  <c r="L61" i="32"/>
  <c r="F15" i="16"/>
  <c r="E16" i="16"/>
  <c r="L17" i="16"/>
  <c r="M16" i="16"/>
  <c r="G52" i="32" l="1"/>
  <c r="L88" i="32"/>
  <c r="M87" i="32"/>
  <c r="M61" i="32"/>
  <c r="G61" i="32" s="1"/>
  <c r="L62" i="32"/>
  <c r="M17" i="16"/>
  <c r="L18" i="16"/>
  <c r="F16" i="16"/>
  <c r="E17" i="16"/>
  <c r="G11" i="16" l="1"/>
  <c r="G10" i="16"/>
  <c r="L63" i="32"/>
  <c r="M62" i="32"/>
  <c r="M88" i="32"/>
  <c r="L89" i="32"/>
  <c r="E18" i="16"/>
  <c r="F17" i="16"/>
  <c r="L19" i="16"/>
  <c r="M18" i="16"/>
  <c r="G62" i="32" l="1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AK100" i="28"/>
  <c r="AJ100" i="28"/>
  <c r="AH100" i="28"/>
  <c r="AH121" i="28" s="1"/>
  <c r="AG100" i="28"/>
  <c r="Q4" i="3" s="1"/>
  <c r="AE100" i="28"/>
  <c r="R4" i="3" s="1"/>
  <c r="Z100" i="28"/>
  <c r="N4" i="3" s="1"/>
  <c r="Y100" i="28"/>
  <c r="M4" i="3" s="1"/>
  <c r="O4" i="3" s="1"/>
  <c r="W100" i="28"/>
  <c r="K4" i="3" s="1"/>
  <c r="V100" i="28"/>
  <c r="J4" i="3" s="1"/>
  <c r="T100" i="28"/>
  <c r="I4" i="3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AN3" i="28" s="1"/>
  <c r="U3" i="28"/>
  <c r="E3" i="28"/>
  <c r="L3" i="28" s="1"/>
  <c r="G63" i="32" l="1"/>
  <c r="G54" i="32"/>
  <c r="L65" i="32"/>
  <c r="M64" i="32"/>
  <c r="M90" i="32"/>
  <c r="L91" i="32"/>
  <c r="L4" i="3"/>
  <c r="S121" i="28"/>
  <c r="H4" i="3"/>
  <c r="AH4" i="3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L96" i="28"/>
  <c r="AO96" i="28" s="1"/>
  <c r="AL31" i="28"/>
  <c r="AO31" i="28" s="1"/>
  <c r="AL78" i="28"/>
  <c r="AO78" i="28" s="1"/>
  <c r="AL14" i="28"/>
  <c r="AO14" i="28" s="1"/>
  <c r="AL77" i="28"/>
  <c r="AO77" i="28" s="1"/>
  <c r="AL13" i="28"/>
  <c r="AL116" i="28"/>
  <c r="AO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AV17" i="28" a="1"/>
  <c r="AV17" i="28" s="1"/>
  <c r="AV27" i="28" a="1"/>
  <c r="AV27" i="28" s="1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V116" i="28" a="1"/>
  <c r="AV116" i="28" s="1"/>
  <c r="AZ116" i="28" s="1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4" i="28" a="1"/>
  <c r="AV14" i="28" s="1"/>
  <c r="AW14" i="28" s="1"/>
  <c r="AV18" i="28" a="1"/>
  <c r="AV18" i="28" s="1"/>
  <c r="AV58" i="28" a="1"/>
  <c r="AV58" i="28" s="1"/>
  <c r="AZ58" i="28" s="1"/>
  <c r="AL3" i="28"/>
  <c r="AV7" i="28" a="1"/>
  <c r="AV7" i="28" s="1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53" i="28" a="1"/>
  <c r="AV53" i="28" s="1"/>
  <c r="AZ53" i="28" s="1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Z4" i="3" s="1"/>
  <c r="AV23" i="28" a="1"/>
  <c r="AV23" i="28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G64" i="32" l="1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V15" i="28" a="1"/>
  <c r="AV15" i="28" s="1"/>
  <c r="AZ15" i="28" s="1"/>
  <c r="AO15" i="28"/>
  <c r="AO13" i="28"/>
  <c r="AV13" i="28" s="1" a="1"/>
  <c r="AV13" i="28" s="1"/>
  <c r="AO87" i="28"/>
  <c r="AV87" i="28" s="1" a="1"/>
  <c r="AV87" i="28" s="1"/>
  <c r="AO22" i="28"/>
  <c r="AV22" i="28" s="1" a="1"/>
  <c r="AV22" i="28" s="1"/>
  <c r="AV112" i="28" a="1"/>
  <c r="AV112" i="28" s="1"/>
  <c r="AZ112" i="28" s="1"/>
  <c r="AO112" i="28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F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G56" i="32" l="1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W99" i="28" s="1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G92" i="32" l="1"/>
  <c r="G81" i="32"/>
  <c r="G57" i="32"/>
  <c r="M93" i="32"/>
  <c r="L94" i="32"/>
  <c r="L100" i="32" s="1"/>
  <c r="M100" i="32" s="1"/>
  <c r="G100" i="32" s="1"/>
  <c r="M67" i="32"/>
  <c r="L68" i="32"/>
  <c r="AB4" i="3"/>
  <c r="AC4" i="3"/>
  <c r="AD4" i="3" s="1"/>
  <c r="AE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G93" i="32" l="1"/>
  <c r="G90" i="32"/>
  <c r="M68" i="32"/>
  <c r="L69" i="32"/>
  <c r="L95" i="32"/>
  <c r="L101" i="32" s="1"/>
  <c r="M101" i="32" s="1"/>
  <c r="M94" i="32"/>
  <c r="AG4" i="3"/>
  <c r="AF4" i="3"/>
  <c r="E24" i="16"/>
  <c r="F23" i="16"/>
  <c r="L25" i="16"/>
  <c r="M24" i="16"/>
  <c r="AZ121" i="28"/>
  <c r="G68" i="32" l="1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G95" i="32" l="1"/>
  <c r="G65" i="32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G96" i="32" l="1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G97" i="32" l="1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G72" i="32" l="1"/>
  <c r="M73" i="32"/>
  <c r="G73" i="32" s="1"/>
  <c r="L74" i="32"/>
  <c r="L30" i="16"/>
  <c r="M29" i="16"/>
  <c r="E29" i="16"/>
  <c r="F28" i="16"/>
  <c r="G20" i="16" l="1"/>
  <c r="G13" i="16"/>
  <c r="M74" i="32"/>
  <c r="L75" i="32"/>
  <c r="M75" i="32" s="1"/>
  <c r="E30" i="16"/>
  <c r="F29" i="16"/>
  <c r="L31" i="16"/>
  <c r="M30" i="16"/>
  <c r="G18" i="16" s="1"/>
  <c r="G75" i="32" l="1"/>
  <c r="G60" i="32"/>
  <c r="G74" i="32"/>
  <c r="G59" i="32"/>
  <c r="L32" i="16"/>
  <c r="M31" i="16"/>
  <c r="E31" i="16"/>
  <c r="F30" i="16"/>
  <c r="G17" i="16" l="1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B13" i="3" l="1"/>
  <c r="AC13" i="3"/>
  <c r="AB14" i="3"/>
  <c r="AC14" i="3"/>
  <c r="AG14" i="3" l="1"/>
  <c r="AF14" i="3"/>
  <c r="AF13" i="3"/>
  <c r="AG13" i="3"/>
  <c r="V15" i="3"/>
  <c r="AA15" i="3"/>
  <c r="T15" i="3"/>
  <c r="AC20" i="3" l="1"/>
  <c r="AW121" i="29"/>
  <c r="AW123" i="29"/>
  <c r="Y11" i="3"/>
  <c r="Y15" i="3" s="1"/>
  <c r="AN126" i="29"/>
  <c r="G11" i="3"/>
  <c r="G15" i="3" s="1"/>
  <c r="Z11" i="3"/>
  <c r="Z15" i="3" s="1"/>
  <c r="AK126" i="29"/>
  <c r="N126" i="29"/>
  <c r="U11" i="3"/>
  <c r="U15" i="3" s="1"/>
  <c r="W11" i="3"/>
  <c r="W15" i="3"/>
  <c r="N11" i="3"/>
  <c r="N15" i="3" s="1"/>
  <c r="AH126" i="29"/>
  <c r="Z126" i="29"/>
  <c r="R11" i="3"/>
  <c r="R15" i="3" s="1"/>
  <c r="E126" i="29"/>
  <c r="H11" i="3"/>
  <c r="H15" i="3" s="1"/>
  <c r="V126" i="29"/>
  <c r="X11" i="3"/>
  <c r="X15" i="3" s="1"/>
  <c r="AF105" i="29"/>
  <c r="Q11" i="3"/>
  <c r="Q15" i="3" s="1"/>
  <c r="L126" i="29"/>
  <c r="S126" i="29"/>
  <c r="AD126" i="29"/>
  <c r="T126" i="29"/>
  <c r="AE126" i="29"/>
  <c r="J11" i="3"/>
  <c r="J15" i="3" s="1"/>
  <c r="X126" i="29"/>
  <c r="W126" i="29"/>
  <c r="AI126" i="29"/>
  <c r="P11" i="3"/>
  <c r="P15" i="3" s="1"/>
  <c r="AB126" i="29"/>
  <c r="Y126" i="29"/>
  <c r="M11" i="3"/>
  <c r="M15" i="3" s="1"/>
  <c r="K11" i="3"/>
  <c r="K15" i="3" s="1"/>
  <c r="AG126" i="29"/>
  <c r="I11" i="3"/>
  <c r="I15" i="3" s="1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C109" i="32" s="1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N17" i="3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1" i="3"/>
  <c r="L15" i="3" s="1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1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AV53" i="29" l="1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C112" i="32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C113" i="32"/>
  <c r="AV26" i="29" a="1"/>
  <c r="AV26" i="29" s="1"/>
  <c r="C104" i="32"/>
  <c r="AV52" i="29" a="1"/>
  <c r="AV52" i="29" s="1"/>
  <c r="C98" i="32"/>
  <c r="AV109" i="29" a="1"/>
  <c r="AV109" i="29" s="1"/>
  <c r="C111" i="32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C110" i="32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S11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1" i="3"/>
  <c r="O15" i="3"/>
  <c r="AC11" i="3"/>
  <c r="AE11" i="3"/>
  <c r="AB11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H11" i="3"/>
  <c r="AC105" i="29"/>
  <c r="AC126" i="29" s="1"/>
  <c r="AX55" i="29"/>
  <c r="AZ55" i="29"/>
  <c r="AL113" i="29"/>
  <c r="S12" i="3" s="1"/>
  <c r="AX28" i="29" l="1"/>
  <c r="AZ98" i="29"/>
  <c r="AZ76" i="29"/>
  <c r="AW45" i="29"/>
  <c r="AX38" i="29"/>
  <c r="AW18" i="29"/>
  <c r="AZ5" i="29"/>
  <c r="AZ46" i="29"/>
  <c r="AZ75" i="29"/>
  <c r="AZ7" i="29"/>
  <c r="AV104" i="29"/>
  <c r="AZ23" i="29"/>
  <c r="F12" i="3"/>
  <c r="F15" i="3" s="1"/>
  <c r="AB12" i="3"/>
  <c r="AC12" i="3"/>
  <c r="C114" i="32"/>
  <c r="D110" i="32" s="1"/>
  <c r="S15" i="3"/>
  <c r="C105" i="32"/>
  <c r="D101" i="32" s="1"/>
  <c r="D111" i="32"/>
  <c r="D112" i="32"/>
  <c r="D10" i="32"/>
  <c r="AB15" i="3"/>
  <c r="D74" i="32"/>
  <c r="D11" i="32"/>
  <c r="AX107" i="29"/>
  <c r="AX112" i="29" s="1"/>
  <c r="AV112" i="29"/>
  <c r="AZ107" i="29"/>
  <c r="AZ113" i="29" s="1"/>
  <c r="AG11" i="3"/>
  <c r="AF11" i="3"/>
  <c r="AC15" i="3"/>
  <c r="AD9" i="3"/>
  <c r="AD15" i="3" s="1"/>
  <c r="T17" i="3"/>
  <c r="V17" i="3"/>
  <c r="P17" i="3"/>
  <c r="AH15" i="3"/>
  <c r="Q17" i="3"/>
  <c r="W18" i="3"/>
  <c r="AE15" i="3"/>
  <c r="U17" i="3"/>
  <c r="R17" i="3"/>
  <c r="Y17" i="3"/>
  <c r="Z17" i="3"/>
  <c r="W17" i="3"/>
  <c r="X17" i="3"/>
  <c r="AO105" i="29"/>
  <c r="AV3" i="29"/>
  <c r="AW104" i="29"/>
  <c r="S17" i="3"/>
  <c r="AX104" i="29"/>
  <c r="AO124" i="29"/>
  <c r="AV115" i="29" a="1"/>
  <c r="AV115" i="29" s="1"/>
  <c r="D85" i="32" l="1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F12" i="3"/>
  <c r="AG12" i="3"/>
  <c r="D97" i="32"/>
  <c r="D45" i="32"/>
  <c r="D14" i="32"/>
  <c r="D83" i="32"/>
  <c r="D15" i="32"/>
  <c r="D89" i="32"/>
  <c r="D52" i="32"/>
  <c r="D6" i="32"/>
  <c r="D66" i="32"/>
  <c r="D113" i="32"/>
  <c r="D109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F15" i="3"/>
  <c r="AG15" i="3"/>
  <c r="AC17" i="3"/>
  <c r="AC18" i="3"/>
  <c r="AX115" i="29"/>
  <c r="AX123" i="29" s="1"/>
  <c r="AZ115" i="29"/>
  <c r="AZ124" i="29" s="1"/>
  <c r="AV123" i="29"/>
  <c r="E4" i="32" l="1"/>
  <c r="D105" i="32"/>
  <c r="D114" i="32"/>
  <c r="E109" i="32"/>
  <c r="AZ126" i="29"/>
  <c r="F109" i="32" l="1"/>
  <c r="E110" i="32"/>
  <c r="E5" i="32"/>
  <c r="F4" i="32"/>
  <c r="F5" i="32" l="1"/>
  <c r="E6" i="32"/>
  <c r="F110" i="32"/>
  <c r="E111" i="32"/>
  <c r="F111" i="32" l="1"/>
  <c r="E112" i="32"/>
  <c r="F6" i="32"/>
  <c r="E7" i="32"/>
  <c r="F112" i="32" l="1"/>
  <c r="E113" i="32"/>
  <c r="F113" i="32" s="1"/>
  <c r="E8" i="32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91E7FF9-86A2-44B6-AFB0-98049081498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<sst xmlns="http://schemas.openxmlformats.org/spreadsheetml/2006/main" count="2178" uniqueCount="268">
  <si>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</si>
  <si>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</si>
  <si>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</si>
  <si>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</si>
  <si>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</si>
  <si>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</si>
  <si>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</si>
  <si>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</si>
  <si>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</si>
  <si>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</si>
  <si>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</si>
  <si>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</si>
  <si>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</si>
  <si>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</si>
  <si>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</si>
  <si>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</si>
  <si>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</si>
  <si>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</si>
  <si>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</si>
  <si>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</si>
  <si>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</si>
  <si>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</si>
  <si>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</si>
  <si>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</si>
  <si>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</si>
  <si>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</si>
  <si>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</si>
  <si>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</si>
  <si>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</si>
  <si>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</si>
  <si>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</si>
  <si>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</si>
  <si>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</si>
  <si>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</si>
  <si>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</si>
  <si>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</si>
  <si>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</si>
  <si>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</si>
  <si>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</si>
  <si>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</si>
  <si>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</si>
  <si>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</si>
  <si>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</si>
  <si>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</si>
  <si>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</si>
  <si>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</si>
  <si>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</si>
  <si>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</si>
  <si>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</si>
  <si>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</si>
  <si>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</si>
  <si>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</si>
  <si>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</si>
  <si>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</si>
  <si>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</si>
  <si>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</si>
  <si>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</si>
  <si>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</si>
  <si>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</si>
  <si>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</si>
  <si>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</si>
  <si>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</si>
  <si>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</si>
  <si>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</si>
  <si>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</si>
  <si>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</si>
  <si>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</si>
  <si>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</si>
  <si>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</si>
  <si>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</si>
  <si>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</si>
  <si>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</si>
  <si>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</si>
  <si>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</si>
  <si>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</si>
  <si>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</si>
  <si>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</si>
  <si>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</si>
  <si>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</si>
  <si>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</si>
  <si>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</si>
  <si>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</si>
  <si>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</si>
  <si>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</si>
  <si>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</si>
  <si>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</si>
  <si>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</si>
  <si>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</si>
  <si>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</si>
  <si>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</si>
  <si>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</si>
  <si>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</si>
  <si>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</si>
  <si>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</si>
  <si>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</si>
  <si>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</si>
  <si>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</si>
  <si>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</si>
  <si>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</si>
  <si>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</si>
  <si>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</si>
  <si>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</si>
  <si>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</si>
  <si>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</si>
  <si>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</si>
  <si>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</si>
  <si>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</si>
  <si>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</si>
  <si>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</si>
  <si>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</si>
  <si>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</si>
  <si>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</si>
  <si>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</si>
  <si>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4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</si>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</sst>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b/>
      <sz val="12"/>
      <color rgb="FFFFFFFF"/>
      <name val="Montserrat"/>
    </font>
    <font>
      <sz val="10"/>
      <name val="Montserrat"/>
    </font>
    <font>
      <sz val="10"/>
      <color rgb="FF00FF00"/>
      <name val="Montserrat"/>
    </font>
    <font>
      <sz val="12"/>
      <color rgb="FFFFFFFF"/>
      <name val="Montserrat"/>
    </font>
    <font>
      <sz val="12"/>
      <color rgb="FF00FF00"/>
      <name val="Montserrat"/>
    </font>
    <font>
      <b/>
      <sz val="12"/>
      <color rgb="FF999999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</borders>
  <cellStyleXfs count="1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/>
    <xf numFmtId="43" fontId="7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7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29" fillId="0" borderId="0" applyFont="0" applyFill="0" applyBorder="0" applyAlignment="0" applyProtection="0"/>
    <xf numFmtId="0" fontId="32" fillId="0" borderId="0"/>
    <xf numFmtId="43" fontId="7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360">
    <xf numFmtId="0" fontId="0" fillId="0" borderId="0" xfId="0"/>
    <xf numFmtId="0" fontId="6" fillId="0" borderId="0" xfId="0" applyFont="1" applyAlignment="1">
      <alignment wrapText="1"/>
    </xf>
    <xf numFmtId="0" fontId="8" fillId="0" borderId="0" xfId="0" applyFont="1"/>
    <xf numFmtId="49" fontId="8" fillId="0" borderId="0" xfId="0" applyNumberFormat="1" applyFont="1"/>
    <xf numFmtId="0" fontId="8" fillId="0" borderId="0" xfId="0" applyFont="1" applyAlignment="1">
      <alignment horizontal="center"/>
    </xf>
    <xf numFmtId="164" fontId="8" fillId="0" borderId="0" xfId="0" applyNumberFormat="1" applyFont="1"/>
    <xf numFmtId="9" fontId="8" fillId="0" borderId="0" xfId="2" applyFont="1" applyBorder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49" fontId="10" fillId="3" borderId="12" xfId="0" applyNumberFormat="1" applyFont="1" applyFill="1" applyBorder="1" applyAlignment="1">
      <alignment horizontal="center" vertical="center" wrapText="1"/>
    </xf>
    <xf numFmtId="49" fontId="10" fillId="3" borderId="13" xfId="0" applyNumberFormat="1" applyFont="1" applyFill="1" applyBorder="1" applyAlignment="1">
      <alignment horizontal="center" vertical="center" wrapText="1"/>
    </xf>
    <xf numFmtId="1" fontId="10" fillId="3" borderId="13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165" fontId="8" fillId="0" borderId="0" xfId="1" applyNumberFormat="1" applyFont="1" applyBorder="1"/>
    <xf numFmtId="49" fontId="8" fillId="13" borderId="3" xfId="0" applyNumberFormat="1" applyFont="1" applyFill="1" applyBorder="1"/>
    <xf numFmtId="3" fontId="8" fillId="0" borderId="3" xfId="4" applyNumberFormat="1" applyFont="1" applyFill="1" applyBorder="1"/>
    <xf numFmtId="3" fontId="8" fillId="0" borderId="3" xfId="4" applyNumberFormat="1" applyFont="1" applyBorder="1"/>
    <xf numFmtId="167" fontId="8" fillId="0" borderId="4" xfId="4" applyNumberFormat="1" applyFont="1" applyBorder="1"/>
    <xf numFmtId="3" fontId="8" fillId="0" borderId="4" xfId="4" applyNumberFormat="1" applyFont="1" applyBorder="1"/>
    <xf numFmtId="3" fontId="8" fillId="0" borderId="4" xfId="4" applyNumberFormat="1" applyFont="1" applyFill="1" applyBorder="1"/>
    <xf numFmtId="3" fontId="8" fillId="13" borderId="3" xfId="4" applyNumberFormat="1" applyFont="1" applyFill="1" applyBorder="1"/>
    <xf numFmtId="49" fontId="8" fillId="13" borderId="2" xfId="0" applyNumberFormat="1" applyFont="1" applyFill="1" applyBorder="1"/>
    <xf numFmtId="49" fontId="8" fillId="13" borderId="2" xfId="3" applyNumberFormat="1" applyFont="1" applyFill="1" applyBorder="1" applyAlignment="1">
      <alignment horizontal="center"/>
    </xf>
    <xf numFmtId="49" fontId="8" fillId="13" borderId="3" xfId="3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49" fontId="8" fillId="13" borderId="18" xfId="0" applyNumberFormat="1" applyFont="1" applyFill="1" applyBorder="1"/>
    <xf numFmtId="166" fontId="8" fillId="0" borderId="3" xfId="4" applyNumberFormat="1" applyFont="1" applyFill="1" applyBorder="1"/>
    <xf numFmtId="3" fontId="10" fillId="9" borderId="3" xfId="4" applyNumberFormat="1" applyFont="1" applyFill="1" applyBorder="1"/>
    <xf numFmtId="49" fontId="8" fillId="13" borderId="13" xfId="0" applyNumberFormat="1" applyFont="1" applyFill="1" applyBorder="1"/>
    <xf numFmtId="49" fontId="8" fillId="13" borderId="13" xfId="3" applyNumberFormat="1" applyFont="1" applyFill="1" applyBorder="1" applyAlignment="1">
      <alignment horizontal="center"/>
    </xf>
    <xf numFmtId="166" fontId="12" fillId="0" borderId="13" xfId="4" applyNumberFormat="1" applyFont="1" applyFill="1" applyBorder="1"/>
    <xf numFmtId="3" fontId="8" fillId="13" borderId="13" xfId="4" applyNumberFormat="1" applyFont="1" applyFill="1" applyBorder="1"/>
    <xf numFmtId="3" fontId="10" fillId="9" borderId="13" xfId="4" applyNumberFormat="1" applyFont="1" applyFill="1" applyBorder="1"/>
    <xf numFmtId="166" fontId="12" fillId="0" borderId="1" xfId="4" applyNumberFormat="1" applyFont="1" applyFill="1" applyBorder="1"/>
    <xf numFmtId="14" fontId="8" fillId="13" borderId="22" xfId="3" applyNumberFormat="1" applyFont="1" applyFill="1" applyBorder="1" applyAlignment="1">
      <alignment horizontal="center"/>
    </xf>
    <xf numFmtId="14" fontId="8" fillId="13" borderId="16" xfId="3" applyNumberFormat="1" applyFont="1" applyFill="1" applyBorder="1" applyAlignment="1">
      <alignment horizontal="center"/>
    </xf>
    <xf numFmtId="49" fontId="13" fillId="0" borderId="24" xfId="0" applyNumberFormat="1" applyFont="1" applyBorder="1"/>
    <xf numFmtId="49" fontId="13" fillId="0" borderId="14" xfId="0" applyNumberFormat="1" applyFont="1" applyBorder="1"/>
    <xf numFmtId="0" fontId="13" fillId="0" borderId="14" xfId="0" applyFont="1" applyBorder="1" applyAlignment="1">
      <alignment horizontal="center"/>
    </xf>
    <xf numFmtId="164" fontId="13" fillId="0" borderId="14" xfId="0" applyNumberFormat="1" applyFont="1" applyBorder="1"/>
    <xf numFmtId="165" fontId="10" fillId="0" borderId="14" xfId="0" applyNumberFormat="1" applyFont="1" applyBorder="1"/>
    <xf numFmtId="168" fontId="10" fillId="0" borderId="14" xfId="0" applyNumberFormat="1" applyFont="1" applyBorder="1"/>
    <xf numFmtId="9" fontId="10" fillId="0" borderId="0" xfId="2" applyFont="1" applyBorder="1"/>
    <xf numFmtId="49" fontId="13" fillId="0" borderId="0" xfId="0" applyNumberFormat="1" applyFont="1"/>
    <xf numFmtId="164" fontId="13" fillId="0" borderId="0" xfId="0" applyNumberFormat="1" applyFont="1"/>
    <xf numFmtId="165" fontId="10" fillId="0" borderId="0" xfId="0" applyNumberFormat="1" applyFont="1"/>
    <xf numFmtId="0" fontId="14" fillId="0" borderId="0" xfId="3" applyFont="1" applyAlignment="1">
      <alignment vertical="center"/>
    </xf>
    <xf numFmtId="49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9" fontId="10" fillId="0" borderId="0" xfId="2" applyFont="1" applyBorder="1" applyAlignment="1">
      <alignment horizontal="center" vertical="center"/>
    </xf>
    <xf numFmtId="167" fontId="8" fillId="0" borderId="0" xfId="2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8" fillId="0" borderId="0" xfId="2" applyFont="1" applyBorder="1" applyAlignment="1">
      <alignment horizontal="center"/>
    </xf>
    <xf numFmtId="49" fontId="8" fillId="0" borderId="21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164" fontId="8" fillId="0" borderId="21" xfId="0" applyNumberFormat="1" applyFont="1" applyBorder="1" applyAlignment="1">
      <alignment horizontal="right" vertical="center"/>
    </xf>
    <xf numFmtId="0" fontId="8" fillId="0" borderId="21" xfId="0" applyFont="1" applyBorder="1" applyAlignment="1">
      <alignment horizontal="right" vertical="center"/>
    </xf>
    <xf numFmtId="0" fontId="14" fillId="0" borderId="21" xfId="3" applyFont="1" applyBorder="1" applyAlignment="1">
      <alignment vertical="center"/>
    </xf>
    <xf numFmtId="9" fontId="10" fillId="0" borderId="21" xfId="2" applyFont="1" applyBorder="1" applyAlignment="1">
      <alignment horizontal="center" vertical="center"/>
    </xf>
    <xf numFmtId="167" fontId="8" fillId="0" borderId="21" xfId="2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5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right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wrapText="1"/>
    </xf>
    <xf numFmtId="0" fontId="16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5" fillId="0" borderId="25" xfId="5" applyFont="1" applyBorder="1" applyAlignment="1">
      <alignment horizontal="left" vertical="center"/>
    </xf>
    <xf numFmtId="169" fontId="25" fillId="0" borderId="25" xfId="5" applyNumberFormat="1" applyFont="1" applyBorder="1" applyAlignment="1">
      <alignment horizontal="left" vertical="center"/>
    </xf>
    <xf numFmtId="0" fontId="25" fillId="0" borderId="25" xfId="5" applyFont="1" applyBorder="1" applyAlignment="1">
      <alignment vertical="center"/>
    </xf>
    <xf numFmtId="0" fontId="25" fillId="3" borderId="25" xfId="5" applyFont="1" applyFill="1" applyBorder="1" applyAlignment="1">
      <alignment horizontal="center" vertical="center" wrapText="1"/>
    </xf>
    <xf numFmtId="169" fontId="25" fillId="3" borderId="25" xfId="5" applyNumberFormat="1" applyFont="1" applyFill="1" applyBorder="1" applyAlignment="1">
      <alignment horizontal="center" vertical="center" wrapText="1"/>
    </xf>
    <xf numFmtId="0" fontId="25" fillId="4" borderId="25" xfId="5" applyFont="1" applyFill="1" applyBorder="1" applyAlignment="1">
      <alignment horizontal="center" vertical="center" wrapText="1"/>
    </xf>
    <xf numFmtId="1" fontId="25" fillId="8" borderId="25" xfId="5" applyNumberFormat="1" applyFont="1" applyFill="1" applyBorder="1" applyAlignment="1">
      <alignment horizontal="center" vertical="center" wrapText="1"/>
    </xf>
    <xf numFmtId="1" fontId="25" fillId="3" borderId="25" xfId="5" applyNumberFormat="1" applyFont="1" applyFill="1" applyBorder="1" applyAlignment="1">
      <alignment horizontal="center" vertical="center" wrapText="1"/>
    </xf>
    <xf numFmtId="0" fontId="25" fillId="8" borderId="25" xfId="5" applyFont="1" applyFill="1" applyBorder="1" applyAlignment="1">
      <alignment horizontal="center" vertical="center" wrapText="1"/>
    </xf>
    <xf numFmtId="167" fontId="25" fillId="15" borderId="25" xfId="6" applyNumberFormat="1" applyFont="1" applyFill="1" applyBorder="1" applyAlignment="1">
      <alignment horizontal="center" vertical="center" wrapText="1"/>
    </xf>
    <xf numFmtId="167" fontId="25" fillId="3" borderId="25" xfId="6" applyNumberFormat="1" applyFont="1" applyFill="1" applyBorder="1" applyAlignment="1">
      <alignment horizontal="center" vertical="center" wrapText="1"/>
    </xf>
    <xf numFmtId="167" fontId="25" fillId="2" borderId="25" xfId="6" applyNumberFormat="1" applyFont="1" applyFill="1" applyBorder="1" applyAlignment="1">
      <alignment horizontal="center" vertical="center" wrapText="1"/>
    </xf>
    <xf numFmtId="167" fontId="25" fillId="8" borderId="25" xfId="6" applyNumberFormat="1" applyFont="1" applyFill="1" applyBorder="1" applyAlignment="1">
      <alignment horizontal="center" vertical="center" wrapText="1"/>
    </xf>
    <xf numFmtId="9" fontId="25" fillId="3" borderId="25" xfId="7" applyFont="1" applyFill="1" applyBorder="1" applyAlignment="1">
      <alignment horizontal="center" vertical="center" wrapText="1"/>
    </xf>
    <xf numFmtId="167" fontId="25" fillId="14" borderId="25" xfId="4" applyNumberFormat="1" applyFont="1" applyFill="1" applyBorder="1" applyAlignment="1">
      <alignment horizontal="center" vertical="center" wrapText="1"/>
    </xf>
    <xf numFmtId="0" fontId="28" fillId="14" borderId="25" xfId="5" applyFont="1" applyFill="1" applyBorder="1" applyAlignment="1">
      <alignment horizontal="center" vertical="center" wrapText="1"/>
    </xf>
    <xf numFmtId="0" fontId="25" fillId="0" borderId="25" xfId="5" applyFont="1" applyBorder="1" applyAlignment="1">
      <alignment horizontal="center" vertical="center" wrapText="1"/>
    </xf>
    <xf numFmtId="0" fontId="27" fillId="0" borderId="25" xfId="0" applyFont="1" applyBorder="1"/>
    <xf numFmtId="0" fontId="27" fillId="0" borderId="25" xfId="0" applyFont="1" applyBorder="1" applyAlignment="1">
      <alignment horizontal="left" vertical="top"/>
    </xf>
    <xf numFmtId="167" fontId="27" fillId="0" borderId="25" xfId="4" applyNumberFormat="1" applyFont="1" applyBorder="1" applyAlignment="1"/>
    <xf numFmtId="167" fontId="27" fillId="0" borderId="25" xfId="4" applyNumberFormat="1" applyFont="1" applyBorder="1"/>
    <xf numFmtId="167" fontId="27" fillId="0" borderId="25" xfId="4" applyNumberFormat="1" applyFont="1" applyFill="1" applyBorder="1"/>
    <xf numFmtId="167" fontId="27" fillId="0" borderId="25" xfId="8" applyNumberFormat="1" applyFont="1" applyBorder="1"/>
    <xf numFmtId="167" fontId="25" fillId="0" borderId="25" xfId="8" applyNumberFormat="1" applyFont="1" applyBorder="1"/>
    <xf numFmtId="167" fontId="27" fillId="14" borderId="25" xfId="8" applyNumberFormat="1" applyFont="1" applyFill="1" applyBorder="1"/>
    <xf numFmtId="171" fontId="27" fillId="0" borderId="25" xfId="9" applyNumberFormat="1" applyFont="1" applyBorder="1"/>
    <xf numFmtId="167" fontId="27" fillId="0" borderId="25" xfId="5" applyNumberFormat="1" applyFont="1" applyBorder="1"/>
    <xf numFmtId="0" fontId="5" fillId="14" borderId="25" xfId="5" applyFont="1" applyFill="1" applyBorder="1"/>
    <xf numFmtId="0" fontId="27" fillId="0" borderId="25" xfId="5" applyFont="1" applyBorder="1"/>
    <xf numFmtId="0" fontId="5" fillId="0" borderId="25" xfId="5" applyFont="1" applyBorder="1" applyAlignment="1">
      <alignment horizontal="left" indent="1"/>
    </xf>
    <xf numFmtId="0" fontId="5" fillId="0" borderId="25" xfId="0" applyFont="1" applyBorder="1" applyAlignment="1">
      <alignment horizontal="left" vertical="top"/>
    </xf>
    <xf numFmtId="0" fontId="5" fillId="0" borderId="25" xfId="0" applyFont="1" applyBorder="1"/>
    <xf numFmtId="167" fontId="5" fillId="0" borderId="25" xfId="4" applyNumberFormat="1" applyFont="1" applyBorder="1" applyAlignment="1"/>
    <xf numFmtId="167" fontId="5" fillId="0" borderId="25" xfId="4" applyNumberFormat="1" applyFont="1" applyBorder="1"/>
    <xf numFmtId="167" fontId="5" fillId="0" borderId="25" xfId="4" applyNumberFormat="1" applyFont="1" applyFill="1" applyBorder="1"/>
    <xf numFmtId="1" fontId="5" fillId="0" borderId="25" xfId="4" applyNumberFormat="1" applyFont="1" applyFill="1" applyBorder="1"/>
    <xf numFmtId="167" fontId="5" fillId="0" borderId="25" xfId="8" applyNumberFormat="1" applyFont="1" applyBorder="1"/>
    <xf numFmtId="167" fontId="28" fillId="0" borderId="25" xfId="8" applyNumberFormat="1" applyFont="1" applyBorder="1"/>
    <xf numFmtId="167" fontId="5" fillId="14" borderId="25" xfId="8" applyNumberFormat="1" applyFont="1" applyFill="1" applyBorder="1"/>
    <xf numFmtId="171" fontId="30" fillId="7" borderId="25" xfId="9" applyNumberFormat="1" applyFont="1" applyFill="1" applyBorder="1"/>
    <xf numFmtId="9" fontId="30" fillId="7" borderId="25" xfId="9" applyNumberFormat="1" applyFont="1" applyFill="1" applyBorder="1"/>
    <xf numFmtId="0" fontId="5" fillId="0" borderId="25" xfId="5" applyFont="1" applyBorder="1"/>
    <xf numFmtId="171" fontId="25" fillId="11" borderId="25" xfId="10" applyNumberFormat="1" applyFont="1" applyFill="1" applyBorder="1" applyAlignment="1">
      <alignment horizontal="left" vertical="center"/>
    </xf>
    <xf numFmtId="169" fontId="25" fillId="11" borderId="25" xfId="10" applyNumberFormat="1" applyFont="1" applyFill="1" applyBorder="1" applyAlignment="1">
      <alignment horizontal="center" vertical="center"/>
    </xf>
    <xf numFmtId="171" fontId="25" fillId="11" borderId="25" xfId="10" applyNumberFormat="1" applyFont="1" applyFill="1" applyBorder="1" applyAlignment="1">
      <alignment horizontal="center" vertical="center"/>
    </xf>
    <xf numFmtId="166" fontId="25" fillId="11" borderId="25" xfId="10" applyNumberFormat="1" applyFont="1" applyFill="1" applyBorder="1" applyAlignment="1">
      <alignment horizontal="center" vertical="center"/>
    </xf>
    <xf numFmtId="167" fontId="25" fillId="11" borderId="25" xfId="4" applyNumberFormat="1" applyFont="1" applyFill="1" applyBorder="1" applyAlignment="1">
      <alignment horizontal="center" vertical="center"/>
    </xf>
    <xf numFmtId="171" fontId="28" fillId="11" borderId="25" xfId="10" applyNumberFormat="1" applyFont="1" applyFill="1" applyBorder="1" applyAlignment="1">
      <alignment horizontal="center" vertical="center"/>
    </xf>
    <xf numFmtId="0" fontId="27" fillId="0" borderId="25" xfId="5" applyFont="1" applyBorder="1" applyAlignment="1">
      <alignment horizontal="center" vertical="center"/>
    </xf>
    <xf numFmtId="167" fontId="27" fillId="0" borderId="25" xfId="4" applyNumberFormat="1" applyFont="1" applyFill="1" applyBorder="1" applyAlignment="1"/>
    <xf numFmtId="1" fontId="27" fillId="0" borderId="25" xfId="4" applyNumberFormat="1" applyFont="1" applyFill="1" applyBorder="1"/>
    <xf numFmtId="167" fontId="27" fillId="0" borderId="25" xfId="8" applyNumberFormat="1" applyFont="1" applyFill="1" applyBorder="1"/>
    <xf numFmtId="167" fontId="25" fillId="0" borderId="25" xfId="8" applyNumberFormat="1" applyFont="1" applyFill="1" applyBorder="1"/>
    <xf numFmtId="171" fontId="27" fillId="14" borderId="25" xfId="9" applyNumberFormat="1" applyFont="1" applyFill="1" applyBorder="1"/>
    <xf numFmtId="167" fontId="27" fillId="14" borderId="25" xfId="5" applyNumberFormat="1" applyFont="1" applyFill="1" applyBorder="1"/>
    <xf numFmtId="167" fontId="27" fillId="0" borderId="25" xfId="4" applyNumberFormat="1" applyFont="1" applyBorder="1" applyAlignment="1">
      <alignment horizontal="left" indent="1"/>
    </xf>
    <xf numFmtId="0" fontId="27" fillId="0" borderId="25" xfId="4" applyNumberFormat="1" applyFont="1" applyBorder="1"/>
    <xf numFmtId="0" fontId="27" fillId="0" borderId="25" xfId="4" applyNumberFormat="1" applyFont="1" applyFill="1" applyBorder="1"/>
    <xf numFmtId="171" fontId="30" fillId="6" borderId="25" xfId="9" applyNumberFormat="1" applyFont="1" applyFill="1" applyBorder="1"/>
    <xf numFmtId="9" fontId="30" fillId="6" borderId="25" xfId="9" applyNumberFormat="1" applyFont="1" applyFill="1" applyBorder="1"/>
    <xf numFmtId="171" fontId="25" fillId="12" borderId="25" xfId="10" applyNumberFormat="1" applyFont="1" applyFill="1" applyBorder="1" applyAlignment="1">
      <alignment horizontal="left" vertical="center"/>
    </xf>
    <xf numFmtId="169" fontId="25" fillId="12" borderId="25" xfId="10" applyNumberFormat="1" applyFont="1" applyFill="1" applyBorder="1" applyAlignment="1">
      <alignment horizontal="center" vertical="center"/>
    </xf>
    <xf numFmtId="171" fontId="25" fillId="12" borderId="25" xfId="10" applyNumberFormat="1" applyFont="1" applyFill="1" applyBorder="1" applyAlignment="1">
      <alignment horizontal="center" vertical="center"/>
    </xf>
    <xf numFmtId="166" fontId="25" fillId="12" borderId="25" xfId="10" applyNumberFormat="1" applyFont="1" applyFill="1" applyBorder="1" applyAlignment="1">
      <alignment horizontal="center" vertical="center"/>
    </xf>
    <xf numFmtId="1" fontId="25" fillId="12" borderId="25" xfId="10" applyNumberFormat="1" applyFont="1" applyFill="1" applyBorder="1" applyAlignment="1">
      <alignment horizontal="center" vertical="center"/>
    </xf>
    <xf numFmtId="167" fontId="25" fillId="12" borderId="25" xfId="4" applyNumberFormat="1" applyFont="1" applyFill="1" applyBorder="1" applyAlignment="1">
      <alignment horizontal="center" vertical="center"/>
    </xf>
    <xf numFmtId="171" fontId="28" fillId="12" borderId="25" xfId="10" applyNumberFormat="1" applyFont="1" applyFill="1" applyBorder="1" applyAlignment="1">
      <alignment horizontal="center" vertical="center"/>
    </xf>
    <xf numFmtId="171" fontId="25" fillId="0" borderId="25" xfId="10" applyNumberFormat="1" applyFont="1" applyFill="1" applyBorder="1" applyAlignment="1">
      <alignment horizontal="center" vertical="center"/>
    </xf>
    <xf numFmtId="171" fontId="5" fillId="0" borderId="25" xfId="10" applyNumberFormat="1" applyFont="1" applyBorder="1" applyAlignment="1">
      <alignment horizontal="left" vertical="center" indent="1"/>
    </xf>
    <xf numFmtId="169" fontId="27" fillId="0" borderId="25" xfId="10" applyNumberFormat="1" applyFont="1" applyBorder="1" applyAlignment="1">
      <alignment horizontal="left" vertical="center" indent="1"/>
    </xf>
    <xf numFmtId="171" fontId="27" fillId="0" borderId="25" xfId="10" applyNumberFormat="1" applyFont="1" applyBorder="1" applyAlignment="1">
      <alignment horizontal="left" vertical="center" indent="1"/>
    </xf>
    <xf numFmtId="171" fontId="27" fillId="0" borderId="25" xfId="10" applyNumberFormat="1" applyFont="1" applyBorder="1" applyAlignment="1">
      <alignment horizontal="center" vertical="center"/>
    </xf>
    <xf numFmtId="171" fontId="27" fillId="0" borderId="25" xfId="10" applyNumberFormat="1" applyFont="1" applyFill="1" applyBorder="1" applyAlignment="1">
      <alignment horizontal="center" vertical="center"/>
    </xf>
    <xf numFmtId="171" fontId="5" fillId="0" borderId="25" xfId="10" applyNumberFormat="1" applyFont="1" applyBorder="1" applyAlignment="1">
      <alignment horizontal="center" vertical="center"/>
    </xf>
    <xf numFmtId="171" fontId="28" fillId="0" borderId="25" xfId="10" applyNumberFormat="1" applyFont="1" applyFill="1" applyBorder="1" applyAlignment="1">
      <alignment horizontal="center" vertical="center"/>
    </xf>
    <xf numFmtId="171" fontId="28" fillId="0" borderId="25" xfId="10" applyNumberFormat="1" applyFont="1" applyBorder="1" applyAlignment="1">
      <alignment horizontal="center" vertical="center"/>
    </xf>
    <xf numFmtId="170" fontId="28" fillId="0" borderId="25" xfId="10" applyFont="1" applyFill="1" applyBorder="1" applyAlignment="1">
      <alignment horizontal="center" vertical="center"/>
    </xf>
    <xf numFmtId="1" fontId="27" fillId="0" borderId="25" xfId="4" applyNumberFormat="1" applyFont="1" applyBorder="1" applyAlignment="1">
      <alignment horizontal="center" vertical="center"/>
    </xf>
    <xf numFmtId="167" fontId="5" fillId="0" borderId="25" xfId="4" applyNumberFormat="1" applyFont="1" applyFill="1" applyBorder="1" applyAlignment="1">
      <alignment horizontal="center" vertical="center"/>
    </xf>
    <xf numFmtId="171" fontId="27" fillId="14" borderId="25" xfId="10" applyNumberFormat="1" applyFont="1" applyFill="1" applyBorder="1" applyAlignment="1">
      <alignment horizontal="center" vertical="center"/>
    </xf>
    <xf numFmtId="171" fontId="5" fillId="14" borderId="25" xfId="10" applyNumberFormat="1" applyFont="1" applyFill="1" applyBorder="1" applyAlignment="1">
      <alignment horizontal="center" vertical="center"/>
    </xf>
    <xf numFmtId="171" fontId="25" fillId="10" borderId="25" xfId="10" applyNumberFormat="1" applyFont="1" applyFill="1" applyBorder="1" applyAlignment="1">
      <alignment horizontal="left" vertical="center"/>
    </xf>
    <xf numFmtId="169" fontId="25" fillId="10" borderId="25" xfId="10" applyNumberFormat="1" applyFont="1" applyFill="1" applyBorder="1" applyAlignment="1">
      <alignment horizontal="center" vertical="center"/>
    </xf>
    <xf numFmtId="171" fontId="25" fillId="10" borderId="25" xfId="10" applyNumberFormat="1" applyFont="1" applyFill="1" applyBorder="1" applyAlignment="1">
      <alignment horizontal="center" vertical="center"/>
    </xf>
    <xf numFmtId="1" fontId="31" fillId="16" borderId="25" xfId="10" applyNumberFormat="1" applyFont="1" applyFill="1" applyBorder="1" applyAlignment="1">
      <alignment horizontal="center"/>
    </xf>
    <xf numFmtId="171" fontId="28" fillId="10" borderId="25" xfId="10" applyNumberFormat="1" applyFont="1" applyFill="1" applyBorder="1" applyAlignment="1">
      <alignment horizontal="center" vertical="center"/>
    </xf>
    <xf numFmtId="171" fontId="25" fillId="0" borderId="25" xfId="10" applyNumberFormat="1" applyFont="1" applyBorder="1" applyAlignment="1">
      <alignment horizontal="center" vertical="center"/>
    </xf>
    <xf numFmtId="171" fontId="26" fillId="0" borderId="25" xfId="10" applyNumberFormat="1" applyFont="1" applyBorder="1" applyAlignment="1">
      <alignment horizontal="left" vertical="center" indent="1"/>
    </xf>
    <xf numFmtId="167" fontId="27" fillId="0" borderId="25" xfId="4" applyNumberFormat="1" applyFont="1" applyBorder="1" applyAlignment="1">
      <alignment horizontal="right" vertical="center"/>
    </xf>
    <xf numFmtId="0" fontId="27" fillId="0" borderId="25" xfId="5" applyFont="1" applyBorder="1" applyAlignment="1">
      <alignment horizontal="left" indent="1"/>
    </xf>
    <xf numFmtId="0" fontId="27" fillId="0" borderId="25" xfId="0" applyFont="1" applyBorder="1" applyAlignment="1">
      <alignment horizontal="left" indent="1"/>
    </xf>
    <xf numFmtId="167" fontId="27" fillId="0" borderId="25" xfId="6" applyNumberFormat="1" applyFont="1" applyBorder="1"/>
    <xf numFmtId="9" fontId="27" fillId="0" borderId="25" xfId="7" applyFont="1" applyBorder="1"/>
    <xf numFmtId="1" fontId="27" fillId="0" borderId="25" xfId="4" applyNumberFormat="1" applyFont="1" applyBorder="1"/>
    <xf numFmtId="169" fontId="27" fillId="0" borderId="25" xfId="5" applyNumberFormat="1" applyFont="1" applyBorder="1" applyAlignment="1">
      <alignment horizontal="left" indent="1"/>
    </xf>
    <xf numFmtId="0" fontId="34" fillId="0" borderId="32" xfId="0" applyFont="1" applyBorder="1" applyAlignment="1">
      <alignment horizontal="center" vertical="center" wrapText="1"/>
    </xf>
    <xf numFmtId="0" fontId="33" fillId="17" borderId="33" xfId="0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3" fillId="14" borderId="33" xfId="0" applyFont="1" applyFill="1" applyBorder="1" applyAlignment="1">
      <alignment horizontal="center" vertical="center" wrapText="1"/>
    </xf>
    <xf numFmtId="1" fontId="35" fillId="0" borderId="0" xfId="0" applyNumberFormat="1" applyFont="1" applyAlignment="1">
      <alignment horizontal="center" vertical="center" wrapText="1"/>
    </xf>
    <xf numFmtId="9" fontId="35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18" borderId="34" xfId="0" applyFont="1" applyFill="1" applyBorder="1" applyAlignment="1">
      <alignment horizontal="center" wrapText="1"/>
    </xf>
    <xf numFmtId="9" fontId="35" fillId="0" borderId="34" xfId="0" applyNumberFormat="1" applyFont="1" applyBorder="1" applyAlignment="1">
      <alignment horizontal="center" vertical="center" wrapText="1"/>
    </xf>
    <xf numFmtId="0" fontId="35" fillId="19" borderId="34" xfId="0" applyFont="1" applyFill="1" applyBorder="1" applyAlignment="1">
      <alignment horizontal="center" wrapText="1"/>
    </xf>
    <xf numFmtId="0" fontId="35" fillId="20" borderId="34" xfId="0" applyFont="1" applyFill="1" applyBorder="1" applyAlignment="1">
      <alignment horizontal="center" wrapText="1"/>
    </xf>
    <xf numFmtId="1" fontId="34" fillId="0" borderId="0" xfId="0" applyNumberFormat="1" applyFont="1" applyAlignment="1">
      <alignment horizontal="center" vertical="center" wrapText="1"/>
    </xf>
    <xf numFmtId="9" fontId="34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33" fillId="16" borderId="33" xfId="0" applyFont="1" applyFill="1" applyBorder="1" applyAlignment="1">
      <alignment horizontal="center" vertical="center" wrapText="1"/>
    </xf>
    <xf numFmtId="0" fontId="35" fillId="0" borderId="34" xfId="0" applyFont="1" applyBorder="1" applyAlignment="1">
      <alignment vertical="top" wrapText="1"/>
    </xf>
    <xf numFmtId="9" fontId="34" fillId="0" borderId="0" xfId="0" applyNumberFormat="1" applyFont="1" applyAlignment="1">
      <alignment horizontal="center" vertical="center"/>
    </xf>
    <xf numFmtId="4" fontId="8" fillId="0" borderId="3" xfId="4" applyNumberFormat="1" applyFont="1" applyBorder="1"/>
    <xf numFmtId="4" fontId="8" fillId="0" borderId="4" xfId="4" applyNumberFormat="1" applyFont="1" applyBorder="1"/>
    <xf numFmtId="10" fontId="10" fillId="0" borderId="0" xfId="2" applyNumberFormat="1" applyFont="1" applyBorder="1" applyAlignment="1">
      <alignment horizontal="center" vertical="center"/>
    </xf>
    <xf numFmtId="10" fontId="10" fillId="0" borderId="21" xfId="2" applyNumberFormat="1" applyFont="1" applyBorder="1" applyAlignment="1">
      <alignment horizontal="center" vertical="center"/>
    </xf>
    <xf numFmtId="10" fontId="8" fillId="0" borderId="21" xfId="0" applyNumberFormat="1" applyFont="1" applyBorder="1" applyAlignment="1">
      <alignment horizontal="center" vertical="center"/>
    </xf>
    <xf numFmtId="49" fontId="8" fillId="13" borderId="24" xfId="0" applyNumberFormat="1" applyFont="1" applyFill="1" applyBorder="1"/>
    <xf numFmtId="166" fontId="8" fillId="0" borderId="14" xfId="4" applyNumberFormat="1" applyFont="1" applyFill="1" applyBorder="1"/>
    <xf numFmtId="3" fontId="8" fillId="0" borderId="14" xfId="4" applyNumberFormat="1" applyFont="1" applyFill="1" applyBorder="1"/>
    <xf numFmtId="3" fontId="8" fillId="0" borderId="14" xfId="4" applyNumberFormat="1" applyFont="1" applyBorder="1"/>
    <xf numFmtId="167" fontId="8" fillId="0" borderId="35" xfId="4" applyNumberFormat="1" applyFont="1" applyBorder="1"/>
    <xf numFmtId="4" fontId="8" fillId="0" borderId="14" xfId="4" applyNumberFormat="1" applyFont="1" applyBorder="1"/>
    <xf numFmtId="3" fontId="8" fillId="0" borderId="35" xfId="4" applyNumberFormat="1" applyFont="1" applyBorder="1"/>
    <xf numFmtId="3" fontId="8" fillId="0" borderId="35" xfId="4" applyNumberFormat="1" applyFont="1" applyFill="1" applyBorder="1"/>
    <xf numFmtId="3" fontId="8" fillId="13" borderId="14" xfId="4" applyNumberFormat="1" applyFont="1" applyFill="1" applyBorder="1"/>
    <xf numFmtId="165" fontId="10" fillId="9" borderId="23" xfId="1" applyNumberFormat="1" applyFont="1" applyFill="1" applyBorder="1" applyAlignment="1">
      <alignment vertical="center"/>
    </xf>
    <xf numFmtId="166" fontId="12" fillId="0" borderId="3" xfId="4" applyNumberFormat="1" applyFont="1" applyFill="1" applyBorder="1"/>
    <xf numFmtId="14" fontId="8" fillId="13" borderId="36" xfId="3" applyNumberFormat="1" applyFont="1" applyFill="1" applyBorder="1" applyAlignment="1">
      <alignment horizontal="center"/>
    </xf>
    <xf numFmtId="49" fontId="8" fillId="13" borderId="37" xfId="0" applyNumberFormat="1" applyFont="1" applyFill="1" applyBorder="1"/>
    <xf numFmtId="49" fontId="8" fillId="13" borderId="5" xfId="0" applyNumberFormat="1" applyFont="1" applyFill="1" applyBorder="1"/>
    <xf numFmtId="49" fontId="8" fillId="13" borderId="3" xfId="3" applyNumberFormat="1" applyFont="1" applyFill="1" applyBorder="1" applyAlignment="1">
      <alignment horizontal="left"/>
    </xf>
    <xf numFmtId="49" fontId="10" fillId="0" borderId="0" xfId="0" applyNumberFormat="1" applyFont="1" applyAlignment="1">
      <alignment horizontal="right"/>
    </xf>
    <xf numFmtId="168" fontId="8" fillId="0" borderId="21" xfId="0" applyNumberFormat="1" applyFont="1" applyBorder="1" applyAlignment="1">
      <alignment horizontal="right" vertical="center"/>
    </xf>
    <xf numFmtId="168" fontId="10" fillId="0" borderId="0" xfId="0" applyNumberFormat="1" applyFont="1" applyAlignment="1">
      <alignment wrapText="1"/>
    </xf>
    <xf numFmtId="44" fontId="10" fillId="0" borderId="0" xfId="0" applyNumberFormat="1" applyFont="1" applyAlignment="1">
      <alignment wrapText="1"/>
    </xf>
    <xf numFmtId="9" fontId="8" fillId="0" borderId="0" xfId="2" applyFont="1" applyBorder="1" applyAlignment="1">
      <alignment horizontal="center" vertical="center"/>
    </xf>
    <xf numFmtId="10" fontId="8" fillId="0" borderId="0" xfId="2" applyNumberFormat="1" applyFont="1" applyBorder="1" applyAlignment="1">
      <alignment horizontal="center" vertical="center"/>
    </xf>
    <xf numFmtId="165" fontId="8" fillId="0" borderId="0" xfId="0" applyNumberFormat="1" applyFont="1"/>
    <xf numFmtId="4" fontId="8" fillId="0" borderId="3" xfId="4" applyNumberFormat="1" applyFont="1" applyFill="1" applyBorder="1"/>
    <xf numFmtId="4" fontId="8" fillId="2" borderId="3" xfId="4" applyNumberFormat="1" applyFont="1" applyFill="1" applyBorder="1"/>
    <xf numFmtId="4" fontId="8" fillId="2" borderId="14" xfId="4" applyNumberFormat="1" applyFont="1" applyFill="1" applyBorder="1"/>
    <xf numFmtId="4" fontId="10" fillId="0" borderId="14" xfId="0" applyNumberFormat="1" applyFont="1" applyBorder="1"/>
    <xf numFmtId="43" fontId="25" fillId="11" borderId="25" xfId="10" applyNumberFormat="1" applyFont="1" applyFill="1" applyBorder="1" applyAlignment="1">
      <alignment horizontal="center" vertical="center"/>
    </xf>
    <xf numFmtId="43" fontId="25" fillId="12" borderId="25" xfId="10" applyNumberFormat="1" applyFont="1" applyFill="1" applyBorder="1" applyAlignment="1">
      <alignment horizontal="center" vertical="center"/>
    </xf>
    <xf numFmtId="43" fontId="27" fillId="0" borderId="25" xfId="10" applyNumberFormat="1" applyFont="1" applyBorder="1" applyAlignment="1">
      <alignment horizontal="center" vertical="center"/>
    </xf>
    <xf numFmtId="43" fontId="25" fillId="10" borderId="25" xfId="10" applyNumberFormat="1" applyFont="1" applyFill="1" applyBorder="1" applyAlignment="1">
      <alignment horizontal="center" vertical="center"/>
    </xf>
    <xf numFmtId="3" fontId="8" fillId="0" borderId="0" xfId="0" applyNumberFormat="1" applyFont="1"/>
    <xf numFmtId="168" fontId="26" fillId="0" borderId="25" xfId="4" applyNumberFormat="1" applyFont="1" applyFill="1" applyBorder="1" applyAlignment="1">
      <alignment horizontal="center" vertical="center"/>
    </xf>
    <xf numFmtId="168" fontId="26" fillId="0" borderId="25" xfId="10" applyNumberFormat="1" applyFont="1" applyFill="1" applyBorder="1" applyAlignment="1">
      <alignment horizontal="center" vertical="center"/>
    </xf>
    <xf numFmtId="49" fontId="27" fillId="0" borderId="25" xfId="4" applyNumberFormat="1" applyFont="1" applyFill="1" applyBorder="1" applyAlignment="1">
      <alignment horizontal="center" vertical="center"/>
    </xf>
    <xf numFmtId="168" fontId="26" fillId="0" borderId="25" xfId="4" applyNumberFormat="1" applyFont="1" applyFill="1" applyBorder="1" applyAlignment="1">
      <alignment horizontal="center" vertical="center"/>
    </xf>
    <xf numFmtId="168" fontId="26" fillId="0" borderId="25" xfId="10" applyNumberFormat="1" applyFont="1" applyFill="1" applyBorder="1" applyAlignment="1">
      <alignment horizontal="center" vertical="center"/>
    </xf>
    <xf numFmtId="49" fontId="27" fillId="0" borderId="25" xfId="4" applyNumberFormat="1" applyFont="1" applyFill="1" applyBorder="1" applyAlignment="1">
      <alignment horizontal="center" vertical="center"/>
    </xf>
    <xf numFmtId="2" fontId="5" fillId="0" borderId="25" xfId="5" applyNumberFormat="1" applyFont="1" applyBorder="1" applyAlignment="1">
      <alignment vertical="center"/>
    </xf>
    <xf numFmtId="0" fontId="26" fillId="0" borderId="25" xfId="5" applyFont="1" applyBorder="1" applyAlignment="1">
      <alignment horizontal="center" vertical="center"/>
    </xf>
    <xf numFmtId="0" fontId="25" fillId="0" borderId="25" xfId="5" applyFont="1" applyBorder="1" applyAlignment="1">
      <alignment vertical="center" wrapText="1"/>
    </xf>
    <xf numFmtId="0" fontId="26" fillId="0" borderId="25" xfId="5" applyFont="1" applyBorder="1" applyAlignment="1">
      <alignment vertical="center" wrapText="1"/>
    </xf>
    <xf numFmtId="0" fontId="26" fillId="0" borderId="25" xfId="5" applyFont="1" applyBorder="1" applyAlignment="1">
      <alignment horizontal="center" vertical="center" wrapText="1"/>
    </xf>
    <xf numFmtId="0" fontId="28" fillId="0" borderId="25" xfId="5" applyFont="1" applyBorder="1" applyAlignment="1">
      <alignment vertical="center"/>
    </xf>
    <xf numFmtId="2" fontId="25" fillId="3" borderId="25" xfId="5" applyNumberFormat="1" applyFont="1" applyFill="1" applyBorder="1" applyAlignment="1">
      <alignment horizontal="center" vertical="center" wrapText="1"/>
    </xf>
    <xf numFmtId="0" fontId="25" fillId="22" borderId="25" xfId="5" applyFont="1" applyFill="1" applyBorder="1" applyAlignment="1">
      <alignment horizontal="center" vertical="center" wrapText="1"/>
    </xf>
    <xf numFmtId="0" fontId="25" fillId="16" borderId="25" xfId="5" applyFont="1" applyFill="1" applyBorder="1" applyAlignment="1">
      <alignment horizontal="center" vertical="center" wrapText="1"/>
    </xf>
    <xf numFmtId="9" fontId="25" fillId="16" borderId="25" xfId="7" applyFont="1" applyFill="1" applyBorder="1" applyAlignment="1">
      <alignment horizontal="center" vertical="center" wrapText="1"/>
    </xf>
    <xf numFmtId="2" fontId="27" fillId="0" borderId="25" xfId="4" applyNumberFormat="1" applyFont="1" applyBorder="1"/>
    <xf numFmtId="43" fontId="27" fillId="0" borderId="25" xfId="4" applyFont="1" applyBorder="1"/>
    <xf numFmtId="9" fontId="27" fillId="0" borderId="25" xfId="13" applyFont="1" applyBorder="1"/>
    <xf numFmtId="2" fontId="5" fillId="0" borderId="25" xfId="4" applyNumberFormat="1" applyFont="1" applyBorder="1"/>
    <xf numFmtId="43" fontId="5" fillId="0" borderId="25" xfId="4" applyFont="1" applyBorder="1"/>
    <xf numFmtId="9" fontId="5" fillId="0" borderId="25" xfId="13" applyFont="1" applyBorder="1"/>
    <xf numFmtId="2" fontId="25" fillId="11" borderId="25" xfId="10" applyNumberFormat="1" applyFont="1" applyFill="1" applyBorder="1" applyAlignment="1">
      <alignment horizontal="center" vertical="center"/>
    </xf>
    <xf numFmtId="9" fontId="25" fillId="11" borderId="25" xfId="13" applyFont="1" applyFill="1" applyBorder="1" applyAlignment="1">
      <alignment horizontal="center" vertical="center"/>
    </xf>
    <xf numFmtId="0" fontId="25" fillId="11" borderId="25" xfId="10" applyNumberFormat="1" applyFont="1" applyFill="1" applyBorder="1" applyAlignment="1">
      <alignment horizontal="center" vertical="center"/>
    </xf>
    <xf numFmtId="2" fontId="27" fillId="0" borderId="25" xfId="4" applyNumberFormat="1" applyFont="1" applyFill="1" applyBorder="1"/>
    <xf numFmtId="43" fontId="27" fillId="0" borderId="25" xfId="4" applyFont="1" applyFill="1" applyBorder="1"/>
    <xf numFmtId="9" fontId="27" fillId="0" borderId="25" xfId="13" applyFont="1" applyFill="1" applyBorder="1"/>
    <xf numFmtId="9" fontId="27" fillId="14" borderId="25" xfId="13" applyFont="1" applyFill="1" applyBorder="1"/>
    <xf numFmtId="171" fontId="30" fillId="21" borderId="25" xfId="9" applyNumberFormat="1" applyFont="1" applyFill="1" applyBorder="1"/>
    <xf numFmtId="9" fontId="30" fillId="21" borderId="25" xfId="9" applyNumberFormat="1" applyFont="1" applyFill="1" applyBorder="1"/>
    <xf numFmtId="171" fontId="25" fillId="23" borderId="25" xfId="10" applyNumberFormat="1" applyFont="1" applyFill="1" applyBorder="1" applyAlignment="1">
      <alignment horizontal="left" vertical="center"/>
    </xf>
    <xf numFmtId="169" fontId="25" fillId="23" borderId="25" xfId="10" applyNumberFormat="1" applyFont="1" applyFill="1" applyBorder="1" applyAlignment="1">
      <alignment horizontal="center" vertical="center"/>
    </xf>
    <xf numFmtId="171" fontId="25" fillId="23" borderId="25" xfId="10" applyNumberFormat="1" applyFont="1" applyFill="1" applyBorder="1" applyAlignment="1">
      <alignment horizontal="center" vertical="center"/>
    </xf>
    <xf numFmtId="2" fontId="25" fillId="23" borderId="25" xfId="10" applyNumberFormat="1" applyFont="1" applyFill="1" applyBorder="1" applyAlignment="1">
      <alignment horizontal="center" vertical="center"/>
    </xf>
    <xf numFmtId="43" fontId="25" fillId="23" borderId="25" xfId="10" applyNumberFormat="1" applyFont="1" applyFill="1" applyBorder="1" applyAlignment="1">
      <alignment horizontal="center" vertical="center"/>
    </xf>
    <xf numFmtId="9" fontId="25" fillId="23" borderId="25" xfId="13" applyFont="1" applyFill="1" applyBorder="1" applyAlignment="1">
      <alignment horizontal="center" vertical="center"/>
    </xf>
    <xf numFmtId="166" fontId="25" fillId="23" borderId="25" xfId="10" applyNumberFormat="1" applyFont="1" applyFill="1" applyBorder="1" applyAlignment="1">
      <alignment horizontal="center" vertical="center"/>
    </xf>
    <xf numFmtId="167" fontId="25" fillId="23" borderId="25" xfId="4" applyNumberFormat="1" applyFont="1" applyFill="1" applyBorder="1" applyAlignment="1">
      <alignment horizontal="center" vertical="center"/>
    </xf>
    <xf numFmtId="0" fontId="25" fillId="23" borderId="25" xfId="10" applyNumberFormat="1" applyFont="1" applyFill="1" applyBorder="1" applyAlignment="1">
      <alignment horizontal="center" vertical="center"/>
    </xf>
    <xf numFmtId="171" fontId="28" fillId="23" borderId="25" xfId="10" applyNumberFormat="1" applyFont="1" applyFill="1" applyBorder="1" applyAlignment="1">
      <alignment horizontal="center" vertical="center"/>
    </xf>
    <xf numFmtId="171" fontId="25" fillId="0" borderId="25" xfId="10" applyNumberFormat="1" applyFont="1" applyFill="1" applyBorder="1" applyAlignment="1">
      <alignment horizontal="left" vertical="center"/>
    </xf>
    <xf numFmtId="169" fontId="25" fillId="0" borderId="25" xfId="10" applyNumberFormat="1" applyFont="1" applyFill="1" applyBorder="1" applyAlignment="1">
      <alignment horizontal="center" vertical="center"/>
    </xf>
    <xf numFmtId="2" fontId="25" fillId="0" borderId="25" xfId="10" applyNumberFormat="1" applyFont="1" applyFill="1" applyBorder="1" applyAlignment="1">
      <alignment horizontal="center" vertical="center"/>
    </xf>
    <xf numFmtId="43" fontId="25" fillId="0" borderId="25" xfId="10" applyNumberFormat="1" applyFont="1" applyFill="1" applyBorder="1" applyAlignment="1">
      <alignment horizontal="center" vertical="center"/>
    </xf>
    <xf numFmtId="9" fontId="25" fillId="0" borderId="25" xfId="13" applyFont="1" applyFill="1" applyBorder="1" applyAlignment="1">
      <alignment horizontal="center" vertical="center"/>
    </xf>
    <xf numFmtId="166" fontId="25" fillId="0" borderId="25" xfId="10" applyNumberFormat="1" applyFont="1" applyFill="1" applyBorder="1" applyAlignment="1">
      <alignment horizontal="center" vertical="center"/>
    </xf>
    <xf numFmtId="166" fontId="26" fillId="0" borderId="27" xfId="10" applyNumberFormat="1" applyFont="1" applyFill="1" applyBorder="1" applyAlignment="1">
      <alignment horizontal="center" vertical="center"/>
    </xf>
    <xf numFmtId="2" fontId="25" fillId="12" borderId="25" xfId="10" applyNumberFormat="1" applyFont="1" applyFill="1" applyBorder="1" applyAlignment="1">
      <alignment horizontal="center" vertical="center"/>
    </xf>
    <xf numFmtId="9" fontId="25" fillId="12" borderId="25" xfId="13" applyFont="1" applyFill="1" applyBorder="1" applyAlignment="1">
      <alignment horizontal="center" vertical="center"/>
    </xf>
    <xf numFmtId="2" fontId="27" fillId="0" borderId="25" xfId="10" applyNumberFormat="1" applyFont="1" applyBorder="1" applyAlignment="1">
      <alignment horizontal="center" vertical="center"/>
    </xf>
    <xf numFmtId="2" fontId="25" fillId="10" borderId="25" xfId="10" applyNumberFormat="1" applyFont="1" applyFill="1" applyBorder="1" applyAlignment="1">
      <alignment horizontal="center" vertical="center"/>
    </xf>
    <xf numFmtId="9" fontId="25" fillId="10" borderId="25" xfId="13" applyFont="1" applyFill="1" applyBorder="1" applyAlignment="1">
      <alignment horizontal="center" vertical="center"/>
    </xf>
    <xf numFmtId="2" fontId="27" fillId="0" borderId="25" xfId="5" applyNumberFormat="1" applyFont="1" applyBorder="1"/>
    <xf numFmtId="0" fontId="27" fillId="0" borderId="25" xfId="5" applyFont="1" applyFill="1" applyBorder="1"/>
    <xf numFmtId="0" fontId="0" fillId="0" borderId="39" xfId="0" applyBorder="1"/>
    <xf numFmtId="167" fontId="27" fillId="2" borderId="25" xfId="4" applyNumberFormat="1" applyFont="1" applyFill="1" applyBorder="1"/>
    <xf numFmtId="4" fontId="8" fillId="0" borderId="35" xfId="4" applyNumberFormat="1" applyFont="1" applyBorder="1"/>
    <xf numFmtId="4" fontId="10" fillId="0" borderId="0" xfId="0" applyNumberFormat="1" applyFont="1"/>
    <xf numFmtId="4" fontId="10" fillId="0" borderId="0" xfId="2" applyNumberFormat="1" applyFont="1" applyBorder="1" applyAlignment="1">
      <alignment horizontal="center" vertical="center"/>
    </xf>
    <xf numFmtId="4" fontId="10" fillId="0" borderId="21" xfId="2" applyNumberFormat="1" applyFont="1" applyBorder="1" applyAlignment="1">
      <alignment horizontal="center" vertical="center"/>
    </xf>
    <xf numFmtId="4" fontId="10" fillId="0" borderId="0" xfId="0" applyNumberFormat="1" applyFont="1" applyAlignment="1">
      <alignment wrapText="1"/>
    </xf>
    <xf numFmtId="4" fontId="8" fillId="0" borderId="0" xfId="2" applyNumberFormat="1" applyFont="1" applyBorder="1" applyAlignment="1">
      <alignment horizontal="center" vertical="center"/>
    </xf>
    <xf numFmtId="49" fontId="8" fillId="13" borderId="14" xfId="0" applyNumberFormat="1" applyFont="1" applyFill="1" applyBorder="1"/>
    <xf numFmtId="49" fontId="8" fillId="13" borderId="14" xfId="3" applyNumberFormat="1" applyFont="1" applyFill="1" applyBorder="1" applyAlignment="1">
      <alignment horizontal="center"/>
    </xf>
    <xf numFmtId="3" fontId="10" fillId="9" borderId="14" xfId="4" applyNumberFormat="1" applyFont="1" applyFill="1" applyBorder="1"/>
    <xf numFmtId="1" fontId="36" fillId="3" borderId="25" xfId="5" applyNumberFormat="1" applyFont="1" applyFill="1" applyBorder="1" applyAlignment="1">
      <alignment horizontal="center" vertical="center" wrapText="1"/>
    </xf>
    <xf numFmtId="49" fontId="26" fillId="0" borderId="25" xfId="4" applyNumberFormat="1" applyFont="1" applyFill="1" applyBorder="1" applyAlignment="1">
      <alignment horizontal="left" vertical="center"/>
    </xf>
    <xf numFmtId="166" fontId="12" fillId="0" borderId="14" xfId="4" applyNumberFormat="1" applyFont="1" applyFill="1" applyBorder="1"/>
    <xf numFmtId="14" fontId="8" fillId="13" borderId="19" xfId="3" applyNumberFormat="1" applyFont="1" applyFill="1" applyBorder="1" applyAlignment="1">
      <alignment horizontal="center"/>
    </xf>
    <xf numFmtId="4" fontId="8" fillId="0" borderId="4" xfId="4" applyNumberFormat="1" applyFont="1" applyFill="1" applyBorder="1"/>
    <xf numFmtId="4" fontId="8" fillId="0" borderId="35" xfId="4" applyNumberFormat="1" applyFont="1" applyFill="1" applyBorder="1"/>
    <xf numFmtId="0" fontId="6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44" fontId="8" fillId="0" borderId="0" xfId="2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0" fontId="25" fillId="11" borderId="25" xfId="10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10" fillId="9" borderId="17" xfId="1" applyNumberFormat="1" applyFont="1" applyFill="1" applyBorder="1" applyAlignment="1">
      <alignment horizontal="center" vertical="center"/>
    </xf>
    <xf numFmtId="165" fontId="10" fillId="9" borderId="20" xfId="1" applyNumberFormat="1" applyFont="1" applyFill="1" applyBorder="1" applyAlignment="1">
      <alignment horizontal="center" vertical="center"/>
    </xf>
    <xf numFmtId="165" fontId="10" fillId="9" borderId="23" xfId="1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" vertical="center" wrapText="1"/>
    </xf>
    <xf numFmtId="164" fontId="11" fillId="3" borderId="13" xfId="0" applyNumberFormat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38" xfId="0" applyFont="1" applyFill="1" applyBorder="1" applyAlignment="1">
      <alignment horizontal="center" vertical="center" wrapText="1"/>
    </xf>
    <xf numFmtId="3" fontId="10" fillId="9" borderId="17" xfId="0" applyNumberFormat="1" applyFont="1" applyFill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 wrapText="1"/>
    </xf>
    <xf numFmtId="9" fontId="10" fillId="0" borderId="0" xfId="2" applyFont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3" fillId="11" borderId="29" xfId="0" applyFont="1" applyFill="1" applyBorder="1" applyAlignment="1">
      <alignment horizontal="center" vertical="center" wrapText="1"/>
    </xf>
    <xf numFmtId="0" fontId="33" fillId="11" borderId="30" xfId="0" applyFont="1" applyFill="1" applyBorder="1" applyAlignment="1">
      <alignment horizontal="center" vertical="center" wrapText="1"/>
    </xf>
    <xf numFmtId="0" fontId="33" fillId="11" borderId="31" xfId="0" applyFont="1" applyFill="1" applyBorder="1" applyAlignment="1">
      <alignment horizontal="center" vertical="center" wrapText="1"/>
    </xf>
    <xf numFmtId="0" fontId="33" fillId="23" borderId="29" xfId="0" applyFont="1" applyFill="1" applyBorder="1" applyAlignment="1">
      <alignment horizontal="center" vertical="center" wrapText="1"/>
    </xf>
    <xf numFmtId="0" fontId="33" fillId="23" borderId="30" xfId="0" applyFont="1" applyFill="1" applyBorder="1" applyAlignment="1">
      <alignment horizontal="center" vertical="center" wrapText="1"/>
    </xf>
    <xf numFmtId="0" fontId="33" fillId="23" borderId="31" xfId="0" applyFont="1" applyFill="1" applyBorder="1" applyAlignment="1">
      <alignment horizontal="center" vertical="center" wrapText="1"/>
    </xf>
    <xf numFmtId="49" fontId="27" fillId="0" borderId="25" xfId="4" applyNumberFormat="1" applyFont="1" applyFill="1" applyBorder="1" applyAlignment="1">
      <alignment horizontal="center" vertical="center"/>
    </xf>
    <xf numFmtId="0" fontId="4" fillId="0" borderId="26" xfId="5" applyFont="1" applyBorder="1" applyAlignment="1">
      <alignment horizontal="center" vertical="center"/>
    </xf>
    <xf numFmtId="0" fontId="4" fillId="0" borderId="28" xfId="5" applyFont="1" applyBorder="1" applyAlignment="1">
      <alignment horizontal="center" vertical="center"/>
    </xf>
    <xf numFmtId="0" fontId="4" fillId="0" borderId="27" xfId="5" applyFont="1" applyBorder="1" applyAlignment="1">
      <alignment horizontal="center" vertical="center"/>
    </xf>
    <xf numFmtId="168" fontId="26" fillId="0" borderId="25" xfId="4" applyNumberFormat="1" applyFont="1" applyFill="1" applyBorder="1" applyAlignment="1">
      <alignment horizontal="center" vertical="center"/>
    </xf>
    <xf numFmtId="166" fontId="26" fillId="0" borderId="26" xfId="10" applyNumberFormat="1" applyFont="1" applyFill="1" applyBorder="1" applyAlignment="1">
      <alignment horizontal="center" vertical="center"/>
    </xf>
    <xf numFmtId="166" fontId="26" fillId="0" borderId="27" xfId="10" applyNumberFormat="1" applyFont="1" applyFill="1" applyBorder="1" applyAlignment="1">
      <alignment horizontal="center" vertical="center"/>
    </xf>
    <xf numFmtId="168" fontId="26" fillId="0" borderId="25" xfId="10" applyNumberFormat="1" applyFont="1" applyFill="1" applyBorder="1" applyAlignment="1">
      <alignment horizontal="center" vertical="center"/>
    </xf>
    <xf numFmtId="0" fontId="26" fillId="0" borderId="25" xfId="5" applyFont="1" applyBorder="1" applyAlignment="1">
      <alignment horizontal="center" vertical="center"/>
    </xf>
    <xf numFmtId="0" fontId="26" fillId="0" borderId="26" xfId="5" applyFont="1" applyBorder="1" applyAlignment="1">
      <alignment horizontal="center" vertical="center"/>
    </xf>
    <xf numFmtId="0" fontId="26" fillId="0" borderId="27" xfId="5" applyFont="1" applyBorder="1" applyAlignment="1">
      <alignment horizontal="center" vertical="center"/>
    </xf>
    <xf numFmtId="0" fontId="26" fillId="0" borderId="25" xfId="5" applyFont="1" applyBorder="1" applyAlignment="1">
      <alignment horizontal="center" vertical="center" wrapText="1"/>
    </xf>
    <xf numFmtId="0" fontId="26" fillId="0" borderId="26" xfId="5" applyFont="1" applyBorder="1" applyAlignment="1">
      <alignment horizontal="center" vertical="center" wrapText="1"/>
    </xf>
    <xf numFmtId="0" fontId="25" fillId="0" borderId="27" xfId="5" applyFont="1" applyBorder="1" applyAlignment="1">
      <alignment horizontal="center" vertical="center" wrapText="1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G14" sqref="G14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54296875" customWidth="1"/>
    <col min="5" max="5" width="12.54296875" customWidth="1"/>
    <col min="6" max="6" width="13.54296875" bestFit="1" customWidth="1"/>
    <col min="7" max="7" width="11.08984375" customWidth="1"/>
    <col min="10" max="10" width="10.26953125" customWidth="1"/>
    <col min="11" max="11" width="19.36328125" customWidth="1"/>
    <col min="13" max="13" width="13.7265625" bestFit="1" customWidth="1"/>
  </cols>
  <sheetData>
    <row r="2" spans="2:15" ht="15.5" customHeight="1">
      <c r="B2" s="308" t="s">
        <v>0</v>
      </c>
      <c r="C2" s="308"/>
      <c r="D2" s="308"/>
      <c r="E2" s="308" t="s">
        <v>1</v>
      </c>
      <c r="F2" s="308"/>
      <c r="G2" s="308"/>
      <c r="H2" s="308" t="s">
        <v>254</v>
      </c>
      <c r="I2" s="308"/>
      <c r="J2" s="308"/>
      <c r="K2" s="308" t="s">
        <v>2</v>
      </c>
      <c r="O2" s="1"/>
    </row>
    <row r="3" spans="2:15" ht="15.5" customHeight="1">
      <c r="B3" s="304" t="s">
        <v>3</v>
      </c>
      <c r="C3" s="304" t="s">
        <v>4</v>
      </c>
      <c r="D3" s="304" t="s">
        <v>5</v>
      </c>
      <c r="E3" s="304" t="s">
        <v>3</v>
      </c>
      <c r="F3" s="304" t="s">
        <v>4</v>
      </c>
      <c r="G3" s="304" t="s">
        <v>5</v>
      </c>
      <c r="H3" s="304" t="s">
        <v>3</v>
      </c>
      <c r="I3" s="304" t="s">
        <v>4</v>
      </c>
      <c r="J3" s="304" t="s">
        <v>5</v>
      </c>
      <c r="K3" s="308"/>
    </row>
    <row r="4" spans="2:15" ht="15.5" customHeight="1">
      <c r="B4" s="299">
        <v>277433850</v>
      </c>
      <c r="C4" s="299">
        <v>1376</v>
      </c>
      <c r="D4" s="299" t="s">
        <v>255</v>
      </c>
      <c r="E4" s="299">
        <v>277433847</v>
      </c>
      <c r="F4" s="299">
        <v>25829</v>
      </c>
      <c r="G4" s="299" t="s">
        <v>255</v>
      </c>
      <c r="H4" s="299">
        <v>0</v>
      </c>
      <c r="I4" s="299">
        <v>109</v>
      </c>
      <c r="J4" s="299" t="s">
        <v>244</v>
      </c>
      <c r="K4" s="309">
        <v>1</v>
      </c>
    </row>
    <row r="5" spans="2:15" ht="15.5" customHeight="1">
      <c r="B5" s="299">
        <v>277539131</v>
      </c>
      <c r="C5" s="299">
        <v>1150</v>
      </c>
      <c r="D5" s="301">
        <v>36951</v>
      </c>
      <c r="E5" s="299">
        <v>277609313</v>
      </c>
      <c r="F5" s="299">
        <v>21489</v>
      </c>
      <c r="G5" s="301">
        <v>36982</v>
      </c>
      <c r="H5" s="299">
        <v>0</v>
      </c>
      <c r="I5" s="299">
        <v>363</v>
      </c>
      <c r="J5" s="301">
        <v>36982</v>
      </c>
      <c r="K5" s="309"/>
    </row>
    <row r="6" spans="2:15" ht="15.5" customHeight="1">
      <c r="B6" s="299">
        <v>279208603</v>
      </c>
      <c r="C6" s="299">
        <v>3455</v>
      </c>
      <c r="D6" s="301">
        <v>37168</v>
      </c>
      <c r="E6" s="299">
        <v>279208599</v>
      </c>
      <c r="F6" s="299">
        <v>51313</v>
      </c>
      <c r="G6" s="301">
        <v>37199</v>
      </c>
      <c r="H6" s="299">
        <v>0</v>
      </c>
      <c r="I6" s="299">
        <v>569</v>
      </c>
      <c r="J6" s="301">
        <v>37200</v>
      </c>
      <c r="K6" s="299">
        <v>2</v>
      </c>
    </row>
    <row r="7" spans="2:15" ht="15.5" customHeight="1">
      <c r="B7" s="299">
        <v>280269091</v>
      </c>
      <c r="C7" s="299">
        <v>10268</v>
      </c>
      <c r="D7" s="299" t="s">
        <v>98</v>
      </c>
      <c r="E7" s="299">
        <v>280221209</v>
      </c>
      <c r="F7" s="299">
        <v>99763</v>
      </c>
      <c r="G7" s="299" t="s">
        <v>98</v>
      </c>
      <c r="H7" s="299">
        <v>0</v>
      </c>
      <c r="I7" s="299">
        <v>557</v>
      </c>
      <c r="J7" s="299" t="s">
        <v>96</v>
      </c>
      <c r="K7" s="299">
        <v>3</v>
      </c>
    </row>
    <row r="8" spans="2:15" ht="15.5" customHeight="1">
      <c r="B8" s="299">
        <v>281267335</v>
      </c>
      <c r="C8" s="299">
        <v>70408</v>
      </c>
      <c r="D8" s="299" t="s">
        <v>97</v>
      </c>
      <c r="E8" s="299">
        <v>281348313</v>
      </c>
      <c r="F8" s="299">
        <v>67741</v>
      </c>
      <c r="G8" s="299" t="s">
        <v>99</v>
      </c>
      <c r="H8" s="299">
        <v>0</v>
      </c>
      <c r="I8" s="299">
        <v>195</v>
      </c>
      <c r="J8" s="299" t="s">
        <v>97</v>
      </c>
      <c r="K8" s="299">
        <v>4</v>
      </c>
    </row>
    <row r="9" spans="2:15" ht="15.5" customHeight="1">
      <c r="B9" s="299">
        <v>282258474</v>
      </c>
      <c r="C9" s="299">
        <v>25521</v>
      </c>
      <c r="D9" s="299" t="s">
        <v>102</v>
      </c>
      <c r="E9" s="299">
        <v>282345086</v>
      </c>
      <c r="F9" s="299">
        <v>133680</v>
      </c>
      <c r="G9" s="299" t="s">
        <v>102</v>
      </c>
      <c r="H9" s="299">
        <v>0</v>
      </c>
      <c r="I9" s="299">
        <v>80</v>
      </c>
      <c r="J9" s="299" t="s">
        <v>256</v>
      </c>
      <c r="K9" s="299">
        <v>5</v>
      </c>
    </row>
    <row r="10" spans="2:15" ht="15.5" customHeight="1">
      <c r="B10" s="299">
        <v>282365257</v>
      </c>
      <c r="C10" s="299">
        <v>1268</v>
      </c>
      <c r="D10" s="302">
        <v>46054</v>
      </c>
      <c r="E10" s="299">
        <v>282392960</v>
      </c>
      <c r="F10" s="299">
        <v>4672</v>
      </c>
      <c r="G10" s="302">
        <v>46054</v>
      </c>
      <c r="H10" s="299"/>
      <c r="I10" s="303"/>
      <c r="J10" s="303"/>
      <c r="K10" s="309">
        <v>6</v>
      </c>
    </row>
    <row r="11" spans="2:15" ht="15.5" customHeight="1">
      <c r="B11" s="299">
        <v>283332206</v>
      </c>
      <c r="C11" s="299">
        <v>111419</v>
      </c>
      <c r="D11" s="301">
        <v>37469</v>
      </c>
      <c r="E11" s="299">
        <v>283415801</v>
      </c>
      <c r="F11" s="299">
        <v>126688</v>
      </c>
      <c r="G11" s="301">
        <v>37469</v>
      </c>
      <c r="H11" s="299">
        <v>0</v>
      </c>
      <c r="I11" s="299">
        <v>3554</v>
      </c>
      <c r="J11" s="301">
        <v>37440</v>
      </c>
      <c r="K11" s="309"/>
    </row>
    <row r="12" spans="2:15" ht="15.5" customHeight="1">
      <c r="B12" s="299">
        <v>284423647</v>
      </c>
      <c r="C12" s="299">
        <v>145581</v>
      </c>
      <c r="D12" s="299" t="s">
        <v>116</v>
      </c>
      <c r="E12" s="299">
        <v>284416459</v>
      </c>
      <c r="F12" s="299">
        <v>138670</v>
      </c>
      <c r="G12" s="299" t="s">
        <v>116</v>
      </c>
      <c r="H12" s="299">
        <v>0</v>
      </c>
      <c r="I12" s="299">
        <v>44</v>
      </c>
      <c r="J12" s="302">
        <v>46063</v>
      </c>
      <c r="K12" s="299">
        <v>7</v>
      </c>
    </row>
    <row r="13" spans="2:15" ht="15.5" customHeight="1">
      <c r="B13" s="300">
        <v>285348588</v>
      </c>
      <c r="C13" s="300">
        <v>50989</v>
      </c>
      <c r="D13" s="306" t="s">
        <v>265</v>
      </c>
      <c r="E13" s="300">
        <v>285348587</v>
      </c>
      <c r="F13" s="300">
        <v>265182</v>
      </c>
      <c r="G13" s="306" t="s">
        <v>265</v>
      </c>
      <c r="H13" s="300"/>
      <c r="I13" s="300"/>
      <c r="J13" s="302"/>
      <c r="K13" s="300">
        <v>8</v>
      </c>
    </row>
    <row r="14" spans="2:15" ht="15.5" customHeight="1">
      <c r="B14" s="298"/>
      <c r="C14" s="298"/>
      <c r="D14" s="298"/>
      <c r="E14" s="298"/>
      <c r="F14" s="298"/>
      <c r="G14" s="298"/>
      <c r="H14" s="298"/>
      <c r="I14" s="298"/>
    </row>
    <row r="15" spans="2:15" ht="15.5" customHeight="1">
      <c r="B15" s="298"/>
      <c r="C15" s="298"/>
      <c r="D15" s="298"/>
      <c r="E15" s="298"/>
      <c r="F15" s="298"/>
      <c r="G15" s="298"/>
      <c r="H15" s="298"/>
      <c r="I15" s="298"/>
    </row>
    <row r="16" spans="2:15" ht="15.5" customHeight="1">
      <c r="B16" s="298"/>
      <c r="C16" s="298"/>
      <c r="D16" s="298"/>
      <c r="E16" s="298"/>
      <c r="F16" s="298"/>
      <c r="G16" s="298"/>
      <c r="H16" s="298"/>
      <c r="I16" s="298"/>
    </row>
    <row r="17" spans="2:9" ht="15.5" customHeight="1">
      <c r="B17" s="298"/>
      <c r="C17" s="298"/>
      <c r="D17" s="298"/>
      <c r="E17" s="298"/>
      <c r="F17" s="298"/>
      <c r="G17" s="298"/>
      <c r="H17" s="298"/>
      <c r="I17" s="298"/>
    </row>
    <row r="18" spans="2:9" ht="15.5" customHeight="1">
      <c r="B18" s="298"/>
      <c r="C18" s="298"/>
      <c r="D18" s="298"/>
      <c r="E18" s="298"/>
      <c r="F18" s="298"/>
      <c r="G18" s="298"/>
      <c r="H18" s="298"/>
      <c r="I18" s="298"/>
    </row>
    <row r="19" spans="2:9" ht="14.5" customHeight="1">
      <c r="B19" s="298"/>
      <c r="C19" s="298"/>
      <c r="D19" s="298"/>
      <c r="E19" s="298"/>
      <c r="F19" s="298"/>
      <c r="G19" s="298"/>
      <c r="H19" s="298"/>
      <c r="I19" s="298"/>
    </row>
    <row r="20" spans="2:9" ht="14.5" customHeight="1">
      <c r="B20" s="298"/>
      <c r="C20" s="298"/>
      <c r="D20" s="298"/>
      <c r="E20" s="298"/>
      <c r="F20" s="298"/>
      <c r="G20" s="298"/>
      <c r="H20" s="298"/>
      <c r="I20" s="298"/>
    </row>
    <row r="39" spans="8:8">
      <c r="H39" t="s">
        <v>101</v>
      </c>
    </row>
  </sheetData>
  <mergeCells count="6">
    <mergeCell ref="K2:K3"/>
    <mergeCell ref="K4:K5"/>
    <mergeCell ref="K10:K11"/>
    <mergeCell ref="B2:D2"/>
    <mergeCell ref="E2:G2"/>
    <mergeCell ref="H2:J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27"/>
  <sheetViews>
    <sheetView zoomScale="50" zoomScaleNormal="50" workbookViewId="0">
      <selection activeCell="F11" sqref="F11:F12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7.7265625" style="2" bestFit="1" customWidth="1"/>
    <col min="11" max="11" width="14.81640625" style="2" bestFit="1" customWidth="1"/>
    <col min="12" max="12" width="17.7265625" style="2" bestFit="1" customWidth="1"/>
    <col min="13" max="13" width="18.36328125" style="2" customWidth="1"/>
    <col min="14" max="14" width="16.54296875" style="2" customWidth="1"/>
    <col min="15" max="15" width="17.81640625" style="2" customWidth="1"/>
    <col min="16" max="17" width="16.4531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4" width="16.26953125" style="2" customWidth="1"/>
    <col min="25" max="25" width="15.7265625" style="2" customWidth="1"/>
    <col min="26" max="26" width="16.1796875" style="2" customWidth="1"/>
    <col min="27" max="27" width="15" style="2" customWidth="1"/>
    <col min="28" max="28" width="17.54296875" style="2" customWidth="1"/>
    <col min="29" max="30" width="16.90625" style="2" customWidth="1"/>
    <col min="31" max="31" width="18.26953125" style="2" customWidth="1"/>
    <col min="32" max="34" width="18.26953125" style="6" customWidth="1"/>
    <col min="35" max="16384" width="12.08984375" style="2"/>
  </cols>
  <sheetData>
    <row r="1" spans="1:34" ht="14" thickBot="1"/>
    <row r="2" spans="1:34" s="7" customFormat="1" ht="26" customHeight="1">
      <c r="B2" s="315" t="s">
        <v>11</v>
      </c>
      <c r="C2" s="316"/>
      <c r="D2" s="316"/>
      <c r="E2" s="317" t="s">
        <v>12</v>
      </c>
      <c r="F2" s="319" t="s">
        <v>13</v>
      </c>
      <c r="G2" s="321" t="s">
        <v>14</v>
      </c>
      <c r="H2" s="322"/>
      <c r="I2" s="323"/>
      <c r="J2" s="324" t="s">
        <v>15</v>
      </c>
      <c r="K2" s="324"/>
      <c r="L2" s="324"/>
      <c r="M2" s="325" t="s">
        <v>16</v>
      </c>
      <c r="N2" s="325"/>
      <c r="O2" s="325"/>
      <c r="P2" s="326" t="s">
        <v>17</v>
      </c>
      <c r="Q2" s="313" t="s">
        <v>18</v>
      </c>
      <c r="R2" s="313" t="s">
        <v>19</v>
      </c>
      <c r="S2" s="313" t="s">
        <v>20</v>
      </c>
      <c r="T2" s="313" t="s">
        <v>21</v>
      </c>
      <c r="U2" s="313" t="s">
        <v>22</v>
      </c>
      <c r="V2" s="313" t="s">
        <v>23</v>
      </c>
      <c r="W2" s="313" t="s">
        <v>24</v>
      </c>
      <c r="X2" s="326" t="s">
        <v>25</v>
      </c>
      <c r="Y2" s="333" t="s">
        <v>26</v>
      </c>
      <c r="Z2" s="313" t="s">
        <v>27</v>
      </c>
      <c r="AA2" s="313" t="s">
        <v>28</v>
      </c>
      <c r="AB2" s="328" t="s">
        <v>114</v>
      </c>
      <c r="AC2" s="335" t="s">
        <v>115</v>
      </c>
      <c r="AD2" s="337" t="s">
        <v>30</v>
      </c>
      <c r="AE2" s="339" t="s">
        <v>31</v>
      </c>
      <c r="AF2" s="332" t="s">
        <v>32</v>
      </c>
      <c r="AG2" s="332" t="s">
        <v>33</v>
      </c>
      <c r="AH2" s="332" t="s">
        <v>34</v>
      </c>
    </row>
    <row r="3" spans="1:34" s="7" customFormat="1" ht="24" customHeight="1" thickBot="1">
      <c r="B3" s="9" t="s">
        <v>35</v>
      </c>
      <c r="C3" s="10" t="s">
        <v>5</v>
      </c>
      <c r="D3" s="11" t="s">
        <v>36</v>
      </c>
      <c r="E3" s="318"/>
      <c r="F3" s="320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327"/>
      <c r="Q3" s="314"/>
      <c r="R3" s="314"/>
      <c r="S3" s="314"/>
      <c r="T3" s="314"/>
      <c r="U3" s="314"/>
      <c r="V3" s="314"/>
      <c r="W3" s="314"/>
      <c r="X3" s="327"/>
      <c r="Y3" s="334"/>
      <c r="Z3" s="314"/>
      <c r="AA3" s="314"/>
      <c r="AB3" s="329"/>
      <c r="AC3" s="336"/>
      <c r="AD3" s="338"/>
      <c r="AE3" s="339"/>
      <c r="AF3" s="332"/>
      <c r="AG3" s="332"/>
      <c r="AH3" s="332"/>
    </row>
    <row r="4" spans="1:34" s="15" customFormat="1" ht="25.75" customHeight="1">
      <c r="B4" s="27" t="s">
        <v>247</v>
      </c>
      <c r="C4" s="16" t="s">
        <v>244</v>
      </c>
      <c r="D4" s="25" t="s">
        <v>40</v>
      </c>
      <c r="E4" s="36"/>
      <c r="F4" s="35">
        <f t="shared" ref="F4" si="0">IFERROR(O4-SUM(Q4:W4)+AA4,0)</f>
        <v>62313.297755231964</v>
      </c>
      <c r="G4" s="28">
        <f>ДЕКАБРЬ!N100</f>
        <v>129</v>
      </c>
      <c r="H4" s="28">
        <f>ДЕКАБРЬ!S100</f>
        <v>127</v>
      </c>
      <c r="I4" s="28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19">
        <f t="shared" ref="O4" si="2">IFERROR(M4+N4,0)</f>
        <v>131438.57</v>
      </c>
      <c r="P4" s="190">
        <f>ДЕКАБРЬ!AD100</f>
        <v>15240.450000000004</v>
      </c>
      <c r="Q4" s="191">
        <f>ДЕКАБРЬ!AG100</f>
        <v>17381.100000000002</v>
      </c>
      <c r="R4" s="18">
        <f>ДЕКАБРЬ!AE100</f>
        <v>48126.54</v>
      </c>
      <c r="S4" s="191">
        <f>ДЕКАБРЬ!AL100</f>
        <v>3615.932244768042</v>
      </c>
      <c r="T4" s="190">
        <v>1.7</v>
      </c>
      <c r="U4" s="18">
        <f>ДЕКАБРЬ!AM100</f>
        <v>0</v>
      </c>
      <c r="V4" s="190"/>
      <c r="W4" s="21">
        <f>ДЕКАБРЬ!AH100</f>
        <v>0</v>
      </c>
      <c r="X4" s="22">
        <f>ДЕКАБРЬ!AI100</f>
        <v>0</v>
      </c>
      <c r="Y4" s="22">
        <f>ДЕКАБРЬ!AK100</f>
        <v>0</v>
      </c>
      <c r="Z4" s="218">
        <f>ДЕКАБРЬ!AN100</f>
        <v>6374.5623469999991</v>
      </c>
      <c r="AA4" s="22"/>
      <c r="AB4" s="22">
        <f>O4-SUM(P4:Y4)+AA4</f>
        <v>47072.847755231953</v>
      </c>
      <c r="AC4" s="29">
        <f t="shared" ref="AC4:AC8" si="3">O4-SUM(P4:Z4)+AA4</f>
        <v>40698.285408231954</v>
      </c>
      <c r="AD4" s="330">
        <f>SUM(AC4:AC5)</f>
        <v>40697.997652999999</v>
      </c>
      <c r="AE4" s="6">
        <f t="shared" ref="AE4" si="4">P4/O4</f>
        <v>0.11595112454434039</v>
      </c>
      <c r="AF4" s="6">
        <f t="shared" ref="AF4" si="5">AC4/P4</f>
        <v>2.670412317761742</v>
      </c>
      <c r="AG4" s="6">
        <f t="shared" ref="AG4" si="6">AC4/O4</f>
        <v>0.30963731124153249</v>
      </c>
      <c r="AH4" s="6">
        <f t="shared" ref="AH4" si="7">(W4+X4+Y4)/O4</f>
        <v>0</v>
      </c>
    </row>
    <row r="5" spans="1:34" s="15" customFormat="1" ht="25.75" customHeight="1" thickBot="1">
      <c r="B5" s="195" t="s">
        <v>250</v>
      </c>
      <c r="C5" s="289" t="s">
        <v>244</v>
      </c>
      <c r="D5" s="290" t="s">
        <v>40</v>
      </c>
      <c r="E5" s="206"/>
      <c r="F5" s="32">
        <f t="shared" ref="F5:F7" si="8">IFERROR(O5-SUM(Q5:W5)+AA5,0)</f>
        <v>-0.28775523195671199</v>
      </c>
      <c r="G5" s="196">
        <f>ДЕКАБРЬ!N108</f>
        <v>0</v>
      </c>
      <c r="H5" s="196">
        <f>ДЕКАБРЬ!S108</f>
        <v>0</v>
      </c>
      <c r="I5" s="196">
        <f>ДЕКАБРЬ!T108</f>
        <v>0</v>
      </c>
      <c r="J5" s="197">
        <f>ДЕКАБРЬ!V108</f>
        <v>0</v>
      </c>
      <c r="K5" s="198">
        <f>ДЕКАБРЬ!W108</f>
        <v>0</v>
      </c>
      <c r="L5" s="199">
        <f t="shared" ref="L5:L7" si="9">IFERROR(J5+K5,0)</f>
        <v>0</v>
      </c>
      <c r="M5" s="197">
        <f>ДЕКАБРЬ!Y108</f>
        <v>0</v>
      </c>
      <c r="N5" s="198">
        <f>ДЕКАБРЬ!Z108</f>
        <v>0</v>
      </c>
      <c r="O5" s="199">
        <f t="shared" ref="O5:O7" si="10">IFERROR(M5+N5,0)</f>
        <v>0</v>
      </c>
      <c r="P5" s="200">
        <f>ДЕКАБРЬ!AD108</f>
        <v>0</v>
      </c>
      <c r="Q5" s="283">
        <f>ДЕКАБРЬ!AG108</f>
        <v>0</v>
      </c>
      <c r="R5" s="198">
        <f>ДЕКАБРЬ!AE108</f>
        <v>0</v>
      </c>
      <c r="S5" s="283">
        <f>ДЕКАБРЬ!AL108</f>
        <v>0.28775523195671199</v>
      </c>
      <c r="T5" s="200"/>
      <c r="U5" s="198">
        <f>ДЕКАБРЬ!AM108</f>
        <v>0</v>
      </c>
      <c r="V5" s="200"/>
      <c r="W5" s="202">
        <f>ДЕКАБРЬ!AH108</f>
        <v>0</v>
      </c>
      <c r="X5" s="203">
        <f>ДЕКАБРЬ!AI108</f>
        <v>0</v>
      </c>
      <c r="Y5" s="203">
        <f>ДЕКАБРЬ!AK108</f>
        <v>0</v>
      </c>
      <c r="Z5" s="219">
        <f>ДЕКАБРЬ!AN108</f>
        <v>0</v>
      </c>
      <c r="AA5" s="203"/>
      <c r="AB5" s="203">
        <f>O5-SUM(P5:Y5)+AA5</f>
        <v>-0.28775523195671199</v>
      </c>
      <c r="AC5" s="291">
        <f t="shared" si="3"/>
        <v>-0.28775523195671199</v>
      </c>
      <c r="AD5" s="331"/>
      <c r="AE5" s="6" t="e">
        <f t="shared" ref="AE5:AE14" si="11">P5/O5</f>
        <v>#DIV/0!</v>
      </c>
      <c r="AF5" s="6" t="e">
        <f t="shared" ref="AF5:AF14" si="12">AC5/P5</f>
        <v>#DIV/0!</v>
      </c>
      <c r="AG5" s="6" t="e">
        <f t="shared" ref="AG5:AG14" si="13">AC5/O5</f>
        <v>#DIV/0!</v>
      </c>
      <c r="AH5" s="6" t="e">
        <f t="shared" ref="AH5:AH14" si="14">(W5+X5+Y5)/O5</f>
        <v>#DIV/0!</v>
      </c>
    </row>
    <row r="6" spans="1:34" s="15" customFormat="1" ht="25.75" customHeight="1">
      <c r="B6" s="27" t="s">
        <v>248</v>
      </c>
      <c r="C6" s="16" t="s">
        <v>245</v>
      </c>
      <c r="D6" s="25" t="s">
        <v>246</v>
      </c>
      <c r="E6" s="36"/>
      <c r="F6" s="35">
        <f t="shared" si="8"/>
        <v>955718.85970398434</v>
      </c>
      <c r="G6" s="28">
        <f>ЯНВАРЬ!N100</f>
        <v>4961</v>
      </c>
      <c r="H6" s="28">
        <f>ЯНВАРЬ!S100</f>
        <v>2362</v>
      </c>
      <c r="I6" s="28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9"/>
        <v>1683724.9000000001</v>
      </c>
      <c r="M6" s="17">
        <f>ЯНВАРЬ!Y100</f>
        <v>2303342.0599999991</v>
      </c>
      <c r="N6" s="18">
        <f>ЯНВАРЬ!Z100</f>
        <v>-58267.040000000001</v>
      </c>
      <c r="O6" s="19">
        <f t="shared" si="10"/>
        <v>2245075.0199999991</v>
      </c>
      <c r="P6" s="190">
        <f>ЯНВАРЬ!AD100</f>
        <v>292876.64000000007</v>
      </c>
      <c r="Q6" s="296">
        <f>ЯНВАРЬ!AG100</f>
        <v>276475.65000000008</v>
      </c>
      <c r="R6" s="18">
        <f>ЯНВАРЬ!AE100</f>
        <v>833669.77000000118</v>
      </c>
      <c r="S6" s="191">
        <f>ЯНВАРЬ!AL100</f>
        <v>40333.140296013356</v>
      </c>
      <c r="T6" s="190"/>
      <c r="U6" s="18">
        <f>ЯНВАРЬ!AM100</f>
        <v>0</v>
      </c>
      <c r="V6" s="190">
        <v>25431.599999999999</v>
      </c>
      <c r="W6" s="21">
        <f>ЯНВАРЬ!AH100</f>
        <v>113446</v>
      </c>
      <c r="X6" s="17">
        <f>ЯНВАРЬ!AI100</f>
        <v>404487</v>
      </c>
      <c r="Y6" s="22">
        <f>ЯНВАРЬ!AK100</f>
        <v>0</v>
      </c>
      <c r="Z6" s="218">
        <f>ЯНВАРЬ!AN100</f>
        <v>96140.691790000041</v>
      </c>
      <c r="AA6" s="22"/>
      <c r="AB6" s="22">
        <f>O6-SUM(P6:Y6)+AA6</f>
        <v>258355.21970398421</v>
      </c>
      <c r="AC6" s="29">
        <f t="shared" si="3"/>
        <v>162214.52791398414</v>
      </c>
      <c r="AD6" s="310">
        <f>SUM(AC6:AC8)</f>
        <v>161855.13820999753</v>
      </c>
      <c r="AE6" s="6">
        <f t="shared" si="11"/>
        <v>0.13045294138990518</v>
      </c>
      <c r="AF6" s="6">
        <f t="shared" si="12"/>
        <v>0.55386639205497612</v>
      </c>
      <c r="AG6" s="6">
        <f t="shared" si="13"/>
        <v>7.2253499980586042E-2</v>
      </c>
      <c r="AH6" s="6">
        <f t="shared" si="14"/>
        <v>0.23069741339868466</v>
      </c>
    </row>
    <row r="7" spans="1:34" s="15" customFormat="1" ht="25.75" customHeight="1">
      <c r="B7" s="27" t="s">
        <v>249</v>
      </c>
      <c r="C7" s="16" t="s">
        <v>245</v>
      </c>
      <c r="D7" s="25" t="s">
        <v>246</v>
      </c>
      <c r="E7" s="295"/>
      <c r="F7" s="35">
        <f t="shared" si="8"/>
        <v>-186.42970398663167</v>
      </c>
      <c r="G7" s="28">
        <f>ЯНВАРЬ!N108</f>
        <v>1</v>
      </c>
      <c r="H7" s="28">
        <f>ЯНВАРЬ!S108</f>
        <v>0</v>
      </c>
      <c r="I7" s="28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9"/>
        <v>0</v>
      </c>
      <c r="M7" s="17">
        <f>ЯНВАРЬ!Y108</f>
        <v>0</v>
      </c>
      <c r="N7" s="18">
        <f>ЯНВАРЬ!Z108</f>
        <v>0</v>
      </c>
      <c r="O7" s="19">
        <f t="shared" si="10"/>
        <v>0</v>
      </c>
      <c r="P7" s="190">
        <f>ЯНВАРЬ!AD108</f>
        <v>0</v>
      </c>
      <c r="Q7" s="296">
        <f>ЯНВАРЬ!AG108</f>
        <v>183.22</v>
      </c>
      <c r="R7" s="18">
        <f>ЯНВАРЬ!AE108</f>
        <v>0</v>
      </c>
      <c r="S7" s="191">
        <f>ЯНВАРЬ!AL108</f>
        <v>3.2097039866316543</v>
      </c>
      <c r="T7" s="190"/>
      <c r="U7" s="18">
        <f>ЯНВАРЬ!AM108</f>
        <v>0</v>
      </c>
      <c r="V7" s="190"/>
      <c r="W7" s="21">
        <f>ЯНВАРЬ!AH108</f>
        <v>0</v>
      </c>
      <c r="X7" s="22">
        <f>ЯНВАРЬ!AI108</f>
        <v>0</v>
      </c>
      <c r="Y7" s="22">
        <f>ЯНВАРЬ!AK108</f>
        <v>0</v>
      </c>
      <c r="Z7" s="218">
        <f>ЯНВАРЬ!AN108</f>
        <v>0</v>
      </c>
      <c r="AA7" s="22"/>
      <c r="AB7" s="22">
        <f>O7-SUM(P7:Y7)+AA7</f>
        <v>-186.42970398663167</v>
      </c>
      <c r="AC7" s="29">
        <f t="shared" si="3"/>
        <v>-186.42970398663167</v>
      </c>
      <c r="AD7" s="311"/>
      <c r="AE7" s="6" t="e">
        <f t="shared" ref="AE7" si="15">P7/O7</f>
        <v>#DIV/0!</v>
      </c>
      <c r="AF7" s="6" t="e">
        <f t="shared" ref="AF7" si="16">AC7/P7</f>
        <v>#DIV/0!</v>
      </c>
      <c r="AG7" s="6" t="e">
        <f t="shared" ref="AG7" si="17">AC7/O7</f>
        <v>#DIV/0!</v>
      </c>
      <c r="AH7" s="6" t="e">
        <f t="shared" ref="AH7" si="18">(W7+X7+Y7)/O7</f>
        <v>#DIV/0!</v>
      </c>
    </row>
    <row r="8" spans="1:34" s="15" customFormat="1" ht="25.75" customHeight="1" thickBot="1">
      <c r="B8" s="27" t="s">
        <v>253</v>
      </c>
      <c r="C8" s="289" t="s">
        <v>245</v>
      </c>
      <c r="D8" s="290" t="s">
        <v>246</v>
      </c>
      <c r="E8" s="206"/>
      <c r="F8" s="294">
        <f t="shared" ref="F8" si="19">IFERROR(O8-SUM(Q8:W8)+AA8,0)</f>
        <v>-172.96</v>
      </c>
      <c r="G8" s="196">
        <f>ЯНВАРЬ!N119</f>
        <v>0</v>
      </c>
      <c r="H8" s="196">
        <f>ЯНВАРЬ!S119</f>
        <v>0</v>
      </c>
      <c r="I8" s="196">
        <f>ЯНВАРЬ!T119</f>
        <v>0</v>
      </c>
      <c r="J8" s="197">
        <f>ЯНВАРЬ!V119</f>
        <v>0</v>
      </c>
      <c r="K8" s="198">
        <f>ЯНВАРЬ!W119</f>
        <v>0</v>
      </c>
      <c r="L8" s="199">
        <f t="shared" ref="L8" si="20">IFERROR(J8+K8,0)</f>
        <v>0</v>
      </c>
      <c r="M8" s="197">
        <f>ЯНВАРЬ!Y119</f>
        <v>0</v>
      </c>
      <c r="N8" s="198">
        <f>ЯНВАРЬ!Z119</f>
        <v>0</v>
      </c>
      <c r="O8" s="199">
        <f t="shared" ref="O8" si="21">IFERROR(M8+N8,0)</f>
        <v>0</v>
      </c>
      <c r="P8" s="200">
        <f>ЯНВАРЬ!AD119</f>
        <v>0</v>
      </c>
      <c r="Q8" s="297">
        <f>ЯНВАРЬ!AG119</f>
        <v>172.96</v>
      </c>
      <c r="R8" s="198">
        <f>ЯНВАРЬ!AE119</f>
        <v>0</v>
      </c>
      <c r="S8" s="283">
        <f>ЯНВАРЬ!AL119</f>
        <v>0</v>
      </c>
      <c r="T8" s="200"/>
      <c r="U8" s="198">
        <f>ЯНВАРЬ!AM119</f>
        <v>0</v>
      </c>
      <c r="V8" s="200"/>
      <c r="W8" s="202">
        <f>ЯНВАРЬ!AH119</f>
        <v>0</v>
      </c>
      <c r="X8" s="203">
        <f>ЯНВАРЬ!AI119</f>
        <v>0</v>
      </c>
      <c r="Y8" s="203">
        <f>ЯНВАРЬ!AK119</f>
        <v>0</v>
      </c>
      <c r="Z8" s="219">
        <f>ЯНВАРЬ!AN119</f>
        <v>0</v>
      </c>
      <c r="AA8" s="203"/>
      <c r="AB8" s="203">
        <f>O8-SUM(P8:Y8)+AA8</f>
        <v>-172.96</v>
      </c>
      <c r="AC8" s="291">
        <f t="shared" si="3"/>
        <v>-172.96</v>
      </c>
      <c r="AD8" s="312"/>
      <c r="AE8" s="6" t="e">
        <f t="shared" si="11"/>
        <v>#DIV/0!</v>
      </c>
      <c r="AF8" s="6" t="e">
        <f t="shared" si="12"/>
        <v>#DIV/0!</v>
      </c>
      <c r="AG8" s="6" t="e">
        <f t="shared" si="13"/>
        <v>#DIV/0!</v>
      </c>
      <c r="AH8" s="6" t="e">
        <f t="shared" si="14"/>
        <v>#DIV/0!</v>
      </c>
    </row>
    <row r="9" spans="1:34" s="15" customFormat="1" ht="25.5" customHeight="1">
      <c r="A9" s="207"/>
      <c r="B9" s="208" t="s">
        <v>111</v>
      </c>
      <c r="C9" s="209" t="s">
        <v>103</v>
      </c>
      <c r="D9" s="36" t="s">
        <v>107</v>
      </c>
      <c r="E9" s="205"/>
      <c r="F9" s="205"/>
      <c r="G9" s="28"/>
      <c r="H9" s="28"/>
      <c r="I9" s="28"/>
      <c r="J9" s="17"/>
      <c r="K9" s="18"/>
      <c r="L9" s="19"/>
      <c r="M9" s="17"/>
      <c r="N9" s="18"/>
      <c r="O9" s="19"/>
      <c r="P9" s="190"/>
      <c r="Q9" s="191"/>
      <c r="R9" s="18"/>
      <c r="S9" s="191"/>
      <c r="T9" s="190"/>
      <c r="U9" s="18"/>
      <c r="V9" s="190"/>
      <c r="W9" s="21"/>
      <c r="X9" s="22"/>
      <c r="Y9" s="22"/>
      <c r="Z9" s="218"/>
      <c r="AA9" s="22"/>
      <c r="AB9" s="22"/>
      <c r="AC9" s="29"/>
      <c r="AD9" s="310">
        <f>SUM(AC9:AC13)</f>
        <v>569969.90680499852</v>
      </c>
      <c r="AE9" s="6" t="e">
        <f t="shared" si="11"/>
        <v>#DIV/0!</v>
      </c>
      <c r="AF9" s="6" t="e">
        <f t="shared" si="12"/>
        <v>#DIV/0!</v>
      </c>
      <c r="AG9" s="6" t="e">
        <f t="shared" si="13"/>
        <v>#DIV/0!</v>
      </c>
      <c r="AH9" s="6" t="e">
        <f t="shared" si="14"/>
        <v>#DIV/0!</v>
      </c>
    </row>
    <row r="10" spans="1:34" s="15" customFormat="1" ht="25.5" customHeight="1">
      <c r="B10" s="27" t="s">
        <v>112</v>
      </c>
      <c r="C10" s="23" t="s">
        <v>104</v>
      </c>
      <c r="D10" s="24" t="s">
        <v>108</v>
      </c>
      <c r="E10" s="37"/>
      <c r="F10" s="35"/>
      <c r="G10" s="28"/>
      <c r="H10" s="28"/>
      <c r="I10" s="28"/>
      <c r="J10" s="17"/>
      <c r="K10" s="18"/>
      <c r="L10" s="19"/>
      <c r="M10" s="17"/>
      <c r="N10" s="18"/>
      <c r="O10" s="19"/>
      <c r="P10" s="190"/>
      <c r="Q10" s="191"/>
      <c r="R10" s="18"/>
      <c r="S10" s="191"/>
      <c r="T10" s="190"/>
      <c r="U10" s="18"/>
      <c r="V10" s="190"/>
      <c r="W10" s="21"/>
      <c r="X10" s="22"/>
      <c r="Y10" s="22"/>
      <c r="Z10" s="218"/>
      <c r="AA10" s="22"/>
      <c r="AB10" s="22"/>
      <c r="AC10" s="29"/>
      <c r="AD10" s="311"/>
      <c r="AE10" s="6" t="e">
        <f t="shared" si="11"/>
        <v>#DIV/0!</v>
      </c>
      <c r="AF10" s="6" t="e">
        <f t="shared" si="12"/>
        <v>#DIV/0!</v>
      </c>
      <c r="AG10" s="6" t="e">
        <f t="shared" si="13"/>
        <v>#DIV/0!</v>
      </c>
      <c r="AH10" s="6" t="e">
        <f t="shared" si="14"/>
        <v>#DIV/0!</v>
      </c>
    </row>
    <row r="11" spans="1:34" s="15" customFormat="1" ht="25.5" customHeight="1">
      <c r="B11" s="27" t="s">
        <v>266</v>
      </c>
      <c r="C11" s="23" t="s">
        <v>105</v>
      </c>
      <c r="D11" s="24" t="s">
        <v>109</v>
      </c>
      <c r="E11" s="37"/>
      <c r="F11" s="35">
        <f t="shared" ref="F11" si="22">IFERROR(O11-SUM(Q11:W11)+AA11,0)</f>
        <v>1204943.1672468567</v>
      </c>
      <c r="G11" s="28">
        <f>'Юнит 8'!N105</f>
        <v>4413</v>
      </c>
      <c r="H11" s="28">
        <f>'Юнит 8'!S105</f>
        <v>2295</v>
      </c>
      <c r="I11" s="28">
        <f>'Юнит 8'!T105</f>
        <v>-43</v>
      </c>
      <c r="J11" s="17">
        <f>'Юнит 8'!V105</f>
        <v>1593380.0800000003</v>
      </c>
      <c r="K11" s="18">
        <f>'Юнит 8'!W105</f>
        <v>-29254.63</v>
      </c>
      <c r="L11" s="19">
        <f t="shared" ref="L11" si="23">IFERROR(J11+K11,0)</f>
        <v>1564125.4500000004</v>
      </c>
      <c r="M11" s="17">
        <f>'Юнит 8'!Y105</f>
        <v>2501418.8899999997</v>
      </c>
      <c r="N11" s="18">
        <f>'Юнит 8'!Z105</f>
        <v>-47007.29</v>
      </c>
      <c r="O11" s="19">
        <f t="shared" ref="O11" si="24">IFERROR(M11+N11,0)</f>
        <v>2454411.5999999996</v>
      </c>
      <c r="P11" s="190">
        <f>'Юнит 8'!AD105</f>
        <v>280478.83000000019</v>
      </c>
      <c r="Q11" s="296">
        <f>'Юнит 8'!AG105</f>
        <v>267875.32999999996</v>
      </c>
      <c r="R11" s="18">
        <f>'Юнит 8'!AE105</f>
        <v>918234.84000000067</v>
      </c>
      <c r="S11" s="191">
        <f>'Юнит 8'!AL105</f>
        <v>8623.9027531422835</v>
      </c>
      <c r="T11" s="190"/>
      <c r="U11" s="18">
        <f>'Юнит 8'!AM105</f>
        <v>466</v>
      </c>
      <c r="V11" s="190">
        <v>3279.36</v>
      </c>
      <c r="W11" s="21">
        <f>'Юнит 8'!AH105</f>
        <v>50989</v>
      </c>
      <c r="X11" s="17">
        <f>'Юнит 8'!AI105</f>
        <v>265182</v>
      </c>
      <c r="Y11" s="22">
        <f>'Юнит 8'!AK105</f>
        <v>0</v>
      </c>
      <c r="Z11" s="218">
        <f>'Юнит 8'!AN105</f>
        <v>89311.563195000068</v>
      </c>
      <c r="AA11" s="22"/>
      <c r="AB11" s="22">
        <f>O11-SUM(P11:Y11)+AA11</f>
        <v>659282.33724685642</v>
      </c>
      <c r="AC11" s="29">
        <f t="shared" ref="AC11" si="25">O11-SUM(P11:Z11)+AA11</f>
        <v>569970.77405185625</v>
      </c>
      <c r="AD11" s="311"/>
      <c r="AE11" s="6">
        <f t="shared" si="11"/>
        <v>0.1142753847806131</v>
      </c>
      <c r="AF11" s="6">
        <f t="shared" si="12"/>
        <v>2.0321347391953104</v>
      </c>
      <c r="AG11" s="6">
        <f t="shared" si="13"/>
        <v>0.23222297924759497</v>
      </c>
      <c r="AH11" s="6">
        <f t="shared" si="14"/>
        <v>0.12881743225137954</v>
      </c>
    </row>
    <row r="12" spans="1:34" s="15" customFormat="1" ht="25.5" customHeight="1">
      <c r="B12" s="27" t="s">
        <v>267</v>
      </c>
      <c r="C12" s="23" t="s">
        <v>105</v>
      </c>
      <c r="D12" s="24" t="s">
        <v>109</v>
      </c>
      <c r="E12" s="37"/>
      <c r="F12" s="35">
        <f t="shared" ref="F12" si="26">IFERROR(O12-SUM(Q12:W12)+AA12,0)</f>
        <v>-0.86724685771744603</v>
      </c>
      <c r="G12" s="28">
        <f>'Юнит 8'!N113</f>
        <v>0</v>
      </c>
      <c r="H12" s="28">
        <f>'Юнит 8'!S113</f>
        <v>0</v>
      </c>
      <c r="I12" s="28">
        <f>'Юнит 8'!T113</f>
        <v>0</v>
      </c>
      <c r="J12" s="17">
        <f>'Юнит 8'!V113</f>
        <v>0</v>
      </c>
      <c r="K12" s="18">
        <f>'Юнит 8'!W113</f>
        <v>0</v>
      </c>
      <c r="L12" s="19">
        <f t="shared" ref="L12" si="27">IFERROR(J12+K12,0)</f>
        <v>0</v>
      </c>
      <c r="M12" s="17">
        <f>'Юнит 8'!Y113</f>
        <v>0</v>
      </c>
      <c r="N12" s="18">
        <f>'Юнит 8'!Z113</f>
        <v>0</v>
      </c>
      <c r="O12" s="19">
        <f t="shared" ref="O12" si="28">IFERROR(M12+N12,0)</f>
        <v>0</v>
      </c>
      <c r="P12" s="190">
        <f>'Юнит 8'!AD113</f>
        <v>0</v>
      </c>
      <c r="Q12" s="296">
        <f>'Юнит 8'!AG113</f>
        <v>0</v>
      </c>
      <c r="R12" s="18">
        <f>'Юнит 8'!AE113</f>
        <v>0</v>
      </c>
      <c r="S12" s="191">
        <f>'Юнит 8'!AL113</f>
        <v>0.86724685771744603</v>
      </c>
      <c r="T12" s="190"/>
      <c r="U12" s="18">
        <f>'Юнит 8'!AM113</f>
        <v>0</v>
      </c>
      <c r="V12" s="190"/>
      <c r="W12" s="21">
        <f>'Юнит 8'!AH113</f>
        <v>0</v>
      </c>
      <c r="X12" s="17">
        <f>'Юнит 8'!AI113</f>
        <v>0</v>
      </c>
      <c r="Y12" s="22">
        <f>'Юнит 8'!AK113</f>
        <v>0</v>
      </c>
      <c r="Z12" s="218">
        <f>'Юнит 8'!AN113</f>
        <v>0</v>
      </c>
      <c r="AA12" s="22"/>
      <c r="AB12" s="22">
        <f>O12-SUM(P12:Y12)+AA12</f>
        <v>-0.86724685771744603</v>
      </c>
      <c r="AC12" s="29">
        <f t="shared" ref="AC12" si="29">O12-SUM(P12:Z12)+AA12</f>
        <v>-0.86724685771744603</v>
      </c>
      <c r="AD12" s="311"/>
      <c r="AE12" s="6" t="e">
        <f t="shared" ref="AE12" si="30">P12/O12</f>
        <v>#DIV/0!</v>
      </c>
      <c r="AF12" s="6" t="e">
        <f t="shared" ref="AF12" si="31">AC12/P12</f>
        <v>#DIV/0!</v>
      </c>
      <c r="AG12" s="6" t="e">
        <f t="shared" ref="AG12" si="32">AC12/O12</f>
        <v>#DIV/0!</v>
      </c>
      <c r="AH12" s="6" t="e">
        <f t="shared" ref="AH12" si="33">(W12+X12+Y12)/O12</f>
        <v>#DIV/0!</v>
      </c>
    </row>
    <row r="13" spans="1:34" s="15" customFormat="1" ht="25.5" customHeight="1" thickBot="1">
      <c r="B13" s="195" t="s">
        <v>113</v>
      </c>
      <c r="C13" s="30" t="s">
        <v>106</v>
      </c>
      <c r="D13" s="31" t="s">
        <v>110</v>
      </c>
      <c r="E13" s="206"/>
      <c r="F13" s="32"/>
      <c r="G13" s="196"/>
      <c r="H13" s="196"/>
      <c r="I13" s="196"/>
      <c r="J13" s="197"/>
      <c r="K13" s="198"/>
      <c r="L13" s="199"/>
      <c r="M13" s="197"/>
      <c r="N13" s="198"/>
      <c r="O13" s="199"/>
      <c r="P13" s="200"/>
      <c r="Q13" s="201"/>
      <c r="R13" s="198"/>
      <c r="S13" s="283"/>
      <c r="T13" s="200"/>
      <c r="U13" s="198"/>
      <c r="V13" s="200"/>
      <c r="W13" s="202"/>
      <c r="X13" s="203"/>
      <c r="Y13" s="203"/>
      <c r="Z13" s="219"/>
      <c r="AA13" s="203"/>
      <c r="AB13" s="33">
        <f t="shared" ref="AB13:AB14" si="34">O13-SUM(P13:Y13)+AA13</f>
        <v>0</v>
      </c>
      <c r="AC13" s="34">
        <f t="shared" ref="AC13:AC14" si="35">O13-SUM(P13:Z13)+AA13</f>
        <v>0</v>
      </c>
      <c r="AD13" s="312"/>
      <c r="AE13" s="6" t="e">
        <f t="shared" si="11"/>
        <v>#DIV/0!</v>
      </c>
      <c r="AF13" s="6" t="e">
        <f t="shared" si="12"/>
        <v>#DIV/0!</v>
      </c>
      <c r="AG13" s="6" t="e">
        <f t="shared" si="13"/>
        <v>#DIV/0!</v>
      </c>
      <c r="AH13" s="6" t="e">
        <f t="shared" si="14"/>
        <v>#DIV/0!</v>
      </c>
    </row>
    <row r="14" spans="1:34" s="15" customFormat="1" ht="25.5" customHeight="1" thickBot="1">
      <c r="B14" s="27"/>
      <c r="C14" s="16"/>
      <c r="D14" s="25"/>
      <c r="E14" s="36"/>
      <c r="F14" s="205"/>
      <c r="G14" s="28"/>
      <c r="H14" s="28"/>
      <c r="I14" s="28"/>
      <c r="J14" s="17"/>
      <c r="K14" s="18"/>
      <c r="L14" s="19"/>
      <c r="M14" s="17"/>
      <c r="N14" s="18"/>
      <c r="O14" s="19"/>
      <c r="P14" s="190"/>
      <c r="Q14" s="20"/>
      <c r="R14" s="18"/>
      <c r="S14" s="191"/>
      <c r="T14" s="190"/>
      <c r="U14" s="18"/>
      <c r="V14" s="190"/>
      <c r="W14" s="21"/>
      <c r="X14" s="22"/>
      <c r="Y14" s="22"/>
      <c r="Z14" s="217"/>
      <c r="AA14" s="22"/>
      <c r="AB14" s="22">
        <f t="shared" si="34"/>
        <v>0</v>
      </c>
      <c r="AC14" s="29">
        <f t="shared" si="35"/>
        <v>0</v>
      </c>
      <c r="AD14" s="204"/>
      <c r="AE14" s="6" t="e">
        <f t="shared" si="11"/>
        <v>#DIV/0!</v>
      </c>
      <c r="AF14" s="6" t="e">
        <f t="shared" si="12"/>
        <v>#DIV/0!</v>
      </c>
      <c r="AG14" s="6" t="e">
        <f t="shared" si="13"/>
        <v>#DIV/0!</v>
      </c>
      <c r="AH14" s="6" t="e">
        <f t="shared" si="14"/>
        <v>#DIV/0!</v>
      </c>
    </row>
    <row r="15" spans="1:34" ht="22" customHeight="1" thickBot="1">
      <c r="B15" s="38" t="s">
        <v>29</v>
      </c>
      <c r="C15" s="39"/>
      <c r="D15" s="40"/>
      <c r="E15" s="41"/>
      <c r="F15" s="42">
        <f t="shared" ref="F15:AD15" si="36">SUM(F8:F14)</f>
        <v>1204769.3399999992</v>
      </c>
      <c r="G15" s="43">
        <f t="shared" si="36"/>
        <v>4413</v>
      </c>
      <c r="H15" s="43">
        <f t="shared" si="36"/>
        <v>2295</v>
      </c>
      <c r="I15" s="43">
        <f t="shared" si="36"/>
        <v>-43</v>
      </c>
      <c r="J15" s="42">
        <f t="shared" si="36"/>
        <v>1593380.0800000003</v>
      </c>
      <c r="K15" s="42">
        <f t="shared" si="36"/>
        <v>-29254.63</v>
      </c>
      <c r="L15" s="42">
        <f t="shared" si="36"/>
        <v>1564125.4500000004</v>
      </c>
      <c r="M15" s="42">
        <f t="shared" si="36"/>
        <v>2501418.8899999997</v>
      </c>
      <c r="N15" s="42">
        <f t="shared" si="36"/>
        <v>-47007.29</v>
      </c>
      <c r="O15" s="42">
        <f t="shared" si="36"/>
        <v>2454411.5999999996</v>
      </c>
      <c r="P15" s="42">
        <f t="shared" si="36"/>
        <v>280478.83000000019</v>
      </c>
      <c r="Q15" s="42">
        <f t="shared" si="36"/>
        <v>268048.28999999998</v>
      </c>
      <c r="R15" s="42">
        <f t="shared" si="36"/>
        <v>918234.84000000067</v>
      </c>
      <c r="S15" s="220">
        <f t="shared" si="36"/>
        <v>8624.77</v>
      </c>
      <c r="T15" s="220">
        <f t="shared" si="36"/>
        <v>0</v>
      </c>
      <c r="U15" s="42">
        <f t="shared" si="36"/>
        <v>466</v>
      </c>
      <c r="V15" s="42">
        <f t="shared" si="36"/>
        <v>3279.36</v>
      </c>
      <c r="W15" s="42">
        <f t="shared" si="36"/>
        <v>50989</v>
      </c>
      <c r="X15" s="42">
        <f t="shared" si="36"/>
        <v>265182</v>
      </c>
      <c r="Y15" s="42">
        <f t="shared" si="36"/>
        <v>0</v>
      </c>
      <c r="Z15" s="220">
        <f t="shared" si="36"/>
        <v>89311.563195000068</v>
      </c>
      <c r="AA15" s="42">
        <f t="shared" si="36"/>
        <v>0</v>
      </c>
      <c r="AB15" s="42">
        <f t="shared" si="36"/>
        <v>659108.50999999873</v>
      </c>
      <c r="AC15" s="42">
        <f t="shared" si="36"/>
        <v>569796.94680499856</v>
      </c>
      <c r="AD15" s="42">
        <f t="shared" si="36"/>
        <v>569969.90680499852</v>
      </c>
      <c r="AE15" s="44">
        <f>P15/O15</f>
        <v>0.1142753847806131</v>
      </c>
      <c r="AF15" s="44">
        <f t="shared" ref="AF15" si="37">AC15/P15</f>
        <v>2.0315149874412914</v>
      </c>
      <c r="AG15" s="44">
        <f t="shared" ref="AG15" si="38">AC15/O15</f>
        <v>0.23215215687743598</v>
      </c>
      <c r="AH15" s="44">
        <f>(W15+X15+Y15)/O15</f>
        <v>0.12881743225137954</v>
      </c>
    </row>
    <row r="16" spans="1:34" ht="13.5" customHeight="1">
      <c r="B16" s="45"/>
      <c r="C16" s="45"/>
      <c r="D16" s="26"/>
      <c r="E16" s="46"/>
      <c r="F16" s="47"/>
      <c r="G16" s="47"/>
      <c r="H16" s="47"/>
      <c r="I16" s="47"/>
      <c r="J16" s="47"/>
      <c r="K16" s="47"/>
      <c r="L16" s="47"/>
      <c r="M16" s="48" t="s">
        <v>41</v>
      </c>
      <c r="N16" s="48"/>
      <c r="O16" s="48"/>
      <c r="P16" s="47"/>
      <c r="Q16" s="47"/>
      <c r="R16" s="47"/>
      <c r="S16" s="284"/>
      <c r="T16" s="284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4"/>
      <c r="AF16" s="44"/>
      <c r="AG16" s="44"/>
      <c r="AH16" s="44"/>
    </row>
    <row r="17" spans="2:34" s="4" customFormat="1">
      <c r="B17" s="49"/>
      <c r="C17" s="49"/>
      <c r="E17" s="50"/>
      <c r="F17" s="51"/>
      <c r="G17" s="52"/>
      <c r="H17" s="52"/>
      <c r="I17" s="52"/>
      <c r="J17" s="52"/>
      <c r="K17" s="52"/>
      <c r="L17" s="52"/>
      <c r="M17" s="48"/>
      <c r="N17" s="53">
        <f>-N15/M15</f>
        <v>1.8792250345562877E-2</v>
      </c>
      <c r="O17" s="54"/>
      <c r="P17" s="192">
        <f t="shared" ref="P17:Z17" si="39">P15/$O$15</f>
        <v>0.1142753847806131</v>
      </c>
      <c r="Q17" s="192">
        <f t="shared" si="39"/>
        <v>0.10921081451864065</v>
      </c>
      <c r="R17" s="192">
        <f t="shared" si="39"/>
        <v>0.37411607735230751</v>
      </c>
      <c r="S17" s="285">
        <f t="shared" si="39"/>
        <v>3.5139868145994753E-3</v>
      </c>
      <c r="T17" s="285">
        <f t="shared" si="39"/>
        <v>0</v>
      </c>
      <c r="U17" s="192">
        <f t="shared" si="39"/>
        <v>1.8986220567080112E-4</v>
      </c>
      <c r="V17" s="192">
        <f t="shared" si="39"/>
        <v>1.3361084180012841E-3</v>
      </c>
      <c r="W17" s="192">
        <f t="shared" si="39"/>
        <v>2.077442919516841E-2</v>
      </c>
      <c r="X17" s="192">
        <f t="shared" si="39"/>
        <v>0.10804300305621113</v>
      </c>
      <c r="Y17" s="192">
        <f t="shared" si="39"/>
        <v>0</v>
      </c>
      <c r="Z17" s="192">
        <f t="shared" si="39"/>
        <v>3.6388176781351624E-2</v>
      </c>
      <c r="AA17" s="55"/>
      <c r="AB17" s="55"/>
      <c r="AC17" s="53">
        <f>AC15/P15</f>
        <v>2.0315149874412914</v>
      </c>
      <c r="AD17" s="8" t="s">
        <v>32</v>
      </c>
      <c r="AE17" s="55"/>
      <c r="AF17" s="56"/>
      <c r="AG17" s="56"/>
      <c r="AH17" s="56"/>
    </row>
    <row r="18" spans="2:34" s="4" customFormat="1">
      <c r="B18" s="57"/>
      <c r="C18" s="57"/>
      <c r="D18" s="58"/>
      <c r="E18" s="59"/>
      <c r="F18" s="60"/>
      <c r="G18" s="211"/>
      <c r="H18" s="211"/>
      <c r="I18" s="211"/>
      <c r="J18" s="60"/>
      <c r="K18" s="60"/>
      <c r="L18" s="60"/>
      <c r="M18" s="61"/>
      <c r="N18" s="62"/>
      <c r="O18" s="63"/>
      <c r="P18" s="193"/>
      <c r="Q18" s="193"/>
      <c r="R18" s="193"/>
      <c r="S18" s="286"/>
      <c r="T18" s="286"/>
      <c r="U18" s="193"/>
      <c r="V18" s="193"/>
      <c r="W18" s="193">
        <f>(W15+X15)/O15</f>
        <v>0.12881743225137954</v>
      </c>
      <c r="X18" s="193"/>
      <c r="Y18" s="194"/>
      <c r="Z18" s="193"/>
      <c r="AA18" s="64"/>
      <c r="AB18" s="64"/>
      <c r="AC18" s="62">
        <f>AC15/O15</f>
        <v>0.23215215687743598</v>
      </c>
      <c r="AD18" s="65" t="s">
        <v>33</v>
      </c>
      <c r="AE18" s="55"/>
      <c r="AF18" s="56"/>
      <c r="AG18" s="56"/>
      <c r="AH18" s="56"/>
    </row>
    <row r="19" spans="2:34">
      <c r="B19" s="210" t="s">
        <v>257</v>
      </c>
      <c r="F19" s="68"/>
      <c r="G19" s="212">
        <f t="shared" ref="G19:AC19" si="40">G6</f>
        <v>4961</v>
      </c>
      <c r="H19" s="212">
        <f t="shared" si="40"/>
        <v>2362</v>
      </c>
      <c r="I19" s="212">
        <f t="shared" si="40"/>
        <v>-53</v>
      </c>
      <c r="J19" s="213">
        <f t="shared" si="40"/>
        <v>1728382.78</v>
      </c>
      <c r="K19" s="213">
        <f t="shared" si="40"/>
        <v>-44657.88</v>
      </c>
      <c r="L19" s="213">
        <f t="shared" si="40"/>
        <v>1683724.9000000001</v>
      </c>
      <c r="M19" s="213">
        <f t="shared" si="40"/>
        <v>2303342.0599999991</v>
      </c>
      <c r="N19" s="213">
        <f t="shared" si="40"/>
        <v>-58267.040000000001</v>
      </c>
      <c r="O19" s="213">
        <f t="shared" si="40"/>
        <v>2245075.0199999991</v>
      </c>
      <c r="P19" s="213">
        <f t="shared" si="40"/>
        <v>292876.64000000007</v>
      </c>
      <c r="Q19" s="213">
        <f t="shared" si="40"/>
        <v>276475.65000000008</v>
      </c>
      <c r="R19" s="213">
        <f t="shared" si="40"/>
        <v>833669.77000000118</v>
      </c>
      <c r="S19" s="287">
        <f t="shared" si="40"/>
        <v>40333.140296013356</v>
      </c>
      <c r="T19" s="287">
        <f t="shared" si="40"/>
        <v>0</v>
      </c>
      <c r="U19" s="213">
        <f t="shared" si="40"/>
        <v>0</v>
      </c>
      <c r="V19" s="213">
        <f t="shared" si="40"/>
        <v>25431.599999999999</v>
      </c>
      <c r="W19" s="213">
        <f t="shared" si="40"/>
        <v>113446</v>
      </c>
      <c r="X19" s="213">
        <f t="shared" si="40"/>
        <v>404487</v>
      </c>
      <c r="Y19" s="213">
        <f t="shared" si="40"/>
        <v>0</v>
      </c>
      <c r="Z19" s="213">
        <f t="shared" si="40"/>
        <v>96140.691790000041</v>
      </c>
      <c r="AA19" s="213">
        <f t="shared" si="40"/>
        <v>0</v>
      </c>
      <c r="AB19" s="213">
        <f t="shared" si="40"/>
        <v>258355.21970398421</v>
      </c>
      <c r="AC19" s="213">
        <f t="shared" si="40"/>
        <v>162214.52791398414</v>
      </c>
      <c r="AD19" s="193"/>
    </row>
    <row r="20" spans="2:34">
      <c r="F20" s="68"/>
      <c r="G20" s="68"/>
      <c r="H20" s="68"/>
      <c r="I20" s="68"/>
      <c r="J20" s="68"/>
      <c r="K20" s="68"/>
      <c r="L20" s="68"/>
      <c r="M20" s="68"/>
      <c r="N20" s="214">
        <f>-N19/M19</f>
        <v>2.5296737732475576E-2</v>
      </c>
      <c r="O20" s="54"/>
      <c r="P20" s="215">
        <f t="shared" ref="P20:AA20" si="41">P19/$O$19</f>
        <v>0.13045294138990518</v>
      </c>
      <c r="Q20" s="215">
        <f t="shared" si="41"/>
        <v>0.12314762203358362</v>
      </c>
      <c r="R20" s="215">
        <f t="shared" si="41"/>
        <v>0.37133270049924727</v>
      </c>
      <c r="S20" s="305">
        <f t="shared" si="41"/>
        <v>1.7965163719123014E-2</v>
      </c>
      <c r="T20" s="288">
        <f t="shared" si="41"/>
        <v>0</v>
      </c>
      <c r="U20" s="215">
        <f t="shared" si="41"/>
        <v>0</v>
      </c>
      <c r="V20" s="215">
        <f t="shared" si="41"/>
        <v>1.1327728371410951E-2</v>
      </c>
      <c r="W20" s="215">
        <f t="shared" si="41"/>
        <v>5.0531050851031267E-2</v>
      </c>
      <c r="X20" s="215">
        <f t="shared" si="41"/>
        <v>0.18016636254765339</v>
      </c>
      <c r="Y20" s="215">
        <f t="shared" si="41"/>
        <v>0</v>
      </c>
      <c r="Z20" s="215">
        <f t="shared" si="41"/>
        <v>4.2822930607459203E-2</v>
      </c>
      <c r="AA20" s="215">
        <f t="shared" si="41"/>
        <v>0</v>
      </c>
      <c r="AB20" s="215"/>
      <c r="AC20" s="215">
        <f>AC19/O19</f>
        <v>7.2253499980586042E-2</v>
      </c>
    </row>
    <row r="21" spans="2:34" ht="15.5">
      <c r="F21" s="68"/>
      <c r="G21" s="68"/>
      <c r="H21" s="68"/>
      <c r="I21" s="68"/>
      <c r="J21" s="68"/>
      <c r="K21" s="68"/>
      <c r="L21" s="68"/>
      <c r="M21" s="71"/>
      <c r="N21" s="68"/>
      <c r="O21" s="68"/>
      <c r="P21" s="72"/>
      <c r="Q21" s="73"/>
      <c r="R21" s="68"/>
      <c r="S21" s="68"/>
      <c r="T21" s="68"/>
    </row>
    <row r="22" spans="2:34">
      <c r="F22" s="68"/>
      <c r="G22" s="68"/>
      <c r="H22" s="68"/>
      <c r="I22" s="68"/>
      <c r="J22" s="68"/>
      <c r="K22" s="68"/>
      <c r="L22" s="68"/>
      <c r="M22" s="74"/>
      <c r="N22" s="68"/>
      <c r="O22" s="68"/>
      <c r="P22" s="69"/>
      <c r="Q22" s="75"/>
      <c r="R22" s="68"/>
      <c r="S22" s="68"/>
      <c r="T22" s="68"/>
    </row>
    <row r="23" spans="2:34">
      <c r="F23" s="68"/>
      <c r="G23" s="68"/>
      <c r="H23" s="68"/>
      <c r="I23" s="68"/>
      <c r="J23" s="68"/>
      <c r="K23" s="68"/>
      <c r="L23" s="68"/>
      <c r="M23" s="69"/>
      <c r="N23" s="68"/>
      <c r="O23" s="68"/>
      <c r="P23" s="69"/>
      <c r="Q23" s="75"/>
      <c r="R23" s="68"/>
      <c r="S23" s="68"/>
      <c r="T23" s="68"/>
    </row>
    <row r="24" spans="2:34">
      <c r="F24" s="68"/>
      <c r="G24" s="68"/>
      <c r="H24" s="68"/>
      <c r="I24" s="68"/>
      <c r="J24" s="68"/>
      <c r="K24" s="68"/>
      <c r="L24" s="68"/>
      <c r="M24" s="69"/>
      <c r="N24" s="68"/>
      <c r="O24" s="68"/>
      <c r="P24" s="69"/>
      <c r="Q24" s="75"/>
      <c r="R24" s="68"/>
      <c r="S24" s="68"/>
      <c r="T24" s="68"/>
      <c r="AB24" s="225"/>
      <c r="AC24" s="216"/>
    </row>
    <row r="25" spans="2:34">
      <c r="F25" s="68"/>
      <c r="G25" s="68"/>
      <c r="H25" s="68"/>
      <c r="I25" s="68"/>
      <c r="J25" s="68"/>
      <c r="K25" s="68"/>
      <c r="L25" s="68"/>
      <c r="M25" s="69"/>
      <c r="N25" s="70"/>
      <c r="O25" s="68"/>
      <c r="P25" s="69"/>
      <c r="Q25" s="75"/>
      <c r="R25" s="68"/>
      <c r="S25" s="68"/>
      <c r="T25" s="68"/>
    </row>
    <row r="26" spans="2:34"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</row>
    <row r="27" spans="2:34" ht="15.5">
      <c r="F27" s="66"/>
      <c r="G27" s="66"/>
      <c r="H27" s="66"/>
      <c r="I27" s="66"/>
      <c r="J27" s="66"/>
      <c r="K27" s="66"/>
      <c r="L27" s="66"/>
      <c r="M27" s="67"/>
      <c r="N27" s="66"/>
      <c r="O27" s="66"/>
      <c r="P27" s="76"/>
      <c r="Q27" s="66"/>
      <c r="R27" s="66"/>
      <c r="S27" s="66"/>
      <c r="T27" s="77"/>
    </row>
  </sheetData>
  <mergeCells count="28"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  <mergeCell ref="AD9:AD13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B2:AB3"/>
    <mergeCell ref="AD6:AD8"/>
    <mergeCell ref="AD4:AD5"/>
  </mergeCells>
  <conditionalFormatting sqref="O3">
    <cfRule type="dataBar" priority="30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2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13">
    <cfRule type="dataBar" priority="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{DF567778-2B18-45ED-8090-70CE7E4B1565}</x14:id>
        </ext>
      </extLst>
    </cfRule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{2884FB0A-9F52-4647-A7EE-44A5E9A9F728}</x14:id>
        </ext>
      </extLst>
    </cfRule>
  </conditionalFormatting>
  <conditionalFormatting sqref="O13"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{4EC822F3-2F28-4E2E-BA2F-63BA10596AB9}</x14:id>
        </ext>
      </extLst>
    </cfRule>
  </conditionalFormatting>
  <conditionalFormatting sqref="O13">
    <cfRule type="dataBar" priority="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{226D32FD-47B4-4E22-B767-CEF2318B9750}</x14:id>
        </ext>
      </extLst>
    </cfRule>
  </conditionalFormatting>
  <conditionalFormatting sqref="L13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{DE3262A7-4D17-46EA-8906-A0D5F56E5FC8}</x14:id>
        </ext>
      </extLst>
    </cfRule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{0D43AC98-9F1D-4E43-836D-15B163AD2CFF}</x14:id>
        </ext>
      </extLst>
    </cfRule>
  </conditionalFormatting>
  <conditionalFormatting sqref="L13"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{FC391E72-307F-41B2-B800-68B15F2D05C3}</x14:id>
        </ext>
      </extLst>
    </cfRule>
  </conditionalFormatting>
  <conditionalFormatting sqref="L13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{135B47DF-FBB8-49F7-9F34-C3D68F934CBF}</x14:id>
        </ext>
      </extLst>
    </cfRule>
  </conditionalFormatting>
  <conditionalFormatting sqref="O13">
    <cfRule type="dataBar" priority="5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{A731BF79-5807-485D-B986-909EC6479FD4}</x14:id>
        </ext>
      </extLst>
    </cfRule>
  </conditionalFormatting>
  <conditionalFormatting sqref="L13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{5A052377-CA1D-4FF8-B178-CE3D34D68196}</x14:id>
        </ext>
      </extLst>
    </cfRule>
  </conditionalFormatting>
  <conditionalFormatting sqref="L13">
    <cfRule type="dataBar" priority="5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{2601FD5B-98DE-4222-831C-986845AB1C77}</x14:id>
        </ext>
      </extLst>
    </cfRule>
  </conditionalFormatting>
  <conditionalFormatting sqref="O13">
    <cfRule type="dataBar" priority="5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{BE3EC3E6-9FF7-4C59-AE90-84A88FA5A5A0}</x14:id>
        </ext>
      </extLst>
    </cfRule>
  </conditionalFormatting>
  <conditionalFormatting sqref="L13">
    <cfRule type="dataBar" priority="5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{68CB6457-80B5-4715-927C-B260583DD5AA}</x14:id>
        </ext>
      </extLst>
    </cfRule>
  </conditionalFormatting>
  <conditionalFormatting sqref="O13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{1C4F069A-997B-4E79-895B-4EE68E54B5F4}</x14:id>
        </ext>
      </extLst>
    </cfRule>
  </conditionalFormatting>
  <conditionalFormatting sqref="L13">
    <cfRule type="dataBar" priority="5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{CCB725F9-99CF-4CCD-9CF4-6F598706A634}</x14:id>
        </ext>
      </extLst>
    </cfRule>
  </conditionalFormatting>
  <conditionalFormatting sqref="O13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{5A2EA89F-50AA-43D0-A570-1982D6FC7689}</x14:id>
        </ext>
      </extLst>
    </cfRule>
  </conditionalFormatting>
  <conditionalFormatting sqref="O14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5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14">
    <cfRule type="dataBar" priority="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14">
    <cfRule type="dataBar" priority="5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14"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14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14">
    <cfRule type="dataBar" priority="5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14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14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14">
    <cfRule type="dataBar" priority="4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14">
    <cfRule type="dataBar" priority="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14">
    <cfRule type="dataBar" priority="4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14"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14">
    <cfRule type="dataBar" priority="4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14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13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{41F9E0C2-5FB1-43B1-BE8E-9968C887AD58}</x14:id>
        </ext>
      </extLst>
    </cfRule>
  </conditionalFormatting>
  <conditionalFormatting sqref="Q13">
    <cfRule type="dataBar" priority="4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{D57220EC-0B1C-48DE-9411-85517C174E5D}</x14:id>
        </ext>
      </extLst>
    </cfRule>
  </conditionalFormatting>
  <conditionalFormatting sqref="R13">
    <cfRule type="dataBar" priority="4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{BFF588BF-5753-429D-A569-9AA300FD02D7}</x14:id>
        </ext>
      </extLst>
    </cfRule>
    <cfRule type="dataBar" priority="4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{1EA1F037-0CB5-4D2C-A41C-773C8A8A6C4E}</x14:id>
        </ext>
      </extLst>
    </cfRule>
  </conditionalFormatting>
  <conditionalFormatting sqref="Q13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{EB0AD384-C96F-4AF7-BB9E-240A8927FC03}</x14:id>
        </ext>
      </extLst>
    </cfRule>
  </conditionalFormatting>
  <conditionalFormatting sqref="R13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{9010D243-EE5D-4A50-837F-48B0E501A138}</x14:id>
        </ext>
      </extLst>
    </cfRule>
  </conditionalFormatting>
  <conditionalFormatting sqref="Q13">
    <cfRule type="dataBar" priority="4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{8C5FAE3A-85C0-4E06-8E9A-E58A8B3E6AA8}</x14:id>
        </ext>
      </extLst>
    </cfRule>
  </conditionalFormatting>
  <conditionalFormatting sqref="R13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{BB7AE0DD-0D82-4D37-8F50-B590B378F78B}</x14:id>
        </ext>
      </extLst>
    </cfRule>
  </conditionalFormatting>
  <conditionalFormatting sqref="Q13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{ACEBC487-626A-4077-AB2C-3746DA19F155}</x14:id>
        </ext>
      </extLst>
    </cfRule>
  </conditionalFormatting>
  <conditionalFormatting sqref="R13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{E9CD6D3B-4701-477A-BCF0-FE77B2958356}</x14:id>
        </ext>
      </extLst>
    </cfRule>
  </conditionalFormatting>
  <conditionalFormatting sqref="R13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{E8882EB1-62F4-4223-ACF4-AFF7D58F64AF}</x14:id>
        </ext>
      </extLst>
    </cfRule>
  </conditionalFormatting>
  <conditionalFormatting sqref="Q13">
    <cfRule type="dataBar" priority="4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{0FF582E5-5C5A-422A-905A-A6118E51EA8E}</x14:id>
        </ext>
      </extLst>
    </cfRule>
  </conditionalFormatting>
  <conditionalFormatting sqref="R13">
    <cfRule type="dataBar" priority="4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{7F251981-62AB-4BA0-B4FC-F9F70D5062BC}</x14:id>
        </ext>
      </extLst>
    </cfRule>
  </conditionalFormatting>
  <conditionalFormatting sqref="Q13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{BB63C271-BF73-4336-BE4A-785E81B5ED22}</x14:id>
        </ext>
      </extLst>
    </cfRule>
  </conditionalFormatting>
  <conditionalFormatting sqref="R13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{5F95A64A-C5F5-410F-B65D-950FCFAA6101}</x14:id>
        </ext>
      </extLst>
    </cfRule>
  </conditionalFormatting>
  <conditionalFormatting sqref="Q13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{D71FA6FF-E353-4B50-8F2F-E2B6B0142DB7}</x14:id>
        </ext>
      </extLst>
    </cfRule>
  </conditionalFormatting>
  <conditionalFormatting sqref="R13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{6688302F-F18C-4708-9847-E0F340CBC76B}</x14:id>
        </ext>
      </extLst>
    </cfRule>
  </conditionalFormatting>
  <conditionalFormatting sqref="Q13"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{1331D267-FC51-49F5-99D0-28AE86193EDC}</x14:id>
        </ext>
      </extLst>
    </cfRule>
  </conditionalFormatting>
  <conditionalFormatting sqref="R13">
    <cfRule type="dataBar" priority="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{D394B156-87B2-44ED-956E-BE98741DF2BF}</x14:id>
        </ext>
      </extLst>
    </cfRule>
  </conditionalFormatting>
  <conditionalFormatting sqref="Q14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14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14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14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14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14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14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14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14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14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14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14">
    <cfRule type="dataBar" priority="4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14"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14">
    <cfRule type="dataBar" priority="4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14">
    <cfRule type="dataBar" priority="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14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14">
    <cfRule type="dataBar" priority="4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14">
    <cfRule type="dataBar" priority="4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9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9"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9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3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9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9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9">
    <cfRule type="dataBar" priority="3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9">
    <cfRule type="dataBar" priority="3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9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9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9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9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9">
    <cfRule type="dataBar" priority="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9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9"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9">
    <cfRule type="dataBar" priority="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9"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9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9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9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9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9">
    <cfRule type="dataBar" priority="3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9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9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9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9">
    <cfRule type="dataBar" priority="3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9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9"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9"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9">
    <cfRule type="dataBar" priority="3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9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9">
    <cfRule type="dataBar" priority="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9"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0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0"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0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3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0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0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0"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0"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0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0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0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0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0">
    <cfRule type="dataBar" priority="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0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0"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0">
    <cfRule type="dataBar" priority="3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0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0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0"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0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0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0">
    <cfRule type="dataBar" priority="3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0">
    <cfRule type="dataBar" priority="3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0">
    <cfRule type="dataBar" priority="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0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0">
    <cfRule type="dataBar" priority="3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0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0"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0"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0">
    <cfRule type="dataBar" priority="2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0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0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0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AF4:AF6 AF8:AF14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G4:AG6 AG8:AG14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H4:AH6 AH8:AH14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2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2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2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2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F15:AF16">
    <cfRule type="dataBar" priority="3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15:AG16">
    <cfRule type="dataBar" priority="3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15:AH16">
    <cfRule type="dataBar" priority="3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2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1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1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1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1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1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1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1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1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1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1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1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F7"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G7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H7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1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1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1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1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1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1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1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1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1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1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1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1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1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1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1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1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1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1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1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1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1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1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1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1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1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1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1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1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1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1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1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2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2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2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2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2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2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2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2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2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2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2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2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2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F567778-2B18-45ED-8090-70CE7E4B15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884FB0A-9F52-4647-A7EE-44A5E9A9F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EC822F3-2F28-4E2E-BA2F-63BA10596A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26D32FD-47B4-4E22-B767-CEF2318B97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DE3262A7-4D17-46EA-8906-A0D5F56E5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43AC98-9F1D-4E43-836D-15B163AD2C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C391E72-307F-41B2-B800-68B15F2D05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35B47DF-FBB8-49F7-9F34-C3D68F934C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731BF79-5807-485D-B986-909EC6479F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5A052377-CA1D-4FF8-B178-CE3D34D681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2601FD5B-98DE-4222-831C-986845AB1C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E3EC3E6-9FF7-4C59-AE90-84A88FA5A5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8CB6457-80B5-4715-927C-B260583DD5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4F069A-997B-4E79-895B-4EE68E54B5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CB725F9-99CF-4CCD-9CF4-6F598706A63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A2EA89F-50AA-43D0-A570-1982D6FC7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41F9E0C2-5FB1-43B1-BE8E-9968C887A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57220EC-0B1C-48DE-9411-85517C174E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BFF588BF-5753-429D-A569-9AA300FD02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F037-0CB5-4D2C-A41C-773C8A8A6C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B0AD384-C96F-4AF7-BB9E-240A8927FC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010D243-EE5D-4A50-837F-48B0E501A1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C5FAE3A-85C0-4E06-8E9A-E58A8B3E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BB7AE0DD-0D82-4D37-8F50-B590B378F7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ACEBC487-626A-4077-AB2C-3746DA19F1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E9CD6D3B-4701-477A-BCF0-FE77B29583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8882EB1-62F4-4223-ACF4-AFF7D58F6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FF582E5-5C5A-422A-905A-A6118E51E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7F251981-62AB-4BA0-B4FC-F9F70D5062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B63C271-BF73-4336-BE4A-785E81B5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F95A64A-C5F5-410F-B65D-950FCFAA61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71FA6FF-E353-4B50-8F2F-E2B6B0142D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88302F-F18C-4708-9847-E0F340CBC7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331D267-FC51-49F5-99D0-28AE86193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394B156-87B2-44ED-956E-BE98741DF2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AF8:AF14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AG8:AG14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AH8:AH14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AF15:AF16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AG15:AG16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AH15:AH16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dimension ref="B1:Q114"/>
  <sheetViews>
    <sheetView zoomScale="80" zoomScaleNormal="80" workbookViewId="0">
      <selection activeCell="I10" sqref="I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0" t="s">
        <v>86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2"/>
    </row>
    <row r="3" spans="2:17" ht="28.5" customHeight="1" outlineLevel="1" thickBot="1">
      <c r="C3" s="173" t="s">
        <v>10</v>
      </c>
      <c r="D3" s="174" t="s">
        <v>87</v>
      </c>
      <c r="E3" s="175" t="s">
        <v>88</v>
      </c>
      <c r="F3" s="174" t="s">
        <v>89</v>
      </c>
      <c r="G3" s="174" t="s">
        <v>90</v>
      </c>
      <c r="J3" s="173" t="s">
        <v>91</v>
      </c>
      <c r="K3" s="174" t="s">
        <v>92</v>
      </c>
      <c r="L3" s="175" t="s">
        <v>88</v>
      </c>
      <c r="M3" s="176" t="s">
        <v>90</v>
      </c>
    </row>
    <row r="4" spans="2:17" ht="15" outlineLevel="1" thickBot="1">
      <c r="B4" s="188" t="s">
        <v>126</v>
      </c>
      <c r="C4" s="177">
        <f>'Юнит 8'!AO4</f>
        <v>187586.52144729253</v>
      </c>
      <c r="D4" s="178">
        <f t="shared" ref="D4:D35" si="0">C4/C$105</f>
        <v>0.32723327968785643</v>
      </c>
      <c r="E4" s="178">
        <f>D4</f>
        <v>0.32723327968785643</v>
      </c>
      <c r="F4" s="179" t="str">
        <f>IF(AND(E4&lt;=0),"C",IF(E4&lt;=0.8,"A",IF(E4&lt;=0.95,"B","C")))</f>
        <v>A</v>
      </c>
      <c r="G4" s="179" t="str">
        <f t="shared" ref="G4:G35" si="1">VLOOKUP(B$4:B$104,I$4:M$104,5,0)</f>
        <v>A</v>
      </c>
      <c r="I4" s="188" t="s">
        <v>126</v>
      </c>
      <c r="J4" s="177">
        <f>'Юнит 8'!U4</f>
        <v>553</v>
      </c>
      <c r="K4" s="178">
        <f t="shared" ref="K4:K35" si="2">J4/J$105</f>
        <v>0.24555950266429841</v>
      </c>
      <c r="L4" s="178">
        <f>K4</f>
        <v>0.24555950266429841</v>
      </c>
      <c r="M4" s="179" t="str">
        <f>_xlfn.IFS(L4&lt;80%,"A",L4&lt;=95%,"B",L4&gt;95%,"C")</f>
        <v>A</v>
      </c>
      <c r="P4" s="180" t="s">
        <v>93</v>
      </c>
      <c r="Q4" s="181">
        <v>0.8</v>
      </c>
    </row>
    <row r="5" spans="2:17" ht="15" outlineLevel="1" thickBot="1">
      <c r="B5" s="188" t="s">
        <v>129</v>
      </c>
      <c r="C5" s="177">
        <f>'Юнит 8'!AO7</f>
        <v>67172.510044131675</v>
      </c>
      <c r="D5" s="178">
        <f t="shared" si="0"/>
        <v>0.1171783590687397</v>
      </c>
      <c r="E5" s="178">
        <f>E4+D5</f>
        <v>0.44441163875659612</v>
      </c>
      <c r="F5" s="179" t="str">
        <f t="shared" ref="F5:F96" si="3">IF(AND(E5&lt;=0),"C",IF(E5&lt;=0.8,"A",IF(E5&lt;=0.95,"B","C")))</f>
        <v>A</v>
      </c>
      <c r="G5" s="179" t="str">
        <f t="shared" si="1"/>
        <v>A</v>
      </c>
      <c r="I5" s="188" t="s">
        <v>129</v>
      </c>
      <c r="J5" s="177">
        <f>'Юнит 8'!U7</f>
        <v>206</v>
      </c>
      <c r="K5" s="178">
        <f t="shared" si="2"/>
        <v>9.1474245115452935E-2</v>
      </c>
      <c r="L5" s="178">
        <f>L4+K5</f>
        <v>0.33703374777975137</v>
      </c>
      <c r="M5" s="179" t="str">
        <f t="shared" ref="M5:M98" si="4">_xlfn.IFS(L5&lt;80%,"A",L5&lt;=95%,"B",L5&gt;95%,"C")</f>
        <v>A</v>
      </c>
      <c r="P5" s="182" t="s">
        <v>94</v>
      </c>
      <c r="Q5" s="181">
        <v>0.15</v>
      </c>
    </row>
    <row r="6" spans="2:17" ht="15" outlineLevel="1" thickBot="1">
      <c r="B6" s="188" t="s">
        <v>131</v>
      </c>
      <c r="C6" s="177">
        <f>'Юнит 8'!AO9</f>
        <v>42084.800899307753</v>
      </c>
      <c r="D6" s="178">
        <f t="shared" si="0"/>
        <v>7.3414376027866227E-2</v>
      </c>
      <c r="E6" s="178">
        <f t="shared" ref="E6:E69" si="5">E5+D6</f>
        <v>0.51782601478446233</v>
      </c>
      <c r="F6" s="179" t="str">
        <f t="shared" si="3"/>
        <v>A</v>
      </c>
      <c r="G6" s="179" t="str">
        <f t="shared" si="1"/>
        <v>A</v>
      </c>
      <c r="I6" s="188" t="s">
        <v>132</v>
      </c>
      <c r="J6" s="177">
        <f>'Юнит 8'!U10</f>
        <v>165</v>
      </c>
      <c r="K6" s="178">
        <f t="shared" si="2"/>
        <v>7.3268206039076383E-2</v>
      </c>
      <c r="L6" s="178">
        <f t="shared" ref="L6:L69" si="6">L5+K6</f>
        <v>0.41030195381882772</v>
      </c>
      <c r="M6" s="179" t="str">
        <f t="shared" si="4"/>
        <v>A</v>
      </c>
      <c r="P6" s="183" t="s">
        <v>95</v>
      </c>
      <c r="Q6" s="181">
        <v>0.05</v>
      </c>
    </row>
    <row r="7" spans="2:17" ht="15" outlineLevel="1" thickBot="1">
      <c r="B7" s="188" t="s">
        <v>127</v>
      </c>
      <c r="C7" s="177">
        <f>'Юнит 8'!AO5</f>
        <v>41232.197370852744</v>
      </c>
      <c r="D7" s="178">
        <f t="shared" si="0"/>
        <v>7.1927061018572422E-2</v>
      </c>
      <c r="E7" s="178">
        <f t="shared" si="5"/>
        <v>0.58975307580303471</v>
      </c>
      <c r="F7" s="179" t="str">
        <f t="shared" si="3"/>
        <v>A</v>
      </c>
      <c r="G7" s="179" t="str">
        <f t="shared" si="1"/>
        <v>A</v>
      </c>
      <c r="I7" s="188" t="s">
        <v>127</v>
      </c>
      <c r="J7" s="177">
        <f>'Юнит 8'!U5</f>
        <v>151</v>
      </c>
      <c r="K7" s="178">
        <f t="shared" si="2"/>
        <v>6.7051509769094145E-2</v>
      </c>
      <c r="L7" s="178">
        <f t="shared" si="6"/>
        <v>0.47735346358792186</v>
      </c>
      <c r="M7" s="179" t="str">
        <f t="shared" si="4"/>
        <v>A</v>
      </c>
    </row>
    <row r="8" spans="2:17" ht="15" outlineLevel="1" thickBot="1">
      <c r="B8" s="188" t="s">
        <v>132</v>
      </c>
      <c r="C8" s="177">
        <f>'Юнит 8'!AO10</f>
        <v>35943.920347612373</v>
      </c>
      <c r="D8" s="178">
        <f t="shared" si="0"/>
        <v>6.2701983327161037E-2</v>
      </c>
      <c r="E8" s="178">
        <f t="shared" si="5"/>
        <v>0.65245505913019575</v>
      </c>
      <c r="F8" s="179" t="str">
        <f t="shared" si="3"/>
        <v>A</v>
      </c>
      <c r="G8" s="179" t="str">
        <f t="shared" si="1"/>
        <v>A</v>
      </c>
      <c r="I8" s="188" t="s">
        <v>131</v>
      </c>
      <c r="J8" s="177">
        <f>'Юнит 8'!U9</f>
        <v>135</v>
      </c>
      <c r="K8" s="178">
        <f t="shared" si="2"/>
        <v>5.9946714031971583E-2</v>
      </c>
      <c r="L8" s="178">
        <f t="shared" si="6"/>
        <v>0.53730017761989346</v>
      </c>
      <c r="M8" s="179" t="str">
        <f>_xlfn.IFS(L8&lt;80%,"A",L8&lt;=95%,"B",L8&gt;95%,"C")</f>
        <v>A</v>
      </c>
    </row>
    <row r="9" spans="2:17" ht="15" outlineLevel="1" thickBot="1">
      <c r="B9" s="188" t="s">
        <v>128</v>
      </c>
      <c r="C9" s="177">
        <f>'Юнит 8'!AO6</f>
        <v>35702.023819253962</v>
      </c>
      <c r="D9" s="178">
        <f t="shared" si="0"/>
        <v>6.2280009542962103E-2</v>
      </c>
      <c r="E9" s="178">
        <f t="shared" si="5"/>
        <v>0.71473506867315784</v>
      </c>
      <c r="F9" s="179" t="str">
        <f t="shared" si="3"/>
        <v>A</v>
      </c>
      <c r="G9" s="179" t="str">
        <f t="shared" si="1"/>
        <v>A</v>
      </c>
      <c r="I9" s="188" t="s">
        <v>128</v>
      </c>
      <c r="J9" s="177">
        <f>'Юнит 8'!U6</f>
        <v>126</v>
      </c>
      <c r="K9" s="178">
        <f t="shared" si="2"/>
        <v>5.5950266429840141E-2</v>
      </c>
      <c r="L9" s="178">
        <f t="shared" si="6"/>
        <v>0.59325044404973359</v>
      </c>
      <c r="M9" s="179" t="str">
        <f t="shared" si="4"/>
        <v>A</v>
      </c>
    </row>
    <row r="10" spans="2:17" ht="15" outlineLevel="1" thickBot="1">
      <c r="B10" s="188" t="s">
        <v>138</v>
      </c>
      <c r="C10" s="177">
        <f>'Юнит 8'!AO16</f>
        <v>24641.241204937149</v>
      </c>
      <c r="D10" s="178">
        <f t="shared" si="0"/>
        <v>4.2985146869076993E-2</v>
      </c>
      <c r="E10" s="178">
        <f t="shared" si="5"/>
        <v>0.75772021554223479</v>
      </c>
      <c r="F10" s="179" t="str">
        <f t="shared" si="3"/>
        <v>A</v>
      </c>
      <c r="G10" s="179" t="str">
        <f t="shared" si="1"/>
        <v>A</v>
      </c>
      <c r="I10" s="188" t="s">
        <v>150</v>
      </c>
      <c r="J10" s="177">
        <f>'Юнит 8'!U28</f>
        <v>96</v>
      </c>
      <c r="K10" s="178">
        <f t="shared" si="2"/>
        <v>4.2628774422735348E-2</v>
      </c>
      <c r="L10" s="178">
        <f t="shared" si="6"/>
        <v>0.63587921847246898</v>
      </c>
      <c r="M10" s="179" t="str">
        <f t="shared" si="4"/>
        <v>A</v>
      </c>
    </row>
    <row r="11" spans="2:17" ht="15" outlineLevel="1" thickBot="1">
      <c r="B11" s="188" t="s">
        <v>135</v>
      </c>
      <c r="C11" s="177">
        <f>'Юнит 8'!AO13</f>
        <v>22233.993431608349</v>
      </c>
      <c r="D11" s="178">
        <f t="shared" si="0"/>
        <v>3.8785849511196152E-2</v>
      </c>
      <c r="E11" s="178">
        <f t="shared" si="5"/>
        <v>0.79650606505343091</v>
      </c>
      <c r="F11" s="179" t="str">
        <f t="shared" si="3"/>
        <v>A</v>
      </c>
      <c r="G11" s="179" t="str">
        <f t="shared" si="1"/>
        <v>A</v>
      </c>
      <c r="I11" s="188" t="s">
        <v>135</v>
      </c>
      <c r="J11" s="177">
        <f>'Юнит 8'!U13</f>
        <v>92</v>
      </c>
      <c r="K11" s="178">
        <f t="shared" si="2"/>
        <v>4.0852575488454709E-2</v>
      </c>
      <c r="L11" s="178">
        <f t="shared" si="6"/>
        <v>0.67673179396092364</v>
      </c>
      <c r="M11" s="179" t="str">
        <f>_xlfn.IFS(L11&lt;80%,"A",L11&lt;=95%,"B",L11&gt;95%,"C")</f>
        <v>A</v>
      </c>
      <c r="P11" s="281"/>
    </row>
    <row r="12" spans="2:17" ht="15" outlineLevel="1" thickBot="1">
      <c r="B12" s="188" t="s">
        <v>150</v>
      </c>
      <c r="C12" s="177">
        <f>'Юнит 8'!AO28</f>
        <v>21229.533621002993</v>
      </c>
      <c r="D12" s="178">
        <f t="shared" si="0"/>
        <v>3.7033630451942537E-2</v>
      </c>
      <c r="E12" s="178">
        <f t="shared" si="5"/>
        <v>0.83353969550537343</v>
      </c>
      <c r="F12" s="179" t="str">
        <f t="shared" si="3"/>
        <v>B</v>
      </c>
      <c r="G12" s="179" t="str">
        <f t="shared" si="1"/>
        <v>A</v>
      </c>
      <c r="I12" s="188" t="s">
        <v>138</v>
      </c>
      <c r="J12" s="177">
        <f>'Юнит 8'!U16</f>
        <v>85</v>
      </c>
      <c r="K12" s="178">
        <f t="shared" si="2"/>
        <v>3.774422735346359E-2</v>
      </c>
      <c r="L12" s="178">
        <f t="shared" si="6"/>
        <v>0.71447602131438726</v>
      </c>
      <c r="M12" s="179" t="str">
        <f t="shared" si="4"/>
        <v>A</v>
      </c>
    </row>
    <row r="13" spans="2:17" ht="26.5" outlineLevel="1" thickBot="1">
      <c r="B13" s="188" t="s">
        <v>134</v>
      </c>
      <c r="C13" s="177">
        <f>'Юнит 8'!AO12</f>
        <v>16922.862703157374</v>
      </c>
      <c r="D13" s="178">
        <f t="shared" si="0"/>
        <v>2.9520904920759265E-2</v>
      </c>
      <c r="E13" s="178">
        <f t="shared" si="5"/>
        <v>0.86306060042613275</v>
      </c>
      <c r="F13" s="179" t="str">
        <f t="shared" si="3"/>
        <v>B</v>
      </c>
      <c r="G13" s="179" t="str">
        <f t="shared" si="1"/>
        <v>B</v>
      </c>
      <c r="I13" s="188" t="s">
        <v>125</v>
      </c>
      <c r="J13" s="177">
        <f>'Юнит 8'!U3</f>
        <v>74</v>
      </c>
      <c r="K13" s="178">
        <f t="shared" si="2"/>
        <v>3.2859680284191832E-2</v>
      </c>
      <c r="L13" s="178">
        <f t="shared" si="6"/>
        <v>0.74733570159857909</v>
      </c>
      <c r="M13" s="179" t="str">
        <f t="shared" si="4"/>
        <v>A</v>
      </c>
    </row>
    <row r="14" spans="2:17" ht="15" outlineLevel="1" thickBot="1">
      <c r="B14" s="188" t="s">
        <v>130</v>
      </c>
      <c r="C14" s="177">
        <f>'Юнит 8'!AO8</f>
        <v>15508.02510581095</v>
      </c>
      <c r="D14" s="178">
        <f t="shared" si="0"/>
        <v>2.7052806767260296E-2</v>
      </c>
      <c r="E14" s="178">
        <f t="shared" si="5"/>
        <v>0.89011340719339305</v>
      </c>
      <c r="F14" s="179" t="str">
        <f t="shared" si="3"/>
        <v>B</v>
      </c>
      <c r="G14" s="179" t="str">
        <f t="shared" si="1"/>
        <v>A</v>
      </c>
      <c r="I14" s="188" t="s">
        <v>130</v>
      </c>
      <c r="J14" s="177">
        <f>'Юнит 8'!U8</f>
        <v>68</v>
      </c>
      <c r="K14" s="178">
        <f t="shared" si="2"/>
        <v>3.0195381882770871E-2</v>
      </c>
      <c r="L14" s="178">
        <f t="shared" si="6"/>
        <v>0.77753108348134992</v>
      </c>
      <c r="M14" s="179" t="str">
        <f t="shared" si="4"/>
        <v>A</v>
      </c>
    </row>
    <row r="15" spans="2:17" ht="15" outlineLevel="1" thickBot="1">
      <c r="B15" s="188" t="s">
        <v>133</v>
      </c>
      <c r="C15" s="177">
        <f>'Юнит 8'!AO11</f>
        <v>12076.316054588237</v>
      </c>
      <c r="D15" s="178">
        <f t="shared" si="0"/>
        <v>2.1066399006713175E-2</v>
      </c>
      <c r="E15" s="178">
        <f t="shared" si="5"/>
        <v>0.91117980620010619</v>
      </c>
      <c r="F15" s="179" t="str">
        <f t="shared" si="3"/>
        <v>B</v>
      </c>
      <c r="G15" s="179" t="str">
        <f t="shared" si="1"/>
        <v>B</v>
      </c>
      <c r="I15" s="188" t="s">
        <v>134</v>
      </c>
      <c r="J15" s="177">
        <f>'Юнит 8'!U12</f>
        <v>68</v>
      </c>
      <c r="K15" s="178">
        <f t="shared" si="2"/>
        <v>3.0195381882770871E-2</v>
      </c>
      <c r="L15" s="178">
        <f t="shared" si="6"/>
        <v>0.80772646536412074</v>
      </c>
      <c r="M15" s="179" t="str">
        <f t="shared" si="4"/>
        <v>B</v>
      </c>
    </row>
    <row r="16" spans="2:17" ht="26.5" outlineLevel="1" thickBot="1">
      <c r="B16" s="188" t="s">
        <v>139</v>
      </c>
      <c r="C16" s="177">
        <f>'Юнит 8'!AO17</f>
        <v>9301.513191406746</v>
      </c>
      <c r="D16" s="178">
        <f t="shared" si="0"/>
        <v>1.6225924145296961E-2</v>
      </c>
      <c r="E16" s="178">
        <f t="shared" si="5"/>
        <v>0.92740573034540319</v>
      </c>
      <c r="F16" s="179" t="str">
        <f t="shared" si="3"/>
        <v>B</v>
      </c>
      <c r="G16" s="179" t="str">
        <f t="shared" si="1"/>
        <v>B</v>
      </c>
      <c r="I16" s="188" t="s">
        <v>167</v>
      </c>
      <c r="J16" s="177">
        <f>'Юнит 8'!U45</f>
        <v>67</v>
      </c>
      <c r="K16" s="178">
        <f t="shared" si="2"/>
        <v>2.9751332149200709E-2</v>
      </c>
      <c r="L16" s="178">
        <f t="shared" si="6"/>
        <v>0.83747779751332141</v>
      </c>
      <c r="M16" s="179" t="str">
        <f t="shared" si="4"/>
        <v>B</v>
      </c>
    </row>
    <row r="17" spans="2:13" ht="15" outlineLevel="1" thickBot="1">
      <c r="B17" s="188" t="s">
        <v>136</v>
      </c>
      <c r="C17" s="177">
        <f>'Юнит 8'!AO14</f>
        <v>9186.5030920150857</v>
      </c>
      <c r="D17" s="178">
        <f t="shared" si="0"/>
        <v>1.6025296020574609E-2</v>
      </c>
      <c r="E17" s="178">
        <f t="shared" si="5"/>
        <v>0.94343102636597775</v>
      </c>
      <c r="F17" s="179" t="str">
        <f t="shared" si="3"/>
        <v>B</v>
      </c>
      <c r="G17" s="179" t="str">
        <f t="shared" si="1"/>
        <v>B</v>
      </c>
      <c r="I17" s="188" t="s">
        <v>133</v>
      </c>
      <c r="J17" s="177">
        <f>'Юнит 8'!U11</f>
        <v>42</v>
      </c>
      <c r="K17" s="178">
        <f t="shared" si="2"/>
        <v>1.8650088809946713E-2</v>
      </c>
      <c r="L17" s="178">
        <f t="shared" si="6"/>
        <v>0.85612788632326808</v>
      </c>
      <c r="M17" s="179" t="str">
        <f t="shared" si="4"/>
        <v>B</v>
      </c>
    </row>
    <row r="18" spans="2:13" ht="26.5" outlineLevel="1" thickBot="1">
      <c r="B18" s="188" t="s">
        <v>170</v>
      </c>
      <c r="C18" s="177">
        <f>'Юнит 8'!AO48</f>
        <v>9125.1250235585758</v>
      </c>
      <c r="D18" s="178">
        <f t="shared" si="0"/>
        <v>1.5918225712500407E-2</v>
      </c>
      <c r="E18" s="178">
        <f t="shared" si="5"/>
        <v>0.95934925207847821</v>
      </c>
      <c r="F18" s="179" t="str">
        <f t="shared" si="3"/>
        <v>C</v>
      </c>
      <c r="G18" s="179" t="str">
        <f t="shared" si="1"/>
        <v>B</v>
      </c>
      <c r="I18" s="188" t="s">
        <v>140</v>
      </c>
      <c r="J18" s="177">
        <f>'Юнит 8'!U18</f>
        <v>41</v>
      </c>
      <c r="K18" s="178">
        <f t="shared" si="2"/>
        <v>1.8206039076376555E-2</v>
      </c>
      <c r="L18" s="178">
        <f t="shared" si="6"/>
        <v>0.87433392539964461</v>
      </c>
      <c r="M18" s="179" t="str">
        <f t="shared" si="4"/>
        <v>B</v>
      </c>
    </row>
    <row r="19" spans="2:13" ht="15" outlineLevel="1" thickBot="1">
      <c r="B19" s="188" t="s">
        <v>167</v>
      </c>
      <c r="C19" s="177">
        <f>'Юнит 8'!AO45</f>
        <v>8595.4514433906388</v>
      </c>
      <c r="D19" s="178">
        <f t="shared" si="0"/>
        <v>1.4994242360897699E-2</v>
      </c>
      <c r="E19" s="178">
        <f t="shared" si="5"/>
        <v>0.97434349443937596</v>
      </c>
      <c r="F19" s="179" t="str">
        <f t="shared" si="3"/>
        <v>C</v>
      </c>
      <c r="G19" s="179" t="str">
        <f t="shared" si="1"/>
        <v>B</v>
      </c>
      <c r="I19" s="188" t="s">
        <v>136</v>
      </c>
      <c r="J19" s="177">
        <f>'Юнит 8'!U14</f>
        <v>34</v>
      </c>
      <c r="K19" s="178">
        <f t="shared" si="2"/>
        <v>1.5097690941385435E-2</v>
      </c>
      <c r="L19" s="178">
        <f t="shared" si="6"/>
        <v>0.88943161634103007</v>
      </c>
      <c r="M19" s="179" t="str">
        <f t="shared" si="4"/>
        <v>B</v>
      </c>
    </row>
    <row r="20" spans="2:13" ht="26.5" outlineLevel="1" thickBot="1">
      <c r="B20" s="188" t="s">
        <v>140</v>
      </c>
      <c r="C20" s="177">
        <f>'Юнит 8'!AO18</f>
        <v>7347.9950345987909</v>
      </c>
      <c r="D20" s="178">
        <f t="shared" si="0"/>
        <v>1.2818130512524364E-2</v>
      </c>
      <c r="E20" s="178">
        <f t="shared" si="5"/>
        <v>0.9871616249519003</v>
      </c>
      <c r="F20" s="179" t="str">
        <f t="shared" si="3"/>
        <v>C</v>
      </c>
      <c r="G20" s="179" t="str">
        <f t="shared" si="1"/>
        <v>B</v>
      </c>
      <c r="I20" s="188" t="s">
        <v>137</v>
      </c>
      <c r="J20" s="177">
        <f>'Юнит 8'!U15</f>
        <v>32</v>
      </c>
      <c r="K20" s="178">
        <f t="shared" si="2"/>
        <v>1.4209591474245116E-2</v>
      </c>
      <c r="L20" s="178">
        <f t="shared" si="6"/>
        <v>0.90364120781527524</v>
      </c>
      <c r="M20" s="179" t="str">
        <f t="shared" si="4"/>
        <v>B</v>
      </c>
    </row>
    <row r="21" spans="2:13" ht="26.5" outlineLevel="1" thickBot="1">
      <c r="B21" s="188" t="s">
        <v>137</v>
      </c>
      <c r="C21" s="177">
        <f>'Юнит 8'!AO15</f>
        <v>6832.199578243336</v>
      </c>
      <c r="D21" s="178">
        <f t="shared" si="0"/>
        <v>1.1918356703995615E-2</v>
      </c>
      <c r="E21" s="178">
        <f t="shared" si="5"/>
        <v>0.99907998165589595</v>
      </c>
      <c r="F21" s="179" t="str">
        <f t="shared" si="3"/>
        <v>C</v>
      </c>
      <c r="G21" s="179" t="str">
        <f t="shared" si="1"/>
        <v>B</v>
      </c>
      <c r="I21" s="188" t="s">
        <v>170</v>
      </c>
      <c r="J21" s="177">
        <f>'Юнит 8'!U48</f>
        <v>31</v>
      </c>
      <c r="K21" s="178">
        <f t="shared" si="2"/>
        <v>1.3765541740674956E-2</v>
      </c>
      <c r="L21" s="178">
        <f t="shared" si="6"/>
        <v>0.91740674955595014</v>
      </c>
      <c r="M21" s="179" t="str">
        <f t="shared" si="4"/>
        <v>B</v>
      </c>
    </row>
    <row r="22" spans="2:13" ht="26.5" outlineLevel="1" thickBot="1">
      <c r="B22" s="188" t="s">
        <v>171</v>
      </c>
      <c r="C22" s="177">
        <f>'Юнит 8'!AO49</f>
        <v>6086.6702094067405</v>
      </c>
      <c r="D22" s="178">
        <f t="shared" si="0"/>
        <v>1.0617826055067493E-2</v>
      </c>
      <c r="E22" s="178">
        <f t="shared" si="5"/>
        <v>1.0096978077109635</v>
      </c>
      <c r="F22" s="179" t="str">
        <f t="shared" si="3"/>
        <v>C</v>
      </c>
      <c r="G22" s="179" t="str">
        <f t="shared" si="1"/>
        <v>B</v>
      </c>
      <c r="I22" s="188" t="s">
        <v>139</v>
      </c>
      <c r="J22" s="177">
        <f>'Юнит 8'!U17</f>
        <v>30</v>
      </c>
      <c r="K22" s="178">
        <f t="shared" si="2"/>
        <v>1.3321492007104795E-2</v>
      </c>
      <c r="L22" s="178">
        <f t="shared" si="6"/>
        <v>0.93072824156305489</v>
      </c>
      <c r="M22" s="179" t="str">
        <f t="shared" si="4"/>
        <v>B</v>
      </c>
    </row>
    <row r="23" spans="2:13" ht="15" outlineLevel="1" thickBot="1">
      <c r="B23" s="188" t="s">
        <v>169</v>
      </c>
      <c r="C23" s="177">
        <f>'Юнит 8'!AO47</f>
        <v>4570.1747456510811</v>
      </c>
      <c r="D23" s="178">
        <f t="shared" si="0"/>
        <v>7.9723919353460737E-3</v>
      </c>
      <c r="E23" s="178">
        <f t="shared" si="5"/>
        <v>1.0176701996463096</v>
      </c>
      <c r="F23" s="179" t="str">
        <f t="shared" si="3"/>
        <v>C</v>
      </c>
      <c r="G23" s="179" t="str">
        <f t="shared" si="1"/>
        <v>C</v>
      </c>
      <c r="I23" s="188" t="s">
        <v>171</v>
      </c>
      <c r="J23" s="177">
        <f>'Юнит 8'!U49</f>
        <v>29</v>
      </c>
      <c r="K23" s="178">
        <f t="shared" si="2"/>
        <v>1.2877442273534635E-2</v>
      </c>
      <c r="L23" s="178">
        <f t="shared" si="6"/>
        <v>0.94360568383658949</v>
      </c>
      <c r="M23" s="179" t="str">
        <f t="shared" si="4"/>
        <v>B</v>
      </c>
    </row>
    <row r="24" spans="2:13" ht="15" outlineLevel="1" thickBot="1">
      <c r="B24" s="188" t="s">
        <v>211</v>
      </c>
      <c r="C24" s="177">
        <f>'Юнит 8'!AO89</f>
        <v>2625.4827432644543</v>
      </c>
      <c r="D24" s="178">
        <f t="shared" si="0"/>
        <v>4.5799949922505365E-3</v>
      </c>
      <c r="E24" s="178">
        <f t="shared" si="5"/>
        <v>1.02225019463856</v>
      </c>
      <c r="F24" s="179" t="str">
        <f t="shared" si="3"/>
        <v>C</v>
      </c>
      <c r="G24" s="179" t="str">
        <f t="shared" si="1"/>
        <v>C</v>
      </c>
      <c r="I24" s="188" t="s">
        <v>148</v>
      </c>
      <c r="J24" s="177">
        <f>'Юнит 8'!U26</f>
        <v>26</v>
      </c>
      <c r="K24" s="178">
        <f t="shared" si="2"/>
        <v>1.1545293072824156E-2</v>
      </c>
      <c r="L24" s="178">
        <f t="shared" si="6"/>
        <v>0.95515097690941364</v>
      </c>
      <c r="M24" s="179" t="str">
        <f t="shared" si="4"/>
        <v>C</v>
      </c>
    </row>
    <row r="25" spans="2:13" ht="15" outlineLevel="1" thickBot="1">
      <c r="B25" s="188" t="s">
        <v>198</v>
      </c>
      <c r="C25" s="177">
        <f>'Юнит 8'!AO76</f>
        <v>945.21523826043244</v>
      </c>
      <c r="D25" s="178">
        <f t="shared" si="0"/>
        <v>1.6488705054099942E-3</v>
      </c>
      <c r="E25" s="178">
        <f t="shared" si="5"/>
        <v>1.0238990651439701</v>
      </c>
      <c r="F25" s="179" t="str">
        <f t="shared" si="3"/>
        <v>C</v>
      </c>
      <c r="G25" s="179" t="str">
        <f t="shared" si="1"/>
        <v>C</v>
      </c>
      <c r="I25" s="188" t="s">
        <v>169</v>
      </c>
      <c r="J25" s="177">
        <f>'Юнит 8'!U47</f>
        <v>13</v>
      </c>
      <c r="K25" s="178">
        <f t="shared" si="2"/>
        <v>5.7726465364120782E-3</v>
      </c>
      <c r="L25" s="178">
        <f t="shared" si="6"/>
        <v>0.96092362344582571</v>
      </c>
      <c r="M25" s="179" t="str">
        <f t="shared" si="4"/>
        <v>C</v>
      </c>
    </row>
    <row r="26" spans="2:13" ht="15" outlineLevel="1" thickBot="1">
      <c r="B26" s="188" t="s">
        <v>147</v>
      </c>
      <c r="C26" s="177">
        <f>'Юнит 8'!AO25</f>
        <v>749.76309999999978</v>
      </c>
      <c r="D26" s="178">
        <f t="shared" si="0"/>
        <v>1.3079161354930884E-3</v>
      </c>
      <c r="E26" s="178">
        <f t="shared" si="5"/>
        <v>1.0252069812794633</v>
      </c>
      <c r="F26" s="179" t="str">
        <f t="shared" si="3"/>
        <v>C</v>
      </c>
      <c r="G26" s="179" t="str">
        <f t="shared" si="1"/>
        <v>C</v>
      </c>
      <c r="I26" s="188" t="s">
        <v>166</v>
      </c>
      <c r="J26" s="177">
        <f>'Юнит 8'!U44</f>
        <v>9</v>
      </c>
      <c r="K26" s="178">
        <f t="shared" si="2"/>
        <v>3.9964476021314387E-3</v>
      </c>
      <c r="L26" s="178">
        <f t="shared" si="6"/>
        <v>0.96492007104795718</v>
      </c>
      <c r="M26" s="179" t="str">
        <f t="shared" si="4"/>
        <v>C</v>
      </c>
    </row>
    <row r="27" spans="2:13" ht="15" outlineLevel="1" thickBot="1">
      <c r="B27" s="188" t="s">
        <v>189</v>
      </c>
      <c r="C27" s="177">
        <f>'Юнит 8'!AO67</f>
        <v>701.19450000000006</v>
      </c>
      <c r="D27" s="178">
        <f t="shared" si="0"/>
        <v>1.223191166208378E-3</v>
      </c>
      <c r="E27" s="178">
        <f>E26+D27</f>
        <v>1.0264301724456717</v>
      </c>
      <c r="F27" s="179" t="str">
        <f t="shared" si="3"/>
        <v>C</v>
      </c>
      <c r="G27" s="179" t="str">
        <f t="shared" si="1"/>
        <v>C</v>
      </c>
      <c r="I27" s="188" t="s">
        <v>155</v>
      </c>
      <c r="J27" s="177">
        <f>'Юнит 8'!U33</f>
        <v>8</v>
      </c>
      <c r="K27" s="178">
        <f t="shared" si="2"/>
        <v>3.552397868561279E-3</v>
      </c>
      <c r="L27" s="178">
        <f>L26+K27</f>
        <v>0.9684724689165185</v>
      </c>
      <c r="M27" s="179" t="str">
        <f t="shared" si="4"/>
        <v>C</v>
      </c>
    </row>
    <row r="28" spans="2:13" ht="26.5" outlineLevel="1" thickBot="1">
      <c r="B28" s="188" t="s">
        <v>210</v>
      </c>
      <c r="C28" s="177">
        <f>'Юнит 8'!AO88</f>
        <v>653.61642671141317</v>
      </c>
      <c r="D28" s="178">
        <f t="shared" si="0"/>
        <v>1.1401941105386398E-3</v>
      </c>
      <c r="E28" s="178">
        <f>E27+D28</f>
        <v>1.0275703665562104</v>
      </c>
      <c r="F28" s="179" t="str">
        <f t="shared" si="3"/>
        <v>C</v>
      </c>
      <c r="G28" s="179" t="str">
        <f t="shared" si="1"/>
        <v>C</v>
      </c>
      <c r="I28" s="188" t="s">
        <v>172</v>
      </c>
      <c r="J28" s="177">
        <f>'Юнит 8'!U50</f>
        <v>7</v>
      </c>
      <c r="K28" s="178">
        <f t="shared" si="2"/>
        <v>3.1083481349911189E-3</v>
      </c>
      <c r="L28" s="178">
        <f t="shared" si="6"/>
        <v>0.97158081705150967</v>
      </c>
      <c r="M28" s="179" t="str">
        <f t="shared" si="4"/>
        <v>C</v>
      </c>
    </row>
    <row r="29" spans="2:13" ht="15" outlineLevel="1" thickBot="1">
      <c r="B29" s="188" t="s">
        <v>261</v>
      </c>
      <c r="C29" s="177">
        <f>'Юнит 8'!AO101</f>
        <v>617.01292599999999</v>
      </c>
      <c r="D29" s="178">
        <f t="shared" si="0"/>
        <v>1.0763415293753495E-3</v>
      </c>
      <c r="E29" s="178">
        <f t="shared" si="5"/>
        <v>1.0286467080855857</v>
      </c>
      <c r="F29" s="179" t="str">
        <f t="shared" si="3"/>
        <v>C</v>
      </c>
      <c r="G29" s="179" t="str">
        <f t="shared" si="1"/>
        <v>C</v>
      </c>
      <c r="I29" s="188" t="s">
        <v>149</v>
      </c>
      <c r="J29" s="177">
        <f>'Юнит 8'!U27</f>
        <v>6</v>
      </c>
      <c r="K29" s="178">
        <f t="shared" si="2"/>
        <v>2.6642984014209592E-3</v>
      </c>
      <c r="L29" s="178">
        <f t="shared" si="6"/>
        <v>0.97424511545293058</v>
      </c>
      <c r="M29" s="179" t="str">
        <f t="shared" si="4"/>
        <v>C</v>
      </c>
    </row>
    <row r="30" spans="2:13" ht="26.5" outlineLevel="1" thickBot="1">
      <c r="B30" s="188" t="s">
        <v>182</v>
      </c>
      <c r="C30" s="177">
        <f>'Юнит 8'!AO60</f>
        <v>587.15632227249876</v>
      </c>
      <c r="D30" s="178">
        <f t="shared" si="0"/>
        <v>1.0242584997274221E-3</v>
      </c>
      <c r="E30" s="178">
        <f t="shared" si="5"/>
        <v>1.029670966585313</v>
      </c>
      <c r="F30" s="179" t="str">
        <f t="shared" si="3"/>
        <v>C</v>
      </c>
      <c r="G30" s="179" t="str">
        <f t="shared" si="1"/>
        <v>C</v>
      </c>
      <c r="I30" s="188" t="s">
        <v>203</v>
      </c>
      <c r="J30" s="177">
        <f>'Юнит 8'!U81</f>
        <v>6</v>
      </c>
      <c r="K30" s="178">
        <f t="shared" si="2"/>
        <v>2.6642984014209592E-3</v>
      </c>
      <c r="L30" s="178">
        <f t="shared" si="6"/>
        <v>0.97690941385435148</v>
      </c>
      <c r="M30" s="179" t="str">
        <f t="shared" si="4"/>
        <v>C</v>
      </c>
    </row>
    <row r="31" spans="2:13" ht="15" outlineLevel="1" thickBot="1">
      <c r="B31" s="188" t="s">
        <v>173</v>
      </c>
      <c r="C31" s="177">
        <f>'Юнит 8'!AO51</f>
        <v>506.35830628456506</v>
      </c>
      <c r="D31" s="178">
        <f t="shared" si="0"/>
        <v>8.8331127409515642E-4</v>
      </c>
      <c r="E31" s="178">
        <f t="shared" si="5"/>
        <v>1.0305542778594081</v>
      </c>
      <c r="F31" s="179" t="str">
        <f t="shared" si="3"/>
        <v>C</v>
      </c>
      <c r="G31" s="179" t="str">
        <f t="shared" si="1"/>
        <v>C</v>
      </c>
      <c r="I31" s="188" t="s">
        <v>156</v>
      </c>
      <c r="J31" s="177">
        <f>'Юнит 8'!U34</f>
        <v>5</v>
      </c>
      <c r="K31" s="178">
        <f t="shared" si="2"/>
        <v>2.2202486678507992E-3</v>
      </c>
      <c r="L31" s="178">
        <f t="shared" si="6"/>
        <v>0.97912966252220224</v>
      </c>
      <c r="M31" s="179" t="str">
        <f t="shared" si="4"/>
        <v>C</v>
      </c>
    </row>
    <row r="32" spans="2:13" ht="15" outlineLevel="1" thickBot="1">
      <c r="B32" s="188" t="s">
        <v>161</v>
      </c>
      <c r="C32" s="177">
        <f>'Юнит 8'!AO39</f>
        <v>506.1873834107592</v>
      </c>
      <c r="D32" s="178">
        <f t="shared" si="0"/>
        <v>8.8301310953547681E-4</v>
      </c>
      <c r="E32" s="178">
        <f t="shared" si="5"/>
        <v>1.0314372909689435</v>
      </c>
      <c r="F32" s="179" t="str">
        <f t="shared" si="3"/>
        <v>C</v>
      </c>
      <c r="G32" s="179" t="str">
        <f t="shared" si="1"/>
        <v>C</v>
      </c>
      <c r="I32" s="188" t="s">
        <v>211</v>
      </c>
      <c r="J32" s="177">
        <f>'Юнит 8'!U89</f>
        <v>4</v>
      </c>
      <c r="K32" s="178">
        <f t="shared" si="2"/>
        <v>1.7761989342806395E-3</v>
      </c>
      <c r="L32" s="178">
        <f t="shared" si="6"/>
        <v>0.98090586145648284</v>
      </c>
      <c r="M32" s="179" t="str">
        <f t="shared" si="4"/>
        <v>C</v>
      </c>
    </row>
    <row r="33" spans="2:13" ht="15" outlineLevel="1" thickBot="1">
      <c r="B33" s="188" t="s">
        <v>194</v>
      </c>
      <c r="C33" s="177">
        <f>'Юнит 8'!AO72</f>
        <v>459.07380000000018</v>
      </c>
      <c r="D33" s="178">
        <f t="shared" si="0"/>
        <v>8.0082632821237452E-4</v>
      </c>
      <c r="E33" s="178">
        <f t="shared" si="5"/>
        <v>1.032238117297156</v>
      </c>
      <c r="F33" s="179" t="str">
        <f t="shared" si="3"/>
        <v>C</v>
      </c>
      <c r="G33" s="179" t="str">
        <f t="shared" si="1"/>
        <v>C</v>
      </c>
      <c r="I33" s="188" t="s">
        <v>194</v>
      </c>
      <c r="J33" s="177">
        <f>'Юнит 8'!U72</f>
        <v>3</v>
      </c>
      <c r="K33" s="178">
        <f t="shared" si="2"/>
        <v>1.3321492007104796E-3</v>
      </c>
      <c r="L33" s="178">
        <f t="shared" si="6"/>
        <v>0.98223801065719329</v>
      </c>
      <c r="M33" s="179" t="str">
        <f t="shared" si="4"/>
        <v>C</v>
      </c>
    </row>
    <row r="34" spans="2:13" ht="15" outlineLevel="1" thickBot="1">
      <c r="B34" s="188" t="s">
        <v>155</v>
      </c>
      <c r="C34" s="177">
        <f>'Юнит 8'!AO33</f>
        <v>436.78676063499222</v>
      </c>
      <c r="D34" s="178">
        <f t="shared" si="0"/>
        <v>7.619479432960409E-4</v>
      </c>
      <c r="E34" s="178">
        <f t="shared" si="5"/>
        <v>1.0330000652404521</v>
      </c>
      <c r="F34" s="179" t="str">
        <f t="shared" si="3"/>
        <v>C</v>
      </c>
      <c r="G34" s="179" t="str">
        <f t="shared" si="1"/>
        <v>C</v>
      </c>
      <c r="I34" s="188" t="s">
        <v>195</v>
      </c>
      <c r="J34" s="177">
        <f>'Юнит 8'!U73</f>
        <v>3</v>
      </c>
      <c r="K34" s="178">
        <f t="shared" si="2"/>
        <v>1.3321492007104796E-3</v>
      </c>
      <c r="L34" s="178">
        <f t="shared" si="6"/>
        <v>0.98357015985790375</v>
      </c>
      <c r="M34" s="179" t="str">
        <f t="shared" si="4"/>
        <v>C</v>
      </c>
    </row>
    <row r="35" spans="2:13" ht="26.5" outlineLevel="1" thickBot="1">
      <c r="B35" s="188" t="s">
        <v>209</v>
      </c>
      <c r="C35" s="177">
        <f>'Юнит 8'!AO87</f>
        <v>430.51833197586734</v>
      </c>
      <c r="D35" s="178">
        <f t="shared" si="0"/>
        <v>7.5101305067801693E-4</v>
      </c>
      <c r="E35" s="178">
        <f t="shared" si="5"/>
        <v>1.0337510782911301</v>
      </c>
      <c r="F35" s="179" t="str">
        <f t="shared" si="3"/>
        <v>C</v>
      </c>
      <c r="G35" s="179" t="str">
        <f t="shared" si="1"/>
        <v>C</v>
      </c>
      <c r="I35" s="188" t="s">
        <v>198</v>
      </c>
      <c r="J35" s="177">
        <f>'Юнит 8'!U76</f>
        <v>3</v>
      </c>
      <c r="K35" s="178">
        <f t="shared" si="2"/>
        <v>1.3321492007104796E-3</v>
      </c>
      <c r="L35" s="178">
        <f t="shared" si="6"/>
        <v>0.9849023090586142</v>
      </c>
      <c r="M35" s="179" t="str">
        <f t="shared" si="4"/>
        <v>C</v>
      </c>
    </row>
    <row r="36" spans="2:13" ht="26.5" outlineLevel="1" thickBot="1">
      <c r="B36" s="188" t="s">
        <v>165</v>
      </c>
      <c r="C36" s="177">
        <f>'Юнит 8'!AO43</f>
        <v>376.87501312217194</v>
      </c>
      <c r="D36" s="178">
        <f t="shared" ref="D36:D67" si="7">C36/C$105</f>
        <v>6.5743554294237503E-4</v>
      </c>
      <c r="E36" s="178">
        <f t="shared" si="5"/>
        <v>1.0344085138340724</v>
      </c>
      <c r="F36" s="179" t="str">
        <f t="shared" si="3"/>
        <v>C</v>
      </c>
      <c r="G36" s="179" t="str">
        <f t="shared" ref="G36:G67" si="8">VLOOKUP(B$4:B$104,I$4:M$104,5,0)</f>
        <v>C</v>
      </c>
      <c r="I36" s="188" t="s">
        <v>210</v>
      </c>
      <c r="J36" s="177">
        <f>'Юнит 8'!U88</f>
        <v>3</v>
      </c>
      <c r="K36" s="178">
        <f t="shared" ref="K36:K67" si="9">J36/J$105</f>
        <v>1.3321492007104796E-3</v>
      </c>
      <c r="L36" s="178">
        <f t="shared" si="6"/>
        <v>0.98623445825932465</v>
      </c>
      <c r="M36" s="179" t="str">
        <f t="shared" si="4"/>
        <v>C</v>
      </c>
    </row>
    <row r="37" spans="2:13" ht="15" outlineLevel="1" thickBot="1">
      <c r="B37" s="188" t="s">
        <v>156</v>
      </c>
      <c r="C37" s="177">
        <f>'Юнит 8'!AO34</f>
        <v>370.30619500000029</v>
      </c>
      <c r="D37" s="178">
        <f t="shared" si="7"/>
        <v>6.4597663917249405E-4</v>
      </c>
      <c r="E37" s="178">
        <f t="shared" si="5"/>
        <v>1.0350544904732448</v>
      </c>
      <c r="F37" s="179" t="str">
        <f t="shared" si="3"/>
        <v>C</v>
      </c>
      <c r="G37" s="179" t="str">
        <f t="shared" si="8"/>
        <v>C</v>
      </c>
      <c r="I37" s="188" t="s">
        <v>147</v>
      </c>
      <c r="J37" s="177">
        <f>'Юнит 8'!U25</f>
        <v>2</v>
      </c>
      <c r="K37" s="178">
        <f t="shared" si="9"/>
        <v>8.8809946714031975E-4</v>
      </c>
      <c r="L37" s="178">
        <f t="shared" si="6"/>
        <v>0.98712255772646496</v>
      </c>
      <c r="M37" s="179" t="str">
        <f t="shared" si="4"/>
        <v>C</v>
      </c>
    </row>
    <row r="38" spans="2:13" ht="15" outlineLevel="1" thickBot="1">
      <c r="B38" s="188" t="s">
        <v>213</v>
      </c>
      <c r="C38" s="177">
        <f>'Юнит 8'!AO91</f>
        <v>324.66858484162867</v>
      </c>
      <c r="D38" s="178">
        <f t="shared" si="7"/>
        <v>5.6636460343550249E-4</v>
      </c>
      <c r="E38" s="178">
        <f t="shared" si="5"/>
        <v>1.0356208550766803</v>
      </c>
      <c r="F38" s="179" t="str">
        <f t="shared" si="3"/>
        <v>C</v>
      </c>
      <c r="G38" s="179" t="str">
        <f t="shared" si="8"/>
        <v>C</v>
      </c>
      <c r="I38" s="188" t="s">
        <v>153</v>
      </c>
      <c r="J38" s="177">
        <f>'Юнит 8'!U31</f>
        <v>2</v>
      </c>
      <c r="K38" s="178">
        <f t="shared" si="9"/>
        <v>8.8809946714031975E-4</v>
      </c>
      <c r="L38" s="178">
        <f t="shared" si="6"/>
        <v>0.98801065719360526</v>
      </c>
      <c r="M38" s="179" t="str">
        <f t="shared" si="4"/>
        <v>C</v>
      </c>
    </row>
    <row r="39" spans="2:13" ht="15" outlineLevel="1" thickBot="1">
      <c r="B39" s="188" t="s">
        <v>144</v>
      </c>
      <c r="C39" s="177">
        <f>'Юнит 8'!AO22</f>
        <v>319.18295314228254</v>
      </c>
      <c r="D39" s="178">
        <f t="shared" si="7"/>
        <v>5.5679525251259472E-4</v>
      </c>
      <c r="E39" s="178">
        <f>E35+D39</f>
        <v>1.0343078735436426</v>
      </c>
      <c r="F39" s="179" t="str">
        <f t="shared" si="3"/>
        <v>C</v>
      </c>
      <c r="G39" s="179" t="str">
        <f t="shared" si="8"/>
        <v>C</v>
      </c>
      <c r="I39" s="188" t="s">
        <v>161</v>
      </c>
      <c r="J39" s="177">
        <f>'Юнит 8'!U39</f>
        <v>2</v>
      </c>
      <c r="K39" s="178">
        <f t="shared" si="9"/>
        <v>8.8809946714031975E-4</v>
      </c>
      <c r="L39" s="178">
        <f>L35+K39</f>
        <v>0.9857904085257545</v>
      </c>
      <c r="M39" s="179" t="str">
        <f t="shared" si="4"/>
        <v>C</v>
      </c>
    </row>
    <row r="40" spans="2:13" ht="15" outlineLevel="1" thickBot="1">
      <c r="B40" s="188" t="s">
        <v>195</v>
      </c>
      <c r="C40" s="177">
        <f>'Юнит 8'!AO73</f>
        <v>293.23090000000002</v>
      </c>
      <c r="D40" s="178">
        <f t="shared" si="7"/>
        <v>5.1152347392817866E-4</v>
      </c>
      <c r="E40" s="178">
        <f t="shared" si="5"/>
        <v>1.0348193970175708</v>
      </c>
      <c r="F40" s="179" t="str">
        <f t="shared" si="3"/>
        <v>C</v>
      </c>
      <c r="G40" s="179" t="str">
        <f t="shared" si="8"/>
        <v>C</v>
      </c>
      <c r="I40" s="188" t="s">
        <v>165</v>
      </c>
      <c r="J40" s="177">
        <f>'Юнит 8'!U43</f>
        <v>2</v>
      </c>
      <c r="K40" s="178">
        <f t="shared" si="9"/>
        <v>8.8809946714031975E-4</v>
      </c>
      <c r="L40" s="178">
        <f t="shared" si="6"/>
        <v>0.9866785079928948</v>
      </c>
      <c r="M40" s="179" t="str">
        <f t="shared" si="4"/>
        <v>C</v>
      </c>
    </row>
    <row r="41" spans="2:13" ht="15" outlineLevel="1" thickBot="1">
      <c r="B41" s="188" t="s">
        <v>166</v>
      </c>
      <c r="C41" s="177">
        <f>'Юнит 8'!AO44</f>
        <v>285.1997593262945</v>
      </c>
      <c r="D41" s="178">
        <f t="shared" si="7"/>
        <v>4.9751363738973831E-4</v>
      </c>
      <c r="E41" s="178">
        <f t="shared" si="5"/>
        <v>1.0353169106549605</v>
      </c>
      <c r="F41" s="179" t="str">
        <f t="shared" si="3"/>
        <v>C</v>
      </c>
      <c r="G41" s="179" t="str">
        <f t="shared" si="8"/>
        <v>C</v>
      </c>
      <c r="I41" s="188" t="s">
        <v>173</v>
      </c>
      <c r="J41" s="177">
        <f>'Юнит 8'!U51</f>
        <v>2</v>
      </c>
      <c r="K41" s="178">
        <f t="shared" si="9"/>
        <v>8.8809946714031975E-4</v>
      </c>
      <c r="L41" s="178">
        <f t="shared" si="6"/>
        <v>0.98756660746003511</v>
      </c>
      <c r="M41" s="179" t="str">
        <f t="shared" si="4"/>
        <v>C</v>
      </c>
    </row>
    <row r="42" spans="2:13" ht="15" outlineLevel="1" thickBot="1">
      <c r="B42" s="188" t="s">
        <v>196</v>
      </c>
      <c r="C42" s="177">
        <f>'Юнит 8'!AO74</f>
        <v>275.47580000000005</v>
      </c>
      <c r="D42" s="178">
        <f t="shared" si="7"/>
        <v>4.8055078165072022E-4</v>
      </c>
      <c r="E42" s="178">
        <f t="shared" si="5"/>
        <v>1.0357974614366112</v>
      </c>
      <c r="F42" s="179" t="str">
        <f t="shared" si="3"/>
        <v>C</v>
      </c>
      <c r="G42" s="179" t="str">
        <f t="shared" si="8"/>
        <v>C</v>
      </c>
      <c r="I42" s="188" t="s">
        <v>180</v>
      </c>
      <c r="J42" s="177">
        <f>'Юнит 8'!U58</f>
        <v>2</v>
      </c>
      <c r="K42" s="178">
        <f t="shared" si="9"/>
        <v>8.8809946714031975E-4</v>
      </c>
      <c r="L42" s="178">
        <f t="shared" si="6"/>
        <v>0.98845470692717541</v>
      </c>
      <c r="M42" s="179" t="str">
        <f t="shared" si="4"/>
        <v>C</v>
      </c>
    </row>
    <row r="43" spans="2:13" ht="15" outlineLevel="1" thickBot="1">
      <c r="B43" s="188" t="s">
        <v>153</v>
      </c>
      <c r="C43" s="177">
        <f>'Юнит 8'!AO31</f>
        <v>263.47969999999987</v>
      </c>
      <c r="D43" s="178">
        <f t="shared" si="7"/>
        <v>4.5962431467336576E-4</v>
      </c>
      <c r="E43" s="178">
        <f t="shared" si="5"/>
        <v>1.0362570857512845</v>
      </c>
      <c r="F43" s="179" t="str">
        <f t="shared" si="3"/>
        <v>C</v>
      </c>
      <c r="G43" s="179" t="str">
        <f t="shared" si="8"/>
        <v>C</v>
      </c>
      <c r="I43" s="188" t="s">
        <v>182</v>
      </c>
      <c r="J43" s="177">
        <f>'Юнит 8'!U60</f>
        <v>2</v>
      </c>
      <c r="K43" s="178">
        <f t="shared" si="9"/>
        <v>8.8809946714031975E-4</v>
      </c>
      <c r="L43" s="178">
        <f t="shared" si="6"/>
        <v>0.98934280639431571</v>
      </c>
      <c r="M43" s="179" t="str">
        <f t="shared" si="4"/>
        <v>C</v>
      </c>
    </row>
    <row r="44" spans="2:13" ht="26.5" outlineLevel="1" thickBot="1">
      <c r="B44" s="188" t="s">
        <v>175</v>
      </c>
      <c r="C44" s="177">
        <f>'Юнит 8'!AO53</f>
        <v>251.98579768727998</v>
      </c>
      <c r="D44" s="178">
        <f t="shared" si="7"/>
        <v>4.3957390102325727E-4</v>
      </c>
      <c r="E44" s="178">
        <f t="shared" si="5"/>
        <v>1.0366966596523077</v>
      </c>
      <c r="F44" s="179" t="str">
        <f t="shared" si="3"/>
        <v>C</v>
      </c>
      <c r="G44" s="179" t="str">
        <f t="shared" si="8"/>
        <v>C</v>
      </c>
      <c r="I44" s="188" t="s">
        <v>189</v>
      </c>
      <c r="J44" s="177">
        <f>'Юнит 8'!U67</f>
        <v>2</v>
      </c>
      <c r="K44" s="178">
        <f t="shared" si="9"/>
        <v>8.8809946714031975E-4</v>
      </c>
      <c r="L44" s="178">
        <f t="shared" si="6"/>
        <v>0.99023090586145601</v>
      </c>
      <c r="M44" s="179" t="str">
        <f t="shared" si="4"/>
        <v>C</v>
      </c>
    </row>
    <row r="45" spans="2:13" ht="26.5" outlineLevel="1" thickBot="1">
      <c r="B45" s="188" t="s">
        <v>202</v>
      </c>
      <c r="C45" s="177">
        <f>'Юнит 8'!AO80</f>
        <v>236.69478511814989</v>
      </c>
      <c r="D45" s="178">
        <f t="shared" si="7"/>
        <v>4.1289965942988883E-4</v>
      </c>
      <c r="E45" s="178">
        <f t="shared" si="5"/>
        <v>1.0371095593117376</v>
      </c>
      <c r="F45" s="179" t="str">
        <f t="shared" si="3"/>
        <v>C</v>
      </c>
      <c r="G45" s="179" t="str">
        <f t="shared" si="8"/>
        <v>C</v>
      </c>
      <c r="I45" s="188" t="s">
        <v>213</v>
      </c>
      <c r="J45" s="177">
        <f>'Юнит 8'!U91</f>
        <v>2</v>
      </c>
      <c r="K45" s="178">
        <f t="shared" si="9"/>
        <v>8.8809946714031975E-4</v>
      </c>
      <c r="L45" s="178">
        <f t="shared" si="6"/>
        <v>0.99111900532859631</v>
      </c>
      <c r="M45" s="179" t="str">
        <f t="shared" si="4"/>
        <v>C</v>
      </c>
    </row>
    <row r="46" spans="2:13" ht="15" outlineLevel="1" thickBot="1">
      <c r="B46" s="188" t="s">
        <v>220</v>
      </c>
      <c r="C46" s="177">
        <f>'Юнит 8'!AO98</f>
        <v>225.47693142282566</v>
      </c>
      <c r="D46" s="178">
        <f t="shared" si="7"/>
        <v>3.9333079580654523E-4</v>
      </c>
      <c r="E46" s="178">
        <f t="shared" si="5"/>
        <v>1.0375028901075443</v>
      </c>
      <c r="F46" s="179" t="str">
        <f t="shared" si="3"/>
        <v>C</v>
      </c>
      <c r="G46" s="179" t="str">
        <f t="shared" si="8"/>
        <v>C</v>
      </c>
      <c r="I46" s="188" t="s">
        <v>220</v>
      </c>
      <c r="J46" s="177">
        <f>'Юнит 8'!U98</f>
        <v>2</v>
      </c>
      <c r="K46" s="178">
        <f t="shared" si="9"/>
        <v>8.8809946714031975E-4</v>
      </c>
      <c r="L46" s="178">
        <f t="shared" si="6"/>
        <v>0.99200710479573662</v>
      </c>
      <c r="M46" s="179" t="str">
        <f t="shared" si="4"/>
        <v>C</v>
      </c>
    </row>
    <row r="47" spans="2:13" ht="15" outlineLevel="1" thickBot="1">
      <c r="B47" s="188" t="s">
        <v>178</v>
      </c>
      <c r="C47" s="177">
        <f>'Юнит 8'!AO56</f>
        <v>124.37729999999993</v>
      </c>
      <c r="D47" s="178">
        <f t="shared" si="7"/>
        <v>2.1696863657209121E-4</v>
      </c>
      <c r="E47" s="178">
        <f t="shared" si="5"/>
        <v>1.0377198587441163</v>
      </c>
      <c r="F47" s="179" t="str">
        <f t="shared" si="3"/>
        <v>C</v>
      </c>
      <c r="G47" s="179" t="str">
        <f t="shared" si="8"/>
        <v>C</v>
      </c>
      <c r="I47" s="188" t="s">
        <v>261</v>
      </c>
      <c r="J47" s="177">
        <f>'Юнит 8'!U101</f>
        <v>2</v>
      </c>
      <c r="K47" s="178">
        <f t="shared" si="9"/>
        <v>8.8809946714031975E-4</v>
      </c>
      <c r="L47" s="178">
        <f t="shared" si="6"/>
        <v>0.99289520426287692</v>
      </c>
      <c r="M47" s="179" t="str">
        <f t="shared" si="4"/>
        <v>C</v>
      </c>
    </row>
    <row r="48" spans="2:13" ht="15" outlineLevel="1" thickBot="1">
      <c r="B48" s="188" t="s">
        <v>151</v>
      </c>
      <c r="C48" s="177">
        <f>'Юнит 8'!AO29</f>
        <v>122.92230000000001</v>
      </c>
      <c r="D48" s="178">
        <f t="shared" si="7"/>
        <v>2.1443047754940477E-4</v>
      </c>
      <c r="E48" s="178">
        <f t="shared" si="5"/>
        <v>1.0379342892216656</v>
      </c>
      <c r="F48" s="179" t="str">
        <f t="shared" si="3"/>
        <v>C</v>
      </c>
      <c r="G48" s="179" t="str">
        <f t="shared" si="8"/>
        <v>C</v>
      </c>
      <c r="I48" s="188" t="s">
        <v>144</v>
      </c>
      <c r="J48" s="177">
        <f>'Юнит 8'!U22</f>
        <v>1</v>
      </c>
      <c r="K48" s="178">
        <f t="shared" si="9"/>
        <v>4.4404973357015987E-4</v>
      </c>
      <c r="L48" s="178">
        <f t="shared" si="6"/>
        <v>0.99333925399644707</v>
      </c>
      <c r="M48" s="179" t="str">
        <f t="shared" si="4"/>
        <v>C</v>
      </c>
    </row>
    <row r="49" spans="2:13" ht="15" outlineLevel="1" thickBot="1">
      <c r="B49" s="188" t="s">
        <v>159</v>
      </c>
      <c r="C49" s="177">
        <f>'Юнит 8'!AO37</f>
        <v>87.553265711412735</v>
      </c>
      <c r="D49" s="178">
        <f t="shared" si="7"/>
        <v>1.5273134799388035E-4</v>
      </c>
      <c r="E49" s="178">
        <f t="shared" si="5"/>
        <v>1.0380870205696595</v>
      </c>
      <c r="F49" s="179" t="str">
        <f t="shared" si="3"/>
        <v>C</v>
      </c>
      <c r="G49" s="179" t="str">
        <f t="shared" si="8"/>
        <v>C</v>
      </c>
      <c r="I49" s="188" t="s">
        <v>151</v>
      </c>
      <c r="J49" s="177">
        <f>'Юнит 8'!U29</f>
        <v>1</v>
      </c>
      <c r="K49" s="178">
        <f t="shared" si="9"/>
        <v>4.4404973357015987E-4</v>
      </c>
      <c r="L49" s="178">
        <f t="shared" si="6"/>
        <v>0.99378330373001722</v>
      </c>
      <c r="M49" s="179" t="str">
        <f t="shared" si="4"/>
        <v>C</v>
      </c>
    </row>
    <row r="50" spans="2:13" ht="15" outlineLevel="1" thickBot="1">
      <c r="B50" s="188" t="s">
        <v>152</v>
      </c>
      <c r="C50" s="177">
        <f>'Юнит 8'!AO30</f>
        <v>72.863600000000019</v>
      </c>
      <c r="D50" s="178">
        <f t="shared" si="7"/>
        <v>1.271061194264085E-4</v>
      </c>
      <c r="E50" s="178">
        <f t="shared" si="5"/>
        <v>1.0382141266890859</v>
      </c>
      <c r="F50" s="179" t="str">
        <f t="shared" si="3"/>
        <v>C</v>
      </c>
      <c r="G50" s="179" t="str">
        <f t="shared" si="8"/>
        <v>C</v>
      </c>
      <c r="I50" s="188" t="s">
        <v>152</v>
      </c>
      <c r="J50" s="177">
        <f>'Юнит 8'!U30</f>
        <v>1</v>
      </c>
      <c r="K50" s="178">
        <f t="shared" si="9"/>
        <v>4.4404973357015987E-4</v>
      </c>
      <c r="L50" s="178">
        <f t="shared" si="6"/>
        <v>0.99422735346358737</v>
      </c>
      <c r="M50" s="179" t="str">
        <f t="shared" si="4"/>
        <v>C</v>
      </c>
    </row>
    <row r="51" spans="2:13" ht="26.5" outlineLevel="1" thickBot="1">
      <c r="B51" s="188" t="s">
        <v>141</v>
      </c>
      <c r="C51" s="177">
        <f>'Юнит 8'!AO19</f>
        <v>0</v>
      </c>
      <c r="D51" s="178">
        <f t="shared" si="7"/>
        <v>0</v>
      </c>
      <c r="E51" s="178">
        <f t="shared" si="5"/>
        <v>1.0382141266890859</v>
      </c>
      <c r="F51" s="179" t="str">
        <f t="shared" si="3"/>
        <v>C</v>
      </c>
      <c r="G51" s="179" t="str">
        <f t="shared" si="8"/>
        <v>C</v>
      </c>
      <c r="I51" s="188" t="s">
        <v>159</v>
      </c>
      <c r="J51" s="177">
        <f>'Юнит 8'!U37</f>
        <v>1</v>
      </c>
      <c r="K51" s="178">
        <f t="shared" si="9"/>
        <v>4.4404973357015987E-4</v>
      </c>
      <c r="L51" s="178">
        <f t="shared" si="6"/>
        <v>0.99467140319715752</v>
      </c>
      <c r="M51" s="179" t="str">
        <f t="shared" si="4"/>
        <v>C</v>
      </c>
    </row>
    <row r="52" spans="2:13" ht="26.5" outlineLevel="1" thickBot="1">
      <c r="B52" s="188" t="s">
        <v>142</v>
      </c>
      <c r="C52" s="177">
        <f>'Юнит 8'!AO20</f>
        <v>0</v>
      </c>
      <c r="D52" s="178">
        <f t="shared" si="7"/>
        <v>0</v>
      </c>
      <c r="E52" s="178">
        <f t="shared" si="5"/>
        <v>1.0382141266890859</v>
      </c>
      <c r="F52" s="179" t="str">
        <f t="shared" si="3"/>
        <v>C</v>
      </c>
      <c r="G52" s="179" t="str">
        <f t="shared" si="8"/>
        <v>C</v>
      </c>
      <c r="I52" s="188" t="s">
        <v>175</v>
      </c>
      <c r="J52" s="177">
        <f>'Юнит 8'!U53</f>
        <v>1</v>
      </c>
      <c r="K52" s="178">
        <f t="shared" si="9"/>
        <v>4.4404973357015987E-4</v>
      </c>
      <c r="L52" s="178">
        <f t="shared" si="6"/>
        <v>0.99511545293072767</v>
      </c>
      <c r="M52" s="179" t="str">
        <f t="shared" si="4"/>
        <v>C</v>
      </c>
    </row>
    <row r="53" spans="2:13" ht="15" outlineLevel="1" thickBot="1">
      <c r="B53" s="188" t="s">
        <v>145</v>
      </c>
      <c r="C53" s="177">
        <f>'Юнит 8'!AO23</f>
        <v>0</v>
      </c>
      <c r="D53" s="178">
        <f t="shared" si="7"/>
        <v>0</v>
      </c>
      <c r="E53" s="178">
        <f t="shared" si="5"/>
        <v>1.0382141266890859</v>
      </c>
      <c r="F53" s="179" t="str">
        <f t="shared" si="3"/>
        <v>C</v>
      </c>
      <c r="G53" s="179" t="str">
        <f t="shared" si="8"/>
        <v>C</v>
      </c>
      <c r="I53" s="188" t="s">
        <v>176</v>
      </c>
      <c r="J53" s="177">
        <f>'Юнит 8'!U54</f>
        <v>1</v>
      </c>
      <c r="K53" s="178">
        <f t="shared" si="9"/>
        <v>4.4404973357015987E-4</v>
      </c>
      <c r="L53" s="178">
        <f t="shared" si="6"/>
        <v>0.99555950266429782</v>
      </c>
      <c r="M53" s="179" t="str">
        <f t="shared" si="4"/>
        <v>C</v>
      </c>
    </row>
    <row r="54" spans="2:13" ht="15" outlineLevel="1" thickBot="1">
      <c r="B54" s="188" t="s">
        <v>146</v>
      </c>
      <c r="C54" s="177">
        <f>'Юнит 8'!AO24</f>
        <v>0</v>
      </c>
      <c r="D54" s="178">
        <f t="shared" si="7"/>
        <v>0</v>
      </c>
      <c r="E54" s="178">
        <f t="shared" si="5"/>
        <v>1.0382141266890859</v>
      </c>
      <c r="F54" s="179" t="str">
        <f t="shared" si="3"/>
        <v>C</v>
      </c>
      <c r="G54" s="179" t="str">
        <f t="shared" si="8"/>
        <v>C</v>
      </c>
      <c r="I54" s="188" t="s">
        <v>178</v>
      </c>
      <c r="J54" s="177">
        <f>'Юнит 8'!U56</f>
        <v>1</v>
      </c>
      <c r="K54" s="178">
        <f t="shared" si="9"/>
        <v>4.4404973357015987E-4</v>
      </c>
      <c r="L54" s="178">
        <f t="shared" si="6"/>
        <v>0.99600355239786798</v>
      </c>
      <c r="M54" s="179" t="str">
        <f t="shared" si="4"/>
        <v>C</v>
      </c>
    </row>
    <row r="55" spans="2:13" ht="15" outlineLevel="1" thickBot="1">
      <c r="B55" s="188" t="s">
        <v>154</v>
      </c>
      <c r="C55" s="177">
        <f>'Юнит 8'!AO32</f>
        <v>0</v>
      </c>
      <c r="D55" s="178">
        <f t="shared" si="7"/>
        <v>0</v>
      </c>
      <c r="E55" s="178">
        <f t="shared" si="5"/>
        <v>1.0382141266890859</v>
      </c>
      <c r="F55" s="179" t="str">
        <f t="shared" si="3"/>
        <v>C</v>
      </c>
      <c r="G55" s="179" t="str">
        <f t="shared" si="8"/>
        <v>C</v>
      </c>
      <c r="I55" s="188" t="s">
        <v>193</v>
      </c>
      <c r="J55" s="177">
        <f>'Юнит 8'!U71</f>
        <v>1</v>
      </c>
      <c r="K55" s="178">
        <f t="shared" si="9"/>
        <v>4.4404973357015987E-4</v>
      </c>
      <c r="L55" s="178">
        <f t="shared" si="6"/>
        <v>0.99644760213143813</v>
      </c>
      <c r="M55" s="179" t="str">
        <f t="shared" si="4"/>
        <v>C</v>
      </c>
    </row>
    <row r="56" spans="2:13" ht="15" outlineLevel="1" thickBot="1">
      <c r="B56" s="188" t="s">
        <v>157</v>
      </c>
      <c r="C56" s="177">
        <f>'Юнит 8'!AO35</f>
        <v>0</v>
      </c>
      <c r="D56" s="178">
        <f t="shared" si="7"/>
        <v>0</v>
      </c>
      <c r="E56" s="178">
        <f t="shared" si="5"/>
        <v>1.0382141266890859</v>
      </c>
      <c r="F56" s="179" t="str">
        <f t="shared" si="3"/>
        <v>C</v>
      </c>
      <c r="G56" s="179" t="str">
        <f t="shared" si="8"/>
        <v>C</v>
      </c>
      <c r="I56" s="188" t="s">
        <v>196</v>
      </c>
      <c r="J56" s="177">
        <f>'Юнит 8'!U74</f>
        <v>1</v>
      </c>
      <c r="K56" s="178">
        <f t="shared" si="9"/>
        <v>4.4404973357015987E-4</v>
      </c>
      <c r="L56" s="178">
        <f t="shared" si="6"/>
        <v>0.99689165186500828</v>
      </c>
      <c r="M56" s="179" t="str">
        <f t="shared" si="4"/>
        <v>C</v>
      </c>
    </row>
    <row r="57" spans="2:13" ht="26.5" outlineLevel="1" thickBot="1">
      <c r="B57" s="188" t="s">
        <v>158</v>
      </c>
      <c r="C57" s="177">
        <f>'Юнит 8'!AO36</f>
        <v>0</v>
      </c>
      <c r="D57" s="178">
        <f t="shared" si="7"/>
        <v>0</v>
      </c>
      <c r="E57" s="178">
        <f t="shared" si="5"/>
        <v>1.0382141266890859</v>
      </c>
      <c r="F57" s="179" t="str">
        <f t="shared" si="3"/>
        <v>C</v>
      </c>
      <c r="G57" s="179" t="str">
        <f t="shared" si="8"/>
        <v>C</v>
      </c>
      <c r="I57" s="188" t="s">
        <v>202</v>
      </c>
      <c r="J57" s="177">
        <f>'Юнит 8'!U80</f>
        <v>1</v>
      </c>
      <c r="K57" s="178">
        <f t="shared" si="9"/>
        <v>4.4404973357015987E-4</v>
      </c>
      <c r="L57" s="178">
        <f t="shared" si="6"/>
        <v>0.99733570159857843</v>
      </c>
      <c r="M57" s="179" t="str">
        <f t="shared" si="4"/>
        <v>C</v>
      </c>
    </row>
    <row r="58" spans="2:13" ht="26.5" outlineLevel="1" thickBot="1">
      <c r="B58" s="188" t="s">
        <v>168</v>
      </c>
      <c r="C58" s="177">
        <f>'Юнит 8'!AO46</f>
        <v>0</v>
      </c>
      <c r="D58" s="178">
        <f t="shared" si="7"/>
        <v>0</v>
      </c>
      <c r="E58" s="178">
        <f t="shared" si="5"/>
        <v>1.0382141266890859</v>
      </c>
      <c r="F58" s="179" t="str">
        <f t="shared" si="3"/>
        <v>C</v>
      </c>
      <c r="G58" s="179" t="str">
        <f t="shared" si="8"/>
        <v>C</v>
      </c>
      <c r="I58" s="188" t="s">
        <v>209</v>
      </c>
      <c r="J58" s="177">
        <f>'Юнит 8'!U87</f>
        <v>1</v>
      </c>
      <c r="K58" s="178">
        <f t="shared" si="9"/>
        <v>4.4404973357015987E-4</v>
      </c>
      <c r="L58" s="178">
        <f t="shared" si="6"/>
        <v>0.99777975133214858</v>
      </c>
      <c r="M58" s="179" t="str">
        <f t="shared" si="4"/>
        <v>C</v>
      </c>
    </row>
    <row r="59" spans="2:13" ht="26.5" outlineLevel="1" thickBot="1">
      <c r="B59" s="188" t="s">
        <v>179</v>
      </c>
      <c r="C59" s="177">
        <f>'Юнит 8'!AO57</f>
        <v>0</v>
      </c>
      <c r="D59" s="178">
        <f t="shared" si="7"/>
        <v>0</v>
      </c>
      <c r="E59" s="178">
        <f t="shared" si="5"/>
        <v>1.0382141266890859</v>
      </c>
      <c r="F59" s="179" t="str">
        <f t="shared" si="3"/>
        <v>C</v>
      </c>
      <c r="G59" s="179" t="str">
        <f t="shared" si="8"/>
        <v>C</v>
      </c>
      <c r="I59" s="188" t="s">
        <v>141</v>
      </c>
      <c r="J59" s="177">
        <f>'Юнит 8'!U19</f>
        <v>0</v>
      </c>
      <c r="K59" s="178">
        <f t="shared" si="9"/>
        <v>0</v>
      </c>
      <c r="L59" s="178">
        <f t="shared" si="6"/>
        <v>0.99777975133214858</v>
      </c>
      <c r="M59" s="179" t="str">
        <f t="shared" si="4"/>
        <v>C</v>
      </c>
    </row>
    <row r="60" spans="2:13" ht="15" outlineLevel="1" thickBot="1">
      <c r="B60" s="188" t="s">
        <v>181</v>
      </c>
      <c r="C60" s="177">
        <f>'Юнит 8'!AO59</f>
        <v>0</v>
      </c>
      <c r="D60" s="178">
        <f t="shared" si="7"/>
        <v>0</v>
      </c>
      <c r="E60" s="178">
        <f t="shared" si="5"/>
        <v>1.0382141266890859</v>
      </c>
      <c r="F60" s="179" t="str">
        <f t="shared" si="3"/>
        <v>C</v>
      </c>
      <c r="G60" s="179" t="str">
        <f t="shared" si="8"/>
        <v>C</v>
      </c>
      <c r="I60" s="188" t="s">
        <v>142</v>
      </c>
      <c r="J60" s="177">
        <f>'Юнит 8'!U20</f>
        <v>0</v>
      </c>
      <c r="K60" s="178">
        <f t="shared" si="9"/>
        <v>0</v>
      </c>
      <c r="L60" s="178">
        <f t="shared" si="6"/>
        <v>0.99777975133214858</v>
      </c>
      <c r="M60" s="179" t="str">
        <f t="shared" si="4"/>
        <v>C</v>
      </c>
    </row>
    <row r="61" spans="2:13" ht="15" outlineLevel="1" thickBot="1">
      <c r="B61" s="188" t="s">
        <v>184</v>
      </c>
      <c r="C61" s="177">
        <f>'Юнит 8'!AO62</f>
        <v>0</v>
      </c>
      <c r="D61" s="178">
        <f t="shared" si="7"/>
        <v>0</v>
      </c>
      <c r="E61" s="178">
        <f t="shared" si="5"/>
        <v>1.0382141266890859</v>
      </c>
      <c r="F61" s="179" t="str">
        <f t="shared" si="3"/>
        <v>C</v>
      </c>
      <c r="G61" s="179" t="str">
        <f t="shared" si="8"/>
        <v>C</v>
      </c>
      <c r="I61" s="188" t="s">
        <v>143</v>
      </c>
      <c r="J61" s="177">
        <f>'Юнит 8'!U21</f>
        <v>0</v>
      </c>
      <c r="K61" s="178">
        <f t="shared" si="9"/>
        <v>0</v>
      </c>
      <c r="L61" s="178">
        <f t="shared" si="6"/>
        <v>0.99777975133214858</v>
      </c>
      <c r="M61" s="179" t="str">
        <f t="shared" si="4"/>
        <v>C</v>
      </c>
    </row>
    <row r="62" spans="2:13" ht="15" outlineLevel="1" thickBot="1">
      <c r="B62" s="188" t="s">
        <v>185</v>
      </c>
      <c r="C62" s="177">
        <f>'Юнит 8'!AO63</f>
        <v>0</v>
      </c>
      <c r="D62" s="178">
        <f t="shared" si="7"/>
        <v>0</v>
      </c>
      <c r="E62" s="178">
        <f t="shared" si="5"/>
        <v>1.0382141266890859</v>
      </c>
      <c r="F62" s="179" t="str">
        <f t="shared" si="3"/>
        <v>C</v>
      </c>
      <c r="G62" s="179" t="str">
        <f t="shared" si="8"/>
        <v>C</v>
      </c>
      <c r="I62" s="188" t="s">
        <v>145</v>
      </c>
      <c r="J62" s="177">
        <f>'Юнит 8'!U23</f>
        <v>0</v>
      </c>
      <c r="K62" s="178">
        <f t="shared" si="9"/>
        <v>0</v>
      </c>
      <c r="L62" s="178">
        <f t="shared" si="6"/>
        <v>0.99777975133214858</v>
      </c>
      <c r="M62" s="179" t="str">
        <f t="shared" si="4"/>
        <v>C</v>
      </c>
    </row>
    <row r="63" spans="2:13" ht="15" outlineLevel="1" thickBot="1">
      <c r="B63" s="188" t="s">
        <v>186</v>
      </c>
      <c r="C63" s="177">
        <f>'Юнит 8'!AO64</f>
        <v>0</v>
      </c>
      <c r="D63" s="178">
        <f t="shared" si="7"/>
        <v>0</v>
      </c>
      <c r="E63" s="178">
        <f t="shared" si="5"/>
        <v>1.0382141266890859</v>
      </c>
      <c r="F63" s="179" t="str">
        <f t="shared" si="3"/>
        <v>C</v>
      </c>
      <c r="G63" s="179" t="str">
        <f t="shared" si="8"/>
        <v>C</v>
      </c>
      <c r="I63" s="188" t="s">
        <v>146</v>
      </c>
      <c r="J63" s="177">
        <f>'Юнит 8'!U24</f>
        <v>0</v>
      </c>
      <c r="K63" s="178">
        <f t="shared" si="9"/>
        <v>0</v>
      </c>
      <c r="L63" s="178">
        <f t="shared" si="6"/>
        <v>0.99777975133214858</v>
      </c>
      <c r="M63" s="179" t="str">
        <f t="shared" si="4"/>
        <v>C</v>
      </c>
    </row>
    <row r="64" spans="2:13" ht="15" outlineLevel="1" thickBot="1">
      <c r="B64" s="188" t="s">
        <v>190</v>
      </c>
      <c r="C64" s="177">
        <f>'Юнит 8'!AO68</f>
        <v>0</v>
      </c>
      <c r="D64" s="178">
        <f t="shared" si="7"/>
        <v>0</v>
      </c>
      <c r="E64" s="178">
        <f t="shared" si="5"/>
        <v>1.0382141266890859</v>
      </c>
      <c r="F64" s="179" t="str">
        <f t="shared" si="3"/>
        <v>C</v>
      </c>
      <c r="G64" s="179" t="str">
        <f t="shared" si="8"/>
        <v>C</v>
      </c>
      <c r="I64" s="188" t="s">
        <v>154</v>
      </c>
      <c r="J64" s="177">
        <f>'Юнит 8'!U32</f>
        <v>0</v>
      </c>
      <c r="K64" s="178">
        <f t="shared" si="9"/>
        <v>0</v>
      </c>
      <c r="L64" s="178">
        <f t="shared" si="6"/>
        <v>0.99777975133214858</v>
      </c>
      <c r="M64" s="179" t="str">
        <f t="shared" si="4"/>
        <v>C</v>
      </c>
    </row>
    <row r="65" spans="2:13" ht="26.5" outlineLevel="1" thickBot="1">
      <c r="B65" s="188" t="s">
        <v>216</v>
      </c>
      <c r="C65" s="177">
        <f>'Юнит 8'!AO94</f>
        <v>0</v>
      </c>
      <c r="D65" s="178">
        <f t="shared" si="7"/>
        <v>0</v>
      </c>
      <c r="E65" s="178">
        <f t="shared" si="5"/>
        <v>1.0382141266890859</v>
      </c>
      <c r="F65" s="179" t="str">
        <f t="shared" si="3"/>
        <v>C</v>
      </c>
      <c r="G65" s="179" t="str">
        <f t="shared" si="8"/>
        <v>C</v>
      </c>
      <c r="I65" s="188" t="s">
        <v>157</v>
      </c>
      <c r="J65" s="177">
        <f>'Юнит 8'!U35</f>
        <v>0</v>
      </c>
      <c r="K65" s="178">
        <f t="shared" si="9"/>
        <v>0</v>
      </c>
      <c r="L65" s="178">
        <f t="shared" si="6"/>
        <v>0.99777975133214858</v>
      </c>
      <c r="M65" s="179" t="str">
        <f t="shared" si="4"/>
        <v>C</v>
      </c>
    </row>
    <row r="66" spans="2:13" ht="26.5" outlineLevel="1" thickBot="1">
      <c r="B66" s="188" t="s">
        <v>217</v>
      </c>
      <c r="C66" s="177">
        <f>'Юнит 8'!AO95</f>
        <v>0</v>
      </c>
      <c r="D66" s="178">
        <f t="shared" si="7"/>
        <v>0</v>
      </c>
      <c r="E66" s="178">
        <f t="shared" si="5"/>
        <v>1.0382141266890859</v>
      </c>
      <c r="F66" s="179" t="str">
        <f t="shared" si="3"/>
        <v>C</v>
      </c>
      <c r="G66" s="179" t="str">
        <f t="shared" si="8"/>
        <v>C</v>
      </c>
      <c r="I66" s="188" t="s">
        <v>158</v>
      </c>
      <c r="J66" s="177">
        <f>'Юнит 8'!U36</f>
        <v>0</v>
      </c>
      <c r="K66" s="178">
        <f t="shared" si="9"/>
        <v>0</v>
      </c>
      <c r="L66" s="178">
        <f t="shared" si="6"/>
        <v>0.99777975133214858</v>
      </c>
      <c r="M66" s="179" t="str">
        <f t="shared" si="4"/>
        <v>C</v>
      </c>
    </row>
    <row r="67" spans="2:13" ht="15" outlineLevel="1" thickBot="1">
      <c r="B67" s="188" t="s">
        <v>218</v>
      </c>
      <c r="C67" s="177">
        <f>'Юнит 8'!AO96</f>
        <v>0</v>
      </c>
      <c r="D67" s="178">
        <f t="shared" si="7"/>
        <v>0</v>
      </c>
      <c r="E67" s="178">
        <f t="shared" si="5"/>
        <v>1.0382141266890859</v>
      </c>
      <c r="F67" s="179" t="str">
        <f t="shared" si="3"/>
        <v>C</v>
      </c>
      <c r="G67" s="179" t="str">
        <f t="shared" si="8"/>
        <v>C</v>
      </c>
      <c r="I67" s="188" t="s">
        <v>160</v>
      </c>
      <c r="J67" s="177">
        <f>'Юнит 8'!U38</f>
        <v>0</v>
      </c>
      <c r="K67" s="178">
        <f t="shared" si="9"/>
        <v>0</v>
      </c>
      <c r="L67" s="178">
        <f t="shared" si="6"/>
        <v>0.99777975133214858</v>
      </c>
      <c r="M67" s="179" t="str">
        <f t="shared" si="4"/>
        <v>C</v>
      </c>
    </row>
    <row r="68" spans="2:13" ht="15" outlineLevel="1" thickBot="1">
      <c r="B68" s="188" t="s">
        <v>259</v>
      </c>
      <c r="C68" s="177">
        <f>'Юнит 8'!AO99</f>
        <v>0</v>
      </c>
      <c r="D68" s="178">
        <f t="shared" ref="D68:D99" si="10">C68/C$105</f>
        <v>0</v>
      </c>
      <c r="E68" s="178">
        <f t="shared" si="5"/>
        <v>1.0382141266890859</v>
      </c>
      <c r="F68" s="179" t="str">
        <f t="shared" si="3"/>
        <v>C</v>
      </c>
      <c r="G68" s="179" t="str">
        <f t="shared" ref="G68:G99" si="11">VLOOKUP(B$4:B$104,I$4:M$104,5,0)</f>
        <v>C</v>
      </c>
      <c r="I68" s="188" t="s">
        <v>162</v>
      </c>
      <c r="J68" s="177">
        <f>'Юнит 8'!U40</f>
        <v>0</v>
      </c>
      <c r="K68" s="178">
        <f t="shared" ref="K68:K99" si="12">J68/J$105</f>
        <v>0</v>
      </c>
      <c r="L68" s="178">
        <f t="shared" si="6"/>
        <v>0.99777975133214858</v>
      </c>
      <c r="M68" s="179" t="str">
        <f t="shared" si="4"/>
        <v>C</v>
      </c>
    </row>
    <row r="69" spans="2:13" ht="15" outlineLevel="1" thickBot="1">
      <c r="B69" s="188" t="s">
        <v>260</v>
      </c>
      <c r="C69" s="177">
        <f>'Юнит 8'!AO100</f>
        <v>0</v>
      </c>
      <c r="D69" s="178">
        <f t="shared" si="10"/>
        <v>0</v>
      </c>
      <c r="E69" s="178">
        <f t="shared" si="5"/>
        <v>1.0382141266890859</v>
      </c>
      <c r="F69" s="179" t="str">
        <f t="shared" si="3"/>
        <v>C</v>
      </c>
      <c r="G69" s="179" t="str">
        <f t="shared" si="11"/>
        <v>C</v>
      </c>
      <c r="I69" s="188" t="s">
        <v>163</v>
      </c>
      <c r="J69" s="177">
        <f>'Юнит 8'!U41</f>
        <v>0</v>
      </c>
      <c r="K69" s="178">
        <f t="shared" si="12"/>
        <v>0</v>
      </c>
      <c r="L69" s="178">
        <f t="shared" si="6"/>
        <v>0.99777975133214858</v>
      </c>
      <c r="M69" s="179" t="str">
        <f t="shared" si="4"/>
        <v>C</v>
      </c>
    </row>
    <row r="70" spans="2:13" ht="15" outlineLevel="1" thickBot="1">
      <c r="B70" s="188" t="s">
        <v>262</v>
      </c>
      <c r="C70" s="177">
        <f>'Юнит 8'!AO102</f>
        <v>0</v>
      </c>
      <c r="D70" s="178">
        <f t="shared" si="10"/>
        <v>0</v>
      </c>
      <c r="E70" s="178">
        <f t="shared" ref="E70:E75" si="13">E69+D70</f>
        <v>1.0382141266890859</v>
      </c>
      <c r="F70" s="179" t="str">
        <f t="shared" si="3"/>
        <v>C</v>
      </c>
      <c r="G70" s="179" t="str">
        <f t="shared" si="11"/>
        <v>C</v>
      </c>
      <c r="I70" s="188" t="s">
        <v>164</v>
      </c>
      <c r="J70" s="177">
        <f>'Юнит 8'!U42</f>
        <v>0</v>
      </c>
      <c r="K70" s="178">
        <f t="shared" si="12"/>
        <v>0</v>
      </c>
      <c r="L70" s="178">
        <f t="shared" ref="L70:L75" si="14">L69+K70</f>
        <v>0.99777975133214858</v>
      </c>
      <c r="M70" s="179" t="str">
        <f t="shared" si="4"/>
        <v>C</v>
      </c>
    </row>
    <row r="71" spans="2:13" ht="26.5" outlineLevel="1" thickBot="1">
      <c r="B71" s="188" t="s">
        <v>143</v>
      </c>
      <c r="C71" s="177">
        <f>'Юнит 8'!AO21</f>
        <v>-0.86724685771744603</v>
      </c>
      <c r="D71" s="178">
        <f t="shared" si="10"/>
        <v>-1.5128594067437124E-6</v>
      </c>
      <c r="E71" s="178">
        <f t="shared" si="13"/>
        <v>1.0382126138296792</v>
      </c>
      <c r="F71" s="179" t="str">
        <f t="shared" si="3"/>
        <v>C</v>
      </c>
      <c r="G71" s="179" t="str">
        <f t="shared" si="11"/>
        <v>C</v>
      </c>
      <c r="I71" s="188" t="s">
        <v>168</v>
      </c>
      <c r="J71" s="177">
        <f>'Юнит 8'!U46</f>
        <v>0</v>
      </c>
      <c r="K71" s="178">
        <f t="shared" si="12"/>
        <v>0</v>
      </c>
      <c r="L71" s="178">
        <f t="shared" si="14"/>
        <v>0.99777975133214858</v>
      </c>
      <c r="M71" s="179" t="str">
        <f t="shared" si="4"/>
        <v>C</v>
      </c>
    </row>
    <row r="72" spans="2:13" ht="15" outlineLevel="1" thickBot="1">
      <c r="B72" s="188" t="s">
        <v>177</v>
      </c>
      <c r="C72" s="177">
        <f>'Юнит 8'!AO55</f>
        <v>-0.86724685771744603</v>
      </c>
      <c r="D72" s="178">
        <f t="shared" si="10"/>
        <v>-1.5128594067437124E-6</v>
      </c>
      <c r="E72" s="178">
        <f t="shared" si="13"/>
        <v>1.0382111009702726</v>
      </c>
      <c r="F72" s="179" t="str">
        <f t="shared" si="3"/>
        <v>C</v>
      </c>
      <c r="G72" s="179" t="str">
        <f t="shared" si="11"/>
        <v>C</v>
      </c>
      <c r="I72" s="188" t="s">
        <v>174</v>
      </c>
      <c r="J72" s="177">
        <f>'Юнит 8'!U52</f>
        <v>0</v>
      </c>
      <c r="K72" s="178">
        <f t="shared" si="12"/>
        <v>0</v>
      </c>
      <c r="L72" s="178">
        <f t="shared" si="14"/>
        <v>0.99777975133214858</v>
      </c>
      <c r="M72" s="179" t="str">
        <f t="shared" si="4"/>
        <v>C</v>
      </c>
    </row>
    <row r="73" spans="2:13" ht="15" outlineLevel="1" thickBot="1">
      <c r="B73" s="188" t="s">
        <v>188</v>
      </c>
      <c r="C73" s="177">
        <f>'Юнит 8'!AO66</f>
        <v>-0.86724685771744603</v>
      </c>
      <c r="D73" s="178">
        <f t="shared" si="10"/>
        <v>-1.5128594067437124E-6</v>
      </c>
      <c r="E73" s="178">
        <f t="shared" si="13"/>
        <v>1.0382095881108659</v>
      </c>
      <c r="F73" s="179" t="str">
        <f t="shared" si="3"/>
        <v>C</v>
      </c>
      <c r="G73" s="179" t="str">
        <f t="shared" si="11"/>
        <v>C</v>
      </c>
      <c r="I73" s="188" t="s">
        <v>177</v>
      </c>
      <c r="J73" s="177">
        <f>'Юнит 8'!U55</f>
        <v>0</v>
      </c>
      <c r="K73" s="178">
        <f t="shared" si="12"/>
        <v>0</v>
      </c>
      <c r="L73" s="178">
        <f t="shared" si="14"/>
        <v>0.99777975133214858</v>
      </c>
      <c r="M73" s="179" t="str">
        <f t="shared" si="4"/>
        <v>C</v>
      </c>
    </row>
    <row r="74" spans="2:13" ht="15" outlineLevel="1" thickBot="1">
      <c r="B74" s="188" t="s">
        <v>219</v>
      </c>
      <c r="C74" s="177">
        <f>'Юнит 8'!AO97</f>
        <v>-2.601740573152338</v>
      </c>
      <c r="D74" s="178">
        <f t="shared" si="10"/>
        <v>-4.5385782202311369E-6</v>
      </c>
      <c r="E74" s="178">
        <f t="shared" si="13"/>
        <v>1.0382050495326458</v>
      </c>
      <c r="F74" s="179" t="str">
        <f t="shared" si="3"/>
        <v>C</v>
      </c>
      <c r="G74" s="179" t="str">
        <f t="shared" si="11"/>
        <v>C</v>
      </c>
      <c r="I74" s="188" t="s">
        <v>179</v>
      </c>
      <c r="J74" s="177">
        <f>'Юнит 8'!U57</f>
        <v>0</v>
      </c>
      <c r="K74" s="178">
        <f t="shared" si="12"/>
        <v>0</v>
      </c>
      <c r="L74" s="178">
        <f t="shared" si="14"/>
        <v>0.99777975133214858</v>
      </c>
      <c r="M74" s="179" t="str">
        <f t="shared" si="4"/>
        <v>C</v>
      </c>
    </row>
    <row r="75" spans="2:13" ht="15" outlineLevel="1" thickBot="1">
      <c r="B75" s="188" t="s">
        <v>191</v>
      </c>
      <c r="C75" s="177">
        <f>'Юнит 8'!AO69</f>
        <v>-10.406962292609352</v>
      </c>
      <c r="D75" s="178">
        <f t="shared" si="10"/>
        <v>-1.8154312880924548E-5</v>
      </c>
      <c r="E75" s="178">
        <f t="shared" si="13"/>
        <v>1.0381868952197648</v>
      </c>
      <c r="F75" s="179" t="str">
        <f t="shared" si="3"/>
        <v>C</v>
      </c>
      <c r="G75" s="179" t="str">
        <f t="shared" si="11"/>
        <v>C</v>
      </c>
      <c r="I75" s="188" t="s">
        <v>181</v>
      </c>
      <c r="J75" s="177">
        <f>'Юнит 8'!U59</f>
        <v>0</v>
      </c>
      <c r="K75" s="178">
        <f t="shared" si="12"/>
        <v>0</v>
      </c>
      <c r="L75" s="178">
        <f t="shared" si="14"/>
        <v>0.99777975133214858</v>
      </c>
      <c r="M75" s="179" t="str">
        <f t="shared" si="4"/>
        <v>C</v>
      </c>
    </row>
    <row r="76" spans="2:13" ht="26.5" outlineLevel="1" thickBot="1">
      <c r="B76" s="188" t="s">
        <v>199</v>
      </c>
      <c r="C76" s="177">
        <f>'Юнит 8'!AO77</f>
        <v>-33.822627450980391</v>
      </c>
      <c r="D76" s="178">
        <f t="shared" si="10"/>
        <v>-5.9001516863004775E-5</v>
      </c>
      <c r="E76" s="178">
        <f>E49+D76</f>
        <v>1.0380280190527964</v>
      </c>
      <c r="F76" s="179" t="str">
        <f t="shared" si="3"/>
        <v>C</v>
      </c>
      <c r="G76" s="179" t="str">
        <f t="shared" si="11"/>
        <v>C</v>
      </c>
      <c r="I76" s="188" t="s">
        <v>183</v>
      </c>
      <c r="J76" s="177">
        <f>'Юнит 8'!U61</f>
        <v>0</v>
      </c>
      <c r="K76" s="178">
        <f t="shared" si="12"/>
        <v>0</v>
      </c>
      <c r="L76" s="178">
        <f>L49+K76</f>
        <v>0.99378330373001722</v>
      </c>
      <c r="M76" s="179" t="str">
        <f t="shared" si="4"/>
        <v>C</v>
      </c>
    </row>
    <row r="77" spans="2:13" ht="15" outlineLevel="1" thickBot="1">
      <c r="B77" s="188" t="s">
        <v>163</v>
      </c>
      <c r="C77" s="177">
        <f>'Юнит 8'!AO41</f>
        <v>-39.893355455002521</v>
      </c>
      <c r="D77" s="178">
        <f t="shared" si="10"/>
        <v>-6.9591532710210774E-5</v>
      </c>
      <c r="E77" s="178">
        <f t="shared" ref="E77:E93" si="15">E76+D77</f>
        <v>1.0379584275200862</v>
      </c>
      <c r="F77" s="179" t="str">
        <f t="shared" si="3"/>
        <v>C</v>
      </c>
      <c r="G77" s="179" t="str">
        <f t="shared" si="11"/>
        <v>C</v>
      </c>
      <c r="I77" s="188" t="s">
        <v>184</v>
      </c>
      <c r="J77" s="177">
        <f>'Юнит 8'!U62</f>
        <v>0</v>
      </c>
      <c r="K77" s="178">
        <f t="shared" si="12"/>
        <v>0</v>
      </c>
      <c r="L77" s="178">
        <f t="shared" ref="L77:L94" si="16">L76+K77</f>
        <v>0.99378330373001722</v>
      </c>
      <c r="M77" s="179" t="str">
        <f t="shared" si="4"/>
        <v>C</v>
      </c>
    </row>
    <row r="78" spans="2:13" ht="26.5" outlineLevel="1" thickBot="1">
      <c r="B78" s="188" t="s">
        <v>208</v>
      </c>
      <c r="C78" s="177">
        <f>'Юнит 8'!AO86</f>
        <v>-39.893355455002521</v>
      </c>
      <c r="D78" s="178">
        <f t="shared" si="10"/>
        <v>-6.9591532710210774E-5</v>
      </c>
      <c r="E78" s="178">
        <f t="shared" si="15"/>
        <v>1.0378888359873759</v>
      </c>
      <c r="F78" s="179" t="str">
        <f t="shared" si="3"/>
        <v>C</v>
      </c>
      <c r="G78" s="179" t="str">
        <f t="shared" si="11"/>
        <v>C</v>
      </c>
      <c r="I78" s="188" t="s">
        <v>185</v>
      </c>
      <c r="J78" s="177">
        <f>'Юнит 8'!U63</f>
        <v>0</v>
      </c>
      <c r="K78" s="178">
        <f t="shared" si="12"/>
        <v>0</v>
      </c>
      <c r="L78" s="178">
        <f t="shared" si="16"/>
        <v>0.99378330373001722</v>
      </c>
      <c r="M78" s="179" t="str">
        <f t="shared" si="4"/>
        <v>C</v>
      </c>
    </row>
    <row r="79" spans="2:13" ht="26.5" outlineLevel="1" thickBot="1">
      <c r="B79" s="188" t="s">
        <v>204</v>
      </c>
      <c r="C79" s="177">
        <f>'Юнит 8'!AO82</f>
        <v>-41.627849170437408</v>
      </c>
      <c r="D79" s="178">
        <f t="shared" si="10"/>
        <v>-7.261725152369819E-5</v>
      </c>
      <c r="E79" s="178">
        <f t="shared" si="15"/>
        <v>1.0378162187358522</v>
      </c>
      <c r="F79" s="179" t="str">
        <f t="shared" si="3"/>
        <v>C</v>
      </c>
      <c r="G79" s="179" t="str">
        <f t="shared" si="11"/>
        <v>C</v>
      </c>
      <c r="I79" s="188" t="s">
        <v>186</v>
      </c>
      <c r="J79" s="177">
        <f>'Юнит 8'!U64</f>
        <v>0</v>
      </c>
      <c r="K79" s="178">
        <f t="shared" si="12"/>
        <v>0</v>
      </c>
      <c r="L79" s="178">
        <f t="shared" si="16"/>
        <v>0.99378330373001722</v>
      </c>
      <c r="M79" s="179" t="str">
        <f t="shared" si="4"/>
        <v>C</v>
      </c>
    </row>
    <row r="80" spans="2:13" ht="15" outlineLevel="1" thickBot="1">
      <c r="B80" s="188" t="s">
        <v>206</v>
      </c>
      <c r="C80" s="177">
        <f>'Юнит 8'!AO84</f>
        <v>-41.627849170437408</v>
      </c>
      <c r="D80" s="178">
        <f t="shared" si="10"/>
        <v>-7.261725152369819E-5</v>
      </c>
      <c r="E80" s="178">
        <f t="shared" si="15"/>
        <v>1.0377436014843284</v>
      </c>
      <c r="F80" s="179" t="str">
        <f t="shared" si="3"/>
        <v>C</v>
      </c>
      <c r="G80" s="179" t="str">
        <f t="shared" si="11"/>
        <v>C</v>
      </c>
      <c r="I80" s="188" t="s">
        <v>187</v>
      </c>
      <c r="J80" s="177">
        <f>'Юнит 8'!U65</f>
        <v>0</v>
      </c>
      <c r="K80" s="178">
        <f t="shared" si="12"/>
        <v>0</v>
      </c>
      <c r="L80" s="178">
        <f t="shared" si="16"/>
        <v>0.99378330373001722</v>
      </c>
      <c r="M80" s="179" t="str">
        <f t="shared" si="4"/>
        <v>C</v>
      </c>
    </row>
    <row r="81" spans="2:13" ht="26.5" outlineLevel="1" thickBot="1">
      <c r="B81" s="188" t="s">
        <v>212</v>
      </c>
      <c r="C81" s="177">
        <f>'Юнит 8'!AO90</f>
        <v>-43.362342885872295</v>
      </c>
      <c r="D81" s="178">
        <f t="shared" si="10"/>
        <v>-7.5642970337185607E-5</v>
      </c>
      <c r="E81" s="178">
        <f t="shared" si="15"/>
        <v>1.0376679585139912</v>
      </c>
      <c r="F81" s="179" t="str">
        <f t="shared" si="3"/>
        <v>C</v>
      </c>
      <c r="G81" s="179" t="str">
        <f t="shared" si="11"/>
        <v>C</v>
      </c>
      <c r="I81" s="188" t="s">
        <v>188</v>
      </c>
      <c r="J81" s="177">
        <f>'Юнит 8'!U66</f>
        <v>0</v>
      </c>
      <c r="K81" s="178">
        <f t="shared" si="12"/>
        <v>0</v>
      </c>
      <c r="L81" s="178">
        <f t="shared" si="16"/>
        <v>0.99378330373001722</v>
      </c>
      <c r="M81" s="179" t="str">
        <f t="shared" si="4"/>
        <v>C</v>
      </c>
    </row>
    <row r="82" spans="2:13" ht="15" outlineLevel="1" thickBot="1">
      <c r="B82" s="188" t="s">
        <v>176</v>
      </c>
      <c r="C82" s="177">
        <f>'Юнит 8'!AO54</f>
        <v>-51.169361739567634</v>
      </c>
      <c r="D82" s="178">
        <f t="shared" si="10"/>
        <v>-8.9261839989275563E-5</v>
      </c>
      <c r="E82" s="178">
        <f t="shared" si="15"/>
        <v>1.0375786966740019</v>
      </c>
      <c r="F82" s="179" t="str">
        <f t="shared" si="3"/>
        <v>C</v>
      </c>
      <c r="G82" s="179" t="str">
        <f t="shared" si="11"/>
        <v>C</v>
      </c>
      <c r="I82" s="188" t="s">
        <v>190</v>
      </c>
      <c r="J82" s="177">
        <f>'Юнит 8'!U68</f>
        <v>0</v>
      </c>
      <c r="K82" s="178">
        <f t="shared" si="12"/>
        <v>0</v>
      </c>
      <c r="L82" s="178">
        <f t="shared" si="16"/>
        <v>0.99378330373001722</v>
      </c>
      <c r="M82" s="179" t="str">
        <f t="shared" si="4"/>
        <v>C</v>
      </c>
    </row>
    <row r="83" spans="2:13" ht="15" outlineLevel="1" thickBot="1">
      <c r="B83" s="188" t="s">
        <v>187</v>
      </c>
      <c r="C83" s="177">
        <f>'Юнит 8'!AO65</f>
        <v>-97.267246857717453</v>
      </c>
      <c r="D83" s="178">
        <f t="shared" si="10"/>
        <v>-1.6967679740467103E-4</v>
      </c>
      <c r="E83" s="178">
        <f t="shared" si="15"/>
        <v>1.0374090198765973</v>
      </c>
      <c r="F83" s="179" t="str">
        <f t="shared" si="3"/>
        <v>C</v>
      </c>
      <c r="G83" s="179" t="str">
        <f t="shared" si="11"/>
        <v>C</v>
      </c>
      <c r="I83" s="188" t="s">
        <v>191</v>
      </c>
      <c r="J83" s="177">
        <f>'Юнит 8'!U69</f>
        <v>0</v>
      </c>
      <c r="K83" s="178">
        <f t="shared" si="12"/>
        <v>0</v>
      </c>
      <c r="L83" s="178">
        <f t="shared" si="16"/>
        <v>0.99378330373001722</v>
      </c>
      <c r="M83" s="179" t="str">
        <f t="shared" si="4"/>
        <v>C</v>
      </c>
    </row>
    <row r="84" spans="2:13" ht="15" outlineLevel="1" thickBot="1">
      <c r="B84" s="188" t="s">
        <v>192</v>
      </c>
      <c r="C84" s="177">
        <f>'Юнит 8'!AO70</f>
        <v>-101.19623428858723</v>
      </c>
      <c r="D84" s="178">
        <f t="shared" si="10"/>
        <v>-1.765306770594368E-4</v>
      </c>
      <c r="E84" s="178">
        <f t="shared" si="15"/>
        <v>1.0372324891995379</v>
      </c>
      <c r="F84" s="179" t="str">
        <f t="shared" si="3"/>
        <v>C</v>
      </c>
      <c r="G84" s="179" t="str">
        <f t="shared" si="11"/>
        <v>C</v>
      </c>
      <c r="I84" s="188" t="s">
        <v>192</v>
      </c>
      <c r="J84" s="177">
        <f>'Юнит 8'!U70</f>
        <v>0</v>
      </c>
      <c r="K84" s="178">
        <f t="shared" si="12"/>
        <v>0</v>
      </c>
      <c r="L84" s="178">
        <f t="shared" si="16"/>
        <v>0.99378330373001722</v>
      </c>
      <c r="M84" s="179" t="str">
        <f t="shared" si="4"/>
        <v>C</v>
      </c>
    </row>
    <row r="85" spans="2:13" ht="26.5" outlineLevel="1" thickBot="1">
      <c r="B85" s="188" t="s">
        <v>164</v>
      </c>
      <c r="C85" s="177">
        <f>'Юнит 8'!AO42</f>
        <v>-122.09161488185018</v>
      </c>
      <c r="D85" s="178">
        <f t="shared" si="10"/>
        <v>-2.1298139787404846E-4</v>
      </c>
      <c r="E85" s="178">
        <f t="shared" si="15"/>
        <v>1.037019507801664</v>
      </c>
      <c r="F85" s="179" t="str">
        <f t="shared" si="3"/>
        <v>C</v>
      </c>
      <c r="G85" s="179" t="str">
        <f t="shared" si="11"/>
        <v>C</v>
      </c>
      <c r="I85" s="188" t="s">
        <v>199</v>
      </c>
      <c r="J85" s="177">
        <f>'Юнит 8'!U77</f>
        <v>0</v>
      </c>
      <c r="K85" s="178">
        <f t="shared" si="12"/>
        <v>0</v>
      </c>
      <c r="L85" s="178">
        <f t="shared" si="16"/>
        <v>0.99378330373001722</v>
      </c>
      <c r="M85" s="179" t="str">
        <f t="shared" si="4"/>
        <v>C</v>
      </c>
    </row>
    <row r="86" spans="2:13" ht="15" outlineLevel="1" thickBot="1">
      <c r="B86" s="188" t="s">
        <v>200</v>
      </c>
      <c r="C86" s="177">
        <f>'Юнит 8'!AO78</f>
        <v>-129.39392458521871</v>
      </c>
      <c r="D86" s="178">
        <f t="shared" si="10"/>
        <v>-2.2571983310432781E-4</v>
      </c>
      <c r="E86" s="178">
        <f t="shared" si="15"/>
        <v>1.0367937879685596</v>
      </c>
      <c r="F86" s="179" t="str">
        <f t="shared" si="3"/>
        <v>C</v>
      </c>
      <c r="G86" s="179" t="str">
        <f t="shared" si="11"/>
        <v>C</v>
      </c>
      <c r="I86" s="188" t="s">
        <v>200</v>
      </c>
      <c r="J86" s="177">
        <f>'Юнит 8'!U78</f>
        <v>0</v>
      </c>
      <c r="K86" s="178">
        <f t="shared" si="12"/>
        <v>0</v>
      </c>
      <c r="L86" s="178">
        <f t="shared" si="16"/>
        <v>0.99378330373001722</v>
      </c>
      <c r="M86" s="179" t="str">
        <f t="shared" si="4"/>
        <v>C</v>
      </c>
    </row>
    <row r="87" spans="2:13" ht="26.5" outlineLevel="1" thickBot="1">
      <c r="B87" s="188" t="s">
        <v>215</v>
      </c>
      <c r="C87" s="177">
        <f>'Юнит 8'!AO93</f>
        <v>-132.17060231271995</v>
      </c>
      <c r="D87" s="178">
        <f t="shared" si="10"/>
        <v>-2.305635785525409E-4</v>
      </c>
      <c r="E87" s="178">
        <f t="shared" si="15"/>
        <v>1.0365632243900071</v>
      </c>
      <c r="F87" s="179" t="str">
        <f t="shared" si="3"/>
        <v>C</v>
      </c>
      <c r="G87" s="179" t="str">
        <f t="shared" si="11"/>
        <v>C</v>
      </c>
      <c r="I87" s="188" t="s">
        <v>201</v>
      </c>
      <c r="J87" s="177">
        <f>'Юнит 8'!U79</f>
        <v>0</v>
      </c>
      <c r="K87" s="178">
        <f t="shared" si="12"/>
        <v>0</v>
      </c>
      <c r="L87" s="178">
        <f t="shared" si="16"/>
        <v>0.99378330373001722</v>
      </c>
      <c r="M87" s="179" t="str">
        <f t="shared" si="4"/>
        <v>C</v>
      </c>
    </row>
    <row r="88" spans="2:13" ht="26.5" outlineLevel="1" thickBot="1">
      <c r="B88" s="188" t="s">
        <v>201</v>
      </c>
      <c r="C88" s="177">
        <f>'Юнит 8'!AO79</f>
        <v>-136.75335545500252</v>
      </c>
      <c r="D88" s="178">
        <f t="shared" si="10"/>
        <v>-2.3855791273592902E-4</v>
      </c>
      <c r="E88" s="178">
        <f t="shared" si="15"/>
        <v>1.0363246664772712</v>
      </c>
      <c r="F88" s="179" t="str">
        <f t="shared" si="3"/>
        <v>C</v>
      </c>
      <c r="G88" s="179" t="str">
        <f t="shared" si="11"/>
        <v>C</v>
      </c>
      <c r="I88" s="188" t="s">
        <v>204</v>
      </c>
      <c r="J88" s="177">
        <f>'Юнит 8'!U82</f>
        <v>0</v>
      </c>
      <c r="K88" s="178">
        <f t="shared" si="12"/>
        <v>0</v>
      </c>
      <c r="L88" s="178">
        <f t="shared" si="16"/>
        <v>0.99378330373001722</v>
      </c>
      <c r="M88" s="179" t="str">
        <f t="shared" si="4"/>
        <v>C</v>
      </c>
    </row>
    <row r="89" spans="2:13" ht="15" outlineLevel="1" thickBot="1">
      <c r="B89" s="188" t="s">
        <v>205</v>
      </c>
      <c r="C89" s="177">
        <f>'Юнит 8'!AO83</f>
        <v>-147.60610859728507</v>
      </c>
      <c r="D89" s="178">
        <f t="shared" si="10"/>
        <v>-2.5748988064594572E-4</v>
      </c>
      <c r="E89" s="178">
        <f t="shared" si="15"/>
        <v>1.0360671765966252</v>
      </c>
      <c r="F89" s="179" t="str">
        <f t="shared" si="3"/>
        <v>C</v>
      </c>
      <c r="G89" s="179" t="str">
        <f t="shared" si="11"/>
        <v>C</v>
      </c>
      <c r="I89" s="188" t="s">
        <v>205</v>
      </c>
      <c r="J89" s="177">
        <f>'Юнит 8'!U83</f>
        <v>0</v>
      </c>
      <c r="K89" s="178">
        <f t="shared" si="12"/>
        <v>0</v>
      </c>
      <c r="L89" s="178">
        <f t="shared" si="16"/>
        <v>0.99378330373001722</v>
      </c>
      <c r="M89" s="179" t="str">
        <f t="shared" si="4"/>
        <v>C</v>
      </c>
    </row>
    <row r="90" spans="2:13" ht="15" outlineLevel="1" thickBot="1">
      <c r="B90" s="188" t="s">
        <v>214</v>
      </c>
      <c r="C90" s="177">
        <f>'Юнит 8'!AO92</f>
        <v>-150.17509602815485</v>
      </c>
      <c r="D90" s="178">
        <f t="shared" si="10"/>
        <v>-2.6197132300115572E-4</v>
      </c>
      <c r="E90" s="178">
        <f t="shared" si="15"/>
        <v>1.035805205273624</v>
      </c>
      <c r="F90" s="179" t="str">
        <f t="shared" si="3"/>
        <v>C</v>
      </c>
      <c r="G90" s="179" t="str">
        <f t="shared" si="11"/>
        <v>C</v>
      </c>
      <c r="I90" s="188" t="s">
        <v>206</v>
      </c>
      <c r="J90" s="177">
        <f>'Юнит 8'!U84</f>
        <v>0</v>
      </c>
      <c r="K90" s="178">
        <f t="shared" si="12"/>
        <v>0</v>
      </c>
      <c r="L90" s="178">
        <f t="shared" si="16"/>
        <v>0.99378330373001722</v>
      </c>
      <c r="M90" s="179" t="str">
        <f t="shared" si="4"/>
        <v>C</v>
      </c>
    </row>
    <row r="91" spans="2:13" ht="26.5" outlineLevel="1" thickBot="1">
      <c r="B91" s="188" t="s">
        <v>203</v>
      </c>
      <c r="C91" s="177">
        <f>'Юнит 8'!AO81</f>
        <v>-179.12461830065351</v>
      </c>
      <c r="D91" s="178">
        <f t="shared" si="10"/>
        <v>-3.1247200420968349E-4</v>
      </c>
      <c r="E91" s="178">
        <f t="shared" si="15"/>
        <v>1.0354927332694144</v>
      </c>
      <c r="F91" s="179" t="str">
        <f t="shared" si="3"/>
        <v>C</v>
      </c>
      <c r="G91" s="179" t="str">
        <f t="shared" si="11"/>
        <v>C</v>
      </c>
      <c r="I91" s="188" t="s">
        <v>208</v>
      </c>
      <c r="J91" s="177">
        <f>'Юнит 8'!U86</f>
        <v>0</v>
      </c>
      <c r="K91" s="178">
        <f t="shared" si="12"/>
        <v>0</v>
      </c>
      <c r="L91" s="178">
        <f t="shared" si="16"/>
        <v>0.99378330373001722</v>
      </c>
      <c r="M91" s="179" t="str">
        <f t="shared" si="4"/>
        <v>C</v>
      </c>
    </row>
    <row r="92" spans="2:13" ht="26.5" outlineLevel="1" thickBot="1">
      <c r="B92" s="188" t="s">
        <v>183</v>
      </c>
      <c r="C92" s="177">
        <f>'Юнит 8'!AO61</f>
        <v>-235.2912378079437</v>
      </c>
      <c r="D92" s="178">
        <f t="shared" si="10"/>
        <v>-4.1045125649575323E-4</v>
      </c>
      <c r="E92" s="178">
        <f t="shared" si="15"/>
        <v>1.0350822820129186</v>
      </c>
      <c r="F92" s="179" t="str">
        <f t="shared" si="3"/>
        <v>C</v>
      </c>
      <c r="G92" s="179" t="str">
        <f t="shared" si="11"/>
        <v>C</v>
      </c>
      <c r="I92" s="188" t="s">
        <v>212</v>
      </c>
      <c r="J92" s="177">
        <f>'Юнит 8'!U90</f>
        <v>0</v>
      </c>
      <c r="K92" s="178">
        <f t="shared" si="12"/>
        <v>0</v>
      </c>
      <c r="L92" s="178">
        <f t="shared" si="16"/>
        <v>0.99378330373001722</v>
      </c>
      <c r="M92" s="179" t="str">
        <f t="shared" si="4"/>
        <v>C</v>
      </c>
    </row>
    <row r="93" spans="2:13" ht="15" outlineLevel="1" thickBot="1">
      <c r="B93" s="188" t="s">
        <v>172</v>
      </c>
      <c r="C93" s="177">
        <f>'Юнит 8'!AO50</f>
        <v>-240.01393438914079</v>
      </c>
      <c r="D93" s="178">
        <f t="shared" si="10"/>
        <v>-4.1868971349848613E-4</v>
      </c>
      <c r="E93" s="178">
        <f t="shared" si="15"/>
        <v>1.0346635922994201</v>
      </c>
      <c r="F93" s="179" t="str">
        <f t="shared" si="3"/>
        <v>C</v>
      </c>
      <c r="G93" s="179" t="str">
        <f t="shared" si="11"/>
        <v>C</v>
      </c>
      <c r="I93" s="188" t="s">
        <v>214</v>
      </c>
      <c r="J93" s="177">
        <f>'Юнит 8'!U92</f>
        <v>0</v>
      </c>
      <c r="K93" s="178">
        <f t="shared" si="12"/>
        <v>0</v>
      </c>
      <c r="L93" s="178">
        <f t="shared" si="16"/>
        <v>0.99378330373001722</v>
      </c>
      <c r="M93" s="179" t="str">
        <f t="shared" si="4"/>
        <v>C</v>
      </c>
    </row>
    <row r="94" spans="2:13" ht="26.5" outlineLevel="1" thickBot="1">
      <c r="B94" s="188" t="s">
        <v>263</v>
      </c>
      <c r="C94" s="177">
        <f>'Юнит 8'!AO103</f>
        <v>-336</v>
      </c>
      <c r="D94" s="178">
        <f t="shared" si="10"/>
        <v>-5.8613156812555576E-4</v>
      </c>
      <c r="E94" s="178">
        <f>E93+D94</f>
        <v>1.0340774607312946</v>
      </c>
      <c r="F94" s="179" t="str">
        <f t="shared" si="3"/>
        <v>C</v>
      </c>
      <c r="G94" s="179" t="str">
        <f t="shared" si="11"/>
        <v>C</v>
      </c>
      <c r="I94" s="188" t="s">
        <v>215</v>
      </c>
      <c r="J94" s="177">
        <f>'Юнит 8'!U93</f>
        <v>0</v>
      </c>
      <c r="K94" s="178">
        <f t="shared" si="12"/>
        <v>0</v>
      </c>
      <c r="L94" s="178">
        <f t="shared" si="16"/>
        <v>0.99378330373001722</v>
      </c>
      <c r="M94" s="179" t="str">
        <f t="shared" si="4"/>
        <v>C</v>
      </c>
    </row>
    <row r="95" spans="2:13" ht="26.5" outlineLevel="1" thickBot="1">
      <c r="B95" s="188" t="s">
        <v>197</v>
      </c>
      <c r="C95" s="177">
        <f>'Юнит 8'!AO75</f>
        <v>-352.32300000000004</v>
      </c>
      <c r="D95" s="178">
        <f t="shared" si="10"/>
        <v>-6.146060490377982E-4</v>
      </c>
      <c r="E95" s="178">
        <f>E94+D95</f>
        <v>1.0334628546822568</v>
      </c>
      <c r="F95" s="179" t="str">
        <f t="shared" si="3"/>
        <v>C</v>
      </c>
      <c r="G95" s="179" t="str">
        <f t="shared" si="11"/>
        <v>C</v>
      </c>
      <c r="I95" s="188" t="s">
        <v>216</v>
      </c>
      <c r="J95" s="177">
        <f>'Юнит 8'!U94</f>
        <v>0</v>
      </c>
      <c r="K95" s="178">
        <f t="shared" si="12"/>
        <v>0</v>
      </c>
      <c r="L95" s="178">
        <f>L94+K95</f>
        <v>0.99378330373001722</v>
      </c>
      <c r="M95" s="179" t="str">
        <f t="shared" si="4"/>
        <v>C</v>
      </c>
    </row>
    <row r="96" spans="2:13" ht="26.5" outlineLevel="1" thickBot="1">
      <c r="B96" s="188" t="s">
        <v>160</v>
      </c>
      <c r="C96" s="177">
        <f>'Юнит 8'!AO38</f>
        <v>-360.5233554550025</v>
      </c>
      <c r="D96" s="178">
        <f t="shared" si="10"/>
        <v>-6.2891107047240396E-4</v>
      </c>
      <c r="E96" s="178">
        <f t="shared" ref="E96:E98" si="17">E95+D96</f>
        <v>1.0328339436117844</v>
      </c>
      <c r="F96" s="179" t="str">
        <f t="shared" si="3"/>
        <v>C</v>
      </c>
      <c r="G96" s="179" t="str">
        <f t="shared" si="11"/>
        <v>C</v>
      </c>
      <c r="I96" s="188" t="s">
        <v>217</v>
      </c>
      <c r="J96" s="177">
        <f>'Юнит 8'!U95</f>
        <v>0</v>
      </c>
      <c r="K96" s="178">
        <f t="shared" si="12"/>
        <v>0</v>
      </c>
      <c r="L96" s="178">
        <f t="shared" ref="L96:L98" si="18">L95+K96</f>
        <v>0.99378330373001722</v>
      </c>
      <c r="M96" s="179" t="str">
        <f t="shared" si="4"/>
        <v>C</v>
      </c>
    </row>
    <row r="97" spans="2:16" ht="15" outlineLevel="1" thickBot="1">
      <c r="B97" s="188" t="s">
        <v>193</v>
      </c>
      <c r="C97" s="177">
        <f>'Юнит 8'!AO71</f>
        <v>-452.54191543489191</v>
      </c>
      <c r="D97" s="178">
        <f t="shared" si="10"/>
        <v>-7.8943185278689237E-4</v>
      </c>
      <c r="E97" s="178">
        <f t="shared" si="17"/>
        <v>1.0320445117589976</v>
      </c>
      <c r="F97" s="179" t="str">
        <f t="shared" ref="F97:F98" si="19">IF(AND(E97&lt;=0),"C",IF(E97&lt;=0.8,"A",IF(E97&lt;=0.95,"B","C")))</f>
        <v>C</v>
      </c>
      <c r="G97" s="179" t="str">
        <f t="shared" si="11"/>
        <v>C</v>
      </c>
      <c r="I97" s="188" t="s">
        <v>218</v>
      </c>
      <c r="J97" s="177">
        <f>'Юнит 8'!U96</f>
        <v>0</v>
      </c>
      <c r="K97" s="178">
        <f t="shared" si="12"/>
        <v>0</v>
      </c>
      <c r="L97" s="178">
        <f t="shared" si="18"/>
        <v>0.99378330373001722</v>
      </c>
      <c r="M97" s="179" t="str">
        <f t="shared" si="4"/>
        <v>C</v>
      </c>
    </row>
    <row r="98" spans="2:16" ht="26.5" outlineLevel="1" thickBot="1">
      <c r="B98" s="188" t="s">
        <v>174</v>
      </c>
      <c r="C98" s="177">
        <f>'Юнит 8'!AO52</f>
        <v>-459.7133554550025</v>
      </c>
      <c r="D98" s="178">
        <f t="shared" si="10"/>
        <v>-8.0194199381280237E-4</v>
      </c>
      <c r="E98" s="178">
        <f t="shared" si="17"/>
        <v>1.0312425697651848</v>
      </c>
      <c r="F98" s="179" t="str">
        <f t="shared" si="19"/>
        <v>C</v>
      </c>
      <c r="G98" s="179" t="str">
        <f t="shared" si="11"/>
        <v>C</v>
      </c>
      <c r="I98" s="188" t="s">
        <v>219</v>
      </c>
      <c r="J98" s="177">
        <f>'Юнит 8'!U97</f>
        <v>0</v>
      </c>
      <c r="K98" s="178">
        <f t="shared" si="12"/>
        <v>0</v>
      </c>
      <c r="L98" s="178">
        <f t="shared" si="18"/>
        <v>0.99378330373001722</v>
      </c>
      <c r="M98" s="179" t="str">
        <f t="shared" si="4"/>
        <v>C</v>
      </c>
    </row>
    <row r="99" spans="2:16" ht="15" outlineLevel="1" thickBot="1">
      <c r="B99" s="188" t="s">
        <v>162</v>
      </c>
      <c r="C99" s="177">
        <f>'Юнит 8'!AO40</f>
        <v>-467.82712116641528</v>
      </c>
      <c r="D99" s="178">
        <f t="shared" si="10"/>
        <v>-8.1609596470516468E-4</v>
      </c>
      <c r="E99" s="178">
        <f>E93+D99</f>
        <v>1.0338474963347148</v>
      </c>
      <c r="F99" s="179" t="str">
        <f t="shared" ref="F99" si="20">IF(AND(E99&lt;=0),"C",IF(E99&lt;=0.8,"A",IF(E99&lt;=0.95,"B","C")))</f>
        <v>C</v>
      </c>
      <c r="G99" s="179" t="str">
        <f t="shared" si="11"/>
        <v>C</v>
      </c>
      <c r="I99" s="188" t="s">
        <v>259</v>
      </c>
      <c r="J99" s="177">
        <f>'Юнит 8'!U99</f>
        <v>0</v>
      </c>
      <c r="K99" s="178">
        <f t="shared" si="12"/>
        <v>0</v>
      </c>
      <c r="L99" s="178">
        <f>L93+K99</f>
        <v>0.99378330373001722</v>
      </c>
      <c r="M99" s="179" t="str">
        <f t="shared" ref="M99" si="21">_xlfn.IFS(L99&lt;80%,"A",L99&lt;=95%,"B",L99&gt;95%,"C")</f>
        <v>C</v>
      </c>
    </row>
    <row r="100" spans="2:16" ht="15" outlineLevel="1" thickBot="1">
      <c r="B100" s="188" t="s">
        <v>149</v>
      </c>
      <c r="C100" s="177">
        <f>'Юнит 8'!AO27</f>
        <v>-479.23771017043771</v>
      </c>
      <c r="D100" s="178">
        <f t="shared" ref="D100:D104" si="22">C100/C$105</f>
        <v>-8.3600104335446201E-4</v>
      </c>
      <c r="E100" s="178">
        <f t="shared" ref="E100:E104" si="23">E94+D100</f>
        <v>1.03324145968794</v>
      </c>
      <c r="F100" s="179" t="str">
        <f t="shared" ref="F100:F104" si="24">IF(AND(E100&lt;=0),"C",IF(E100&lt;=0.8,"A",IF(E100&lt;=0.95,"B","C")))</f>
        <v>C</v>
      </c>
      <c r="G100" s="179" t="str">
        <f t="shared" ref="G100:G104" si="25">VLOOKUP(B$4:B$104,I$4:M$104,5,0)</f>
        <v>C</v>
      </c>
      <c r="I100" s="188" t="s">
        <v>260</v>
      </c>
      <c r="J100" s="177">
        <f>'Юнит 8'!U100</f>
        <v>0</v>
      </c>
      <c r="K100" s="178">
        <f t="shared" ref="K100:K104" si="26">J100/J$105</f>
        <v>0</v>
      </c>
      <c r="L100" s="178">
        <f t="shared" ref="L100:L104" si="27">L94+K100</f>
        <v>0.99378330373001722</v>
      </c>
      <c r="M100" s="179" t="str">
        <f t="shared" ref="M100:M104" si="28">_xlfn.IFS(L100&lt;80%,"A",L100&lt;=95%,"B",L100&gt;95%,"C")</f>
        <v>C</v>
      </c>
    </row>
    <row r="101" spans="2:16" ht="26.5" outlineLevel="1" thickBot="1">
      <c r="B101" s="188" t="s">
        <v>207</v>
      </c>
      <c r="C101" s="177">
        <f>'Юнит 8'!AO85</f>
        <v>-894.03443373554535</v>
      </c>
      <c r="D101" s="178">
        <f t="shared" si="22"/>
        <v>-1.5595887041775548E-3</v>
      </c>
      <c r="E101" s="178">
        <f t="shared" si="23"/>
        <v>1.0319032659780794</v>
      </c>
      <c r="F101" s="179" t="str">
        <f t="shared" si="24"/>
        <v>C</v>
      </c>
      <c r="G101" s="179" t="str">
        <f t="shared" si="25"/>
        <v>C</v>
      </c>
      <c r="I101" s="188" t="s">
        <v>262</v>
      </c>
      <c r="J101" s="177">
        <f>'Юнит 8'!U102</f>
        <v>0</v>
      </c>
      <c r="K101" s="178">
        <f t="shared" si="26"/>
        <v>0</v>
      </c>
      <c r="L101" s="178">
        <f t="shared" si="27"/>
        <v>0.99378330373001722</v>
      </c>
      <c r="M101" s="179" t="str">
        <f t="shared" si="28"/>
        <v>C</v>
      </c>
    </row>
    <row r="102" spans="2:16" ht="26.5" outlineLevel="1" thickBot="1">
      <c r="B102" s="188" t="s">
        <v>180</v>
      </c>
      <c r="C102" s="177">
        <f>'Юнит 8'!AO58</f>
        <v>-2049.7466588738062</v>
      </c>
      <c r="D102" s="178">
        <f t="shared" si="22"/>
        <v>-3.5756584030530434E-3</v>
      </c>
      <c r="E102" s="178">
        <f t="shared" si="23"/>
        <v>1.0292582852087313</v>
      </c>
      <c r="F102" s="179" t="str">
        <f t="shared" si="24"/>
        <v>C</v>
      </c>
      <c r="G102" s="179" t="str">
        <f t="shared" si="25"/>
        <v>C</v>
      </c>
      <c r="I102" s="188" t="s">
        <v>263</v>
      </c>
      <c r="J102" s="177">
        <f>'Юнит 8'!U103</f>
        <v>0</v>
      </c>
      <c r="K102" s="178">
        <f t="shared" si="26"/>
        <v>0</v>
      </c>
      <c r="L102" s="178">
        <f t="shared" si="27"/>
        <v>0.99378330373001722</v>
      </c>
      <c r="M102" s="179" t="str">
        <f t="shared" si="28"/>
        <v>C</v>
      </c>
    </row>
    <row r="103" spans="2:16" ht="26.5" outlineLevel="1" thickBot="1">
      <c r="B103" s="188" t="s">
        <v>125</v>
      </c>
      <c r="C103" s="177">
        <f>'Юнит 8'!AO3</f>
        <v>-6789.2879303323216</v>
      </c>
      <c r="D103" s="178">
        <f t="shared" si="22"/>
        <v>-1.1843499943635691E-2</v>
      </c>
      <c r="E103" s="178">
        <f t="shared" si="23"/>
        <v>1.0202010118153619</v>
      </c>
      <c r="F103" s="179" t="str">
        <f t="shared" si="24"/>
        <v>C</v>
      </c>
      <c r="G103" s="179" t="str">
        <f t="shared" si="25"/>
        <v>A</v>
      </c>
      <c r="I103" s="188" t="s">
        <v>197</v>
      </c>
      <c r="J103" s="177">
        <f>'Юнит 8'!U75</f>
        <v>-1</v>
      </c>
      <c r="K103" s="178">
        <f t="shared" si="26"/>
        <v>-4.4404973357015987E-4</v>
      </c>
      <c r="L103" s="178">
        <f t="shared" si="27"/>
        <v>0.99333925399644707</v>
      </c>
      <c r="M103" s="179" t="str">
        <f t="shared" si="28"/>
        <v>C</v>
      </c>
    </row>
    <row r="104" spans="2:16" ht="26.5" outlineLevel="1" thickBot="1">
      <c r="B104" s="188" t="s">
        <v>148</v>
      </c>
      <c r="C104" s="177">
        <f>'Юнит 8'!AO26</f>
        <v>-8358.7764012629414</v>
      </c>
      <c r="D104" s="178">
        <f t="shared" si="22"/>
        <v>-1.4581377141914098E-2</v>
      </c>
      <c r="E104" s="178">
        <f t="shared" si="23"/>
        <v>1.0166611926232707</v>
      </c>
      <c r="F104" s="179" t="str">
        <f t="shared" si="24"/>
        <v>C</v>
      </c>
      <c r="G104" s="179" t="str">
        <f t="shared" si="25"/>
        <v>C</v>
      </c>
      <c r="I104" s="188" t="s">
        <v>207</v>
      </c>
      <c r="J104" s="177">
        <f>'Юнит 8'!U85</f>
        <v>-1</v>
      </c>
      <c r="K104" s="178">
        <f t="shared" si="26"/>
        <v>-4.4404973357015987E-4</v>
      </c>
      <c r="L104" s="178">
        <f t="shared" si="27"/>
        <v>0.99333925399644707</v>
      </c>
      <c r="M104" s="179" t="str">
        <f t="shared" si="28"/>
        <v>C</v>
      </c>
    </row>
    <row r="105" spans="2:16" outlineLevel="1">
      <c r="C105" s="184">
        <f>SUM(C4:C104)</f>
        <v>573250.13405185705</v>
      </c>
      <c r="D105" s="185">
        <f>SUM(D4:D104)</f>
        <v>1.0000000000000002</v>
      </c>
      <c r="J105" s="184">
        <f>SUM(J4:J104)</f>
        <v>2252</v>
      </c>
      <c r="K105" s="185">
        <f>SUM(K4:K104)</f>
        <v>0.99999999999999944</v>
      </c>
    </row>
    <row r="106" spans="2:16" ht="15" thickBot="1"/>
    <row r="107" spans="2:16" ht="16" thickBot="1">
      <c r="B107" s="343" t="s">
        <v>240</v>
      </c>
      <c r="C107" s="344"/>
      <c r="D107" s="344"/>
      <c r="E107" s="344"/>
      <c r="F107" s="344"/>
      <c r="G107" s="344"/>
      <c r="H107" s="344"/>
      <c r="I107" s="344"/>
      <c r="J107" s="344"/>
      <c r="K107" s="344"/>
      <c r="L107" s="344"/>
      <c r="M107" s="345"/>
      <c r="O107" s="186"/>
      <c r="P107" s="186"/>
    </row>
    <row r="108" spans="2:16" ht="23.5" thickBot="1">
      <c r="C108" s="173" t="s">
        <v>10</v>
      </c>
      <c r="D108" s="174" t="s">
        <v>87</v>
      </c>
      <c r="E108" s="175" t="s">
        <v>88</v>
      </c>
      <c r="F108" s="187" t="s">
        <v>89</v>
      </c>
      <c r="G108" s="174" t="s">
        <v>90</v>
      </c>
      <c r="J108" s="173" t="s">
        <v>91</v>
      </c>
      <c r="K108" s="174" t="s">
        <v>92</v>
      </c>
      <c r="L108" s="175" t="s">
        <v>88</v>
      </c>
      <c r="M108" s="176" t="s">
        <v>90</v>
      </c>
    </row>
    <row r="109" spans="2:16">
      <c r="B109" s="96" t="s">
        <v>223</v>
      </c>
      <c r="C109" s="177">
        <f>'Юнит 8'!AO107</f>
        <v>0</v>
      </c>
      <c r="D109" s="178">
        <f>C109/C$114</f>
        <v>0</v>
      </c>
      <c r="E109" s="178">
        <f>D109</f>
        <v>0</v>
      </c>
      <c r="F109" s="179" t="str">
        <f t="shared" ref="F109:F113" si="29">IF(AND(E109&lt;=0),"C",IF(E109&lt;=0.8,"A",IF(E109&lt;=0.95,"B","C")))</f>
        <v>C</v>
      </c>
      <c r="G109" s="179" t="e">
        <f>VLOOKUP(B109:B113,I$109:M$113,5,0)</f>
        <v>#DIV/0!</v>
      </c>
      <c r="I109" s="96" t="s">
        <v>223</v>
      </c>
      <c r="J109" s="177">
        <f>'Юнит 8'!U107</f>
        <v>0</v>
      </c>
      <c r="K109" s="178" t="e">
        <f>J109/J$114</f>
        <v>#DIV/0!</v>
      </c>
      <c r="L109" s="178" t="e">
        <f>K109</f>
        <v>#DIV/0!</v>
      </c>
      <c r="M109" s="179" t="e">
        <f>_xlfn.IFS(L109&lt;80%,"A",L109&lt;=95%,"B",L109&gt;95%,"C")</f>
        <v>#DIV/0!</v>
      </c>
    </row>
    <row r="110" spans="2:16">
      <c r="B110" s="96" t="s">
        <v>225</v>
      </c>
      <c r="C110" s="177">
        <f>'Юнит 8'!AO108</f>
        <v>-0.86724685771744603</v>
      </c>
      <c r="D110" s="178">
        <f>C110/C$114</f>
        <v>1</v>
      </c>
      <c r="E110" s="178">
        <f t="shared" ref="E110:E113" si="30">D110+E109</f>
        <v>1</v>
      </c>
      <c r="F110" s="179" t="str">
        <f t="shared" si="29"/>
        <v>C</v>
      </c>
      <c r="G110" s="179" t="e">
        <f>VLOOKUP(B110:B114,I$109:M$113,5,0)</f>
        <v>#DIV/0!</v>
      </c>
      <c r="I110" s="96" t="s">
        <v>225</v>
      </c>
      <c r="J110" s="177">
        <f>'Юнит 8'!U108</f>
        <v>0</v>
      </c>
      <c r="K110" s="178" t="e">
        <f>J110/J$114</f>
        <v>#DIV/0!</v>
      </c>
      <c r="L110" s="178" t="e">
        <f>K110+L109</f>
        <v>#DIV/0!</v>
      </c>
      <c r="M110" s="179" t="e">
        <f t="shared" ref="M110:M113" si="31">_xlfn.IFS(L110&lt;80%,"A",L110&lt;=95%,"B",L110&gt;95%,"C")</f>
        <v>#DIV/0!</v>
      </c>
    </row>
    <row r="111" spans="2:16">
      <c r="B111" s="96" t="s">
        <v>226</v>
      </c>
      <c r="C111" s="177">
        <f>'Юнит 8'!AO109</f>
        <v>0</v>
      </c>
      <c r="D111" s="178">
        <f>C111/C$114</f>
        <v>0</v>
      </c>
      <c r="E111" s="178">
        <f t="shared" si="30"/>
        <v>1</v>
      </c>
      <c r="F111" s="179" t="str">
        <f t="shared" si="29"/>
        <v>C</v>
      </c>
      <c r="G111" s="179" t="e">
        <f>VLOOKUP(B111:B115,I$109:M$113,5,0)</f>
        <v>#DIV/0!</v>
      </c>
      <c r="I111" s="96" t="s">
        <v>226</v>
      </c>
      <c r="J111" s="177">
        <f>'Юнит 8'!U109</f>
        <v>0</v>
      </c>
      <c r="K111" s="178" t="e">
        <f>J111/J$114</f>
        <v>#DIV/0!</v>
      </c>
      <c r="L111" s="178" t="e">
        <f t="shared" ref="L111:L113" si="32">K111+L110</f>
        <v>#DIV/0!</v>
      </c>
      <c r="M111" s="179" t="e">
        <f t="shared" si="31"/>
        <v>#DIV/0!</v>
      </c>
    </row>
    <row r="112" spans="2:16">
      <c r="B112" s="96" t="s">
        <v>227</v>
      </c>
      <c r="C112" s="177">
        <f>'Юнит 8'!AO110</f>
        <v>0</v>
      </c>
      <c r="D112" s="178">
        <f>C112/C$114</f>
        <v>0</v>
      </c>
      <c r="E112" s="178">
        <f t="shared" si="30"/>
        <v>1</v>
      </c>
      <c r="F112" s="179" t="str">
        <f t="shared" si="29"/>
        <v>C</v>
      </c>
      <c r="G112" s="179" t="e">
        <f>VLOOKUP(B112:B116,I$109:M$113,5,0)</f>
        <v>#DIV/0!</v>
      </c>
      <c r="I112" s="96" t="s">
        <v>227</v>
      </c>
      <c r="J112" s="177">
        <f>'Юнит 8'!U110</f>
        <v>0</v>
      </c>
      <c r="K112" s="178" t="e">
        <f>J112/J$114</f>
        <v>#DIV/0!</v>
      </c>
      <c r="L112" s="178" t="e">
        <f t="shared" si="32"/>
        <v>#DIV/0!</v>
      </c>
      <c r="M112" s="179" t="e">
        <f t="shared" si="31"/>
        <v>#DIV/0!</v>
      </c>
    </row>
    <row r="113" spans="2:13">
      <c r="B113" s="96" t="s">
        <v>228</v>
      </c>
      <c r="C113" s="177">
        <f>'Юнит 8'!AO111</f>
        <v>0</v>
      </c>
      <c r="D113" s="178">
        <f>C113/C$114</f>
        <v>0</v>
      </c>
      <c r="E113" s="178">
        <f t="shared" si="30"/>
        <v>1</v>
      </c>
      <c r="F113" s="179" t="str">
        <f t="shared" si="29"/>
        <v>C</v>
      </c>
      <c r="G113" s="179" t="e">
        <f>VLOOKUP(B113:B117,I$109:M$113,5,0)</f>
        <v>#DIV/0!</v>
      </c>
      <c r="I113" s="96" t="s">
        <v>228</v>
      </c>
      <c r="J113" s="177">
        <f>'Юнит 8'!U111</f>
        <v>0</v>
      </c>
      <c r="K113" s="178" t="e">
        <f>J113/J$114</f>
        <v>#DIV/0!</v>
      </c>
      <c r="L113" s="178" t="e">
        <f t="shared" si="32"/>
        <v>#DIV/0!</v>
      </c>
      <c r="M113" s="179" t="e">
        <f t="shared" si="31"/>
        <v>#DIV/0!</v>
      </c>
    </row>
    <row r="114" spans="2:13">
      <c r="C114" s="184">
        <f>SUM(C109:C113)</f>
        <v>-0.86724685771744603</v>
      </c>
      <c r="D114" s="189">
        <f>SUM(D109:D113)</f>
        <v>1</v>
      </c>
      <c r="J114" s="184">
        <f>SUM(J109:J113)</f>
        <v>0</v>
      </c>
      <c r="K114" s="189" t="e">
        <f>SUM(K109:K113)</f>
        <v>#DIV/0!</v>
      </c>
      <c r="L114" s="189"/>
    </row>
  </sheetData>
  <sortState xmlns:xlrd2="http://schemas.microsoft.com/office/spreadsheetml/2017/richdata2" ref="I4:J104">
    <sortCondition descending="1" ref="J4:J104"/>
  </sortState>
  <mergeCells count="2">
    <mergeCell ref="B2:M2"/>
    <mergeCell ref="B107:M107"/>
  </mergeCells>
  <conditionalFormatting sqref="D4:D98 F4:G98 K4:K98 M4:M98">
    <cfRule type="cellIs" dxfId="50" priority="13" operator="equal">
      <formula>"C"</formula>
    </cfRule>
    <cfRule type="cellIs" dxfId="49" priority="14" operator="equal">
      <formula>"B"</formula>
    </cfRule>
    <cfRule type="cellIs" dxfId="48" priority="15" operator="equal">
      <formula>"A"</formula>
    </cfRule>
  </conditionalFormatting>
  <conditionalFormatting sqref="M109:M113 K109:K113 D109:D113">
    <cfRule type="cellIs" dxfId="47" priority="10" operator="equal">
      <formula>"C"</formula>
    </cfRule>
    <cfRule type="cellIs" dxfId="46" priority="11" operator="equal">
      <formula>"B"</formula>
    </cfRule>
    <cfRule type="cellIs" dxfId="45" priority="12" operator="equal">
      <formula>"A"</formula>
    </cfRule>
  </conditionalFormatting>
  <conditionalFormatting sqref="G109:G113">
    <cfRule type="cellIs" dxfId="44" priority="7" operator="equal">
      <formula>"C"</formula>
    </cfRule>
    <cfRule type="cellIs" dxfId="43" priority="8" operator="equal">
      <formula>"B"</formula>
    </cfRule>
    <cfRule type="cellIs" dxfId="42" priority="9" operator="equal">
      <formula>"A"</formula>
    </cfRule>
  </conditionalFormatting>
  <conditionalFormatting sqref="F109:F113">
    <cfRule type="cellIs" dxfId="41" priority="4" operator="equal">
      <formula>"C"</formula>
    </cfRule>
    <cfRule type="cellIs" dxfId="40" priority="5" operator="equal">
      <formula>"B"</formula>
    </cfRule>
    <cfRule type="cellIs" dxfId="39" priority="6" operator="equal">
      <formula>"A"</formula>
    </cfRule>
  </conditionalFormatting>
  <conditionalFormatting sqref="F99:G104 D99:D104 M99:M104 K99:K104">
    <cfRule type="cellIs" dxfId="38" priority="1" operator="equal">
      <formula>"C"</formula>
    </cfRule>
    <cfRule type="cellIs" dxfId="37" priority="2" operator="equal">
      <formula>"B"</formula>
    </cfRule>
    <cfRule type="cellIs" dxfId="3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0" t="s">
        <v>86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2"/>
    </row>
    <row r="3" spans="2:17" ht="28.5" customHeight="1" outlineLevel="1" thickBot="1">
      <c r="C3" s="173" t="s">
        <v>10</v>
      </c>
      <c r="D3" s="174" t="s">
        <v>87</v>
      </c>
      <c r="E3" s="175" t="s">
        <v>88</v>
      </c>
      <c r="F3" s="174" t="s">
        <v>89</v>
      </c>
      <c r="G3" s="174" t="s">
        <v>90</v>
      </c>
      <c r="J3" s="173" t="s">
        <v>91</v>
      </c>
      <c r="K3" s="174" t="s">
        <v>92</v>
      </c>
      <c r="L3" s="175" t="s">
        <v>88</v>
      </c>
      <c r="M3" s="176" t="s">
        <v>90</v>
      </c>
    </row>
    <row r="4" spans="2:17" ht="15" outlineLevel="1" thickBot="1">
      <c r="B4" s="188" t="s">
        <v>126</v>
      </c>
      <c r="C4" s="177">
        <f>ЯНВАРЬ!AO4</f>
        <v>95522.058136664535</v>
      </c>
      <c r="D4" s="178">
        <f t="shared" ref="D4:D67" si="0">C4/C$100</f>
        <v>0.50905424587524917</v>
      </c>
      <c r="E4" s="178">
        <f>D4</f>
        <v>0.50905424587524917</v>
      </c>
      <c r="F4" s="179" t="str">
        <f>IF(AND(E4&lt;=0),"C",IF(E4&lt;=0.8,"A",IF(E4&lt;=0.95,"B","C")))</f>
        <v>A</v>
      </c>
      <c r="G4" s="179" t="str">
        <f t="shared" ref="G4:G67" si="1">VLOOKUP(B$4:B$99,I$4:M$99,5,0)</f>
        <v>A</v>
      </c>
      <c r="I4" s="188" t="s">
        <v>126</v>
      </c>
      <c r="J4" s="177">
        <f>ЯНВАРЬ!U4</f>
        <v>602</v>
      </c>
      <c r="K4" s="178">
        <f t="shared" ref="K4:K67" si="2">J4/J$100</f>
        <v>0.26071892594196622</v>
      </c>
      <c r="L4" s="178">
        <f>K4</f>
        <v>0.26071892594196622</v>
      </c>
      <c r="M4" s="179" t="str">
        <f>_xlfn.IFS(L4&lt;80%,"A",L4&lt;=95%,"B",L4&gt;95%,"C")</f>
        <v>A</v>
      </c>
      <c r="P4" s="180" t="s">
        <v>93</v>
      </c>
      <c r="Q4" s="181">
        <v>0.8</v>
      </c>
    </row>
    <row r="5" spans="2:17" ht="15" outlineLevel="1" thickBot="1">
      <c r="B5" s="188" t="s">
        <v>127</v>
      </c>
      <c r="C5" s="177">
        <f>ЯНВАРЬ!AO5</f>
        <v>47515.951359732142</v>
      </c>
      <c r="D5" s="178">
        <f t="shared" si="0"/>
        <v>0.25322105970400183</v>
      </c>
      <c r="E5" s="178">
        <f>E4+D5</f>
        <v>0.76227530557925105</v>
      </c>
      <c r="F5" s="179" t="str">
        <f t="shared" ref="F5:F96" si="3">IF(AND(E5&lt;=0),"C",IF(E5&lt;=0.8,"A",IF(E5&lt;=0.95,"B","C")))</f>
        <v>A</v>
      </c>
      <c r="G5" s="179" t="str">
        <f t="shared" si="1"/>
        <v>A</v>
      </c>
      <c r="I5" s="188" t="s">
        <v>127</v>
      </c>
      <c r="J5" s="177">
        <f>ЯНВАРЬ!U5</f>
        <v>201</v>
      </c>
      <c r="K5" s="178">
        <f t="shared" si="2"/>
        <v>8.7050671286271114E-2</v>
      </c>
      <c r="L5" s="178">
        <f>L4+K5</f>
        <v>0.3477695972282373</v>
      </c>
      <c r="M5" s="179" t="str">
        <f t="shared" ref="M5:M99" si="4">_xlfn.IFS(L5&lt;80%,"A",L5&lt;=95%,"B",L5&gt;95%,"C")</f>
        <v>A</v>
      </c>
      <c r="P5" s="182" t="s">
        <v>94</v>
      </c>
      <c r="Q5" s="181">
        <v>0.15</v>
      </c>
    </row>
    <row r="6" spans="2:17" ht="15" outlineLevel="1" thickBot="1">
      <c r="B6" s="188" t="s">
        <v>129</v>
      </c>
      <c r="C6" s="177">
        <f>ЯНВАРЬ!AO7</f>
        <v>29383.21308789547</v>
      </c>
      <c r="D6" s="178">
        <f t="shared" si="0"/>
        <v>0.15658843278324566</v>
      </c>
      <c r="E6" s="178">
        <f t="shared" ref="E6:E69" si="5">E5+D6</f>
        <v>0.91886373836249668</v>
      </c>
      <c r="F6" s="179" t="str">
        <f t="shared" si="3"/>
        <v>B</v>
      </c>
      <c r="G6" s="179" t="str">
        <f t="shared" si="1"/>
        <v>A</v>
      </c>
      <c r="I6" s="188" t="s">
        <v>128</v>
      </c>
      <c r="J6" s="177">
        <f>ЯНВАРЬ!U6</f>
        <v>177</v>
      </c>
      <c r="K6" s="178">
        <f t="shared" si="2"/>
        <v>7.6656561281940233E-2</v>
      </c>
      <c r="L6" s="178">
        <f t="shared" ref="L6:L69" si="6">L5+K6</f>
        <v>0.42442615851017751</v>
      </c>
      <c r="M6" s="179" t="str">
        <f t="shared" si="4"/>
        <v>A</v>
      </c>
      <c r="P6" s="183" t="s">
        <v>95</v>
      </c>
      <c r="Q6" s="181">
        <v>0.05</v>
      </c>
    </row>
    <row r="7" spans="2:17" ht="15" outlineLevel="1" thickBot="1">
      <c r="B7" s="188" t="s">
        <v>128</v>
      </c>
      <c r="C7" s="177">
        <f>ЯНВАРЬ!AO6</f>
        <v>29252.999129991658</v>
      </c>
      <c r="D7" s="178">
        <f t="shared" si="0"/>
        <v>0.15589449915748227</v>
      </c>
      <c r="E7" s="178">
        <f t="shared" si="5"/>
        <v>1.0747582375199789</v>
      </c>
      <c r="F7" s="179" t="str">
        <f t="shared" si="3"/>
        <v>C</v>
      </c>
      <c r="G7" s="179" t="str">
        <f t="shared" si="1"/>
        <v>A</v>
      </c>
      <c r="I7" s="188" t="s">
        <v>129</v>
      </c>
      <c r="J7" s="177">
        <f>ЯНВАРЬ!U7</f>
        <v>159</v>
      </c>
      <c r="K7" s="178">
        <f t="shared" si="2"/>
        <v>6.8860978778692072E-2</v>
      </c>
      <c r="L7" s="178">
        <f t="shared" si="6"/>
        <v>0.49328713728886958</v>
      </c>
      <c r="M7" s="179" t="str">
        <f t="shared" si="4"/>
        <v>A</v>
      </c>
    </row>
    <row r="8" spans="2:17" ht="26.5" outlineLevel="1" thickBot="1">
      <c r="B8" s="188" t="s">
        <v>125</v>
      </c>
      <c r="C8" s="177">
        <f>ЯНВАРЬ!AO3</f>
        <v>22546.74329685777</v>
      </c>
      <c r="D8" s="178">
        <f t="shared" si="0"/>
        <v>0.12015565440920195</v>
      </c>
      <c r="E8" s="178">
        <f t="shared" si="5"/>
        <v>1.1949138919291808</v>
      </c>
      <c r="F8" s="179" t="str">
        <f t="shared" si="3"/>
        <v>C</v>
      </c>
      <c r="G8" s="179" t="str">
        <f t="shared" si="1"/>
        <v>A</v>
      </c>
      <c r="I8" s="188" t="s">
        <v>125</v>
      </c>
      <c r="J8" s="177">
        <f>ЯНВАРЬ!U3</f>
        <v>158</v>
      </c>
      <c r="K8" s="178">
        <f t="shared" si="2"/>
        <v>6.8427890861844948E-2</v>
      </c>
      <c r="L8" s="178">
        <f t="shared" si="6"/>
        <v>0.5617150281507145</v>
      </c>
      <c r="M8" s="179" t="str">
        <f>_xlfn.IFS(L8&lt;80%,"A",L8&lt;=95%,"B",L8&gt;95%,"C")</f>
        <v>A</v>
      </c>
    </row>
    <row r="9" spans="2:17" ht="15" outlineLevel="1" thickBot="1">
      <c r="B9" s="188" t="s">
        <v>133</v>
      </c>
      <c r="C9" s="177">
        <f>ЯНВАРЬ!AO11</f>
        <v>15165.975444737656</v>
      </c>
      <c r="D9" s="178">
        <f t="shared" si="0"/>
        <v>8.0822213670668011E-2</v>
      </c>
      <c r="E9" s="178">
        <f t="shared" si="5"/>
        <v>1.2757361055998488</v>
      </c>
      <c r="F9" s="179" t="str">
        <f t="shared" si="3"/>
        <v>C</v>
      </c>
      <c r="G9" s="179" t="str">
        <f t="shared" si="1"/>
        <v>A</v>
      </c>
      <c r="I9" s="188" t="s">
        <v>131</v>
      </c>
      <c r="J9" s="177">
        <f>ЯНВАРЬ!U9</f>
        <v>122</v>
      </c>
      <c r="K9" s="178">
        <f t="shared" si="2"/>
        <v>5.2836725855348633E-2</v>
      </c>
      <c r="L9" s="178">
        <f t="shared" si="6"/>
        <v>0.6145517540060631</v>
      </c>
      <c r="M9" s="179" t="str">
        <f t="shared" si="4"/>
        <v>A</v>
      </c>
    </row>
    <row r="10" spans="2:17" ht="26.5" outlineLevel="1" thickBot="1">
      <c r="B10" s="188" t="s">
        <v>140</v>
      </c>
      <c r="C10" s="177">
        <f>ЯНВАРЬ!AO18</f>
        <v>6208.6751988794467</v>
      </c>
      <c r="D10" s="178">
        <f t="shared" si="0"/>
        <v>3.3087147962495733E-2</v>
      </c>
      <c r="E10" s="178">
        <f t="shared" si="5"/>
        <v>1.3088232535623445</v>
      </c>
      <c r="F10" s="179" t="str">
        <f t="shared" si="3"/>
        <v>C</v>
      </c>
      <c r="G10" s="179" t="str">
        <f t="shared" si="1"/>
        <v>B</v>
      </c>
      <c r="I10" s="188" t="s">
        <v>130</v>
      </c>
      <c r="J10" s="177">
        <f>ЯНВАРЬ!U8</f>
        <v>119</v>
      </c>
      <c r="K10" s="178">
        <f t="shared" si="2"/>
        <v>5.1537462104807273E-2</v>
      </c>
      <c r="L10" s="178">
        <f t="shared" si="6"/>
        <v>0.66608921611087035</v>
      </c>
      <c r="M10" s="179" t="str">
        <f t="shared" si="4"/>
        <v>A</v>
      </c>
    </row>
    <row r="11" spans="2:17" ht="15" outlineLevel="1" thickBot="1">
      <c r="B11" s="188" t="s">
        <v>135</v>
      </c>
      <c r="C11" s="177">
        <f>ЯНВАРЬ!AO13</f>
        <v>5861.1284185423738</v>
      </c>
      <c r="D11" s="178">
        <f t="shared" si="0"/>
        <v>3.1235008596761614E-2</v>
      </c>
      <c r="E11" s="178">
        <f t="shared" si="5"/>
        <v>1.3400582621591062</v>
      </c>
      <c r="F11" s="179" t="str">
        <f t="shared" si="3"/>
        <v>C</v>
      </c>
      <c r="G11" s="179" t="str">
        <f t="shared" si="1"/>
        <v>A</v>
      </c>
      <c r="I11" s="188" t="s">
        <v>132</v>
      </c>
      <c r="J11" s="177">
        <f>ЯНВАРЬ!U10</f>
        <v>88</v>
      </c>
      <c r="K11" s="178">
        <f t="shared" si="2"/>
        <v>3.8111736682546554E-2</v>
      </c>
      <c r="L11" s="178">
        <f t="shared" si="6"/>
        <v>0.70420095279341688</v>
      </c>
      <c r="M11" s="179" t="str">
        <f>_xlfn.IFS(L11&lt;80%,"A",L11&lt;=95%,"B",L11&gt;95%,"C")</f>
        <v>A</v>
      </c>
      <c r="P11" s="281"/>
    </row>
    <row r="12" spans="2:17" ht="15" outlineLevel="1" thickBot="1">
      <c r="B12" s="188" t="s">
        <v>131</v>
      </c>
      <c r="C12" s="177">
        <f>ЯНВАРЬ!AO9</f>
        <v>5654.8891024943969</v>
      </c>
      <c r="D12" s="178">
        <f t="shared" si="0"/>
        <v>3.0135922149624725E-2</v>
      </c>
      <c r="E12" s="178">
        <f t="shared" si="5"/>
        <v>1.3701941843087309</v>
      </c>
      <c r="F12" s="179" t="str">
        <f t="shared" si="3"/>
        <v>C</v>
      </c>
      <c r="G12" s="179" t="str">
        <f t="shared" si="1"/>
        <v>A</v>
      </c>
      <c r="I12" s="188" t="s">
        <v>133</v>
      </c>
      <c r="J12" s="177">
        <f>ЯНВАРЬ!U11</f>
        <v>80</v>
      </c>
      <c r="K12" s="178">
        <f t="shared" si="2"/>
        <v>3.4647033347769599E-2</v>
      </c>
      <c r="L12" s="178">
        <f t="shared" si="6"/>
        <v>0.73884798614118652</v>
      </c>
      <c r="M12" s="179" t="str">
        <f t="shared" si="4"/>
        <v>A</v>
      </c>
    </row>
    <row r="13" spans="2:17" ht="15" outlineLevel="1" thickBot="1">
      <c r="B13" s="188" t="s">
        <v>167</v>
      </c>
      <c r="C13" s="177">
        <f>ЯНВАРЬ!AO45</f>
        <v>3561.3362759570314</v>
      </c>
      <c r="D13" s="178">
        <f t="shared" si="0"/>
        <v>1.8979002207759367E-2</v>
      </c>
      <c r="E13" s="178">
        <f t="shared" si="5"/>
        <v>1.3891731865164902</v>
      </c>
      <c r="F13" s="179" t="str">
        <f t="shared" si="3"/>
        <v>C</v>
      </c>
      <c r="G13" s="179" t="str">
        <f t="shared" si="1"/>
        <v>C</v>
      </c>
      <c r="I13" s="188" t="s">
        <v>135</v>
      </c>
      <c r="J13" s="177">
        <f>ЯНВАРЬ!U13</f>
        <v>71</v>
      </c>
      <c r="K13" s="178">
        <f t="shared" si="2"/>
        <v>3.0749242096145518E-2</v>
      </c>
      <c r="L13" s="178">
        <f t="shared" si="6"/>
        <v>0.76959722823733201</v>
      </c>
      <c r="M13" s="179" t="str">
        <f t="shared" si="4"/>
        <v>A</v>
      </c>
    </row>
    <row r="14" spans="2:17" ht="15" outlineLevel="1" thickBot="1">
      <c r="B14" s="188" t="s">
        <v>147</v>
      </c>
      <c r="C14" s="177">
        <f>ЯНВАРЬ!AO25</f>
        <v>1753.7594981470518</v>
      </c>
      <c r="D14" s="178">
        <f t="shared" si="0"/>
        <v>9.3461001175092189E-3</v>
      </c>
      <c r="E14" s="178">
        <f t="shared" si="5"/>
        <v>1.3985192866339995</v>
      </c>
      <c r="F14" s="179" t="str">
        <f t="shared" si="3"/>
        <v>C</v>
      </c>
      <c r="G14" s="179" t="str">
        <f t="shared" si="1"/>
        <v>C</v>
      </c>
      <c r="I14" s="188" t="s">
        <v>150</v>
      </c>
      <c r="J14" s="177">
        <f>ЯНВАРЬ!U28</f>
        <v>62</v>
      </c>
      <c r="K14" s="178">
        <f t="shared" si="2"/>
        <v>2.6851450844521438E-2</v>
      </c>
      <c r="L14" s="178">
        <f t="shared" si="6"/>
        <v>0.79644867908185346</v>
      </c>
      <c r="M14" s="179" t="str">
        <f t="shared" si="4"/>
        <v>A</v>
      </c>
    </row>
    <row r="15" spans="2:17" ht="15" outlineLevel="1" thickBot="1">
      <c r="B15" s="188" t="s">
        <v>196</v>
      </c>
      <c r="C15" s="177">
        <f>ЯНВАРЬ!AO74</f>
        <v>1363.8836730267369</v>
      </c>
      <c r="D15" s="178">
        <f t="shared" si="0"/>
        <v>7.2683816510827311E-3</v>
      </c>
      <c r="E15" s="178">
        <f t="shared" si="5"/>
        <v>1.4057876682850823</v>
      </c>
      <c r="F15" s="179" t="str">
        <f t="shared" si="3"/>
        <v>C</v>
      </c>
      <c r="G15" s="179" t="str">
        <f t="shared" si="1"/>
        <v>C</v>
      </c>
      <c r="I15" s="188" t="s">
        <v>138</v>
      </c>
      <c r="J15" s="177">
        <f>ЯНВАРЬ!U16</f>
        <v>58</v>
      </c>
      <c r="K15" s="178">
        <f t="shared" si="2"/>
        <v>2.5119099177132957E-2</v>
      </c>
      <c r="L15" s="178">
        <f t="shared" si="6"/>
        <v>0.82156777825898641</v>
      </c>
      <c r="M15" s="179" t="str">
        <f t="shared" si="4"/>
        <v>B</v>
      </c>
    </row>
    <row r="16" spans="2:17" ht="15" outlineLevel="1" thickBot="1">
      <c r="B16" s="188" t="s">
        <v>146</v>
      </c>
      <c r="C16" s="177">
        <f>ЯНВАРЬ!AO24</f>
        <v>1344.7674</v>
      </c>
      <c r="D16" s="178">
        <f t="shared" si="0"/>
        <v>7.166507590374697E-3</v>
      </c>
      <c r="E16" s="178">
        <f t="shared" si="5"/>
        <v>1.4129541758754569</v>
      </c>
      <c r="F16" s="179" t="str">
        <f t="shared" si="3"/>
        <v>C</v>
      </c>
      <c r="G16" s="179" t="str">
        <f t="shared" si="1"/>
        <v>C</v>
      </c>
      <c r="I16" s="188" t="s">
        <v>134</v>
      </c>
      <c r="J16" s="177">
        <f>ЯНВАРЬ!U12</f>
        <v>47</v>
      </c>
      <c r="K16" s="178">
        <f t="shared" si="2"/>
        <v>2.0355132091814637E-2</v>
      </c>
      <c r="L16" s="178">
        <f t="shared" si="6"/>
        <v>0.84192291035080102</v>
      </c>
      <c r="M16" s="179" t="str">
        <f t="shared" si="4"/>
        <v>B</v>
      </c>
    </row>
    <row r="17" spans="2:13" ht="26.5" outlineLevel="1" thickBot="1">
      <c r="B17" s="188" t="s">
        <v>169</v>
      </c>
      <c r="C17" s="177">
        <f>ЯНВАРЬ!AO47</f>
        <v>1290.9451142726191</v>
      </c>
      <c r="D17" s="178">
        <f t="shared" si="0"/>
        <v>6.8796789394149913E-3</v>
      </c>
      <c r="E17" s="178">
        <f t="shared" si="5"/>
        <v>1.4198338548148719</v>
      </c>
      <c r="F17" s="179" t="str">
        <f t="shared" si="3"/>
        <v>C</v>
      </c>
      <c r="G17" s="179" t="str">
        <f t="shared" si="1"/>
        <v>C</v>
      </c>
      <c r="I17" s="188" t="s">
        <v>140</v>
      </c>
      <c r="J17" s="177">
        <f>ЯНВАРЬ!U18</f>
        <v>32</v>
      </c>
      <c r="K17" s="178">
        <f t="shared" si="2"/>
        <v>1.3858813339107838E-2</v>
      </c>
      <c r="L17" s="178">
        <f t="shared" si="6"/>
        <v>0.8557817236899089</v>
      </c>
      <c r="M17" s="179" t="str">
        <f t="shared" si="4"/>
        <v>B</v>
      </c>
    </row>
    <row r="18" spans="2:13" ht="15" outlineLevel="1" thickBot="1">
      <c r="B18" s="188" t="s">
        <v>138</v>
      </c>
      <c r="C18" s="177">
        <f>ЯНВАРЬ!AO16</f>
        <v>1251.1713581174436</v>
      </c>
      <c r="D18" s="178">
        <f t="shared" si="0"/>
        <v>6.6677174318830737E-3</v>
      </c>
      <c r="E18" s="178">
        <f t="shared" si="5"/>
        <v>1.4265015722467549</v>
      </c>
      <c r="F18" s="179" t="str">
        <f t="shared" si="3"/>
        <v>C</v>
      </c>
      <c r="G18" s="179" t="str">
        <f t="shared" si="1"/>
        <v>B</v>
      </c>
      <c r="I18" s="188" t="s">
        <v>171</v>
      </c>
      <c r="J18" s="177">
        <f>ЯНВАРЬ!U49</f>
        <v>32</v>
      </c>
      <c r="K18" s="178">
        <f t="shared" si="2"/>
        <v>1.3858813339107838E-2</v>
      </c>
      <c r="L18" s="178">
        <f t="shared" si="6"/>
        <v>0.86964053702901678</v>
      </c>
      <c r="M18" s="179" t="str">
        <f t="shared" si="4"/>
        <v>B</v>
      </c>
    </row>
    <row r="19" spans="2:13" ht="26.5" outlineLevel="1" thickBot="1">
      <c r="B19" s="188" t="s">
        <v>208</v>
      </c>
      <c r="C19" s="177">
        <f>ЯНВАРЬ!AO86</f>
        <v>1123.9570046550491</v>
      </c>
      <c r="D19" s="178">
        <f t="shared" si="0"/>
        <v>5.9897692382453781E-3</v>
      </c>
      <c r="E19" s="178">
        <f t="shared" si="5"/>
        <v>1.4324913414850002</v>
      </c>
      <c r="F19" s="179" t="str">
        <f t="shared" si="3"/>
        <v>C</v>
      </c>
      <c r="G19" s="179" t="str">
        <f t="shared" si="1"/>
        <v>C</v>
      </c>
      <c r="I19" s="188" t="s">
        <v>137</v>
      </c>
      <c r="J19" s="177">
        <f>ЯНВАРЬ!U15</f>
        <v>29</v>
      </c>
      <c r="K19" s="178">
        <f t="shared" si="2"/>
        <v>1.2559549588566478E-2</v>
      </c>
      <c r="L19" s="178">
        <f t="shared" si="6"/>
        <v>0.88220008661758331</v>
      </c>
      <c r="M19" s="179" t="str">
        <f t="shared" si="4"/>
        <v>B</v>
      </c>
    </row>
    <row r="20" spans="2:13" ht="26.5" outlineLevel="1" thickBot="1">
      <c r="B20" s="188" t="s">
        <v>197</v>
      </c>
      <c r="C20" s="177">
        <f>ЯНВАРЬ!AO75</f>
        <v>1087.5869000000025</v>
      </c>
      <c r="D20" s="178">
        <f t="shared" si="0"/>
        <v>5.7959464023608128E-3</v>
      </c>
      <c r="E20" s="178">
        <f t="shared" si="5"/>
        <v>1.4382872878873612</v>
      </c>
      <c r="F20" s="179" t="str">
        <f t="shared" si="3"/>
        <v>C</v>
      </c>
      <c r="G20" s="179" t="str">
        <f t="shared" si="1"/>
        <v>B</v>
      </c>
      <c r="I20" s="188" t="s">
        <v>139</v>
      </c>
      <c r="J20" s="177">
        <f>ЯНВАРЬ!U17</f>
        <v>29</v>
      </c>
      <c r="K20" s="178">
        <f t="shared" si="2"/>
        <v>1.2559549588566478E-2</v>
      </c>
      <c r="L20" s="178">
        <f t="shared" si="6"/>
        <v>0.89475963620614984</v>
      </c>
      <c r="M20" s="179" t="str">
        <f t="shared" si="4"/>
        <v>B</v>
      </c>
    </row>
    <row r="21" spans="2:13" ht="26.5" outlineLevel="1" thickBot="1">
      <c r="B21" s="188" t="s">
        <v>209</v>
      </c>
      <c r="C21" s="177">
        <f>ЯНВАРЬ!AO87</f>
        <v>994.3775166149436</v>
      </c>
      <c r="D21" s="178">
        <f t="shared" si="0"/>
        <v>5.2992168166174575E-3</v>
      </c>
      <c r="E21" s="178">
        <f t="shared" si="5"/>
        <v>1.4435865047039786</v>
      </c>
      <c r="F21" s="179" t="str">
        <f t="shared" si="3"/>
        <v>C</v>
      </c>
      <c r="G21" s="179" t="str">
        <f t="shared" si="1"/>
        <v>C</v>
      </c>
      <c r="I21" s="188" t="s">
        <v>172</v>
      </c>
      <c r="J21" s="177">
        <f>ЯНВАРЬ!U50</f>
        <v>26</v>
      </c>
      <c r="K21" s="178">
        <f t="shared" si="2"/>
        <v>1.126028583802512E-2</v>
      </c>
      <c r="L21" s="178">
        <f t="shared" si="6"/>
        <v>0.90601992204417492</v>
      </c>
      <c r="M21" s="179" t="str">
        <f t="shared" si="4"/>
        <v>B</v>
      </c>
    </row>
    <row r="22" spans="2:13" ht="15" outlineLevel="1" thickBot="1">
      <c r="B22" s="188" t="s">
        <v>189</v>
      </c>
      <c r="C22" s="177">
        <f>ЯНВАРЬ!AO67</f>
        <v>915.87686013368329</v>
      </c>
      <c r="D22" s="178">
        <f t="shared" si="0"/>
        <v>4.8808726847457684E-3</v>
      </c>
      <c r="E22" s="178">
        <f t="shared" si="5"/>
        <v>1.4484673773887244</v>
      </c>
      <c r="F22" s="179" t="str">
        <f t="shared" si="3"/>
        <v>C</v>
      </c>
      <c r="G22" s="179" t="str">
        <f t="shared" si="1"/>
        <v>C</v>
      </c>
      <c r="I22" s="188" t="s">
        <v>136</v>
      </c>
      <c r="J22" s="177">
        <f>ЯНВАРЬ!U14</f>
        <v>25</v>
      </c>
      <c r="K22" s="178">
        <f t="shared" si="2"/>
        <v>1.0827197921177999E-2</v>
      </c>
      <c r="L22" s="178">
        <f t="shared" si="6"/>
        <v>0.91684711996535295</v>
      </c>
      <c r="M22" s="179" t="str">
        <f t="shared" si="4"/>
        <v>B</v>
      </c>
    </row>
    <row r="23" spans="2:13" ht="15" outlineLevel="1" thickBot="1">
      <c r="B23" s="188" t="s">
        <v>192</v>
      </c>
      <c r="C23" s="177">
        <f>ЯНВАРЬ!AO70</f>
        <v>904.89566412031513</v>
      </c>
      <c r="D23" s="178">
        <f t="shared" si="0"/>
        <v>4.8223519141045437E-3</v>
      </c>
      <c r="E23" s="178">
        <f t="shared" si="5"/>
        <v>1.4532897293028291</v>
      </c>
      <c r="F23" s="179" t="str">
        <f t="shared" si="3"/>
        <v>C</v>
      </c>
      <c r="G23" s="179" t="str">
        <f t="shared" si="1"/>
        <v>C</v>
      </c>
      <c r="I23" s="188" t="s">
        <v>197</v>
      </c>
      <c r="J23" s="177">
        <f>ЯНВАРЬ!U75</f>
        <v>23</v>
      </c>
      <c r="K23" s="178">
        <f t="shared" si="2"/>
        <v>9.9610220874837598E-3</v>
      </c>
      <c r="L23" s="178">
        <f t="shared" si="6"/>
        <v>0.92680814205283668</v>
      </c>
      <c r="M23" s="179" t="str">
        <f t="shared" si="4"/>
        <v>B</v>
      </c>
    </row>
    <row r="24" spans="2:13" ht="15" outlineLevel="1" thickBot="1">
      <c r="B24" s="188" t="s">
        <v>163</v>
      </c>
      <c r="C24" s="177">
        <f>ЯНВАРЬ!AO41</f>
        <v>765.23691262831233</v>
      </c>
      <c r="D24" s="178">
        <f t="shared" si="0"/>
        <v>4.0780852828419985E-3</v>
      </c>
      <c r="E24" s="178">
        <f t="shared" si="5"/>
        <v>1.457367814585671</v>
      </c>
      <c r="F24" s="179" t="str">
        <f t="shared" si="3"/>
        <v>C</v>
      </c>
      <c r="G24" s="179" t="str">
        <f t="shared" si="1"/>
        <v>C</v>
      </c>
      <c r="I24" s="188" t="s">
        <v>148</v>
      </c>
      <c r="J24" s="177">
        <f>ЯНВАРЬ!U26</f>
        <v>22</v>
      </c>
      <c r="K24" s="178">
        <f t="shared" si="2"/>
        <v>9.5279341706366386E-3</v>
      </c>
      <c r="L24" s="178">
        <f t="shared" si="6"/>
        <v>0.93633607622347337</v>
      </c>
      <c r="M24" s="179" t="str">
        <f t="shared" si="4"/>
        <v>B</v>
      </c>
    </row>
    <row r="25" spans="2:13" ht="15" outlineLevel="1" thickBot="1">
      <c r="B25" s="188" t="s">
        <v>170</v>
      </c>
      <c r="C25" s="177">
        <f>ЯНВАРЬ!AO48</f>
        <v>639.44127345428478</v>
      </c>
      <c r="D25" s="178">
        <f t="shared" si="0"/>
        <v>3.4076976730763953E-3</v>
      </c>
      <c r="E25" s="178">
        <f t="shared" si="5"/>
        <v>1.4607755122587474</v>
      </c>
      <c r="F25" s="179" t="str">
        <f t="shared" si="3"/>
        <v>C</v>
      </c>
      <c r="G25" s="179" t="str">
        <f t="shared" si="1"/>
        <v>C</v>
      </c>
      <c r="I25" s="188" t="s">
        <v>152</v>
      </c>
      <c r="J25" s="177">
        <f>ЯНВАРЬ!U30</f>
        <v>17</v>
      </c>
      <c r="K25" s="178">
        <f t="shared" si="2"/>
        <v>7.3624945864010395E-3</v>
      </c>
      <c r="L25" s="178">
        <f t="shared" si="6"/>
        <v>0.9436985708098744</v>
      </c>
      <c r="M25" s="179" t="str">
        <f t="shared" si="4"/>
        <v>B</v>
      </c>
    </row>
    <row r="26" spans="2:13" ht="15" outlineLevel="1" thickBot="1">
      <c r="B26" s="188" t="s">
        <v>200</v>
      </c>
      <c r="C26" s="177">
        <f>ЯНВАРЬ!AO78</f>
        <v>302.23318040105045</v>
      </c>
      <c r="D26" s="178">
        <f t="shared" si="0"/>
        <v>1.6106550332847251E-3</v>
      </c>
      <c r="E26" s="178">
        <f t="shared" si="5"/>
        <v>1.4623861672920322</v>
      </c>
      <c r="F26" s="179" t="str">
        <f t="shared" si="3"/>
        <v>C</v>
      </c>
      <c r="G26" s="179" t="str">
        <f t="shared" si="1"/>
        <v>C</v>
      </c>
      <c r="I26" s="188" t="s">
        <v>153</v>
      </c>
      <c r="J26" s="177">
        <f>ЯНВАРЬ!U31</f>
        <v>17</v>
      </c>
      <c r="K26" s="178">
        <f t="shared" si="2"/>
        <v>7.3624945864010395E-3</v>
      </c>
      <c r="L26" s="178">
        <f t="shared" si="6"/>
        <v>0.95106106539627544</v>
      </c>
      <c r="M26" s="179" t="str">
        <f t="shared" si="4"/>
        <v>C</v>
      </c>
    </row>
    <row r="27" spans="2:13" ht="26.5" outlineLevel="1" thickBot="1">
      <c r="B27" s="188" t="s">
        <v>180</v>
      </c>
      <c r="C27" s="177">
        <f>ЯНВАРЬ!AO58</f>
        <v>252.96640066841735</v>
      </c>
      <c r="D27" s="178">
        <f t="shared" si="0"/>
        <v>1.3481034939573787E-3</v>
      </c>
      <c r="E27" s="178">
        <f>E26+D27</f>
        <v>1.4637342707859895</v>
      </c>
      <c r="F27" s="179" t="str">
        <f t="shared" si="3"/>
        <v>C</v>
      </c>
      <c r="G27" s="179" t="str">
        <f t="shared" si="1"/>
        <v>C</v>
      </c>
      <c r="I27" s="188" t="s">
        <v>210</v>
      </c>
      <c r="J27" s="177">
        <f>ЯНВАРЬ!U88</f>
        <v>17</v>
      </c>
      <c r="K27" s="178">
        <f t="shared" si="2"/>
        <v>7.3624945864010395E-3</v>
      </c>
      <c r="L27" s="178">
        <f>L26+K27</f>
        <v>0.95842355998267648</v>
      </c>
      <c r="M27" s="179" t="str">
        <f t="shared" si="4"/>
        <v>C</v>
      </c>
    </row>
    <row r="28" spans="2:13" ht="26.5" outlineLevel="1" thickBot="1">
      <c r="B28" s="188" t="s">
        <v>159</v>
      </c>
      <c r="C28" s="177">
        <f>ЯНВАРЬ!AO37</f>
        <v>215.41373621389349</v>
      </c>
      <c r="D28" s="178">
        <f t="shared" si="0"/>
        <v>1.1479785839899454E-3</v>
      </c>
      <c r="E28" s="178">
        <f>E27+D28</f>
        <v>1.4648822493699794</v>
      </c>
      <c r="F28" s="179" t="str">
        <f t="shared" si="3"/>
        <v>C</v>
      </c>
      <c r="G28" s="179" t="str">
        <f t="shared" si="1"/>
        <v>C</v>
      </c>
      <c r="I28" s="188" t="s">
        <v>170</v>
      </c>
      <c r="J28" s="177">
        <f>ЯНВАРЬ!U48</f>
        <v>13</v>
      </c>
      <c r="K28" s="178">
        <f t="shared" si="2"/>
        <v>5.6301429190125599E-3</v>
      </c>
      <c r="L28" s="178">
        <f t="shared" si="6"/>
        <v>0.96405370290168901</v>
      </c>
      <c r="M28" s="179" t="str">
        <f t="shared" si="4"/>
        <v>C</v>
      </c>
    </row>
    <row r="29" spans="2:13" ht="15" outlineLevel="1" thickBot="1">
      <c r="B29" s="188" t="s">
        <v>154</v>
      </c>
      <c r="C29" s="177">
        <f>ЯНВАРЬ!AO32</f>
        <v>156.72430399999993</v>
      </c>
      <c r="D29" s="178">
        <f t="shared" si="0"/>
        <v>8.352120331086186E-4</v>
      </c>
      <c r="E29" s="178">
        <f t="shared" si="5"/>
        <v>1.4657174614030879</v>
      </c>
      <c r="F29" s="179" t="str">
        <f t="shared" si="3"/>
        <v>C</v>
      </c>
      <c r="G29" s="179" t="str">
        <f t="shared" si="1"/>
        <v>C</v>
      </c>
      <c r="I29" s="188" t="s">
        <v>167</v>
      </c>
      <c r="J29" s="177">
        <f>ЯНВАРЬ!U45</f>
        <v>12</v>
      </c>
      <c r="K29" s="178">
        <f t="shared" si="2"/>
        <v>5.1970550021654396E-3</v>
      </c>
      <c r="L29" s="178">
        <f t="shared" si="6"/>
        <v>0.9692507579038544</v>
      </c>
      <c r="M29" s="179" t="str">
        <f t="shared" si="4"/>
        <v>C</v>
      </c>
    </row>
    <row r="30" spans="2:13" ht="26.5" outlineLevel="1" thickBot="1">
      <c r="B30" s="188" t="s">
        <v>139</v>
      </c>
      <c r="C30" s="177">
        <f>ЯНВАРЬ!AO17</f>
        <v>147.05786926999644</v>
      </c>
      <c r="D30" s="178">
        <f t="shared" si="0"/>
        <v>7.8369786205983235E-4</v>
      </c>
      <c r="E30" s="178">
        <f t="shared" si="5"/>
        <v>1.4665011592651478</v>
      </c>
      <c r="F30" s="179" t="str">
        <f t="shared" si="3"/>
        <v>C</v>
      </c>
      <c r="G30" s="179" t="str">
        <f t="shared" si="1"/>
        <v>B</v>
      </c>
      <c r="I30" s="188" t="s">
        <v>173</v>
      </c>
      <c r="J30" s="177">
        <f>ЯНВАРЬ!U51</f>
        <v>12</v>
      </c>
      <c r="K30" s="178">
        <f t="shared" si="2"/>
        <v>5.1970550021654396E-3</v>
      </c>
      <c r="L30" s="178">
        <f t="shared" si="6"/>
        <v>0.97444781290601978</v>
      </c>
      <c r="M30" s="179" t="str">
        <f t="shared" si="4"/>
        <v>C</v>
      </c>
    </row>
    <row r="31" spans="2:13" ht="15" outlineLevel="1" thickBot="1">
      <c r="B31" s="188" t="s">
        <v>195</v>
      </c>
      <c r="C31" s="177">
        <f>ЯНВАРЬ!AO73</f>
        <v>141.36733621389351</v>
      </c>
      <c r="D31" s="178">
        <f t="shared" si="0"/>
        <v>7.5337198686398828E-4</v>
      </c>
      <c r="E31" s="178">
        <f t="shared" si="5"/>
        <v>1.4672545312520118</v>
      </c>
      <c r="F31" s="179" t="str">
        <f t="shared" si="3"/>
        <v>C</v>
      </c>
      <c r="G31" s="179" t="str">
        <f t="shared" si="1"/>
        <v>C</v>
      </c>
      <c r="I31" s="188" t="s">
        <v>169</v>
      </c>
      <c r="J31" s="177">
        <f>ЯНВАРЬ!U47</f>
        <v>6</v>
      </c>
      <c r="K31" s="178">
        <f t="shared" si="2"/>
        <v>2.5985275010827198E-3</v>
      </c>
      <c r="L31" s="178">
        <f t="shared" si="6"/>
        <v>0.97704634040710248</v>
      </c>
      <c r="M31" s="179" t="str">
        <f t="shared" si="4"/>
        <v>C</v>
      </c>
    </row>
    <row r="32" spans="2:13" ht="15" outlineLevel="1" thickBot="1">
      <c r="B32" s="188" t="s">
        <v>162</v>
      </c>
      <c r="C32" s="177">
        <f>ЯНВАРЬ!AO40</f>
        <v>121.4231126283123</v>
      </c>
      <c r="D32" s="178">
        <f t="shared" si="0"/>
        <v>6.470856285612826E-4</v>
      </c>
      <c r="E32" s="178">
        <f t="shared" si="5"/>
        <v>1.467901616880573</v>
      </c>
      <c r="F32" s="179" t="str">
        <f t="shared" si="3"/>
        <v>C</v>
      </c>
      <c r="G32" s="179" t="str">
        <f t="shared" si="1"/>
        <v>C</v>
      </c>
      <c r="I32" s="188" t="s">
        <v>196</v>
      </c>
      <c r="J32" s="177">
        <f>ЯНВАРЬ!U74</f>
        <v>6</v>
      </c>
      <c r="K32" s="178">
        <f t="shared" si="2"/>
        <v>2.5985275010827198E-3</v>
      </c>
      <c r="L32" s="178">
        <f t="shared" si="6"/>
        <v>0.97964486790818517</v>
      </c>
      <c r="M32" s="179" t="str">
        <f t="shared" si="4"/>
        <v>C</v>
      </c>
    </row>
    <row r="33" spans="2:13" ht="26.5" outlineLevel="1" thickBot="1">
      <c r="B33" s="188" t="s">
        <v>218</v>
      </c>
      <c r="C33" s="177">
        <f>ЯНВАРЬ!AO96</f>
        <v>113.13389601336846</v>
      </c>
      <c r="D33" s="178">
        <f t="shared" si="0"/>
        <v>6.0291090080594363E-4</v>
      </c>
      <c r="E33" s="178">
        <f t="shared" si="5"/>
        <v>1.4685045277813789</v>
      </c>
      <c r="F33" s="179" t="str">
        <f t="shared" si="3"/>
        <v>C</v>
      </c>
      <c r="G33" s="179" t="str">
        <f t="shared" si="1"/>
        <v>C</v>
      </c>
      <c r="I33" s="188" t="s">
        <v>207</v>
      </c>
      <c r="J33" s="177">
        <f>ЯНВАРЬ!U85</f>
        <v>6</v>
      </c>
      <c r="K33" s="178">
        <f t="shared" si="2"/>
        <v>2.5985275010827198E-3</v>
      </c>
      <c r="L33" s="178">
        <f t="shared" si="6"/>
        <v>0.98224339540926786</v>
      </c>
      <c r="M33" s="179" t="str">
        <f t="shared" si="4"/>
        <v>C</v>
      </c>
    </row>
    <row r="34" spans="2:13" ht="15" outlineLevel="1" thickBot="1">
      <c r="B34" s="188" t="s">
        <v>176</v>
      </c>
      <c r="C34" s="177">
        <f>ЯНВАРЬ!AO54</f>
        <v>104.92238073525894</v>
      </c>
      <c r="D34" s="178">
        <f t="shared" si="0"/>
        <v>5.5915025746416599E-4</v>
      </c>
      <c r="E34" s="178">
        <f t="shared" si="5"/>
        <v>1.4690636780388431</v>
      </c>
      <c r="F34" s="179" t="str">
        <f t="shared" si="3"/>
        <v>C</v>
      </c>
      <c r="G34" s="179" t="str">
        <f t="shared" si="1"/>
        <v>C</v>
      </c>
      <c r="I34" s="188" t="s">
        <v>147</v>
      </c>
      <c r="J34" s="177">
        <f>ЯНВАРЬ!U25</f>
        <v>5</v>
      </c>
      <c r="K34" s="178">
        <f t="shared" si="2"/>
        <v>2.1654395842355999E-3</v>
      </c>
      <c r="L34" s="178">
        <f t="shared" si="6"/>
        <v>0.98440883499350351</v>
      </c>
      <c r="M34" s="179" t="str">
        <f t="shared" si="4"/>
        <v>C</v>
      </c>
    </row>
    <row r="35" spans="2:13" ht="15" outlineLevel="1" thickBot="1">
      <c r="B35" s="188" t="s">
        <v>194</v>
      </c>
      <c r="C35" s="177">
        <f>ЯНВАРЬ!AO72</f>
        <v>103.18014817378825</v>
      </c>
      <c r="D35" s="178">
        <f t="shared" si="0"/>
        <v>5.4986558646754778E-4</v>
      </c>
      <c r="E35" s="178">
        <f t="shared" si="5"/>
        <v>1.4696135436253106</v>
      </c>
      <c r="F35" s="179" t="str">
        <f t="shared" si="3"/>
        <v>C</v>
      </c>
      <c r="G35" s="179" t="str">
        <f t="shared" si="1"/>
        <v>C</v>
      </c>
      <c r="I35" s="188" t="s">
        <v>146</v>
      </c>
      <c r="J35" s="177">
        <f>ЯНВАРЬ!U24</f>
        <v>4</v>
      </c>
      <c r="K35" s="178">
        <f t="shared" si="2"/>
        <v>1.7323516673884798E-3</v>
      </c>
      <c r="L35" s="178">
        <f t="shared" si="6"/>
        <v>0.98614118666089201</v>
      </c>
      <c r="M35" s="179" t="str">
        <f t="shared" si="4"/>
        <v>C</v>
      </c>
    </row>
    <row r="36" spans="2:13" ht="26.5" outlineLevel="1" thickBot="1">
      <c r="B36" s="188" t="s">
        <v>175</v>
      </c>
      <c r="C36" s="177">
        <f>ЯНВАРЬ!AO53</f>
        <v>71.165604655048867</v>
      </c>
      <c r="D36" s="178">
        <f t="shared" si="0"/>
        <v>3.792543200660669E-4</v>
      </c>
      <c r="E36" s="178">
        <f t="shared" si="5"/>
        <v>1.4699927979453766</v>
      </c>
      <c r="F36" s="179" t="str">
        <f t="shared" si="3"/>
        <v>C</v>
      </c>
      <c r="G36" s="179" t="str">
        <f t="shared" si="1"/>
        <v>C</v>
      </c>
      <c r="I36" s="188" t="s">
        <v>154</v>
      </c>
      <c r="J36" s="177">
        <f>ЯНВАРЬ!U32</f>
        <v>4</v>
      </c>
      <c r="K36" s="178">
        <f t="shared" si="2"/>
        <v>1.7323516673884798E-3</v>
      </c>
      <c r="L36" s="178">
        <f t="shared" si="6"/>
        <v>0.98787353832828051</v>
      </c>
      <c r="M36" s="179" t="str">
        <f t="shared" si="4"/>
        <v>C</v>
      </c>
    </row>
    <row r="37" spans="2:13" ht="26.5" outlineLevel="1" thickBot="1">
      <c r="B37" s="188" t="s">
        <v>141</v>
      </c>
      <c r="C37" s="177">
        <f>ЯНВАРЬ!AO19</f>
        <v>0</v>
      </c>
      <c r="D37" s="178">
        <f t="shared" si="0"/>
        <v>0</v>
      </c>
      <c r="E37" s="178">
        <f t="shared" si="5"/>
        <v>1.4699927979453766</v>
      </c>
      <c r="F37" s="179" t="str">
        <f t="shared" si="3"/>
        <v>C</v>
      </c>
      <c r="G37" s="179" t="str">
        <f t="shared" si="1"/>
        <v>C</v>
      </c>
      <c r="I37" s="188" t="s">
        <v>189</v>
      </c>
      <c r="J37" s="177">
        <f>ЯНВАРЬ!U67</f>
        <v>3</v>
      </c>
      <c r="K37" s="178">
        <f t="shared" si="2"/>
        <v>1.2992637505413599E-3</v>
      </c>
      <c r="L37" s="178">
        <f t="shared" si="6"/>
        <v>0.98917280207882186</v>
      </c>
      <c r="M37" s="179" t="str">
        <f t="shared" si="4"/>
        <v>C</v>
      </c>
    </row>
    <row r="38" spans="2:13" ht="15" outlineLevel="1" thickBot="1">
      <c r="B38" s="188" t="s">
        <v>142</v>
      </c>
      <c r="C38" s="177">
        <f>ЯНВАРЬ!AO20</f>
        <v>0</v>
      </c>
      <c r="D38" s="178">
        <f t="shared" si="0"/>
        <v>0</v>
      </c>
      <c r="E38" s="178">
        <f t="shared" si="5"/>
        <v>1.4699927979453766</v>
      </c>
      <c r="F38" s="179" t="str">
        <f t="shared" si="3"/>
        <v>C</v>
      </c>
      <c r="G38" s="179" t="str">
        <f t="shared" si="1"/>
        <v>C</v>
      </c>
      <c r="I38" s="188" t="s">
        <v>155</v>
      </c>
      <c r="J38" s="177">
        <f>ЯНВАРЬ!U33</f>
        <v>2</v>
      </c>
      <c r="K38" s="178">
        <f t="shared" si="2"/>
        <v>8.661758336942399E-4</v>
      </c>
      <c r="L38" s="178">
        <f t="shared" si="6"/>
        <v>0.99003897791251605</v>
      </c>
      <c r="M38" s="179" t="str">
        <f t="shared" si="4"/>
        <v>C</v>
      </c>
    </row>
    <row r="39" spans="2:13" ht="15" outlineLevel="1" thickBot="1">
      <c r="B39" s="188" t="s">
        <v>145</v>
      </c>
      <c r="C39" s="177">
        <f>ЯНВАРЬ!AO23</f>
        <v>0</v>
      </c>
      <c r="D39" s="178">
        <f t="shared" si="0"/>
        <v>0</v>
      </c>
      <c r="E39" s="178">
        <f>E35+D39</f>
        <v>1.4696135436253106</v>
      </c>
      <c r="F39" s="179" t="str">
        <f t="shared" si="3"/>
        <v>C</v>
      </c>
      <c r="G39" s="179" t="str">
        <f t="shared" si="1"/>
        <v>C</v>
      </c>
      <c r="I39" s="188" t="s">
        <v>163</v>
      </c>
      <c r="J39" s="177">
        <f>ЯНВАРЬ!U41</f>
        <v>2</v>
      </c>
      <c r="K39" s="178">
        <f t="shared" si="2"/>
        <v>8.661758336942399E-4</v>
      </c>
      <c r="L39" s="178">
        <f>L35+K39</f>
        <v>0.9870073624945862</v>
      </c>
      <c r="M39" s="179" t="str">
        <f t="shared" si="4"/>
        <v>C</v>
      </c>
    </row>
    <row r="40" spans="2:13" ht="15" outlineLevel="1" thickBot="1">
      <c r="B40" s="188" t="s">
        <v>157</v>
      </c>
      <c r="C40" s="177">
        <f>ЯНВАРЬ!AO35</f>
        <v>0</v>
      </c>
      <c r="D40" s="178">
        <f t="shared" si="0"/>
        <v>0</v>
      </c>
      <c r="E40" s="178">
        <f t="shared" si="5"/>
        <v>1.4696135436253106</v>
      </c>
      <c r="F40" s="179" t="str">
        <f t="shared" si="3"/>
        <v>C</v>
      </c>
      <c r="G40" s="179" t="str">
        <f t="shared" si="1"/>
        <v>C</v>
      </c>
      <c r="I40" s="188" t="s">
        <v>192</v>
      </c>
      <c r="J40" s="177">
        <f>ЯНВАРЬ!U70</f>
        <v>2</v>
      </c>
      <c r="K40" s="178">
        <f t="shared" si="2"/>
        <v>8.661758336942399E-4</v>
      </c>
      <c r="L40" s="178">
        <f t="shared" si="6"/>
        <v>0.9878735383282804</v>
      </c>
      <c r="M40" s="179" t="str">
        <f t="shared" si="4"/>
        <v>C</v>
      </c>
    </row>
    <row r="41" spans="2:13" ht="15" outlineLevel="1" thickBot="1">
      <c r="B41" s="188" t="s">
        <v>158</v>
      </c>
      <c r="C41" s="177">
        <f>ЯНВАРЬ!AO36</f>
        <v>0</v>
      </c>
      <c r="D41" s="178">
        <f t="shared" si="0"/>
        <v>0</v>
      </c>
      <c r="E41" s="178">
        <f t="shared" si="5"/>
        <v>1.4696135436253106</v>
      </c>
      <c r="F41" s="179" t="str">
        <f t="shared" si="3"/>
        <v>C</v>
      </c>
      <c r="G41" s="179" t="str">
        <f t="shared" si="1"/>
        <v>C</v>
      </c>
      <c r="I41" s="188" t="s">
        <v>194</v>
      </c>
      <c r="J41" s="177">
        <f>ЯНВАРЬ!U72</f>
        <v>2</v>
      </c>
      <c r="K41" s="178">
        <f t="shared" si="2"/>
        <v>8.661758336942399E-4</v>
      </c>
      <c r="L41" s="178">
        <f t="shared" si="6"/>
        <v>0.98873971416197459</v>
      </c>
      <c r="M41" s="179" t="str">
        <f t="shared" si="4"/>
        <v>C</v>
      </c>
    </row>
    <row r="42" spans="2:13" ht="26.5" outlineLevel="1" thickBot="1">
      <c r="B42" s="188" t="s">
        <v>168</v>
      </c>
      <c r="C42" s="177">
        <f>ЯНВАРЬ!AO46</f>
        <v>0</v>
      </c>
      <c r="D42" s="178">
        <f t="shared" si="0"/>
        <v>0</v>
      </c>
      <c r="E42" s="178">
        <f t="shared" si="5"/>
        <v>1.4696135436253106</v>
      </c>
      <c r="F42" s="179" t="str">
        <f t="shared" si="3"/>
        <v>C</v>
      </c>
      <c r="G42" s="179" t="str">
        <f t="shared" si="1"/>
        <v>C</v>
      </c>
      <c r="I42" s="188" t="s">
        <v>208</v>
      </c>
      <c r="J42" s="177">
        <f>ЯНВАРЬ!U86</f>
        <v>2</v>
      </c>
      <c r="K42" s="178">
        <f t="shared" si="2"/>
        <v>8.661758336942399E-4</v>
      </c>
      <c r="L42" s="178">
        <f t="shared" si="6"/>
        <v>0.98960588999566879</v>
      </c>
      <c r="M42" s="179" t="str">
        <f t="shared" si="4"/>
        <v>C</v>
      </c>
    </row>
    <row r="43" spans="2:13" ht="26.5" outlineLevel="1" thickBot="1">
      <c r="B43" s="188" t="s">
        <v>179</v>
      </c>
      <c r="C43" s="177">
        <f>ЯНВАРЬ!AO57</f>
        <v>0</v>
      </c>
      <c r="D43" s="178">
        <f t="shared" si="0"/>
        <v>0</v>
      </c>
      <c r="E43" s="178">
        <f t="shared" si="5"/>
        <v>1.4696135436253106</v>
      </c>
      <c r="F43" s="179" t="str">
        <f t="shared" si="3"/>
        <v>C</v>
      </c>
      <c r="G43" s="179" t="str">
        <f t="shared" si="1"/>
        <v>C</v>
      </c>
      <c r="I43" s="188" t="s">
        <v>209</v>
      </c>
      <c r="J43" s="177">
        <f>ЯНВАРЬ!U87</f>
        <v>2</v>
      </c>
      <c r="K43" s="178">
        <f t="shared" si="2"/>
        <v>8.661758336942399E-4</v>
      </c>
      <c r="L43" s="178">
        <f t="shared" si="6"/>
        <v>0.99047206582936298</v>
      </c>
      <c r="M43" s="179" t="str">
        <f t="shared" si="4"/>
        <v>C</v>
      </c>
    </row>
    <row r="44" spans="2:13" ht="15" outlineLevel="1" thickBot="1">
      <c r="B44" s="188" t="s">
        <v>181</v>
      </c>
      <c r="C44" s="177">
        <f>ЯНВАРЬ!AO59</f>
        <v>0</v>
      </c>
      <c r="D44" s="178">
        <f t="shared" si="0"/>
        <v>0</v>
      </c>
      <c r="E44" s="178">
        <f t="shared" si="5"/>
        <v>1.4696135436253106</v>
      </c>
      <c r="F44" s="179" t="str">
        <f t="shared" si="3"/>
        <v>C</v>
      </c>
      <c r="G44" s="179" t="str">
        <f t="shared" si="1"/>
        <v>C</v>
      </c>
      <c r="I44" s="188" t="s">
        <v>149</v>
      </c>
      <c r="J44" s="177">
        <f>ЯНВАРЬ!U27</f>
        <v>1</v>
      </c>
      <c r="K44" s="178">
        <f t="shared" si="2"/>
        <v>4.3308791684711995E-4</v>
      </c>
      <c r="L44" s="178">
        <f t="shared" si="6"/>
        <v>0.99090515374621013</v>
      </c>
      <c r="M44" s="179" t="str">
        <f t="shared" si="4"/>
        <v>C</v>
      </c>
    </row>
    <row r="45" spans="2:13" ht="15" outlineLevel="1" thickBot="1">
      <c r="B45" s="188" t="s">
        <v>184</v>
      </c>
      <c r="C45" s="177">
        <f>ЯНВАРЬ!AO62</f>
        <v>0</v>
      </c>
      <c r="D45" s="178">
        <f t="shared" si="0"/>
        <v>0</v>
      </c>
      <c r="E45" s="178">
        <f t="shared" si="5"/>
        <v>1.4696135436253106</v>
      </c>
      <c r="F45" s="179" t="str">
        <f t="shared" si="3"/>
        <v>C</v>
      </c>
      <c r="G45" s="179" t="str">
        <f t="shared" si="1"/>
        <v>C</v>
      </c>
      <c r="I45" s="188" t="s">
        <v>151</v>
      </c>
      <c r="J45" s="177">
        <f>ЯНВАРЬ!U29</f>
        <v>1</v>
      </c>
      <c r="K45" s="178">
        <f t="shared" si="2"/>
        <v>4.3308791684711995E-4</v>
      </c>
      <c r="L45" s="178">
        <f t="shared" si="6"/>
        <v>0.99133824166305728</v>
      </c>
      <c r="M45" s="179" t="str">
        <f t="shared" si="4"/>
        <v>C</v>
      </c>
    </row>
    <row r="46" spans="2:13" ht="15" outlineLevel="1" thickBot="1">
      <c r="B46" s="188" t="s">
        <v>185</v>
      </c>
      <c r="C46" s="177">
        <f>ЯНВАРЬ!AO63</f>
        <v>0</v>
      </c>
      <c r="D46" s="178">
        <f t="shared" si="0"/>
        <v>0</v>
      </c>
      <c r="E46" s="178">
        <f t="shared" si="5"/>
        <v>1.4696135436253106</v>
      </c>
      <c r="F46" s="179" t="str">
        <f t="shared" si="3"/>
        <v>C</v>
      </c>
      <c r="G46" s="179" t="str">
        <f t="shared" si="1"/>
        <v>C</v>
      </c>
      <c r="I46" s="188" t="s">
        <v>156</v>
      </c>
      <c r="J46" s="177">
        <f>ЯНВАРЬ!U34</f>
        <v>1</v>
      </c>
      <c r="K46" s="178">
        <f t="shared" si="2"/>
        <v>4.3308791684711995E-4</v>
      </c>
      <c r="L46" s="178">
        <f t="shared" si="6"/>
        <v>0.99177132957990444</v>
      </c>
      <c r="M46" s="179" t="str">
        <f t="shared" si="4"/>
        <v>C</v>
      </c>
    </row>
    <row r="47" spans="2:13" ht="15" outlineLevel="1" thickBot="1">
      <c r="B47" s="188" t="s">
        <v>186</v>
      </c>
      <c r="C47" s="177">
        <f>ЯНВАРЬ!AO64</f>
        <v>0</v>
      </c>
      <c r="D47" s="178">
        <f t="shared" si="0"/>
        <v>0</v>
      </c>
      <c r="E47" s="178">
        <f t="shared" si="5"/>
        <v>1.4696135436253106</v>
      </c>
      <c r="F47" s="179" t="str">
        <f t="shared" si="3"/>
        <v>C</v>
      </c>
      <c r="G47" s="179" t="str">
        <f t="shared" si="1"/>
        <v>C</v>
      </c>
      <c r="I47" s="188" t="s">
        <v>159</v>
      </c>
      <c r="J47" s="177">
        <f>ЯНВАРЬ!U37</f>
        <v>1</v>
      </c>
      <c r="K47" s="178">
        <f t="shared" si="2"/>
        <v>4.3308791684711995E-4</v>
      </c>
      <c r="L47" s="178">
        <f t="shared" si="6"/>
        <v>0.99220441749675159</v>
      </c>
      <c r="M47" s="179" t="str">
        <f t="shared" si="4"/>
        <v>C</v>
      </c>
    </row>
    <row r="48" spans="2:13" ht="15" outlineLevel="1" thickBot="1">
      <c r="B48" s="188" t="s">
        <v>190</v>
      </c>
      <c r="C48" s="177">
        <f>ЯНВАРЬ!AO68</f>
        <v>0</v>
      </c>
      <c r="D48" s="178">
        <f t="shared" si="0"/>
        <v>0</v>
      </c>
      <c r="E48" s="178">
        <f t="shared" si="5"/>
        <v>1.4696135436253106</v>
      </c>
      <c r="F48" s="179" t="str">
        <f t="shared" si="3"/>
        <v>C</v>
      </c>
      <c r="G48" s="179" t="str">
        <f t="shared" si="1"/>
        <v>C</v>
      </c>
      <c r="I48" s="188" t="s">
        <v>162</v>
      </c>
      <c r="J48" s="177">
        <f>ЯНВАРЬ!U40</f>
        <v>1</v>
      </c>
      <c r="K48" s="178">
        <f t="shared" si="2"/>
        <v>4.3308791684711995E-4</v>
      </c>
      <c r="L48" s="178">
        <f t="shared" si="6"/>
        <v>0.99263750541359874</v>
      </c>
      <c r="M48" s="179" t="str">
        <f t="shared" si="4"/>
        <v>C</v>
      </c>
    </row>
    <row r="49" spans="2:13" ht="15" outlineLevel="1" thickBot="1">
      <c r="B49" s="188" t="s">
        <v>143</v>
      </c>
      <c r="C49" s="177">
        <f>ЯНВАРЬ!AO21</f>
        <v>-3.2097039866316543</v>
      </c>
      <c r="D49" s="178">
        <f t="shared" si="0"/>
        <v>-1.7105090429059833E-5</v>
      </c>
      <c r="E49" s="178">
        <f t="shared" si="5"/>
        <v>1.4695964385348816</v>
      </c>
      <c r="F49" s="179" t="str">
        <f t="shared" si="3"/>
        <v>C</v>
      </c>
      <c r="G49" s="179" t="str">
        <f t="shared" si="1"/>
        <v>C</v>
      </c>
      <c r="I49" s="188" t="s">
        <v>166</v>
      </c>
      <c r="J49" s="177">
        <f>ЯНВАРЬ!U44</f>
        <v>1</v>
      </c>
      <c r="K49" s="178">
        <f t="shared" si="2"/>
        <v>4.3308791684711995E-4</v>
      </c>
      <c r="L49" s="178">
        <f t="shared" si="6"/>
        <v>0.99307059333044589</v>
      </c>
      <c r="M49" s="179" t="str">
        <f t="shared" si="4"/>
        <v>C</v>
      </c>
    </row>
    <row r="50" spans="2:13" ht="26.5" outlineLevel="1" thickBot="1">
      <c r="B50" s="188" t="s">
        <v>217</v>
      </c>
      <c r="C50" s="177">
        <f>ЯНВАРЬ!AO95</f>
        <v>-3.2097039866316543</v>
      </c>
      <c r="D50" s="178">
        <f t="shared" si="0"/>
        <v>-1.7105090429059833E-5</v>
      </c>
      <c r="E50" s="178">
        <f t="shared" si="5"/>
        <v>1.4695793334444527</v>
      </c>
      <c r="F50" s="179" t="str">
        <f t="shared" si="3"/>
        <v>C</v>
      </c>
      <c r="G50" s="179" t="str">
        <f t="shared" si="1"/>
        <v>C</v>
      </c>
      <c r="I50" s="188" t="s">
        <v>175</v>
      </c>
      <c r="J50" s="177">
        <f>ЯНВАРЬ!U53</f>
        <v>1</v>
      </c>
      <c r="K50" s="178">
        <f t="shared" si="2"/>
        <v>4.3308791684711995E-4</v>
      </c>
      <c r="L50" s="178">
        <f t="shared" si="6"/>
        <v>0.99350368124729305</v>
      </c>
      <c r="M50" s="179" t="str">
        <f t="shared" si="4"/>
        <v>C</v>
      </c>
    </row>
    <row r="51" spans="2:13" ht="26.5" outlineLevel="1" thickBot="1">
      <c r="B51" s="188" t="s">
        <v>216</v>
      </c>
      <c r="C51" s="177">
        <f>ЯНВАРЬ!AO94</f>
        <v>-6.4194079732633087</v>
      </c>
      <c r="D51" s="178">
        <f t="shared" si="0"/>
        <v>-3.4210180858119665E-5</v>
      </c>
      <c r="E51" s="178">
        <f t="shared" si="5"/>
        <v>1.4695451232635945</v>
      </c>
      <c r="F51" s="179" t="str">
        <f t="shared" si="3"/>
        <v>C</v>
      </c>
      <c r="G51" s="179" t="str">
        <f t="shared" si="1"/>
        <v>C</v>
      </c>
      <c r="I51" s="188" t="s">
        <v>176</v>
      </c>
      <c r="J51" s="177">
        <f>ЯНВАРЬ!U54</f>
        <v>1</v>
      </c>
      <c r="K51" s="178">
        <f t="shared" si="2"/>
        <v>4.3308791684711995E-4</v>
      </c>
      <c r="L51" s="178">
        <f t="shared" si="6"/>
        <v>0.9939367691641402</v>
      </c>
      <c r="M51" s="179" t="str">
        <f t="shared" si="4"/>
        <v>C</v>
      </c>
    </row>
    <row r="52" spans="2:13" ht="15" outlineLevel="1" thickBot="1">
      <c r="B52" s="188" t="s">
        <v>219</v>
      </c>
      <c r="C52" s="177">
        <f>ЯНВАРЬ!AO97</f>
        <v>-12.838815946526617</v>
      </c>
      <c r="D52" s="178">
        <f t="shared" si="0"/>
        <v>-6.842036171623933E-5</v>
      </c>
      <c r="E52" s="178">
        <f t="shared" si="5"/>
        <v>1.4694767029018783</v>
      </c>
      <c r="F52" s="179" t="str">
        <f t="shared" si="3"/>
        <v>C</v>
      </c>
      <c r="G52" s="179" t="str">
        <f t="shared" si="1"/>
        <v>C</v>
      </c>
      <c r="I52" s="188" t="s">
        <v>180</v>
      </c>
      <c r="J52" s="177">
        <f>ЯНВАРЬ!U58</f>
        <v>1</v>
      </c>
      <c r="K52" s="178">
        <f t="shared" si="2"/>
        <v>4.3308791684711995E-4</v>
      </c>
      <c r="L52" s="178">
        <f t="shared" si="6"/>
        <v>0.99436985708098735</v>
      </c>
      <c r="M52" s="179" t="str">
        <f t="shared" si="4"/>
        <v>C</v>
      </c>
    </row>
    <row r="53" spans="2:13" ht="15" outlineLevel="1" thickBot="1">
      <c r="B53" s="188" t="s">
        <v>191</v>
      </c>
      <c r="C53" s="177">
        <f>ЯНВАРЬ!AO69</f>
        <v>-38.516447839579847</v>
      </c>
      <c r="D53" s="178">
        <f t="shared" si="0"/>
        <v>-2.0526108514871798E-4</v>
      </c>
      <c r="E53" s="178">
        <f t="shared" si="5"/>
        <v>1.4692714418167296</v>
      </c>
      <c r="F53" s="179" t="str">
        <f t="shared" si="3"/>
        <v>C</v>
      </c>
      <c r="G53" s="179" t="str">
        <f t="shared" si="1"/>
        <v>C</v>
      </c>
      <c r="I53" s="188" t="s">
        <v>193</v>
      </c>
      <c r="J53" s="177">
        <f>ЯНВАРЬ!U71</f>
        <v>1</v>
      </c>
      <c r="K53" s="178">
        <f t="shared" si="2"/>
        <v>4.3308791684711995E-4</v>
      </c>
      <c r="L53" s="178">
        <f t="shared" si="6"/>
        <v>0.9948029449978345</v>
      </c>
      <c r="M53" s="179" t="str">
        <f t="shared" si="4"/>
        <v>C</v>
      </c>
    </row>
    <row r="54" spans="2:13" ht="15" outlineLevel="1" thickBot="1">
      <c r="B54" s="188" t="s">
        <v>220</v>
      </c>
      <c r="C54" s="177">
        <f>ЯНВАРЬ!AO98</f>
        <v>-51.35526378610647</v>
      </c>
      <c r="D54" s="178">
        <f t="shared" si="0"/>
        <v>-2.7368144686495732E-4</v>
      </c>
      <c r="E54" s="178">
        <f t="shared" si="5"/>
        <v>1.4689977603698647</v>
      </c>
      <c r="F54" s="179" t="str">
        <f t="shared" si="3"/>
        <v>C</v>
      </c>
      <c r="G54" s="179" t="str">
        <f t="shared" si="1"/>
        <v>C</v>
      </c>
      <c r="I54" s="188" t="s">
        <v>195</v>
      </c>
      <c r="J54" s="177">
        <f>ЯНВАРЬ!U73</f>
        <v>1</v>
      </c>
      <c r="K54" s="178">
        <f t="shared" si="2"/>
        <v>4.3308791684711995E-4</v>
      </c>
      <c r="L54" s="178">
        <f t="shared" si="6"/>
        <v>0.99523603291468166</v>
      </c>
      <c r="M54" s="179" t="str">
        <f t="shared" si="4"/>
        <v>C</v>
      </c>
    </row>
    <row r="55" spans="2:13" ht="15" outlineLevel="1" thickBot="1">
      <c r="B55" s="188" t="s">
        <v>187</v>
      </c>
      <c r="C55" s="177">
        <f>ЯНВАРЬ!AO65</f>
        <v>-96.86</v>
      </c>
      <c r="D55" s="178">
        <f t="shared" si="0"/>
        <v>-5.1618437895184933E-4</v>
      </c>
      <c r="E55" s="178">
        <f t="shared" si="5"/>
        <v>1.4684815759909129</v>
      </c>
      <c r="F55" s="179" t="str">
        <f t="shared" si="3"/>
        <v>C</v>
      </c>
      <c r="G55" s="179" t="str">
        <f t="shared" si="1"/>
        <v>C</v>
      </c>
      <c r="I55" s="188" t="s">
        <v>200</v>
      </c>
      <c r="J55" s="177">
        <f>ЯНВАРЬ!U78</f>
        <v>1</v>
      </c>
      <c r="K55" s="178">
        <f t="shared" si="2"/>
        <v>4.3308791684711995E-4</v>
      </c>
      <c r="L55" s="178">
        <f t="shared" si="6"/>
        <v>0.99566912083152881</v>
      </c>
      <c r="M55" s="179" t="str">
        <f t="shared" si="4"/>
        <v>C</v>
      </c>
    </row>
    <row r="56" spans="2:13" ht="15" outlineLevel="1" thickBot="1">
      <c r="B56" s="188" t="s">
        <v>177</v>
      </c>
      <c r="C56" s="177">
        <f>ЯНВАРЬ!AO55</f>
        <v>-97.139703986631659</v>
      </c>
      <c r="D56" s="178">
        <f t="shared" si="0"/>
        <v>-5.1767497185531636E-4</v>
      </c>
      <c r="E56" s="178">
        <f t="shared" si="5"/>
        <v>1.4679639010190575</v>
      </c>
      <c r="F56" s="179" t="str">
        <f t="shared" si="3"/>
        <v>C</v>
      </c>
      <c r="G56" s="179" t="str">
        <f t="shared" si="1"/>
        <v>C</v>
      </c>
      <c r="I56" s="188" t="s">
        <v>218</v>
      </c>
      <c r="J56" s="177">
        <f>ЯНВАРЬ!U96</f>
        <v>1</v>
      </c>
      <c r="K56" s="178">
        <f t="shared" si="2"/>
        <v>4.3308791684711995E-4</v>
      </c>
      <c r="L56" s="178">
        <f t="shared" si="6"/>
        <v>0.99610220874837596</v>
      </c>
      <c r="M56" s="179" t="str">
        <f t="shared" si="4"/>
        <v>C</v>
      </c>
    </row>
    <row r="57" spans="2:13" ht="26.5" outlineLevel="1" thickBot="1">
      <c r="B57" s="188" t="s">
        <v>144</v>
      </c>
      <c r="C57" s="177">
        <f>ЯНВАРЬ!AO22</f>
        <v>-106.02911195989496</v>
      </c>
      <c r="D57" s="178">
        <f t="shared" si="0"/>
        <v>-5.6504822741931121E-4</v>
      </c>
      <c r="E57" s="178">
        <f t="shared" si="5"/>
        <v>1.4673988527916382</v>
      </c>
      <c r="F57" s="179" t="str">
        <f t="shared" si="3"/>
        <v>C</v>
      </c>
      <c r="G57" s="179" t="str">
        <f t="shared" si="1"/>
        <v>C</v>
      </c>
      <c r="I57" s="188" t="s">
        <v>141</v>
      </c>
      <c r="J57" s="177">
        <f>ЯНВАРЬ!U19</f>
        <v>0</v>
      </c>
      <c r="K57" s="178">
        <f t="shared" si="2"/>
        <v>0</v>
      </c>
      <c r="L57" s="178">
        <f t="shared" si="6"/>
        <v>0.99610220874837596</v>
      </c>
      <c r="M57" s="179" t="str">
        <f t="shared" si="4"/>
        <v>C</v>
      </c>
    </row>
    <row r="58" spans="2:13" ht="15" outlineLevel="1" thickBot="1">
      <c r="B58" s="188" t="s">
        <v>213</v>
      </c>
      <c r="C58" s="177">
        <f>ЯНВАРЬ!AO91</f>
        <v>-118.7590475053712</v>
      </c>
      <c r="D58" s="178">
        <f t="shared" si="0"/>
        <v>-6.3288834587521374E-4</v>
      </c>
      <c r="E58" s="178">
        <f t="shared" si="5"/>
        <v>1.4667659644457629</v>
      </c>
      <c r="F58" s="179" t="str">
        <f t="shared" si="3"/>
        <v>C</v>
      </c>
      <c r="G58" s="179" t="str">
        <f t="shared" si="1"/>
        <v>C</v>
      </c>
      <c r="I58" s="188" t="s">
        <v>142</v>
      </c>
      <c r="J58" s="177">
        <f>ЯНВАРЬ!U20</f>
        <v>0</v>
      </c>
      <c r="K58" s="178">
        <f t="shared" si="2"/>
        <v>0</v>
      </c>
      <c r="L58" s="178">
        <f t="shared" si="6"/>
        <v>0.99610220874837596</v>
      </c>
      <c r="M58" s="179" t="str">
        <f t="shared" si="4"/>
        <v>C</v>
      </c>
    </row>
    <row r="59" spans="2:13" ht="26.5" outlineLevel="1" thickBot="1">
      <c r="B59" s="188" t="s">
        <v>199</v>
      </c>
      <c r="C59" s="177">
        <f>ЯНВАРЬ!AO77</f>
        <v>-125.17845547863452</v>
      </c>
      <c r="D59" s="178">
        <f t="shared" si="0"/>
        <v>-6.6709852673333347E-4</v>
      </c>
      <c r="E59" s="178">
        <f t="shared" si="5"/>
        <v>1.4660988659190295</v>
      </c>
      <c r="F59" s="179" t="str">
        <f t="shared" si="3"/>
        <v>C</v>
      </c>
      <c r="G59" s="179" t="str">
        <f t="shared" si="1"/>
        <v>C</v>
      </c>
      <c r="I59" s="188" t="s">
        <v>143</v>
      </c>
      <c r="J59" s="177">
        <f>ЯНВАРЬ!U21</f>
        <v>0</v>
      </c>
      <c r="K59" s="178">
        <f t="shared" si="2"/>
        <v>0</v>
      </c>
      <c r="L59" s="178">
        <f t="shared" si="6"/>
        <v>0.99610220874837596</v>
      </c>
      <c r="M59" s="179" t="str">
        <f t="shared" si="4"/>
        <v>C</v>
      </c>
    </row>
    <row r="60" spans="2:13" ht="15" outlineLevel="1" thickBot="1">
      <c r="B60" s="188" t="s">
        <v>160</v>
      </c>
      <c r="C60" s="177">
        <f>ЯНВАРЬ!AO38</f>
        <v>-150.85608737168775</v>
      </c>
      <c r="D60" s="178">
        <f t="shared" si="0"/>
        <v>-8.0393925016581215E-4</v>
      </c>
      <c r="E60" s="178">
        <f t="shared" si="5"/>
        <v>1.4652949266688637</v>
      </c>
      <c r="F60" s="179" t="str">
        <f t="shared" si="3"/>
        <v>C</v>
      </c>
      <c r="G60" s="179" t="str">
        <f t="shared" si="1"/>
        <v>C</v>
      </c>
      <c r="I60" s="188" t="s">
        <v>144</v>
      </c>
      <c r="J60" s="177">
        <f>ЯНВАРЬ!U22</f>
        <v>0</v>
      </c>
      <c r="K60" s="178">
        <f t="shared" si="2"/>
        <v>0</v>
      </c>
      <c r="L60" s="178">
        <f t="shared" si="6"/>
        <v>0.99610220874837596</v>
      </c>
      <c r="M60" s="179" t="str">
        <f t="shared" si="4"/>
        <v>C</v>
      </c>
    </row>
    <row r="61" spans="2:13" ht="15" outlineLevel="1" thickBot="1">
      <c r="B61" s="188" t="s">
        <v>161</v>
      </c>
      <c r="C61" s="177">
        <f>ЯНВАРЬ!AO39</f>
        <v>-157.27549534495105</v>
      </c>
      <c r="D61" s="178">
        <f t="shared" si="0"/>
        <v>-8.3814943102393177E-4</v>
      </c>
      <c r="E61" s="178">
        <f t="shared" si="5"/>
        <v>1.4644567772378398</v>
      </c>
      <c r="F61" s="179" t="str">
        <f t="shared" si="3"/>
        <v>C</v>
      </c>
      <c r="G61" s="179" t="str">
        <f t="shared" si="1"/>
        <v>C</v>
      </c>
      <c r="I61" s="188" t="s">
        <v>145</v>
      </c>
      <c r="J61" s="177">
        <f>ЯНВАРЬ!U23</f>
        <v>0</v>
      </c>
      <c r="K61" s="178">
        <f t="shared" si="2"/>
        <v>0</v>
      </c>
      <c r="L61" s="178">
        <f t="shared" si="6"/>
        <v>0.99610220874837596</v>
      </c>
      <c r="M61" s="179" t="str">
        <f t="shared" si="4"/>
        <v>C</v>
      </c>
    </row>
    <row r="62" spans="2:13" ht="26.5" outlineLevel="1" thickBot="1">
      <c r="B62" s="188" t="s">
        <v>202</v>
      </c>
      <c r="C62" s="177">
        <f>ЯНВАРЬ!AO80</f>
        <v>-157.27549534495105</v>
      </c>
      <c r="D62" s="178">
        <f t="shared" si="0"/>
        <v>-8.3814943102393177E-4</v>
      </c>
      <c r="E62" s="178">
        <f t="shared" si="5"/>
        <v>1.463618627806816</v>
      </c>
      <c r="F62" s="179" t="str">
        <f t="shared" si="3"/>
        <v>C</v>
      </c>
      <c r="G62" s="179" t="str">
        <f t="shared" si="1"/>
        <v>C</v>
      </c>
      <c r="I62" s="188" t="s">
        <v>157</v>
      </c>
      <c r="J62" s="177">
        <f>ЯНВАРЬ!U35</f>
        <v>0</v>
      </c>
      <c r="K62" s="178">
        <f t="shared" si="2"/>
        <v>0</v>
      </c>
      <c r="L62" s="178">
        <f t="shared" si="6"/>
        <v>0.99610220874837596</v>
      </c>
      <c r="M62" s="179" t="str">
        <f t="shared" si="4"/>
        <v>C</v>
      </c>
    </row>
    <row r="63" spans="2:13" ht="26.5" outlineLevel="1" thickBot="1">
      <c r="B63" s="188" t="s">
        <v>204</v>
      </c>
      <c r="C63" s="177">
        <f>ЯНВАРЬ!AO82</f>
        <v>-157.27549534495105</v>
      </c>
      <c r="D63" s="178">
        <f t="shared" si="0"/>
        <v>-8.3814943102393177E-4</v>
      </c>
      <c r="E63" s="178">
        <f t="shared" si="5"/>
        <v>1.4627804783757921</v>
      </c>
      <c r="F63" s="179" t="str">
        <f t="shared" si="3"/>
        <v>C</v>
      </c>
      <c r="G63" s="179" t="str">
        <f t="shared" si="1"/>
        <v>C</v>
      </c>
      <c r="I63" s="188" t="s">
        <v>158</v>
      </c>
      <c r="J63" s="177">
        <f>ЯНВАРЬ!U36</f>
        <v>0</v>
      </c>
      <c r="K63" s="178">
        <f t="shared" si="2"/>
        <v>0</v>
      </c>
      <c r="L63" s="178">
        <f t="shared" si="6"/>
        <v>0.99610220874837596</v>
      </c>
      <c r="M63" s="179" t="str">
        <f t="shared" si="4"/>
        <v>C</v>
      </c>
    </row>
    <row r="64" spans="2:13" ht="15" outlineLevel="1" thickBot="1">
      <c r="B64" s="188" t="s">
        <v>198</v>
      </c>
      <c r="C64" s="177">
        <f>ЯНВАРЬ!AO76</f>
        <v>-160.48519933158272</v>
      </c>
      <c r="D64" s="178">
        <f t="shared" si="0"/>
        <v>-8.5525452145299163E-4</v>
      </c>
      <c r="E64" s="178">
        <f t="shared" si="5"/>
        <v>1.461925223854339</v>
      </c>
      <c r="F64" s="179" t="str">
        <f t="shared" si="3"/>
        <v>C</v>
      </c>
      <c r="G64" s="179" t="str">
        <f t="shared" si="1"/>
        <v>C</v>
      </c>
      <c r="I64" s="188" t="s">
        <v>160</v>
      </c>
      <c r="J64" s="177">
        <f>ЯНВАРЬ!U38</f>
        <v>0</v>
      </c>
      <c r="K64" s="178">
        <f t="shared" si="2"/>
        <v>0</v>
      </c>
      <c r="L64" s="178">
        <f t="shared" si="6"/>
        <v>0.99610220874837596</v>
      </c>
      <c r="M64" s="179" t="str">
        <f t="shared" si="4"/>
        <v>C</v>
      </c>
    </row>
    <row r="65" spans="2:13" ht="26.5" outlineLevel="1" thickBot="1">
      <c r="B65" s="188" t="s">
        <v>212</v>
      </c>
      <c r="C65" s="177">
        <f>ЯНВАРЬ!AO90</f>
        <v>-160.48519933158272</v>
      </c>
      <c r="D65" s="178">
        <f t="shared" si="0"/>
        <v>-8.5525452145299163E-4</v>
      </c>
      <c r="E65" s="178">
        <f t="shared" si="5"/>
        <v>1.4610699693328859</v>
      </c>
      <c r="F65" s="179" t="str">
        <f t="shared" si="3"/>
        <v>C</v>
      </c>
      <c r="G65" s="179" t="str">
        <f t="shared" si="1"/>
        <v>C</v>
      </c>
      <c r="I65" s="188" t="s">
        <v>161</v>
      </c>
      <c r="J65" s="177">
        <f>ЯНВАРЬ!U39</f>
        <v>0</v>
      </c>
      <c r="K65" s="178">
        <f t="shared" si="2"/>
        <v>0</v>
      </c>
      <c r="L65" s="178">
        <f t="shared" si="6"/>
        <v>0.99610220874837596</v>
      </c>
      <c r="M65" s="179" t="str">
        <f t="shared" si="4"/>
        <v>C</v>
      </c>
    </row>
    <row r="66" spans="2:13" ht="15" outlineLevel="1" thickBot="1">
      <c r="B66" s="188" t="s">
        <v>156</v>
      </c>
      <c r="C66" s="177">
        <f>ЯНВАРЬ!AO34</f>
        <v>-160.74999169252808</v>
      </c>
      <c r="D66" s="178">
        <f t="shared" si="0"/>
        <v>-8.5666564761844471E-4</v>
      </c>
      <c r="E66" s="178">
        <f t="shared" si="5"/>
        <v>1.4602133036852674</v>
      </c>
      <c r="F66" s="179" t="str">
        <f t="shared" si="3"/>
        <v>C</v>
      </c>
      <c r="G66" s="179" t="str">
        <f t="shared" si="1"/>
        <v>C</v>
      </c>
      <c r="I66" s="188" t="s">
        <v>164</v>
      </c>
      <c r="J66" s="177">
        <f>ЯНВАРЬ!U42</f>
        <v>0</v>
      </c>
      <c r="K66" s="178">
        <f t="shared" si="2"/>
        <v>0</v>
      </c>
      <c r="L66" s="178">
        <f t="shared" si="6"/>
        <v>0.99610220874837596</v>
      </c>
      <c r="M66" s="179" t="str">
        <f t="shared" si="4"/>
        <v>C</v>
      </c>
    </row>
    <row r="67" spans="2:13" ht="15" outlineLevel="1" thickBot="1">
      <c r="B67" s="188" t="s">
        <v>151</v>
      </c>
      <c r="C67" s="177">
        <f>ЯНВАРЬ!AO29</f>
        <v>-177.05620797326327</v>
      </c>
      <c r="D67" s="178">
        <f t="shared" si="0"/>
        <v>-9.4356440999636979E-4</v>
      </c>
      <c r="E67" s="178">
        <f t="shared" si="5"/>
        <v>1.4592697392752709</v>
      </c>
      <c r="F67" s="179" t="str">
        <f t="shared" si="3"/>
        <v>C</v>
      </c>
      <c r="G67" s="179" t="str">
        <f t="shared" si="1"/>
        <v>C</v>
      </c>
      <c r="I67" s="188" t="s">
        <v>165</v>
      </c>
      <c r="J67" s="177">
        <f>ЯНВАРЬ!U43</f>
        <v>0</v>
      </c>
      <c r="K67" s="178">
        <f t="shared" si="2"/>
        <v>0</v>
      </c>
      <c r="L67" s="178">
        <f t="shared" si="6"/>
        <v>0.99610220874837596</v>
      </c>
      <c r="M67" s="179" t="str">
        <f t="shared" si="4"/>
        <v>C</v>
      </c>
    </row>
    <row r="68" spans="2:13" ht="26.5" outlineLevel="1" thickBot="1">
      <c r="B68" s="188" t="s">
        <v>188</v>
      </c>
      <c r="C68" s="177">
        <f>ЯНВАРЬ!AO66</f>
        <v>-202.1694079732633</v>
      </c>
      <c r="D68" s="178">
        <f t="shared" ref="D68:D99" si="7">C68/C$100</f>
        <v>-1.0773971742488331E-3</v>
      </c>
      <c r="E68" s="178">
        <f t="shared" si="5"/>
        <v>1.4581923421010221</v>
      </c>
      <c r="F68" s="179" t="str">
        <f t="shared" si="3"/>
        <v>C</v>
      </c>
      <c r="G68" s="179" t="str">
        <f t="shared" ref="G68:G99" si="8">VLOOKUP(B$4:B$99,I$4:M$99,5,0)</f>
        <v>C</v>
      </c>
      <c r="I68" s="188" t="s">
        <v>168</v>
      </c>
      <c r="J68" s="177">
        <f>ЯНВАРЬ!U46</f>
        <v>0</v>
      </c>
      <c r="K68" s="178">
        <f t="shared" ref="K68:K99" si="9">J68/J$100</f>
        <v>0</v>
      </c>
      <c r="L68" s="178">
        <f t="shared" si="6"/>
        <v>0.99610220874837596</v>
      </c>
      <c r="M68" s="179" t="str">
        <f t="shared" si="4"/>
        <v>C</v>
      </c>
    </row>
    <row r="69" spans="2:13" ht="15" outlineLevel="1" thickBot="1">
      <c r="B69" s="188" t="s">
        <v>164</v>
      </c>
      <c r="C69" s="177">
        <f>ЯНВАРЬ!AO42</f>
        <v>-238.86579135831937</v>
      </c>
      <c r="D69" s="178">
        <f t="shared" si="7"/>
        <v>-1.2729588082297761E-3</v>
      </c>
      <c r="E69" s="178">
        <f t="shared" si="5"/>
        <v>1.4569193832927922</v>
      </c>
      <c r="F69" s="179" t="str">
        <f t="shared" si="3"/>
        <v>C</v>
      </c>
      <c r="G69" s="179" t="str">
        <f t="shared" si="8"/>
        <v>C</v>
      </c>
      <c r="I69" s="188" t="s">
        <v>174</v>
      </c>
      <c r="J69" s="177">
        <f>ЯНВАРЬ!U52</f>
        <v>0</v>
      </c>
      <c r="K69" s="178">
        <f t="shared" si="9"/>
        <v>0</v>
      </c>
      <c r="L69" s="178">
        <f t="shared" si="6"/>
        <v>0.99610220874837596</v>
      </c>
      <c r="M69" s="179" t="str">
        <f t="shared" si="4"/>
        <v>C</v>
      </c>
    </row>
    <row r="70" spans="2:13" ht="15" outlineLevel="1" thickBot="1">
      <c r="B70" s="188" t="s">
        <v>205</v>
      </c>
      <c r="C70" s="177">
        <f>ЯНВАРЬ!AO83</f>
        <v>-239.2057913583194</v>
      </c>
      <c r="D70" s="178">
        <f t="shared" si="7"/>
        <v>-1.2747707294443501E-3</v>
      </c>
      <c r="E70" s="178">
        <f t="shared" ref="E70:E75" si="10">E69+D70</f>
        <v>1.455644612563348</v>
      </c>
      <c r="F70" s="179" t="str">
        <f t="shared" si="3"/>
        <v>C</v>
      </c>
      <c r="G70" s="179" t="str">
        <f t="shared" si="8"/>
        <v>C</v>
      </c>
      <c r="I70" s="188" t="s">
        <v>177</v>
      </c>
      <c r="J70" s="177">
        <f>ЯНВАРЬ!U55</f>
        <v>0</v>
      </c>
      <c r="K70" s="178">
        <f t="shared" si="9"/>
        <v>0</v>
      </c>
      <c r="L70" s="178">
        <f t="shared" ref="L70:L75" si="11">L69+K70</f>
        <v>0.99610220874837596</v>
      </c>
      <c r="M70" s="179" t="str">
        <f t="shared" si="4"/>
        <v>C</v>
      </c>
    </row>
    <row r="71" spans="2:13" ht="26.5" outlineLevel="1" thickBot="1">
      <c r="B71" s="188" t="s">
        <v>201</v>
      </c>
      <c r="C71" s="177">
        <f>ЯНВАРЬ!AO79</f>
        <v>-242.41549534495107</v>
      </c>
      <c r="D71" s="178">
        <f t="shared" si="7"/>
        <v>-1.2918758198734099E-3</v>
      </c>
      <c r="E71" s="178">
        <f t="shared" si="10"/>
        <v>1.4543527367434745</v>
      </c>
      <c r="F71" s="179" t="str">
        <f t="shared" si="3"/>
        <v>C</v>
      </c>
      <c r="G71" s="179" t="str">
        <f t="shared" si="8"/>
        <v>C</v>
      </c>
      <c r="I71" s="188" t="s">
        <v>178</v>
      </c>
      <c r="J71" s="177">
        <f>ЯНВАРЬ!U56</f>
        <v>0</v>
      </c>
      <c r="K71" s="178">
        <f t="shared" si="9"/>
        <v>0</v>
      </c>
      <c r="L71" s="178">
        <f t="shared" si="11"/>
        <v>0.99610220874837596</v>
      </c>
      <c r="M71" s="179" t="str">
        <f t="shared" si="4"/>
        <v>C</v>
      </c>
    </row>
    <row r="72" spans="2:13" ht="15" outlineLevel="1" thickBot="1">
      <c r="B72" s="188" t="s">
        <v>193</v>
      </c>
      <c r="C72" s="177">
        <f>ЯНВАРЬ!AO71</f>
        <v>-246.19788371926478</v>
      </c>
      <c r="D72" s="178">
        <f t="shared" si="7"/>
        <v>-1.3120328485121651E-3</v>
      </c>
      <c r="E72" s="178">
        <f t="shared" si="10"/>
        <v>1.4530407038949624</v>
      </c>
      <c r="F72" s="179" t="str">
        <f t="shared" si="3"/>
        <v>C</v>
      </c>
      <c r="G72" s="179" t="str">
        <f t="shared" si="8"/>
        <v>C</v>
      </c>
      <c r="I72" s="188" t="s">
        <v>179</v>
      </c>
      <c r="J72" s="177">
        <f>ЯНВАРЬ!U57</f>
        <v>0</v>
      </c>
      <c r="K72" s="178">
        <f t="shared" si="9"/>
        <v>0</v>
      </c>
      <c r="L72" s="178">
        <f t="shared" si="11"/>
        <v>0.99610220874837596</v>
      </c>
      <c r="M72" s="179" t="str">
        <f t="shared" si="4"/>
        <v>C</v>
      </c>
    </row>
    <row r="73" spans="2:13" ht="15" outlineLevel="1" thickBot="1">
      <c r="B73" s="188" t="s">
        <v>214</v>
      </c>
      <c r="C73" s="177">
        <f>ЯНВАРЬ!AO92</f>
        <v>-253.67549534495106</v>
      </c>
      <c r="D73" s="178">
        <f t="shared" si="7"/>
        <v>-1.3518823871560635E-3</v>
      </c>
      <c r="E73" s="178">
        <f t="shared" si="10"/>
        <v>1.4516888215078063</v>
      </c>
      <c r="F73" s="179" t="str">
        <f t="shared" si="3"/>
        <v>C</v>
      </c>
      <c r="G73" s="179" t="str">
        <f t="shared" si="8"/>
        <v>C</v>
      </c>
      <c r="I73" s="188" t="s">
        <v>181</v>
      </c>
      <c r="J73" s="177">
        <f>ЯНВАРЬ!U59</f>
        <v>0</v>
      </c>
      <c r="K73" s="178">
        <f t="shared" si="9"/>
        <v>0</v>
      </c>
      <c r="L73" s="178">
        <f t="shared" si="11"/>
        <v>0.99610220874837596</v>
      </c>
      <c r="M73" s="179" t="str">
        <f t="shared" si="4"/>
        <v>C</v>
      </c>
    </row>
    <row r="74" spans="2:13" ht="15" outlineLevel="1" thickBot="1">
      <c r="B74" s="188" t="s">
        <v>211</v>
      </c>
      <c r="C74" s="177">
        <f>ЯНВАРЬ!AO89</f>
        <v>-255.64638338505608</v>
      </c>
      <c r="D74" s="178">
        <f t="shared" si="7"/>
        <v>-1.3623856043661114E-3</v>
      </c>
      <c r="E74" s="178">
        <f t="shared" si="10"/>
        <v>1.4503264359034402</v>
      </c>
      <c r="F74" s="179" t="str">
        <f t="shared" si="3"/>
        <v>C</v>
      </c>
      <c r="G74" s="179" t="str">
        <f t="shared" si="8"/>
        <v>C</v>
      </c>
      <c r="I74" s="188" t="s">
        <v>182</v>
      </c>
      <c r="J74" s="177">
        <f>ЯНВАРЬ!U60</f>
        <v>0</v>
      </c>
      <c r="K74" s="178">
        <f t="shared" si="9"/>
        <v>0</v>
      </c>
      <c r="L74" s="178">
        <f t="shared" si="11"/>
        <v>0.99610220874837596</v>
      </c>
      <c r="M74" s="179" t="str">
        <f t="shared" si="4"/>
        <v>C</v>
      </c>
    </row>
    <row r="75" spans="2:13" ht="26.5" outlineLevel="1" thickBot="1">
      <c r="B75" s="188" t="s">
        <v>215</v>
      </c>
      <c r="C75" s="177">
        <f>ЯНВАРЬ!AO93</f>
        <v>-257.96608737168776</v>
      </c>
      <c r="D75" s="178">
        <f t="shared" si="7"/>
        <v>-1.374747724557022E-3</v>
      </c>
      <c r="E75" s="178">
        <f t="shared" si="10"/>
        <v>1.4489516881788833</v>
      </c>
      <c r="F75" s="179" t="str">
        <f t="shared" si="3"/>
        <v>C</v>
      </c>
      <c r="G75" s="179" t="str">
        <f t="shared" si="8"/>
        <v>C</v>
      </c>
      <c r="I75" s="188" t="s">
        <v>183</v>
      </c>
      <c r="J75" s="177">
        <f>ЯНВАРЬ!U61</f>
        <v>0</v>
      </c>
      <c r="K75" s="178">
        <f t="shared" si="9"/>
        <v>0</v>
      </c>
      <c r="L75" s="178">
        <f t="shared" si="11"/>
        <v>0.99610220874837596</v>
      </c>
      <c r="M75" s="179" t="str">
        <f t="shared" si="4"/>
        <v>C</v>
      </c>
    </row>
    <row r="76" spans="2:13" ht="15" outlineLevel="1" thickBot="1">
      <c r="B76" s="188" t="s">
        <v>165</v>
      </c>
      <c r="C76" s="177">
        <f>ЯНВАРЬ!AO43</f>
        <v>-261.17579135831937</v>
      </c>
      <c r="D76" s="178">
        <f t="shared" si="7"/>
        <v>-1.3918528149860815E-3</v>
      </c>
      <c r="E76" s="178">
        <f>E49+D76</f>
        <v>1.4682045857198955</v>
      </c>
      <c r="F76" s="179" t="str">
        <f t="shared" si="3"/>
        <v>C</v>
      </c>
      <c r="G76" s="179" t="str">
        <f t="shared" si="8"/>
        <v>C</v>
      </c>
      <c r="I76" s="188" t="s">
        <v>184</v>
      </c>
      <c r="J76" s="177">
        <f>ЯНВАРЬ!U62</f>
        <v>0</v>
      </c>
      <c r="K76" s="178">
        <f t="shared" si="9"/>
        <v>0</v>
      </c>
      <c r="L76" s="178">
        <f>L49+K76</f>
        <v>0.99307059333044589</v>
      </c>
      <c r="M76" s="179" t="str">
        <f t="shared" si="4"/>
        <v>C</v>
      </c>
    </row>
    <row r="77" spans="2:13" ht="26.5" outlineLevel="1" thickBot="1">
      <c r="B77" s="188" t="s">
        <v>203</v>
      </c>
      <c r="C77" s="177">
        <f>ЯНВАРЬ!AO81</f>
        <v>-265.27549534495108</v>
      </c>
      <c r="D77" s="178">
        <f t="shared" si="7"/>
        <v>-1.4137008756532911E-3</v>
      </c>
      <c r="E77" s="178">
        <f t="shared" ref="E77:E93" si="12">E76+D77</f>
        <v>1.4667908848442421</v>
      </c>
      <c r="F77" s="179" t="str">
        <f t="shared" si="3"/>
        <v>C</v>
      </c>
      <c r="G77" s="179" t="str">
        <f t="shared" si="8"/>
        <v>C</v>
      </c>
      <c r="I77" s="188" t="s">
        <v>185</v>
      </c>
      <c r="J77" s="177">
        <f>ЯНВАРЬ!U63</f>
        <v>0</v>
      </c>
      <c r="K77" s="178">
        <f t="shared" si="9"/>
        <v>0</v>
      </c>
      <c r="L77" s="178">
        <f t="shared" ref="L77:L94" si="13">L76+K77</f>
        <v>0.99307059333044589</v>
      </c>
      <c r="M77" s="179" t="str">
        <f t="shared" si="4"/>
        <v>C</v>
      </c>
    </row>
    <row r="78" spans="2:13" ht="15" outlineLevel="1" thickBot="1">
      <c r="B78" s="188" t="s">
        <v>174</v>
      </c>
      <c r="C78" s="177">
        <f>ЯНВАРЬ!AO52</f>
        <v>-265.85549534495107</v>
      </c>
      <c r="D78" s="178">
        <f t="shared" si="7"/>
        <v>-1.4167918000781523E-3</v>
      </c>
      <c r="E78" s="178">
        <f t="shared" si="12"/>
        <v>1.4653740930441639</v>
      </c>
      <c r="F78" s="179" t="str">
        <f t="shared" si="3"/>
        <v>C</v>
      </c>
      <c r="G78" s="179" t="str">
        <f t="shared" si="8"/>
        <v>C</v>
      </c>
      <c r="I78" s="188" t="s">
        <v>186</v>
      </c>
      <c r="J78" s="177">
        <f>ЯНВАРЬ!U64</f>
        <v>0</v>
      </c>
      <c r="K78" s="178">
        <f t="shared" si="9"/>
        <v>0</v>
      </c>
      <c r="L78" s="178">
        <f t="shared" si="13"/>
        <v>0.99307059333044589</v>
      </c>
      <c r="M78" s="179" t="str">
        <f t="shared" si="4"/>
        <v>C</v>
      </c>
    </row>
    <row r="79" spans="2:13" ht="15" outlineLevel="1" thickBot="1">
      <c r="B79" s="188" t="s">
        <v>182</v>
      </c>
      <c r="C79" s="177">
        <f>ЯНВАРЬ!AO60</f>
        <v>-277.27171162568635</v>
      </c>
      <c r="D79" s="178">
        <f t="shared" si="7"/>
        <v>-1.477630872046471E-3</v>
      </c>
      <c r="E79" s="178">
        <f t="shared" si="12"/>
        <v>1.4638964621721173</v>
      </c>
      <c r="F79" s="179" t="str">
        <f t="shared" si="3"/>
        <v>C</v>
      </c>
      <c r="G79" s="179" t="str">
        <f t="shared" si="8"/>
        <v>C</v>
      </c>
      <c r="I79" s="188" t="s">
        <v>187</v>
      </c>
      <c r="J79" s="177">
        <f>ЯНВАРЬ!U65</f>
        <v>0</v>
      </c>
      <c r="K79" s="178">
        <f t="shared" si="9"/>
        <v>0</v>
      </c>
      <c r="L79" s="178">
        <f t="shared" si="13"/>
        <v>0.99307059333044589</v>
      </c>
      <c r="M79" s="179" t="str">
        <f t="shared" si="4"/>
        <v>C</v>
      </c>
    </row>
    <row r="80" spans="2:13" ht="15" outlineLevel="1" thickBot="1">
      <c r="B80" s="188" t="s">
        <v>178</v>
      </c>
      <c r="C80" s="177">
        <f>ЯНВАРЬ!AO56</f>
        <v>-408.85940797326333</v>
      </c>
      <c r="D80" s="178">
        <f t="shared" si="7"/>
        <v>-2.1788853973084836E-3</v>
      </c>
      <c r="E80" s="178">
        <f t="shared" si="12"/>
        <v>1.4617175767748087</v>
      </c>
      <c r="F80" s="179" t="str">
        <f t="shared" si="3"/>
        <v>C</v>
      </c>
      <c r="G80" s="179" t="str">
        <f t="shared" si="8"/>
        <v>C</v>
      </c>
      <c r="I80" s="188" t="s">
        <v>188</v>
      </c>
      <c r="J80" s="177">
        <f>ЯНВАРЬ!U66</f>
        <v>0</v>
      </c>
      <c r="K80" s="178">
        <f t="shared" si="9"/>
        <v>0</v>
      </c>
      <c r="L80" s="178">
        <f t="shared" si="13"/>
        <v>0.99307059333044589</v>
      </c>
      <c r="M80" s="179" t="str">
        <f t="shared" si="4"/>
        <v>C</v>
      </c>
    </row>
    <row r="81" spans="2:13" ht="15" outlineLevel="1" thickBot="1">
      <c r="B81" s="188" t="s">
        <v>206</v>
      </c>
      <c r="C81" s="177">
        <f>ЯНВАРЬ!AO84</f>
        <v>-458.30638338505605</v>
      </c>
      <c r="D81" s="178">
        <f t="shared" si="7"/>
        <v>-2.4423972318530179E-3</v>
      </c>
      <c r="E81" s="178">
        <f t="shared" si="12"/>
        <v>1.4592751795429557</v>
      </c>
      <c r="F81" s="179" t="str">
        <f t="shared" si="3"/>
        <v>C</v>
      </c>
      <c r="G81" s="179" t="str">
        <f t="shared" si="8"/>
        <v>C</v>
      </c>
      <c r="I81" s="188" t="s">
        <v>190</v>
      </c>
      <c r="J81" s="177">
        <f>ЯНВАРЬ!U68</f>
        <v>0</v>
      </c>
      <c r="K81" s="178">
        <f t="shared" si="9"/>
        <v>0</v>
      </c>
      <c r="L81" s="178">
        <f t="shared" si="13"/>
        <v>0.99307059333044589</v>
      </c>
      <c r="M81" s="179" t="str">
        <f t="shared" si="4"/>
        <v>C</v>
      </c>
    </row>
    <row r="82" spans="2:13" ht="15" outlineLevel="1" thickBot="1">
      <c r="B82" s="188" t="s">
        <v>183</v>
      </c>
      <c r="C82" s="177">
        <f>ЯНВАРЬ!AO61</f>
        <v>-523.18174982095968</v>
      </c>
      <c r="D82" s="178">
        <f t="shared" si="7"/>
        <v>-2.7881297399367528E-3</v>
      </c>
      <c r="E82" s="178">
        <f t="shared" si="12"/>
        <v>1.4564870498030189</v>
      </c>
      <c r="F82" s="179" t="str">
        <f t="shared" si="3"/>
        <v>C</v>
      </c>
      <c r="G82" s="179" t="str">
        <f t="shared" si="8"/>
        <v>C</v>
      </c>
      <c r="I82" s="188" t="s">
        <v>191</v>
      </c>
      <c r="J82" s="177">
        <f>ЯНВАРЬ!U69</f>
        <v>0</v>
      </c>
      <c r="K82" s="178">
        <f t="shared" si="9"/>
        <v>0</v>
      </c>
      <c r="L82" s="178">
        <f t="shared" si="13"/>
        <v>0.99307059333044589</v>
      </c>
      <c r="M82" s="179" t="str">
        <f t="shared" si="4"/>
        <v>C</v>
      </c>
    </row>
    <row r="83" spans="2:13" ht="15" outlineLevel="1" thickBot="1">
      <c r="B83" s="188" t="s">
        <v>155</v>
      </c>
      <c r="C83" s="177">
        <f>ЯНВАРЬ!AO33</f>
        <v>-565.53750890116964</v>
      </c>
      <c r="D83" s="178">
        <f t="shared" si="7"/>
        <v>-3.013851205927382E-3</v>
      </c>
      <c r="E83" s="178">
        <f t="shared" si="12"/>
        <v>1.4534731985970915</v>
      </c>
      <c r="F83" s="179" t="str">
        <f t="shared" si="3"/>
        <v>C</v>
      </c>
      <c r="G83" s="179" t="str">
        <f t="shared" si="8"/>
        <v>C</v>
      </c>
      <c r="I83" s="188" t="s">
        <v>198</v>
      </c>
      <c r="J83" s="177">
        <f>ЯНВАРЬ!U76</f>
        <v>0</v>
      </c>
      <c r="K83" s="178">
        <f t="shared" si="9"/>
        <v>0</v>
      </c>
      <c r="L83" s="178">
        <f t="shared" si="13"/>
        <v>0.99307059333044589</v>
      </c>
      <c r="M83" s="179" t="str">
        <f t="shared" si="4"/>
        <v>C</v>
      </c>
    </row>
    <row r="84" spans="2:13" ht="26.5" outlineLevel="1" thickBot="1">
      <c r="B84" s="188" t="s">
        <v>149</v>
      </c>
      <c r="C84" s="177">
        <f>ЯНВАРЬ!AO27</f>
        <v>-569.41539501074249</v>
      </c>
      <c r="D84" s="178">
        <f t="shared" si="7"/>
        <v>-3.0345171591910189E-3</v>
      </c>
      <c r="E84" s="178">
        <f t="shared" si="12"/>
        <v>1.4504386814379004</v>
      </c>
      <c r="F84" s="179" t="str">
        <f t="shared" si="3"/>
        <v>C</v>
      </c>
      <c r="G84" s="179" t="str">
        <f t="shared" si="8"/>
        <v>C</v>
      </c>
      <c r="I84" s="188" t="s">
        <v>199</v>
      </c>
      <c r="J84" s="177">
        <f>ЯНВАРЬ!U77</f>
        <v>0</v>
      </c>
      <c r="K84" s="178">
        <f t="shared" si="9"/>
        <v>0</v>
      </c>
      <c r="L84" s="178">
        <f t="shared" si="13"/>
        <v>0.99307059333044589</v>
      </c>
      <c r="M84" s="179" t="str">
        <f t="shared" si="4"/>
        <v>C</v>
      </c>
    </row>
    <row r="85" spans="2:13" ht="26.5" outlineLevel="1" thickBot="1">
      <c r="B85" s="188" t="s">
        <v>152</v>
      </c>
      <c r="C85" s="177">
        <f>ЯНВАРЬ!AO30</f>
        <v>-690.90553700000055</v>
      </c>
      <c r="D85" s="178">
        <f t="shared" si="7"/>
        <v>-3.6819599992849398E-3</v>
      </c>
      <c r="E85" s="178">
        <f t="shared" si="12"/>
        <v>1.4467567214386154</v>
      </c>
      <c r="F85" s="179" t="str">
        <f t="shared" si="3"/>
        <v>C</v>
      </c>
      <c r="G85" s="179" t="str">
        <f t="shared" si="8"/>
        <v>B</v>
      </c>
      <c r="I85" s="188" t="s">
        <v>201</v>
      </c>
      <c r="J85" s="177">
        <f>ЯНВАРЬ!U79</f>
        <v>0</v>
      </c>
      <c r="K85" s="178">
        <f t="shared" si="9"/>
        <v>0</v>
      </c>
      <c r="L85" s="178">
        <f t="shared" si="13"/>
        <v>0.99307059333044589</v>
      </c>
      <c r="M85" s="179" t="str">
        <f t="shared" si="4"/>
        <v>C</v>
      </c>
    </row>
    <row r="86" spans="2:13" ht="26.5" outlineLevel="1" thickBot="1">
      <c r="B86" s="188" t="s">
        <v>166</v>
      </c>
      <c r="C86" s="177">
        <f>ЯНВАРЬ!AO44</f>
        <v>-827.14437307233231</v>
      </c>
      <c r="D86" s="178">
        <f t="shared" si="7"/>
        <v>-4.4080012855446894E-3</v>
      </c>
      <c r="E86" s="178">
        <f t="shared" si="12"/>
        <v>1.4423487201530707</v>
      </c>
      <c r="F86" s="179" t="str">
        <f t="shared" si="3"/>
        <v>C</v>
      </c>
      <c r="G86" s="179" t="str">
        <f t="shared" si="8"/>
        <v>C</v>
      </c>
      <c r="I86" s="188" t="s">
        <v>202</v>
      </c>
      <c r="J86" s="177">
        <f>ЯНВАРЬ!U80</f>
        <v>0</v>
      </c>
      <c r="K86" s="178">
        <f t="shared" si="9"/>
        <v>0</v>
      </c>
      <c r="L86" s="178">
        <f t="shared" si="13"/>
        <v>0.99307059333044589</v>
      </c>
      <c r="M86" s="179" t="str">
        <f t="shared" si="4"/>
        <v>C</v>
      </c>
    </row>
    <row r="87" spans="2:13" ht="26.5" outlineLevel="1" thickBot="1">
      <c r="B87" s="188" t="s">
        <v>132</v>
      </c>
      <c r="C87" s="177">
        <f>ЯНВАРЬ!AO10</f>
        <v>-1358.1577095698012</v>
      </c>
      <c r="D87" s="178">
        <f t="shared" si="7"/>
        <v>-7.2378669609018589E-3</v>
      </c>
      <c r="E87" s="178">
        <f t="shared" si="12"/>
        <v>1.4351108531921688</v>
      </c>
      <c r="F87" s="179" t="str">
        <f t="shared" si="3"/>
        <v>C</v>
      </c>
      <c r="G87" s="179" t="str">
        <f t="shared" si="8"/>
        <v>A</v>
      </c>
      <c r="I87" s="188" t="s">
        <v>203</v>
      </c>
      <c r="J87" s="177">
        <f>ЯНВАРЬ!U81</f>
        <v>0</v>
      </c>
      <c r="K87" s="178">
        <f t="shared" si="9"/>
        <v>0</v>
      </c>
      <c r="L87" s="178">
        <f t="shared" si="13"/>
        <v>0.99307059333044589</v>
      </c>
      <c r="M87" s="179" t="str">
        <f t="shared" si="4"/>
        <v>C</v>
      </c>
    </row>
    <row r="88" spans="2:13" ht="26.5" outlineLevel="1" thickBot="1">
      <c r="B88" s="188" t="s">
        <v>171</v>
      </c>
      <c r="C88" s="177">
        <f>ЯНВАРЬ!AO49</f>
        <v>-1364.6590221525353</v>
      </c>
      <c r="D88" s="178">
        <f t="shared" si="7"/>
        <v>-7.2725136261701882E-3</v>
      </c>
      <c r="E88" s="178">
        <f t="shared" si="12"/>
        <v>1.4278383395659986</v>
      </c>
      <c r="F88" s="179" t="str">
        <f t="shared" si="3"/>
        <v>C</v>
      </c>
      <c r="G88" s="179" t="str">
        <f t="shared" si="8"/>
        <v>B</v>
      </c>
      <c r="I88" s="188" t="s">
        <v>204</v>
      </c>
      <c r="J88" s="177">
        <f>ЯНВАРЬ!U82</f>
        <v>0</v>
      </c>
      <c r="K88" s="178">
        <f t="shared" si="9"/>
        <v>0</v>
      </c>
      <c r="L88" s="178">
        <f t="shared" si="13"/>
        <v>0.99307059333044589</v>
      </c>
      <c r="M88" s="179" t="str">
        <f t="shared" si="4"/>
        <v>C</v>
      </c>
    </row>
    <row r="89" spans="2:13" ht="15" outlineLevel="1" thickBot="1">
      <c r="B89" s="188" t="s">
        <v>153</v>
      </c>
      <c r="C89" s="177">
        <f>ЯНВАРЬ!AO31</f>
        <v>-1717.1185039866323</v>
      </c>
      <c r="D89" s="178">
        <f t="shared" si="7"/>
        <v>-9.1508336626787978E-3</v>
      </c>
      <c r="E89" s="178">
        <f t="shared" si="12"/>
        <v>1.4186875059033197</v>
      </c>
      <c r="F89" s="179" t="str">
        <f t="shared" si="3"/>
        <v>C</v>
      </c>
      <c r="G89" s="179" t="str">
        <f t="shared" si="8"/>
        <v>C</v>
      </c>
      <c r="I89" s="188" t="s">
        <v>205</v>
      </c>
      <c r="J89" s="177">
        <f>ЯНВАРЬ!U83</f>
        <v>0</v>
      </c>
      <c r="K89" s="178">
        <f t="shared" si="9"/>
        <v>0</v>
      </c>
      <c r="L89" s="178">
        <f t="shared" si="13"/>
        <v>0.99307059333044589</v>
      </c>
      <c r="M89" s="179" t="str">
        <f t="shared" si="4"/>
        <v>C</v>
      </c>
    </row>
    <row r="90" spans="2:13" ht="15" outlineLevel="1" thickBot="1">
      <c r="B90" s="188" t="s">
        <v>172</v>
      </c>
      <c r="C90" s="177">
        <f>ЯНВАРЬ!AO50</f>
        <v>-2847.0137756579152</v>
      </c>
      <c r="D90" s="178">
        <f t="shared" si="7"/>
        <v>-1.517224899499629E-2</v>
      </c>
      <c r="E90" s="178">
        <f t="shared" si="12"/>
        <v>1.4035152569083233</v>
      </c>
      <c r="F90" s="179" t="str">
        <f t="shared" si="3"/>
        <v>C</v>
      </c>
      <c r="G90" s="179" t="str">
        <f t="shared" si="8"/>
        <v>B</v>
      </c>
      <c r="I90" s="188" t="s">
        <v>206</v>
      </c>
      <c r="J90" s="177">
        <f>ЯНВАРЬ!U84</f>
        <v>0</v>
      </c>
      <c r="K90" s="178">
        <f t="shared" si="9"/>
        <v>0</v>
      </c>
      <c r="L90" s="178">
        <f t="shared" si="13"/>
        <v>0.99307059333044589</v>
      </c>
      <c r="M90" s="179" t="str">
        <f t="shared" si="4"/>
        <v>C</v>
      </c>
    </row>
    <row r="91" spans="2:13" ht="26.5" outlineLevel="1" thickBot="1">
      <c r="B91" s="188" t="s">
        <v>210</v>
      </c>
      <c r="C91" s="177">
        <f>ЯНВАРЬ!AO88</f>
        <v>-3351.1969235855831</v>
      </c>
      <c r="D91" s="178">
        <f t="shared" si="7"/>
        <v>-1.7859131764880985E-2</v>
      </c>
      <c r="E91" s="178">
        <f t="shared" si="12"/>
        <v>1.3856561251434423</v>
      </c>
      <c r="F91" s="179" t="str">
        <f t="shared" si="3"/>
        <v>C</v>
      </c>
      <c r="G91" s="179" t="str">
        <f t="shared" si="8"/>
        <v>C</v>
      </c>
      <c r="I91" s="188" t="s">
        <v>211</v>
      </c>
      <c r="J91" s="177">
        <f>ЯНВАРЬ!U89</f>
        <v>0</v>
      </c>
      <c r="K91" s="178">
        <f t="shared" si="9"/>
        <v>0</v>
      </c>
      <c r="L91" s="178">
        <f t="shared" si="13"/>
        <v>0.99307059333044589</v>
      </c>
      <c r="M91" s="179" t="str">
        <f t="shared" si="4"/>
        <v>C</v>
      </c>
    </row>
    <row r="92" spans="2:13" ht="26.5" outlineLevel="1" thickBot="1">
      <c r="B92" s="188" t="s">
        <v>134</v>
      </c>
      <c r="C92" s="177">
        <f>ЯНВАРЬ!AO12</f>
        <v>-5323.4967675271</v>
      </c>
      <c r="D92" s="178">
        <f t="shared" si="7"/>
        <v>-2.8369872731758762E-2</v>
      </c>
      <c r="E92" s="178">
        <f t="shared" si="12"/>
        <v>1.3572862524116835</v>
      </c>
      <c r="F92" s="179" t="str">
        <f t="shared" si="3"/>
        <v>C</v>
      </c>
      <c r="G92" s="179" t="str">
        <f t="shared" si="8"/>
        <v>B</v>
      </c>
      <c r="I92" s="188" t="s">
        <v>212</v>
      </c>
      <c r="J92" s="177">
        <f>ЯНВАРЬ!U90</f>
        <v>0</v>
      </c>
      <c r="K92" s="178">
        <f t="shared" si="9"/>
        <v>0</v>
      </c>
      <c r="L92" s="178">
        <f t="shared" si="13"/>
        <v>0.99307059333044589</v>
      </c>
      <c r="M92" s="179" t="str">
        <f t="shared" si="4"/>
        <v>C</v>
      </c>
    </row>
    <row r="93" spans="2:13" ht="15" outlineLevel="1" thickBot="1">
      <c r="B93" s="188" t="s">
        <v>130</v>
      </c>
      <c r="C93" s="177">
        <f>ЯНВАРЬ!AO8</f>
        <v>-5671.1963603559288</v>
      </c>
      <c r="D93" s="178">
        <f t="shared" si="7"/>
        <v>-3.0222826462774247E-2</v>
      </c>
      <c r="E93" s="178">
        <f t="shared" si="12"/>
        <v>1.3270634259489094</v>
      </c>
      <c r="F93" s="179" t="str">
        <f t="shared" si="3"/>
        <v>C</v>
      </c>
      <c r="G93" s="179" t="str">
        <f t="shared" si="8"/>
        <v>A</v>
      </c>
      <c r="I93" s="188" t="s">
        <v>213</v>
      </c>
      <c r="J93" s="177">
        <f>ЯНВАРЬ!U91</f>
        <v>0</v>
      </c>
      <c r="K93" s="178">
        <f t="shared" si="9"/>
        <v>0</v>
      </c>
      <c r="L93" s="178">
        <f t="shared" si="13"/>
        <v>0.99307059333044589</v>
      </c>
      <c r="M93" s="179" t="str">
        <f t="shared" si="4"/>
        <v>C</v>
      </c>
    </row>
    <row r="94" spans="2:13" ht="15" outlineLevel="1" thickBot="1">
      <c r="B94" s="188" t="s">
        <v>137</v>
      </c>
      <c r="C94" s="177">
        <f>ЯНВАРЬ!AO15</f>
        <v>-5873.518053765104</v>
      </c>
      <c r="D94" s="178">
        <f t="shared" si="7"/>
        <v>-3.1301035193528962E-2</v>
      </c>
      <c r="E94" s="178">
        <f>E93+D94</f>
        <v>1.2957623907553804</v>
      </c>
      <c r="F94" s="179" t="str">
        <f t="shared" si="3"/>
        <v>C</v>
      </c>
      <c r="G94" s="179" t="str">
        <f t="shared" si="8"/>
        <v>B</v>
      </c>
      <c r="I94" s="188" t="s">
        <v>214</v>
      </c>
      <c r="J94" s="177">
        <f>ЯНВАРЬ!U92</f>
        <v>0</v>
      </c>
      <c r="K94" s="178">
        <f t="shared" si="9"/>
        <v>0</v>
      </c>
      <c r="L94" s="178">
        <f t="shared" si="13"/>
        <v>0.99307059333044589</v>
      </c>
      <c r="M94" s="179" t="str">
        <f t="shared" si="4"/>
        <v>C</v>
      </c>
    </row>
    <row r="95" spans="2:13" ht="26.5" outlineLevel="1" thickBot="1">
      <c r="B95" s="188" t="s">
        <v>207</v>
      </c>
      <c r="C95" s="177">
        <f>ЯНВАРЬ!AO85</f>
        <v>-7973.9205674385294</v>
      </c>
      <c r="D95" s="178">
        <f t="shared" si="7"/>
        <v>-4.2494458351379674E-2</v>
      </c>
      <c r="E95" s="178">
        <f>E94+D95</f>
        <v>1.2532679324040006</v>
      </c>
      <c r="F95" s="179" t="str">
        <f t="shared" si="3"/>
        <v>C</v>
      </c>
      <c r="G95" s="179" t="str">
        <f t="shared" si="8"/>
        <v>C</v>
      </c>
      <c r="I95" s="188" t="s">
        <v>215</v>
      </c>
      <c r="J95" s="177">
        <f>ЯНВАРЬ!U93</f>
        <v>0</v>
      </c>
      <c r="K95" s="178">
        <f t="shared" si="9"/>
        <v>0</v>
      </c>
      <c r="L95" s="178">
        <f>L94+K95</f>
        <v>0.99307059333044589</v>
      </c>
      <c r="M95" s="179" t="str">
        <f t="shared" si="4"/>
        <v>C</v>
      </c>
    </row>
    <row r="96" spans="2:13" ht="26.5" outlineLevel="1" thickBot="1">
      <c r="B96" s="188" t="s">
        <v>136</v>
      </c>
      <c r="C96" s="177">
        <f>ЯНВАРЬ!AO14</f>
        <v>-8866.9886430885654</v>
      </c>
      <c r="D96" s="178">
        <f t="shared" si="7"/>
        <v>-4.7253778917053194E-2</v>
      </c>
      <c r="E96" s="178">
        <f t="shared" ref="E96:E98" si="14">E95+D96</f>
        <v>1.2060141534869473</v>
      </c>
      <c r="F96" s="179" t="str">
        <f t="shared" si="3"/>
        <v>C</v>
      </c>
      <c r="G96" s="179" t="str">
        <f t="shared" si="8"/>
        <v>B</v>
      </c>
      <c r="I96" s="188" t="s">
        <v>216</v>
      </c>
      <c r="J96" s="177">
        <f>ЯНВАРЬ!U94</f>
        <v>0</v>
      </c>
      <c r="K96" s="178">
        <f t="shared" si="9"/>
        <v>0</v>
      </c>
      <c r="L96" s="178">
        <f t="shared" ref="L96:L98" si="15">L95+K96</f>
        <v>0.99307059333044589</v>
      </c>
      <c r="M96" s="179" t="str">
        <f t="shared" si="4"/>
        <v>C</v>
      </c>
    </row>
    <row r="97" spans="2:16" ht="26.5" outlineLevel="1" thickBot="1">
      <c r="B97" s="188" t="s">
        <v>150</v>
      </c>
      <c r="C97" s="177">
        <f>ЯНВАРЬ!AO28</f>
        <v>-10071.881016799916</v>
      </c>
      <c r="D97" s="178">
        <f t="shared" si="7"/>
        <v>-5.3674867308835285E-2</v>
      </c>
      <c r="E97" s="178">
        <f t="shared" si="14"/>
        <v>1.1523392861781121</v>
      </c>
      <c r="F97" s="179" t="str">
        <f t="shared" ref="F97:F99" si="16">IF(AND(E97&lt;=0),"C",IF(E97&lt;=0.8,"A",IF(E97&lt;=0.95,"B","C")))</f>
        <v>C</v>
      </c>
      <c r="G97" s="179" t="str">
        <f t="shared" si="8"/>
        <v>A</v>
      </c>
      <c r="I97" s="188" t="s">
        <v>217</v>
      </c>
      <c r="J97" s="177">
        <f>ЯНВАРЬ!U95</f>
        <v>0</v>
      </c>
      <c r="K97" s="178">
        <f t="shared" si="9"/>
        <v>0</v>
      </c>
      <c r="L97" s="178">
        <f t="shared" si="15"/>
        <v>0.99307059333044589</v>
      </c>
      <c r="M97" s="179" t="str">
        <f t="shared" si="4"/>
        <v>C</v>
      </c>
    </row>
    <row r="98" spans="2:16" ht="26.5" outlineLevel="1" thickBot="1">
      <c r="B98" s="188" t="s">
        <v>173</v>
      </c>
      <c r="C98" s="177">
        <f>ЯНВАРЬ!AO51</f>
        <v>-12157.173988572213</v>
      </c>
      <c r="D98" s="178">
        <f t="shared" si="7"/>
        <v>-6.4787768997529679E-2</v>
      </c>
      <c r="E98" s="178">
        <f t="shared" si="14"/>
        <v>1.0875515171805825</v>
      </c>
      <c r="F98" s="179" t="str">
        <f t="shared" si="16"/>
        <v>C</v>
      </c>
      <c r="G98" s="179" t="str">
        <f t="shared" si="8"/>
        <v>C</v>
      </c>
      <c r="I98" s="188" t="s">
        <v>219</v>
      </c>
      <c r="J98" s="177">
        <f>ЯНВАРЬ!U97</f>
        <v>0</v>
      </c>
      <c r="K98" s="178">
        <f t="shared" si="9"/>
        <v>0</v>
      </c>
      <c r="L98" s="178">
        <f t="shared" si="15"/>
        <v>0.99307059333044589</v>
      </c>
      <c r="M98" s="179" t="str">
        <f t="shared" si="4"/>
        <v>C</v>
      </c>
    </row>
    <row r="99" spans="2:16" ht="15" outlineLevel="1" thickBot="1">
      <c r="B99" s="188" t="s">
        <v>148</v>
      </c>
      <c r="C99" s="177">
        <f>ЯНВАРЬ!AO26</f>
        <v>-12625.961330532342</v>
      </c>
      <c r="D99" s="178">
        <f t="shared" si="7"/>
        <v>-6.728602114465107E-2</v>
      </c>
      <c r="E99" s="178">
        <f>E98+D99</f>
        <v>1.0202654960359314</v>
      </c>
      <c r="F99" s="179" t="str">
        <f t="shared" si="16"/>
        <v>C</v>
      </c>
      <c r="G99" s="179" t="str">
        <f t="shared" si="8"/>
        <v>B</v>
      </c>
      <c r="I99" s="188" t="s">
        <v>220</v>
      </c>
      <c r="J99" s="177">
        <f>ЯНВАРЬ!U98</f>
        <v>0</v>
      </c>
      <c r="K99" s="178">
        <f t="shared" si="9"/>
        <v>0</v>
      </c>
      <c r="L99" s="178">
        <f>L98+K99</f>
        <v>0.99307059333044589</v>
      </c>
      <c r="M99" s="179" t="str">
        <f t="shared" si="4"/>
        <v>C</v>
      </c>
    </row>
    <row r="100" spans="2:16" outlineLevel="1">
      <c r="C100" s="184">
        <f>SUM(C4:C99)</f>
        <v>187646.12791398572</v>
      </c>
      <c r="D100" s="185">
        <f>SUM(D4:D99)</f>
        <v>0.99999999999999911</v>
      </c>
      <c r="J100" s="184">
        <f>SUM(J4:J99)</f>
        <v>2309</v>
      </c>
      <c r="K100" s="185">
        <f>SUM(K4:K99)</f>
        <v>1</v>
      </c>
    </row>
    <row r="101" spans="2:16" ht="15" thickBot="1"/>
    <row r="102" spans="2:16" ht="16" thickBot="1">
      <c r="B102" s="343" t="s">
        <v>240</v>
      </c>
      <c r="C102" s="344"/>
      <c r="D102" s="344"/>
      <c r="E102" s="344"/>
      <c r="F102" s="344"/>
      <c r="G102" s="344"/>
      <c r="H102" s="344"/>
      <c r="I102" s="344"/>
      <c r="J102" s="344"/>
      <c r="K102" s="344"/>
      <c r="L102" s="344"/>
      <c r="M102" s="345"/>
      <c r="O102" s="186"/>
      <c r="P102" s="186"/>
    </row>
    <row r="103" spans="2:16" ht="23.5" thickBot="1">
      <c r="C103" s="173" t="s">
        <v>10</v>
      </c>
      <c r="D103" s="174" t="s">
        <v>87</v>
      </c>
      <c r="E103" s="175" t="s">
        <v>88</v>
      </c>
      <c r="F103" s="187" t="s">
        <v>89</v>
      </c>
      <c r="G103" s="174" t="s">
        <v>90</v>
      </c>
      <c r="J103" s="173" t="s">
        <v>91</v>
      </c>
      <c r="K103" s="174" t="s">
        <v>92</v>
      </c>
      <c r="L103" s="175" t="s">
        <v>88</v>
      </c>
      <c r="M103" s="176" t="s">
        <v>90</v>
      </c>
    </row>
    <row r="104" spans="2:16">
      <c r="B104" s="96" t="s">
        <v>223</v>
      </c>
      <c r="C104" s="177">
        <f>ЯНВАРЬ!AO102</f>
        <v>0</v>
      </c>
      <c r="D104" s="178">
        <f>C104/C$109</f>
        <v>0</v>
      </c>
      <c r="E104" s="178">
        <f>D104</f>
        <v>0</v>
      </c>
      <c r="F104" s="179" t="str">
        <f t="shared" ref="F104:F108" si="17">IF(AND(E104&lt;=0),"C",IF(E104&lt;=0.8,"A",IF(E104&lt;=0.95,"B","C")))</f>
        <v>C</v>
      </c>
      <c r="G104" s="179" t="e">
        <f>VLOOKUP(B104:B108,I$104:M$108,5,0)</f>
        <v>#DIV/0!</v>
      </c>
      <c r="I104" s="96" t="s">
        <v>223</v>
      </c>
      <c r="J104" s="177">
        <f>ЯНВАРЬ!U102</f>
        <v>0</v>
      </c>
      <c r="K104" s="178" t="e">
        <f>J104/J$109</f>
        <v>#DIV/0!</v>
      </c>
      <c r="L104" s="178" t="e">
        <f>K104</f>
        <v>#DIV/0!</v>
      </c>
      <c r="M104" s="179" t="e">
        <f>_xlfn.IFS(L104&lt;80%,"A",L104&lt;=95%,"B",L104&gt;95%,"C")</f>
        <v>#DIV/0!</v>
      </c>
    </row>
    <row r="105" spans="2:16">
      <c r="B105" s="96" t="s">
        <v>225</v>
      </c>
      <c r="C105" s="177">
        <f>ЯНВАРЬ!AO103</f>
        <v>-186.42970398663167</v>
      </c>
      <c r="D105" s="178">
        <f>C105/C$109</f>
        <v>1</v>
      </c>
      <c r="E105" s="178">
        <f t="shared" ref="E105:E108" si="18">D105+E104</f>
        <v>1</v>
      </c>
      <c r="F105" s="179" t="str">
        <f t="shared" si="17"/>
        <v>C</v>
      </c>
      <c r="G105" s="179" t="e">
        <f>VLOOKUP(B105:B109,I$104:M$108,5,0)</f>
        <v>#DIV/0!</v>
      </c>
      <c r="I105" s="96" t="s">
        <v>225</v>
      </c>
      <c r="J105" s="177">
        <f>ЯНВАРЬ!U103</f>
        <v>0</v>
      </c>
      <c r="K105" s="178" t="e">
        <f>J105/J$109</f>
        <v>#DIV/0!</v>
      </c>
      <c r="L105" s="178" t="e">
        <f>K105+L104</f>
        <v>#DIV/0!</v>
      </c>
      <c r="M105" s="179" t="e">
        <f t="shared" ref="M105:M108" si="19">_xlfn.IFS(L105&lt;80%,"A",L105&lt;=95%,"B",L105&gt;95%,"C")</f>
        <v>#DIV/0!</v>
      </c>
    </row>
    <row r="106" spans="2:16">
      <c r="B106" s="96" t="s">
        <v>226</v>
      </c>
      <c r="C106" s="177">
        <f>ЯНВАРЬ!AO104</f>
        <v>0</v>
      </c>
      <c r="D106" s="178">
        <f>C106/C$109</f>
        <v>0</v>
      </c>
      <c r="E106" s="178">
        <f t="shared" si="18"/>
        <v>1</v>
      </c>
      <c r="F106" s="179" t="str">
        <f t="shared" si="17"/>
        <v>C</v>
      </c>
      <c r="G106" s="179" t="e">
        <f>VLOOKUP(B106:B110,I$104:M$108,5,0)</f>
        <v>#DIV/0!</v>
      </c>
      <c r="I106" s="96" t="s">
        <v>226</v>
      </c>
      <c r="J106" s="177">
        <f>ЯНВАРЬ!U104</f>
        <v>0</v>
      </c>
      <c r="K106" s="178" t="e">
        <f>J106/J$109</f>
        <v>#DIV/0!</v>
      </c>
      <c r="L106" s="178" t="e">
        <f t="shared" ref="L106:L108" si="20">K106+L105</f>
        <v>#DIV/0!</v>
      </c>
      <c r="M106" s="179" t="e">
        <f t="shared" si="19"/>
        <v>#DIV/0!</v>
      </c>
    </row>
    <row r="107" spans="2:16">
      <c r="B107" s="96" t="s">
        <v>227</v>
      </c>
      <c r="C107" s="177">
        <f>ЯНВАРЬ!AO105</f>
        <v>0</v>
      </c>
      <c r="D107" s="178">
        <f>C107/C$109</f>
        <v>0</v>
      </c>
      <c r="E107" s="178">
        <f t="shared" si="18"/>
        <v>1</v>
      </c>
      <c r="F107" s="179" t="str">
        <f t="shared" si="17"/>
        <v>C</v>
      </c>
      <c r="G107" s="179" t="e">
        <f>VLOOKUP(B107:B111,I$104:M$108,5,0)</f>
        <v>#DIV/0!</v>
      </c>
      <c r="I107" s="96" t="s">
        <v>227</v>
      </c>
      <c r="J107" s="177">
        <f>ЯНВАРЬ!U105</f>
        <v>0</v>
      </c>
      <c r="K107" s="178" t="e">
        <f>J107/J$109</f>
        <v>#DIV/0!</v>
      </c>
      <c r="L107" s="178" t="e">
        <f t="shared" si="20"/>
        <v>#DIV/0!</v>
      </c>
      <c r="M107" s="179" t="e">
        <f t="shared" si="19"/>
        <v>#DIV/0!</v>
      </c>
    </row>
    <row r="108" spans="2:16">
      <c r="B108" s="96" t="s">
        <v>228</v>
      </c>
      <c r="C108" s="177">
        <f>ЯНВАРЬ!AO106</f>
        <v>0</v>
      </c>
      <c r="D108" s="178">
        <f>C108/C$109</f>
        <v>0</v>
      </c>
      <c r="E108" s="178">
        <f t="shared" si="18"/>
        <v>1</v>
      </c>
      <c r="F108" s="179" t="str">
        <f t="shared" si="17"/>
        <v>C</v>
      </c>
      <c r="G108" s="179" t="e">
        <f>VLOOKUP(B108:B112,I$104:M$108,5,0)</f>
        <v>#DIV/0!</v>
      </c>
      <c r="I108" s="96" t="s">
        <v>228</v>
      </c>
      <c r="J108" s="177">
        <f>ЯНВАРЬ!U106</f>
        <v>0</v>
      </c>
      <c r="K108" s="178" t="e">
        <f>J108/J$109</f>
        <v>#DIV/0!</v>
      </c>
      <c r="L108" s="178" t="e">
        <f t="shared" si="20"/>
        <v>#DIV/0!</v>
      </c>
      <c r="M108" s="179" t="e">
        <f t="shared" si="19"/>
        <v>#DIV/0!</v>
      </c>
    </row>
    <row r="109" spans="2:16">
      <c r="C109" s="184">
        <f>SUM(C104:C108)</f>
        <v>-186.42970398663167</v>
      </c>
      <c r="D109" s="189">
        <f>SUM(D104:D108)</f>
        <v>1</v>
      </c>
      <c r="J109" s="184">
        <f>SUM(J104:J108)</f>
        <v>0</v>
      </c>
      <c r="K109" s="189" t="e">
        <f>SUM(K104:K108)</f>
        <v>#DIV/0!</v>
      </c>
      <c r="L109" s="189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35" priority="10" operator="equal">
      <formula>"C"</formula>
    </cfRule>
    <cfRule type="cellIs" dxfId="34" priority="11" operator="equal">
      <formula>"B"</formula>
    </cfRule>
    <cfRule type="cellIs" dxfId="33" priority="12" operator="equal">
      <formula>"A"</formula>
    </cfRule>
  </conditionalFormatting>
  <conditionalFormatting sqref="M104:M108 K104:K108 D104:D108">
    <cfRule type="cellIs" dxfId="32" priority="7" operator="equal">
      <formula>"C"</formula>
    </cfRule>
    <cfRule type="cellIs" dxfId="31" priority="8" operator="equal">
      <formula>"B"</formula>
    </cfRule>
    <cfRule type="cellIs" dxfId="30" priority="9" operator="equal">
      <formula>"A"</formula>
    </cfRule>
  </conditionalFormatting>
  <conditionalFormatting sqref="G104:G108">
    <cfRule type="cellIs" dxfId="29" priority="4" operator="equal">
      <formula>"C"</formula>
    </cfRule>
    <cfRule type="cellIs" dxfId="28" priority="5" operator="equal">
      <formula>"B"</formula>
    </cfRule>
    <cfRule type="cellIs" dxfId="27" priority="6" operator="equal">
      <formula>"A"</formula>
    </cfRule>
  </conditionalFormatting>
  <conditionalFormatting sqref="F104:F108">
    <cfRule type="cellIs" dxfId="26" priority="1" operator="equal">
      <formula>"C"</formula>
    </cfRule>
    <cfRule type="cellIs" dxfId="25" priority="2" operator="equal">
      <formula>"B"</formula>
    </cfRule>
    <cfRule type="cellIs" dxfId="24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dimension ref="A1:AZ124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6" sqref="H16"/>
    </sheetView>
  </sheetViews>
  <sheetFormatPr defaultColWidth="12.54296875" defaultRowHeight="14.5" outlineLevelRow="1"/>
  <cols>
    <col min="1" max="1" width="9.08984375" style="167" customWidth="1"/>
    <col min="2" max="2" width="12.54296875" style="172"/>
    <col min="3" max="3" width="19.90625" style="167" customWidth="1"/>
    <col min="4" max="4" width="16.6328125" style="167" customWidth="1"/>
    <col min="5" max="5" width="12.36328125" style="279" customWidth="1"/>
    <col min="6" max="6" width="10.90625" style="106" customWidth="1"/>
    <col min="7" max="9" width="12.36328125" style="106" customWidth="1"/>
    <col min="10" max="10" width="11.7265625" style="106" customWidth="1"/>
    <col min="11" max="11" width="13.36328125" style="106" customWidth="1"/>
    <col min="12" max="12" width="14.1796875" style="106" customWidth="1"/>
    <col min="13" max="13" width="14.26953125" style="106" customWidth="1"/>
    <col min="14" max="14" width="13.6328125" style="106" customWidth="1"/>
    <col min="15" max="15" width="15.08984375" style="106" customWidth="1"/>
    <col min="16" max="16" width="14.54296875" style="106" customWidth="1"/>
    <col min="17" max="18" width="11" style="106" customWidth="1"/>
    <col min="19" max="19" width="11.1796875" style="106" customWidth="1"/>
    <col min="20" max="20" width="12.08984375" style="106" customWidth="1"/>
    <col min="21" max="24" width="11.26953125" style="169" customWidth="1"/>
    <col min="25" max="25" width="13.1796875" style="169" customWidth="1"/>
    <col min="26" max="26" width="12.36328125" style="169" customWidth="1"/>
    <col min="27" max="27" width="20.7265625" style="169" customWidth="1"/>
    <col min="28" max="28" width="15.90625" style="169" customWidth="1"/>
    <col min="29" max="29" width="13.36328125" style="170" customWidth="1"/>
    <col min="30" max="30" width="14.453125" style="106" customWidth="1"/>
    <col min="31" max="31" width="17.81640625" style="106" customWidth="1"/>
    <col min="32" max="32" width="14.26953125" style="106" customWidth="1"/>
    <col min="33" max="33" width="19.08984375" style="106" customWidth="1"/>
    <col min="34" max="37" width="10.36328125" style="98" customWidth="1"/>
    <col min="38" max="38" width="18.08984375" style="171" customWidth="1"/>
    <col min="39" max="39" width="18" style="98" customWidth="1"/>
    <col min="40" max="40" width="12.54296875" style="106" customWidth="1"/>
    <col min="41" max="41" width="18.90625" style="106" customWidth="1"/>
    <col min="42" max="42" width="3.08984375" style="106" customWidth="1"/>
    <col min="43" max="43" width="19.90625" style="106" customWidth="1"/>
    <col min="44" max="44" width="14.26953125" style="106" customWidth="1"/>
    <col min="45" max="45" width="9.6328125" style="106" customWidth="1"/>
    <col min="46" max="46" width="11.1796875" style="106" customWidth="1"/>
    <col min="47" max="47" width="9.54296875" style="106" customWidth="1"/>
    <col min="48" max="48" width="10.1796875" style="106" customWidth="1"/>
    <col min="49" max="49" width="11.7265625" style="106" customWidth="1"/>
    <col min="50" max="50" width="12.54296875" style="106"/>
    <col min="51" max="51" width="3.36328125" style="119" customWidth="1"/>
    <col min="52" max="16384" width="12.54296875" style="106"/>
  </cols>
  <sheetData>
    <row r="1" spans="1:52" s="80" customFormat="1" ht="16" customHeight="1">
      <c r="A1" s="78" t="s">
        <v>258</v>
      </c>
      <c r="B1" s="79"/>
      <c r="C1" s="78"/>
      <c r="D1" s="78"/>
      <c r="E1" s="232"/>
      <c r="F1" s="354" t="s">
        <v>42</v>
      </c>
      <c r="G1" s="354"/>
      <c r="H1" s="354"/>
      <c r="I1" s="355" t="s">
        <v>118</v>
      </c>
      <c r="J1" s="356"/>
      <c r="M1" s="233" t="s">
        <v>43</v>
      </c>
      <c r="N1" s="354" t="s">
        <v>119</v>
      </c>
      <c r="O1" s="354"/>
      <c r="P1" s="354"/>
      <c r="R1" s="234"/>
      <c r="S1" s="357"/>
      <c r="T1" s="357"/>
      <c r="U1" s="234"/>
      <c r="V1" s="358"/>
      <c r="W1" s="359"/>
      <c r="X1" s="234"/>
      <c r="Y1" s="357"/>
      <c r="Z1" s="357"/>
      <c r="AA1" s="234"/>
      <c r="AB1" s="234"/>
      <c r="AC1" s="234"/>
      <c r="AD1" s="234"/>
      <c r="AE1" s="235"/>
      <c r="AF1" s="234"/>
      <c r="AG1" s="235"/>
      <c r="AH1" s="346"/>
      <c r="AI1" s="346"/>
      <c r="AJ1" s="293" t="s">
        <v>251</v>
      </c>
      <c r="AK1" s="231"/>
      <c r="AL1" s="236" t="s">
        <v>44</v>
      </c>
      <c r="AM1" s="235"/>
      <c r="AQ1" s="347" t="s">
        <v>45</v>
      </c>
      <c r="AR1" s="348"/>
      <c r="AS1" s="348"/>
      <c r="AT1" s="348"/>
      <c r="AU1" s="348"/>
      <c r="AV1" s="348"/>
      <c r="AW1" s="348"/>
      <c r="AX1" s="349"/>
      <c r="AY1" s="237"/>
    </row>
    <row r="2" spans="1:52" s="94" customFormat="1" ht="50.5" customHeight="1">
      <c r="A2" s="81" t="s">
        <v>46</v>
      </c>
      <c r="B2" s="82" t="s">
        <v>47</v>
      </c>
      <c r="C2" s="81" t="s">
        <v>48</v>
      </c>
      <c r="D2" s="81" t="s">
        <v>49</v>
      </c>
      <c r="E2" s="238" t="s">
        <v>50</v>
      </c>
      <c r="F2" s="83" t="s">
        <v>51</v>
      </c>
      <c r="G2" s="83" t="s">
        <v>52</v>
      </c>
      <c r="H2" s="83" t="s">
        <v>53</v>
      </c>
      <c r="I2" s="239" t="s">
        <v>120</v>
      </c>
      <c r="J2" s="239" t="s">
        <v>121</v>
      </c>
      <c r="K2" s="81" t="s">
        <v>54</v>
      </c>
      <c r="L2" s="81" t="s">
        <v>55</v>
      </c>
      <c r="M2" s="84" t="s">
        <v>56</v>
      </c>
      <c r="N2" s="84" t="s">
        <v>243</v>
      </c>
      <c r="O2" s="84" t="s">
        <v>57</v>
      </c>
      <c r="P2" s="84" t="s">
        <v>58</v>
      </c>
      <c r="Q2" s="85" t="s">
        <v>59</v>
      </c>
      <c r="R2" s="85" t="s">
        <v>60</v>
      </c>
      <c r="S2" s="86" t="s">
        <v>61</v>
      </c>
      <c r="T2" s="86" t="s">
        <v>62</v>
      </c>
      <c r="U2" s="81" t="s">
        <v>63</v>
      </c>
      <c r="V2" s="83" t="s">
        <v>64</v>
      </c>
      <c r="W2" s="83" t="s">
        <v>65</v>
      </c>
      <c r="X2" s="87" t="s">
        <v>66</v>
      </c>
      <c r="Y2" s="86" t="s">
        <v>67</v>
      </c>
      <c r="Z2" s="86" t="s">
        <v>68</v>
      </c>
      <c r="AA2" s="88" t="s">
        <v>69</v>
      </c>
      <c r="AB2" s="89" t="s">
        <v>70</v>
      </c>
      <c r="AC2" s="88" t="s">
        <v>71</v>
      </c>
      <c r="AD2" s="88" t="s">
        <v>17</v>
      </c>
      <c r="AE2" s="90" t="s">
        <v>72</v>
      </c>
      <c r="AF2" s="91" t="s">
        <v>73</v>
      </c>
      <c r="AG2" s="86" t="s">
        <v>7</v>
      </c>
      <c r="AH2" s="85" t="s">
        <v>24</v>
      </c>
      <c r="AI2" s="85" t="s">
        <v>25</v>
      </c>
      <c r="AJ2" s="292" t="s">
        <v>122</v>
      </c>
      <c r="AK2" s="85" t="s">
        <v>26</v>
      </c>
      <c r="AL2" s="86" t="s">
        <v>8</v>
      </c>
      <c r="AM2" s="86" t="s">
        <v>74</v>
      </c>
      <c r="AN2" s="240" t="s">
        <v>123</v>
      </c>
      <c r="AO2" s="81" t="s">
        <v>10</v>
      </c>
      <c r="AP2" s="92"/>
      <c r="AQ2" s="91" t="s">
        <v>75</v>
      </c>
      <c r="AR2" s="91" t="s">
        <v>76</v>
      </c>
      <c r="AS2" s="91" t="s">
        <v>77</v>
      </c>
      <c r="AT2" s="91" t="s">
        <v>78</v>
      </c>
      <c r="AU2" s="91" t="s">
        <v>79</v>
      </c>
      <c r="AV2" s="241" t="s">
        <v>80</v>
      </c>
      <c r="AW2" s="241" t="s">
        <v>81</v>
      </c>
      <c r="AX2" s="241" t="s">
        <v>82</v>
      </c>
      <c r="AY2" s="93"/>
      <c r="AZ2" s="81" t="s">
        <v>83</v>
      </c>
    </row>
    <row r="3" spans="1:52" outlineLevel="1">
      <c r="A3" s="95" t="s">
        <v>124</v>
      </c>
      <c r="B3" s="96">
        <v>170499929</v>
      </c>
      <c r="C3" s="96" t="s">
        <v>125</v>
      </c>
      <c r="D3" s="97" t="s">
        <v>84</v>
      </c>
      <c r="E3" s="242">
        <f>SUM(F3:J3)</f>
        <v>0</v>
      </c>
      <c r="F3" s="99"/>
      <c r="G3" s="99"/>
      <c r="H3" s="99"/>
      <c r="I3" s="99"/>
      <c r="J3" s="99"/>
      <c r="K3" s="98">
        <v>142.97999999999999</v>
      </c>
      <c r="L3" s="98">
        <f t="shared" ref="L3" si="0">E3*K3</f>
        <v>0</v>
      </c>
      <c r="M3" s="95"/>
      <c r="N3" s="95"/>
      <c r="O3" s="95"/>
      <c r="P3" s="95"/>
      <c r="Q3" s="243">
        <f>N3/32</f>
        <v>0</v>
      </c>
      <c r="R3" s="98">
        <f>U3/32</f>
        <v>0</v>
      </c>
      <c r="S3" s="99"/>
      <c r="T3" s="99"/>
      <c r="U3" s="98">
        <f t="shared" ref="U3:U66" si="1">S3+T3</f>
        <v>0</v>
      </c>
      <c r="V3" s="99"/>
      <c r="W3" s="99"/>
      <c r="X3" s="98">
        <f t="shared" ref="X3:X66" si="2">V3+W3</f>
        <v>0</v>
      </c>
      <c r="Y3" s="99"/>
      <c r="Z3" s="99"/>
      <c r="AA3" s="98">
        <f t="shared" ref="AA3:AA66" si="3">Y3+Z3</f>
        <v>0</v>
      </c>
      <c r="AB3" s="98">
        <f>N3*O3*P3/100</f>
        <v>0</v>
      </c>
      <c r="AC3" s="244" t="e">
        <f t="shared" ref="AC3:AC66" si="4">AA3/$AA$121</f>
        <v>#DIV/0!</v>
      </c>
      <c r="AD3" s="98">
        <f t="shared" ref="AD3:AD66" si="5">U3*K3</f>
        <v>0</v>
      </c>
      <c r="AE3" s="99"/>
      <c r="AF3" s="244">
        <f t="shared" ref="AF3:AF66" si="6">IF(AA3=0,0,AE3/AA3)</f>
        <v>0</v>
      </c>
      <c r="AG3" s="99"/>
      <c r="AH3" s="99"/>
      <c r="AI3" s="99"/>
      <c r="AJ3" s="99"/>
      <c r="AK3" s="99"/>
      <c r="AL3" s="128">
        <f t="shared" ref="AL3:AL66" si="7">IFERROR($AL$121*H3/$H$121,0)</f>
        <v>0</v>
      </c>
      <c r="AM3" s="99"/>
      <c r="AN3" s="100">
        <f>X3*5.71%</f>
        <v>0</v>
      </c>
      <c r="AO3" s="101">
        <f>AA3-AD3-AE3-AG3-AH3-AI3-AK3-AL3-AN3-AM3</f>
        <v>0</v>
      </c>
      <c r="AP3" s="102"/>
      <c r="AQ3" s="103">
        <f t="shared" ref="AQ3:AQ97" si="8">IF(U3=0,0,AA3/U3)</f>
        <v>0</v>
      </c>
      <c r="AR3" s="104">
        <f t="shared" ref="AR3:AR19" si="9">K3</f>
        <v>142.97999999999999</v>
      </c>
      <c r="AS3" s="104">
        <f t="shared" ref="AS3:AS97" si="10">IF(U3=0,0,AE3/U3)</f>
        <v>0</v>
      </c>
      <c r="AT3" s="104">
        <f t="shared" ref="AT3:AT97" si="11">IF(S3=0,AG3/1,AG3/S3)</f>
        <v>0</v>
      </c>
      <c r="AU3" s="104">
        <f>IF(S3=0,0,(AH3+AI3+AJ3)/S3)</f>
        <v>0</v>
      </c>
      <c r="AV3" s="104">
        <f>_xlfn.IFS(U3=0,AO3,U3&lt;0,AO3/-U3,U3&gt;0,AO3/U3)</f>
        <v>0</v>
      </c>
      <c r="AW3" s="244">
        <f t="shared" ref="AW3" si="12">IF(AQ3=0,0,AV3/AQ3)</f>
        <v>0</v>
      </c>
      <c r="AX3" s="244">
        <f t="shared" ref="AX3" si="13">IF(AR3=0,0,AV3/AR3)</f>
        <v>0</v>
      </c>
      <c r="AY3" s="105"/>
      <c r="AZ3" s="100">
        <f t="shared" ref="AZ3:AZ97" si="14">AV3*E3</f>
        <v>0</v>
      </c>
    </row>
    <row r="4" spans="1:52" outlineLevel="1">
      <c r="A4" s="95" t="s">
        <v>124</v>
      </c>
      <c r="B4" s="96">
        <v>170500631</v>
      </c>
      <c r="C4" s="96" t="s">
        <v>126</v>
      </c>
      <c r="D4" s="97" t="s">
        <v>84</v>
      </c>
      <c r="E4" s="242">
        <f>SUM(F4:J4)</f>
        <v>0</v>
      </c>
      <c r="F4" s="99"/>
      <c r="G4" s="99"/>
      <c r="H4" s="99"/>
      <c r="I4" s="99"/>
      <c r="J4" s="99"/>
      <c r="K4" s="98">
        <v>123.09</v>
      </c>
      <c r="L4" s="98">
        <f>E4*K4</f>
        <v>0</v>
      </c>
      <c r="M4" s="95"/>
      <c r="N4" s="95"/>
      <c r="O4" s="95"/>
      <c r="P4" s="95"/>
      <c r="Q4" s="243">
        <f t="shared" ref="Q4:Q67" si="15">N4/32</f>
        <v>0</v>
      </c>
      <c r="R4" s="98">
        <f t="shared" ref="R4:R67" si="16">U4/32</f>
        <v>0</v>
      </c>
      <c r="S4" s="99"/>
      <c r="T4" s="99"/>
      <c r="U4" s="98">
        <f t="shared" si="1"/>
        <v>0</v>
      </c>
      <c r="V4" s="99"/>
      <c r="W4" s="99"/>
      <c r="X4" s="98">
        <f t="shared" si="2"/>
        <v>0</v>
      </c>
      <c r="Y4" s="99"/>
      <c r="Z4" s="99"/>
      <c r="AA4" s="98">
        <f t="shared" si="3"/>
        <v>0</v>
      </c>
      <c r="AB4" s="98">
        <f t="shared" ref="AB4:AB67" si="17">N4*O4*P4/100</f>
        <v>0</v>
      </c>
      <c r="AC4" s="244" t="e">
        <f t="shared" si="4"/>
        <v>#DIV/0!</v>
      </c>
      <c r="AD4" s="98">
        <f t="shared" si="5"/>
        <v>0</v>
      </c>
      <c r="AE4" s="99"/>
      <c r="AF4" s="244">
        <f t="shared" si="6"/>
        <v>0</v>
      </c>
      <c r="AG4" s="99"/>
      <c r="AH4" s="99"/>
      <c r="AI4" s="99"/>
      <c r="AJ4" s="99"/>
      <c r="AK4" s="99"/>
      <c r="AL4" s="128">
        <f t="shared" si="7"/>
        <v>0</v>
      </c>
      <c r="AM4" s="99"/>
      <c r="AN4" s="100">
        <f t="shared" ref="AN4:AN67" si="18">X4*5.71%</f>
        <v>0</v>
      </c>
      <c r="AO4" s="101">
        <f>AA4-AD4-AE4-AG4-AH4-AI4-AK4-AL4-AN4-AM4</f>
        <v>0</v>
      </c>
      <c r="AP4" s="102"/>
      <c r="AQ4" s="103">
        <f t="shared" si="8"/>
        <v>0</v>
      </c>
      <c r="AR4" s="104">
        <f t="shared" si="9"/>
        <v>123.09</v>
      </c>
      <c r="AS4" s="104">
        <f t="shared" si="10"/>
        <v>0</v>
      </c>
      <c r="AT4" s="104">
        <f t="shared" si="11"/>
        <v>0</v>
      </c>
      <c r="AU4" s="104">
        <f t="shared" ref="AU4:AU70" si="19">IF(S4=0,0,(AH4+AI4+AJ4)/S4)</f>
        <v>0</v>
      </c>
      <c r="AV4" s="104">
        <f t="array" ref="AV4">_xlfn.IFS(U4=0,AO4,U4&lt;0,AO4/-U4,U4&gt;0,AO4/U4)</f>
        <v>0</v>
      </c>
      <c r="AW4" s="244">
        <f>IF(AQ4=0,0,AV4/AQ4)</f>
        <v>0</v>
      </c>
      <c r="AX4" s="244">
        <f>IF(AR4=0,0,AV4/AR4)</f>
        <v>0</v>
      </c>
      <c r="AY4" s="105"/>
      <c r="AZ4" s="100">
        <f t="shared" si="14"/>
        <v>0</v>
      </c>
    </row>
    <row r="5" spans="1:52" outlineLevel="1">
      <c r="A5" s="95" t="s">
        <v>124</v>
      </c>
      <c r="B5" s="96">
        <v>170500399</v>
      </c>
      <c r="C5" s="96" t="s">
        <v>127</v>
      </c>
      <c r="D5" s="97" t="s">
        <v>84</v>
      </c>
      <c r="E5" s="242">
        <f>SUM(F5:J5)</f>
        <v>0</v>
      </c>
      <c r="F5" s="99"/>
      <c r="G5" s="99"/>
      <c r="H5" s="99"/>
      <c r="I5" s="99"/>
      <c r="J5" s="99"/>
      <c r="K5" s="98">
        <v>123.09</v>
      </c>
      <c r="L5" s="98">
        <f>E5*K5</f>
        <v>0</v>
      </c>
      <c r="M5" s="95"/>
      <c r="N5" s="95"/>
      <c r="O5" s="95"/>
      <c r="P5" s="95"/>
      <c r="Q5" s="243">
        <f t="shared" si="15"/>
        <v>0</v>
      </c>
      <c r="R5" s="98">
        <f t="shared" si="16"/>
        <v>0</v>
      </c>
      <c r="S5" s="99"/>
      <c r="T5" s="99"/>
      <c r="U5" s="98">
        <f t="shared" si="1"/>
        <v>0</v>
      </c>
      <c r="V5" s="99"/>
      <c r="W5" s="99"/>
      <c r="X5" s="98">
        <f t="shared" si="2"/>
        <v>0</v>
      </c>
      <c r="Y5" s="99"/>
      <c r="Z5" s="99"/>
      <c r="AA5" s="98">
        <f t="shared" si="3"/>
        <v>0</v>
      </c>
      <c r="AB5" s="98">
        <f t="shared" si="17"/>
        <v>0</v>
      </c>
      <c r="AC5" s="244" t="e">
        <f t="shared" si="4"/>
        <v>#DIV/0!</v>
      </c>
      <c r="AD5" s="98">
        <f t="shared" si="5"/>
        <v>0</v>
      </c>
      <c r="AE5" s="99"/>
      <c r="AF5" s="244">
        <f t="shared" si="6"/>
        <v>0</v>
      </c>
      <c r="AG5" s="99"/>
      <c r="AH5" s="99"/>
      <c r="AI5" s="99"/>
      <c r="AJ5" s="99"/>
      <c r="AK5" s="99"/>
      <c r="AL5" s="128">
        <f t="shared" si="7"/>
        <v>0</v>
      </c>
      <c r="AM5" s="99"/>
      <c r="AN5" s="100">
        <f t="shared" si="18"/>
        <v>0</v>
      </c>
      <c r="AO5" s="101">
        <f t="shared" ref="AO5:AO68" si="20">AA5-AD5-AE5-AG5-AH5-AI5-AK5-AL5-AN5-AM5</f>
        <v>0</v>
      </c>
      <c r="AP5" s="102"/>
      <c r="AQ5" s="103">
        <f t="shared" si="8"/>
        <v>0</v>
      </c>
      <c r="AR5" s="104">
        <f t="shared" si="9"/>
        <v>123.09</v>
      </c>
      <c r="AS5" s="104">
        <f t="shared" si="10"/>
        <v>0</v>
      </c>
      <c r="AT5" s="104">
        <f t="shared" si="11"/>
        <v>0</v>
      </c>
      <c r="AU5" s="104">
        <f t="shared" si="19"/>
        <v>0</v>
      </c>
      <c r="AV5" s="104">
        <f t="array" ref="AV5">_xlfn.IFS(U5=0,AO5,U5&lt;0,AO5/-U5,U5&gt;0,AO5/U5)</f>
        <v>0</v>
      </c>
      <c r="AW5" s="244">
        <f>IF(AQ5=0,0,AV5/AQ5)</f>
        <v>0</v>
      </c>
      <c r="AX5" s="244">
        <f>IF(AR5=0,0,AV5/AR5)</f>
        <v>0</v>
      </c>
      <c r="AY5" s="105"/>
      <c r="AZ5" s="100">
        <f t="shared" si="14"/>
        <v>0</v>
      </c>
    </row>
    <row r="6" spans="1:52" outlineLevel="1">
      <c r="A6" s="95" t="s">
        <v>124</v>
      </c>
      <c r="B6" s="96">
        <v>170500725</v>
      </c>
      <c r="C6" s="96" t="s">
        <v>128</v>
      </c>
      <c r="D6" s="97" t="s">
        <v>84</v>
      </c>
      <c r="E6" s="242">
        <f t="shared" ref="E6" si="21">SUM(F6:J6)</f>
        <v>0</v>
      </c>
      <c r="F6" s="99"/>
      <c r="G6" s="99"/>
      <c r="H6" s="99"/>
      <c r="I6" s="99"/>
      <c r="J6" s="99"/>
      <c r="K6" s="98">
        <v>123.09</v>
      </c>
      <c r="L6" s="98">
        <f t="shared" ref="L6" si="22">E6*K6</f>
        <v>0</v>
      </c>
      <c r="M6" s="95"/>
      <c r="N6" s="95"/>
      <c r="O6" s="95"/>
      <c r="P6" s="95"/>
      <c r="Q6" s="243">
        <f t="shared" si="15"/>
        <v>0</v>
      </c>
      <c r="R6" s="98">
        <f t="shared" si="16"/>
        <v>0</v>
      </c>
      <c r="S6" s="99"/>
      <c r="T6" s="99"/>
      <c r="U6" s="98">
        <f t="shared" si="1"/>
        <v>0</v>
      </c>
      <c r="V6" s="99"/>
      <c r="W6" s="99"/>
      <c r="X6" s="98">
        <f t="shared" si="2"/>
        <v>0</v>
      </c>
      <c r="Y6" s="99"/>
      <c r="Z6" s="99"/>
      <c r="AA6" s="98">
        <f t="shared" si="3"/>
        <v>0</v>
      </c>
      <c r="AB6" s="98">
        <f t="shared" si="17"/>
        <v>0</v>
      </c>
      <c r="AC6" s="244" t="e">
        <f t="shared" si="4"/>
        <v>#DIV/0!</v>
      </c>
      <c r="AD6" s="98">
        <f t="shared" si="5"/>
        <v>0</v>
      </c>
      <c r="AE6" s="99"/>
      <c r="AF6" s="244">
        <f t="shared" si="6"/>
        <v>0</v>
      </c>
      <c r="AG6" s="99"/>
      <c r="AH6" s="99"/>
      <c r="AI6" s="99"/>
      <c r="AJ6" s="99"/>
      <c r="AK6" s="99"/>
      <c r="AL6" s="128">
        <f t="shared" si="7"/>
        <v>0</v>
      </c>
      <c r="AM6" s="99"/>
      <c r="AN6" s="100">
        <f t="shared" si="18"/>
        <v>0</v>
      </c>
      <c r="AO6" s="101">
        <f t="shared" si="20"/>
        <v>0</v>
      </c>
      <c r="AP6" s="102"/>
      <c r="AQ6" s="103">
        <f t="shared" si="8"/>
        <v>0</v>
      </c>
      <c r="AR6" s="104">
        <f t="shared" si="9"/>
        <v>123.09</v>
      </c>
      <c r="AS6" s="104">
        <f t="shared" si="10"/>
        <v>0</v>
      </c>
      <c r="AT6" s="104">
        <f t="shared" si="11"/>
        <v>0</v>
      </c>
      <c r="AU6" s="104">
        <f t="shared" si="19"/>
        <v>0</v>
      </c>
      <c r="AV6" s="104">
        <f t="array" ref="AV6">_xlfn.IFS(U6=0,AO6,U6&lt;0,AO6/-U6,U6&gt;0,AO6/U6)</f>
        <v>0</v>
      </c>
      <c r="AW6" s="244">
        <f t="shared" ref="AW6" si="23">IF(AQ6=0,0,AV6/AQ6)</f>
        <v>0</v>
      </c>
      <c r="AX6" s="244">
        <f t="shared" ref="AX6" si="24">IF(AR6=0,0,AV6/AR6)</f>
        <v>0</v>
      </c>
      <c r="AY6" s="105"/>
      <c r="AZ6" s="100">
        <f t="shared" si="14"/>
        <v>0</v>
      </c>
    </row>
    <row r="7" spans="1:52" outlineLevel="1">
      <c r="A7" s="95" t="s">
        <v>124</v>
      </c>
      <c r="B7" s="96">
        <v>246275459</v>
      </c>
      <c r="C7" s="96" t="s">
        <v>129</v>
      </c>
      <c r="D7" s="97" t="s">
        <v>84</v>
      </c>
      <c r="E7" s="242">
        <f>SUM(F7:J7)</f>
        <v>0</v>
      </c>
      <c r="F7" s="99"/>
      <c r="G7" s="99"/>
      <c r="H7" s="99"/>
      <c r="I7" s="99"/>
      <c r="J7" s="99"/>
      <c r="K7" s="98">
        <v>117.24</v>
      </c>
      <c r="L7" s="98">
        <f>E7*K7</f>
        <v>0</v>
      </c>
      <c r="M7" s="95"/>
      <c r="N7" s="95"/>
      <c r="O7" s="95"/>
      <c r="P7" s="95"/>
      <c r="Q7" s="243">
        <f t="shared" si="15"/>
        <v>0</v>
      </c>
      <c r="R7" s="98">
        <f t="shared" si="16"/>
        <v>0</v>
      </c>
      <c r="S7" s="99"/>
      <c r="T7" s="99"/>
      <c r="U7" s="98">
        <f t="shared" si="1"/>
        <v>0</v>
      </c>
      <c r="V7" s="99"/>
      <c r="W7" s="99"/>
      <c r="X7" s="98">
        <f t="shared" si="2"/>
        <v>0</v>
      </c>
      <c r="Y7" s="99"/>
      <c r="Z7" s="99"/>
      <c r="AA7" s="98">
        <f t="shared" si="3"/>
        <v>0</v>
      </c>
      <c r="AB7" s="98">
        <f t="shared" si="17"/>
        <v>0</v>
      </c>
      <c r="AC7" s="244" t="e">
        <f t="shared" si="4"/>
        <v>#DIV/0!</v>
      </c>
      <c r="AD7" s="98">
        <f t="shared" si="5"/>
        <v>0</v>
      </c>
      <c r="AE7" s="99"/>
      <c r="AF7" s="244">
        <f t="shared" si="6"/>
        <v>0</v>
      </c>
      <c r="AG7" s="99"/>
      <c r="AH7" s="99"/>
      <c r="AI7" s="99"/>
      <c r="AJ7" s="99"/>
      <c r="AK7" s="99"/>
      <c r="AL7" s="128">
        <f t="shared" si="7"/>
        <v>0</v>
      </c>
      <c r="AM7" s="99"/>
      <c r="AN7" s="100">
        <f t="shared" si="18"/>
        <v>0</v>
      </c>
      <c r="AO7" s="101">
        <f t="shared" si="20"/>
        <v>0</v>
      </c>
      <c r="AP7" s="102"/>
      <c r="AQ7" s="103">
        <f t="shared" si="8"/>
        <v>0</v>
      </c>
      <c r="AR7" s="104">
        <f t="shared" si="9"/>
        <v>117.24</v>
      </c>
      <c r="AS7" s="104">
        <f t="shared" si="10"/>
        <v>0</v>
      </c>
      <c r="AT7" s="104">
        <f t="shared" si="11"/>
        <v>0</v>
      </c>
      <c r="AU7" s="104">
        <f t="shared" si="19"/>
        <v>0</v>
      </c>
      <c r="AV7" s="104">
        <f t="array" ref="AV7">_xlfn.IFS(U7=0,AO7,U7&lt;0,AO7/-U7,U7&gt;0,AO7/U7)</f>
        <v>0</v>
      </c>
      <c r="AW7" s="244">
        <f>IF(AQ7=0,0,AV7/AQ7)</f>
        <v>0</v>
      </c>
      <c r="AX7" s="244">
        <f>IF(AR7=0,0,AV7/AR7)</f>
        <v>0</v>
      </c>
      <c r="AY7" s="105"/>
      <c r="AZ7" s="100">
        <f t="shared" si="14"/>
        <v>0</v>
      </c>
    </row>
    <row r="8" spans="1:52" outlineLevel="1">
      <c r="A8" s="95" t="s">
        <v>124</v>
      </c>
      <c r="B8" s="96">
        <v>159900625</v>
      </c>
      <c r="C8" s="96" t="s">
        <v>130</v>
      </c>
      <c r="D8" s="97" t="s">
        <v>84</v>
      </c>
      <c r="E8" s="242">
        <f>SUM(F8:J8)</f>
        <v>0</v>
      </c>
      <c r="F8" s="99"/>
      <c r="G8" s="99"/>
      <c r="H8" s="99"/>
      <c r="I8" s="99"/>
      <c r="J8" s="99"/>
      <c r="K8" s="98">
        <v>169.89</v>
      </c>
      <c r="L8" s="98">
        <f>E8*K8</f>
        <v>0</v>
      </c>
      <c r="M8" s="95"/>
      <c r="N8" s="95"/>
      <c r="O8" s="95"/>
      <c r="P8" s="95"/>
      <c r="Q8" s="243">
        <f t="shared" si="15"/>
        <v>0</v>
      </c>
      <c r="R8" s="98">
        <f t="shared" si="16"/>
        <v>0</v>
      </c>
      <c r="S8" s="99"/>
      <c r="T8" s="99"/>
      <c r="U8" s="98">
        <f t="shared" si="1"/>
        <v>0</v>
      </c>
      <c r="V8" s="99"/>
      <c r="W8" s="99"/>
      <c r="X8" s="98">
        <f t="shared" si="2"/>
        <v>0</v>
      </c>
      <c r="Y8" s="99"/>
      <c r="Z8" s="99"/>
      <c r="AA8" s="98">
        <f t="shared" si="3"/>
        <v>0</v>
      </c>
      <c r="AB8" s="98">
        <f t="shared" si="17"/>
        <v>0</v>
      </c>
      <c r="AC8" s="244" t="e">
        <f t="shared" si="4"/>
        <v>#DIV/0!</v>
      </c>
      <c r="AD8" s="98">
        <f t="shared" si="5"/>
        <v>0</v>
      </c>
      <c r="AE8" s="99"/>
      <c r="AF8" s="244">
        <f t="shared" si="6"/>
        <v>0</v>
      </c>
      <c r="AG8" s="99"/>
      <c r="AH8" s="99"/>
      <c r="AI8" s="99"/>
      <c r="AJ8" s="99"/>
      <c r="AK8" s="99"/>
      <c r="AL8" s="128">
        <f t="shared" si="7"/>
        <v>0</v>
      </c>
      <c r="AM8" s="99"/>
      <c r="AN8" s="100">
        <f t="shared" si="18"/>
        <v>0</v>
      </c>
      <c r="AO8" s="101">
        <f t="shared" si="20"/>
        <v>0</v>
      </c>
      <c r="AP8" s="102"/>
      <c r="AQ8" s="103">
        <f t="shared" si="8"/>
        <v>0</v>
      </c>
      <c r="AR8" s="104">
        <f t="shared" si="9"/>
        <v>169.89</v>
      </c>
      <c r="AS8" s="104">
        <f t="shared" si="10"/>
        <v>0</v>
      </c>
      <c r="AT8" s="104">
        <f t="shared" si="11"/>
        <v>0</v>
      </c>
      <c r="AU8" s="104">
        <f t="shared" si="19"/>
        <v>0</v>
      </c>
      <c r="AV8" s="104">
        <f t="array" ref="AV8">_xlfn.IFS(U8=0,AO8,U8&lt;0,AO8/-U8,U8&gt;0,AO8/U8)</f>
        <v>0</v>
      </c>
      <c r="AW8" s="244">
        <f>IF(AQ8=0,0,AV8/AQ8)</f>
        <v>0</v>
      </c>
      <c r="AX8" s="244">
        <f>IF(AR8=0,0,AV8/AR8)</f>
        <v>0</v>
      </c>
      <c r="AY8" s="105"/>
      <c r="AZ8" s="100">
        <f t="shared" si="14"/>
        <v>0</v>
      </c>
    </row>
    <row r="9" spans="1:52" outlineLevel="1">
      <c r="A9" s="95" t="s">
        <v>124</v>
      </c>
      <c r="B9" s="96">
        <v>251467353</v>
      </c>
      <c r="C9" s="96" t="s">
        <v>131</v>
      </c>
      <c r="D9" s="97" t="s">
        <v>84</v>
      </c>
      <c r="E9" s="242">
        <f>SUM(F9:J9)</f>
        <v>0</v>
      </c>
      <c r="F9" s="99"/>
      <c r="G9" s="99"/>
      <c r="H9" s="99"/>
      <c r="I9" s="99"/>
      <c r="J9" s="99"/>
      <c r="K9" s="98">
        <v>123.09</v>
      </c>
      <c r="L9" s="98">
        <f>E9*K9</f>
        <v>0</v>
      </c>
      <c r="M9" s="95"/>
      <c r="N9" s="95"/>
      <c r="O9" s="95"/>
      <c r="P9" s="95"/>
      <c r="Q9" s="243">
        <f t="shared" si="15"/>
        <v>0</v>
      </c>
      <c r="R9" s="98">
        <f t="shared" si="16"/>
        <v>0</v>
      </c>
      <c r="S9" s="99"/>
      <c r="T9" s="99"/>
      <c r="U9" s="98">
        <f t="shared" si="1"/>
        <v>0</v>
      </c>
      <c r="V9" s="99"/>
      <c r="W9" s="99"/>
      <c r="X9" s="98">
        <f t="shared" si="2"/>
        <v>0</v>
      </c>
      <c r="Y9" s="99"/>
      <c r="Z9" s="99"/>
      <c r="AA9" s="98">
        <f t="shared" si="3"/>
        <v>0</v>
      </c>
      <c r="AB9" s="98">
        <f t="shared" si="17"/>
        <v>0</v>
      </c>
      <c r="AC9" s="244" t="e">
        <f t="shared" si="4"/>
        <v>#DIV/0!</v>
      </c>
      <c r="AD9" s="98">
        <f t="shared" si="5"/>
        <v>0</v>
      </c>
      <c r="AE9" s="99"/>
      <c r="AF9" s="244">
        <f t="shared" si="6"/>
        <v>0</v>
      </c>
      <c r="AG9" s="99"/>
      <c r="AH9" s="99"/>
      <c r="AI9" s="99"/>
      <c r="AJ9" s="99"/>
      <c r="AK9" s="99"/>
      <c r="AL9" s="128">
        <f t="shared" si="7"/>
        <v>0</v>
      </c>
      <c r="AM9" s="99"/>
      <c r="AN9" s="100">
        <f t="shared" si="18"/>
        <v>0</v>
      </c>
      <c r="AO9" s="101">
        <f t="shared" si="20"/>
        <v>0</v>
      </c>
      <c r="AP9" s="102"/>
      <c r="AQ9" s="103">
        <f t="shared" si="8"/>
        <v>0</v>
      </c>
      <c r="AR9" s="104">
        <f t="shared" si="9"/>
        <v>123.09</v>
      </c>
      <c r="AS9" s="104">
        <f t="shared" si="10"/>
        <v>0</v>
      </c>
      <c r="AT9" s="104">
        <f t="shared" si="11"/>
        <v>0</v>
      </c>
      <c r="AU9" s="104">
        <f t="shared" si="19"/>
        <v>0</v>
      </c>
      <c r="AV9" s="104">
        <f t="array" ref="AV9">_xlfn.IFS(U9=0,AO9,U9&lt;0,AO9/-U9,U9&gt;0,AO9/U9)</f>
        <v>0</v>
      </c>
      <c r="AW9" s="244">
        <f>IF(AQ9=0,0,AV9/AQ9)</f>
        <v>0</v>
      </c>
      <c r="AX9" s="244">
        <f>IF(AR9=0,0,AV9/AR9)</f>
        <v>0</v>
      </c>
      <c r="AY9" s="105"/>
      <c r="AZ9" s="100">
        <f t="shared" si="14"/>
        <v>0</v>
      </c>
    </row>
    <row r="10" spans="1:52" ht="13.75" customHeight="1" outlineLevel="1">
      <c r="A10" s="95" t="s">
        <v>124</v>
      </c>
      <c r="B10" s="96">
        <v>251467354</v>
      </c>
      <c r="C10" s="96" t="s">
        <v>132</v>
      </c>
      <c r="D10" s="97" t="s">
        <v>84</v>
      </c>
      <c r="E10" s="242">
        <f>SUM(F10:J10)</f>
        <v>0</v>
      </c>
      <c r="F10" s="99"/>
      <c r="G10" s="99"/>
      <c r="H10" s="99"/>
      <c r="I10" s="99"/>
      <c r="J10" s="99"/>
      <c r="K10" s="98">
        <v>123.09</v>
      </c>
      <c r="L10" s="98">
        <f>E10*K10</f>
        <v>0</v>
      </c>
      <c r="M10" s="95"/>
      <c r="N10" s="95"/>
      <c r="O10" s="95"/>
      <c r="P10" s="95"/>
      <c r="Q10" s="243">
        <f t="shared" si="15"/>
        <v>0</v>
      </c>
      <c r="R10" s="98">
        <f t="shared" si="16"/>
        <v>0</v>
      </c>
      <c r="S10" s="99"/>
      <c r="T10" s="99"/>
      <c r="U10" s="98">
        <f t="shared" si="1"/>
        <v>0</v>
      </c>
      <c r="V10" s="99"/>
      <c r="W10" s="99"/>
      <c r="X10" s="98">
        <f t="shared" si="2"/>
        <v>0</v>
      </c>
      <c r="Y10" s="99"/>
      <c r="Z10" s="99"/>
      <c r="AA10" s="98">
        <f t="shared" si="3"/>
        <v>0</v>
      </c>
      <c r="AB10" s="98">
        <f t="shared" si="17"/>
        <v>0</v>
      </c>
      <c r="AC10" s="244" t="e">
        <f t="shared" si="4"/>
        <v>#DIV/0!</v>
      </c>
      <c r="AD10" s="98">
        <f t="shared" si="5"/>
        <v>0</v>
      </c>
      <c r="AE10" s="99"/>
      <c r="AF10" s="244">
        <f t="shared" si="6"/>
        <v>0</v>
      </c>
      <c r="AG10" s="99"/>
      <c r="AH10" s="99"/>
      <c r="AI10" s="99"/>
      <c r="AJ10" s="99"/>
      <c r="AK10" s="99"/>
      <c r="AL10" s="128">
        <f t="shared" si="7"/>
        <v>0</v>
      </c>
      <c r="AM10" s="99"/>
      <c r="AN10" s="100">
        <f t="shared" si="18"/>
        <v>0</v>
      </c>
      <c r="AO10" s="101">
        <f t="shared" si="20"/>
        <v>0</v>
      </c>
      <c r="AP10" s="102"/>
      <c r="AQ10" s="103">
        <f t="shared" si="8"/>
        <v>0</v>
      </c>
      <c r="AR10" s="104">
        <f t="shared" si="9"/>
        <v>123.09</v>
      </c>
      <c r="AS10" s="104">
        <f t="shared" si="10"/>
        <v>0</v>
      </c>
      <c r="AT10" s="104">
        <f t="shared" si="11"/>
        <v>0</v>
      </c>
      <c r="AU10" s="104">
        <f t="shared" si="19"/>
        <v>0</v>
      </c>
      <c r="AV10" s="104">
        <f t="array" ref="AV10">_xlfn.IFS(U10=0,AO10,U10&lt;0,AO10/-U10,U10&gt;0,AO10/U10)</f>
        <v>0</v>
      </c>
      <c r="AW10" s="244">
        <f>IF(AQ10=0,0,AV10/AQ10)</f>
        <v>0</v>
      </c>
      <c r="AX10" s="244">
        <f>IF(AR10=0,0,AV10/AR10)</f>
        <v>0</v>
      </c>
      <c r="AY10" s="105"/>
      <c r="AZ10" s="100">
        <f t="shared" si="14"/>
        <v>0</v>
      </c>
    </row>
    <row r="11" spans="1:52" outlineLevel="1">
      <c r="A11" s="95" t="s">
        <v>124</v>
      </c>
      <c r="B11" s="96">
        <v>251467355</v>
      </c>
      <c r="C11" s="96" t="s">
        <v>133</v>
      </c>
      <c r="D11" s="97" t="s">
        <v>84</v>
      </c>
      <c r="E11" s="242">
        <f t="shared" ref="E11:E27" si="25">SUM(F11:J11)</f>
        <v>0</v>
      </c>
      <c r="F11" s="99"/>
      <c r="G11" s="99"/>
      <c r="H11" s="99"/>
      <c r="I11" s="99"/>
      <c r="J11" s="99"/>
      <c r="K11" s="98">
        <v>123.09</v>
      </c>
      <c r="L11" s="98">
        <f t="shared" ref="L11" si="26">E11*K11</f>
        <v>0</v>
      </c>
      <c r="M11" s="95"/>
      <c r="N11" s="95"/>
      <c r="O11" s="95"/>
      <c r="P11" s="95"/>
      <c r="Q11" s="243">
        <f t="shared" si="15"/>
        <v>0</v>
      </c>
      <c r="R11" s="98">
        <f t="shared" si="16"/>
        <v>0</v>
      </c>
      <c r="S11" s="99"/>
      <c r="T11" s="99"/>
      <c r="U11" s="98">
        <f t="shared" si="1"/>
        <v>0</v>
      </c>
      <c r="V11" s="99"/>
      <c r="W11" s="99"/>
      <c r="X11" s="98">
        <f t="shared" si="2"/>
        <v>0</v>
      </c>
      <c r="Y11" s="99"/>
      <c r="Z11" s="99"/>
      <c r="AA11" s="98">
        <f t="shared" si="3"/>
        <v>0</v>
      </c>
      <c r="AB11" s="98">
        <f t="shared" si="17"/>
        <v>0</v>
      </c>
      <c r="AC11" s="244" t="e">
        <f t="shared" si="4"/>
        <v>#DIV/0!</v>
      </c>
      <c r="AD11" s="98">
        <f t="shared" si="5"/>
        <v>0</v>
      </c>
      <c r="AE11" s="99"/>
      <c r="AF11" s="244">
        <f t="shared" si="6"/>
        <v>0</v>
      </c>
      <c r="AG11" s="99"/>
      <c r="AH11" s="99"/>
      <c r="AI11" s="99"/>
      <c r="AJ11" s="99"/>
      <c r="AK11" s="99"/>
      <c r="AL11" s="128">
        <f t="shared" si="7"/>
        <v>0</v>
      </c>
      <c r="AM11" s="99"/>
      <c r="AN11" s="100">
        <f t="shared" si="18"/>
        <v>0</v>
      </c>
      <c r="AO11" s="101">
        <f t="shared" si="20"/>
        <v>0</v>
      </c>
      <c r="AP11" s="102"/>
      <c r="AQ11" s="103">
        <f t="shared" si="8"/>
        <v>0</v>
      </c>
      <c r="AR11" s="104">
        <f t="shared" si="9"/>
        <v>123.09</v>
      </c>
      <c r="AS11" s="104">
        <f t="shared" si="10"/>
        <v>0</v>
      </c>
      <c r="AT11" s="104">
        <f t="shared" si="11"/>
        <v>0</v>
      </c>
      <c r="AU11" s="104">
        <f t="shared" si="19"/>
        <v>0</v>
      </c>
      <c r="AV11" s="104">
        <f t="array" ref="AV11">_xlfn.IFS(U11=0,AO11,U11&lt;0,AO11/-U11,U11&gt;0,AO11/U11)</f>
        <v>0</v>
      </c>
      <c r="AW11" s="244">
        <f t="shared" ref="AW11:AW28" si="27">IF(AQ11=0,0,AV11/AQ11)</f>
        <v>0</v>
      </c>
      <c r="AX11" s="244">
        <f t="shared" ref="AX11:AX28" si="28">IF(AR11=0,0,AV11/AR11)</f>
        <v>0</v>
      </c>
      <c r="AY11" s="105"/>
      <c r="AZ11" s="100">
        <f t="shared" si="14"/>
        <v>0</v>
      </c>
    </row>
    <row r="12" spans="1:52" outlineLevel="1">
      <c r="A12" s="95" t="s">
        <v>124</v>
      </c>
      <c r="B12" s="96">
        <v>303941289</v>
      </c>
      <c r="C12" s="96" t="s">
        <v>134</v>
      </c>
      <c r="D12" s="97" t="s">
        <v>84</v>
      </c>
      <c r="E12" s="242">
        <f t="shared" si="25"/>
        <v>0</v>
      </c>
      <c r="F12" s="99"/>
      <c r="G12" s="99"/>
      <c r="H12" s="99"/>
      <c r="I12" s="99"/>
      <c r="J12" s="99"/>
      <c r="K12" s="98">
        <v>117.24</v>
      </c>
      <c r="L12" s="98">
        <f>E12*K12</f>
        <v>0</v>
      </c>
      <c r="M12" s="95"/>
      <c r="N12" s="95"/>
      <c r="O12" s="95"/>
      <c r="P12" s="95"/>
      <c r="Q12" s="243">
        <f t="shared" si="15"/>
        <v>0</v>
      </c>
      <c r="R12" s="98">
        <f t="shared" si="16"/>
        <v>0</v>
      </c>
      <c r="S12" s="99"/>
      <c r="T12" s="99"/>
      <c r="U12" s="98">
        <f t="shared" si="1"/>
        <v>0</v>
      </c>
      <c r="V12" s="99"/>
      <c r="W12" s="99"/>
      <c r="X12" s="98">
        <f t="shared" si="2"/>
        <v>0</v>
      </c>
      <c r="Y12" s="99"/>
      <c r="Z12" s="99"/>
      <c r="AA12" s="98">
        <f t="shared" si="3"/>
        <v>0</v>
      </c>
      <c r="AB12" s="98">
        <f t="shared" si="17"/>
        <v>0</v>
      </c>
      <c r="AC12" s="244" t="e">
        <f t="shared" si="4"/>
        <v>#DIV/0!</v>
      </c>
      <c r="AD12" s="98">
        <f t="shared" si="5"/>
        <v>0</v>
      </c>
      <c r="AE12" s="99"/>
      <c r="AF12" s="244">
        <f t="shared" si="6"/>
        <v>0</v>
      </c>
      <c r="AG12" s="99"/>
      <c r="AH12" s="99"/>
      <c r="AI12" s="99"/>
      <c r="AJ12" s="99"/>
      <c r="AK12" s="99"/>
      <c r="AL12" s="128">
        <f t="shared" si="7"/>
        <v>0</v>
      </c>
      <c r="AM12" s="99"/>
      <c r="AN12" s="100">
        <f t="shared" si="18"/>
        <v>0</v>
      </c>
      <c r="AO12" s="101">
        <f t="shared" si="20"/>
        <v>0</v>
      </c>
      <c r="AP12" s="102"/>
      <c r="AQ12" s="103">
        <f t="shared" si="8"/>
        <v>0</v>
      </c>
      <c r="AR12" s="104">
        <f t="shared" si="9"/>
        <v>117.24</v>
      </c>
      <c r="AS12" s="104">
        <f t="shared" si="10"/>
        <v>0</v>
      </c>
      <c r="AT12" s="104">
        <f t="shared" si="11"/>
        <v>0</v>
      </c>
      <c r="AU12" s="104">
        <f t="shared" si="19"/>
        <v>0</v>
      </c>
      <c r="AV12" s="104">
        <f t="array" ref="AV12">_xlfn.IFS(U12=0,AO12,U12&lt;0,AO12/-U12,U12&gt;0,AO12/U12)</f>
        <v>0</v>
      </c>
      <c r="AW12" s="244">
        <f t="shared" si="27"/>
        <v>0</v>
      </c>
      <c r="AX12" s="244">
        <f t="shared" si="28"/>
        <v>0</v>
      </c>
      <c r="AY12" s="105"/>
      <c r="AZ12" s="100">
        <f t="shared" si="14"/>
        <v>0</v>
      </c>
    </row>
    <row r="13" spans="1:52" outlineLevel="1">
      <c r="A13" s="95" t="s">
        <v>124</v>
      </c>
      <c r="B13" s="96">
        <v>274218038</v>
      </c>
      <c r="C13" s="96" t="s">
        <v>135</v>
      </c>
      <c r="D13" s="97" t="s">
        <v>84</v>
      </c>
      <c r="E13" s="242">
        <f t="shared" si="25"/>
        <v>0</v>
      </c>
      <c r="F13" s="99"/>
      <c r="G13" s="99"/>
      <c r="H13" s="99"/>
      <c r="I13" s="99"/>
      <c r="J13" s="99"/>
      <c r="K13" s="98">
        <v>123.09</v>
      </c>
      <c r="L13" s="98">
        <f t="shared" ref="L13:L28" si="29">E13*K13</f>
        <v>0</v>
      </c>
      <c r="M13" s="95"/>
      <c r="N13" s="95"/>
      <c r="O13" s="95"/>
      <c r="P13" s="95"/>
      <c r="Q13" s="243">
        <f t="shared" si="15"/>
        <v>0</v>
      </c>
      <c r="R13" s="98">
        <f t="shared" si="16"/>
        <v>0</v>
      </c>
      <c r="S13" s="99"/>
      <c r="T13" s="99"/>
      <c r="U13" s="98">
        <f t="shared" si="1"/>
        <v>0</v>
      </c>
      <c r="V13" s="99"/>
      <c r="W13" s="99"/>
      <c r="X13" s="98">
        <f t="shared" si="2"/>
        <v>0</v>
      </c>
      <c r="Y13" s="99"/>
      <c r="Z13" s="99"/>
      <c r="AA13" s="98">
        <f t="shared" si="3"/>
        <v>0</v>
      </c>
      <c r="AB13" s="98">
        <f t="shared" si="17"/>
        <v>0</v>
      </c>
      <c r="AC13" s="244" t="e">
        <f t="shared" si="4"/>
        <v>#DIV/0!</v>
      </c>
      <c r="AD13" s="98">
        <f t="shared" si="5"/>
        <v>0</v>
      </c>
      <c r="AE13" s="99"/>
      <c r="AF13" s="244">
        <f t="shared" si="6"/>
        <v>0</v>
      </c>
      <c r="AG13" s="99"/>
      <c r="AH13" s="99"/>
      <c r="AI13" s="99"/>
      <c r="AJ13" s="99"/>
      <c r="AK13" s="99"/>
      <c r="AL13" s="128">
        <f t="shared" si="7"/>
        <v>0</v>
      </c>
      <c r="AM13" s="99"/>
      <c r="AN13" s="100">
        <f t="shared" si="18"/>
        <v>0</v>
      </c>
      <c r="AO13" s="101">
        <f t="shared" si="20"/>
        <v>0</v>
      </c>
      <c r="AP13" s="102"/>
      <c r="AQ13" s="103">
        <f t="shared" si="8"/>
        <v>0</v>
      </c>
      <c r="AR13" s="104">
        <f t="shared" si="9"/>
        <v>123.09</v>
      </c>
      <c r="AS13" s="104">
        <f t="shared" si="10"/>
        <v>0</v>
      </c>
      <c r="AT13" s="104">
        <f t="shared" si="11"/>
        <v>0</v>
      </c>
      <c r="AU13" s="104">
        <f t="shared" si="19"/>
        <v>0</v>
      </c>
      <c r="AV13" s="104">
        <f t="array" ref="AV13">_xlfn.IFS(U13=0,AO13,U13&lt;0,AO13/-U13,U13&gt;0,AO13/U13)</f>
        <v>0</v>
      </c>
      <c r="AW13" s="244">
        <f t="shared" si="27"/>
        <v>0</v>
      </c>
      <c r="AX13" s="244">
        <f t="shared" si="28"/>
        <v>0</v>
      </c>
      <c r="AY13" s="105"/>
      <c r="AZ13" s="100">
        <f t="shared" si="14"/>
        <v>0</v>
      </c>
    </row>
    <row r="14" spans="1:52" outlineLevel="1">
      <c r="A14" s="95" t="s">
        <v>124</v>
      </c>
      <c r="B14" s="96">
        <v>274219203</v>
      </c>
      <c r="C14" s="96" t="s">
        <v>136</v>
      </c>
      <c r="D14" s="97" t="s">
        <v>84</v>
      </c>
      <c r="E14" s="242">
        <f t="shared" si="25"/>
        <v>0</v>
      </c>
      <c r="F14" s="99"/>
      <c r="G14" s="99"/>
      <c r="H14" s="99"/>
      <c r="I14" s="99"/>
      <c r="J14" s="99"/>
      <c r="K14" s="98">
        <v>123.09</v>
      </c>
      <c r="L14" s="98">
        <f t="shared" si="29"/>
        <v>0</v>
      </c>
      <c r="M14" s="95"/>
      <c r="N14" s="95"/>
      <c r="O14" s="95"/>
      <c r="P14" s="95"/>
      <c r="Q14" s="243">
        <f t="shared" si="15"/>
        <v>0</v>
      </c>
      <c r="R14" s="98">
        <f t="shared" si="16"/>
        <v>0</v>
      </c>
      <c r="S14" s="99"/>
      <c r="T14" s="99"/>
      <c r="U14" s="98">
        <f t="shared" si="1"/>
        <v>0</v>
      </c>
      <c r="V14" s="99"/>
      <c r="W14" s="99"/>
      <c r="X14" s="98">
        <f t="shared" si="2"/>
        <v>0</v>
      </c>
      <c r="Y14" s="99"/>
      <c r="Z14" s="99"/>
      <c r="AA14" s="98">
        <f t="shared" si="3"/>
        <v>0</v>
      </c>
      <c r="AB14" s="98">
        <f t="shared" si="17"/>
        <v>0</v>
      </c>
      <c r="AC14" s="244" t="e">
        <f t="shared" si="4"/>
        <v>#DIV/0!</v>
      </c>
      <c r="AD14" s="98">
        <f t="shared" si="5"/>
        <v>0</v>
      </c>
      <c r="AE14" s="99"/>
      <c r="AF14" s="244">
        <f t="shared" si="6"/>
        <v>0</v>
      </c>
      <c r="AG14" s="99"/>
      <c r="AH14" s="99"/>
      <c r="AI14" s="99"/>
      <c r="AJ14" s="99"/>
      <c r="AK14" s="99"/>
      <c r="AL14" s="128">
        <f t="shared" si="7"/>
        <v>0</v>
      </c>
      <c r="AM14" s="99"/>
      <c r="AN14" s="100">
        <f t="shared" si="18"/>
        <v>0</v>
      </c>
      <c r="AO14" s="101">
        <f t="shared" si="20"/>
        <v>0</v>
      </c>
      <c r="AP14" s="102"/>
      <c r="AQ14" s="103">
        <f t="shared" si="8"/>
        <v>0</v>
      </c>
      <c r="AR14" s="104">
        <f t="shared" si="9"/>
        <v>123.09</v>
      </c>
      <c r="AS14" s="104">
        <f t="shared" si="10"/>
        <v>0</v>
      </c>
      <c r="AT14" s="104">
        <f t="shared" si="11"/>
        <v>0</v>
      </c>
      <c r="AU14" s="104">
        <f t="shared" si="19"/>
        <v>0</v>
      </c>
      <c r="AV14" s="104">
        <f t="array" ref="AV14">_xlfn.IFS(U14=0,AO14,U14&lt;0,AO14/-U14,U14&gt;0,AO14/U14)</f>
        <v>0</v>
      </c>
      <c r="AW14" s="244">
        <f t="shared" si="27"/>
        <v>0</v>
      </c>
      <c r="AX14" s="244">
        <f t="shared" si="28"/>
        <v>0</v>
      </c>
      <c r="AY14" s="105"/>
      <c r="AZ14" s="100">
        <f t="shared" si="14"/>
        <v>0</v>
      </c>
    </row>
    <row r="15" spans="1:52" outlineLevel="1">
      <c r="A15" s="95" t="s">
        <v>124</v>
      </c>
      <c r="B15" s="96">
        <v>274190322</v>
      </c>
      <c r="C15" s="96" t="s">
        <v>137</v>
      </c>
      <c r="D15" s="97" t="s">
        <v>84</v>
      </c>
      <c r="E15" s="242">
        <f t="shared" si="25"/>
        <v>0</v>
      </c>
      <c r="F15" s="99"/>
      <c r="G15" s="99"/>
      <c r="H15" s="99"/>
      <c r="I15" s="99"/>
      <c r="J15" s="99"/>
      <c r="K15" s="98">
        <v>123.09</v>
      </c>
      <c r="L15" s="98">
        <f t="shared" si="29"/>
        <v>0</v>
      </c>
      <c r="M15" s="95"/>
      <c r="N15" s="95"/>
      <c r="O15" s="95"/>
      <c r="P15" s="95"/>
      <c r="Q15" s="243">
        <f t="shared" si="15"/>
        <v>0</v>
      </c>
      <c r="R15" s="98">
        <f t="shared" si="16"/>
        <v>0</v>
      </c>
      <c r="S15" s="99"/>
      <c r="T15" s="99"/>
      <c r="U15" s="98">
        <f t="shared" si="1"/>
        <v>0</v>
      </c>
      <c r="V15" s="99"/>
      <c r="W15" s="99"/>
      <c r="X15" s="98">
        <f t="shared" si="2"/>
        <v>0</v>
      </c>
      <c r="Y15" s="99"/>
      <c r="Z15" s="99"/>
      <c r="AA15" s="98">
        <f t="shared" si="3"/>
        <v>0</v>
      </c>
      <c r="AB15" s="98">
        <f t="shared" si="17"/>
        <v>0</v>
      </c>
      <c r="AC15" s="244" t="e">
        <f t="shared" si="4"/>
        <v>#DIV/0!</v>
      </c>
      <c r="AD15" s="98">
        <f t="shared" si="5"/>
        <v>0</v>
      </c>
      <c r="AE15" s="99"/>
      <c r="AF15" s="244">
        <f t="shared" si="6"/>
        <v>0</v>
      </c>
      <c r="AG15" s="99"/>
      <c r="AH15" s="99"/>
      <c r="AI15" s="99"/>
      <c r="AJ15" s="99"/>
      <c r="AK15" s="99"/>
      <c r="AL15" s="128">
        <f t="shared" si="7"/>
        <v>0</v>
      </c>
      <c r="AM15" s="99"/>
      <c r="AN15" s="100">
        <f t="shared" si="18"/>
        <v>0</v>
      </c>
      <c r="AO15" s="101">
        <f t="shared" si="20"/>
        <v>0</v>
      </c>
      <c r="AP15" s="102"/>
      <c r="AQ15" s="103">
        <f t="shared" si="8"/>
        <v>0</v>
      </c>
      <c r="AR15" s="104">
        <f t="shared" si="9"/>
        <v>123.09</v>
      </c>
      <c r="AS15" s="104">
        <f t="shared" si="10"/>
        <v>0</v>
      </c>
      <c r="AT15" s="104">
        <f t="shared" si="11"/>
        <v>0</v>
      </c>
      <c r="AU15" s="104">
        <f t="shared" si="19"/>
        <v>0</v>
      </c>
      <c r="AV15" s="104">
        <f t="array" ref="AV15">_xlfn.IFS(U15=0,AO15,U15&lt;0,AO15/-U15,U15&gt;0,AO15/U15)</f>
        <v>0</v>
      </c>
      <c r="AW15" s="244">
        <f t="shared" si="27"/>
        <v>0</v>
      </c>
      <c r="AX15" s="244">
        <f t="shared" si="28"/>
        <v>0</v>
      </c>
      <c r="AY15" s="105"/>
      <c r="AZ15" s="100">
        <f t="shared" si="14"/>
        <v>0</v>
      </c>
    </row>
    <row r="16" spans="1:52" outlineLevel="1">
      <c r="A16" s="95" t="s">
        <v>124</v>
      </c>
      <c r="B16" s="96">
        <v>274215530</v>
      </c>
      <c r="C16" s="96" t="s">
        <v>138</v>
      </c>
      <c r="D16" s="97" t="s">
        <v>84</v>
      </c>
      <c r="E16" s="242">
        <f t="shared" si="25"/>
        <v>0</v>
      </c>
      <c r="F16" s="99"/>
      <c r="G16" s="99"/>
      <c r="H16" s="99"/>
      <c r="I16" s="99"/>
      <c r="J16" s="99"/>
      <c r="K16" s="98">
        <v>117.24</v>
      </c>
      <c r="L16" s="98">
        <f t="shared" si="29"/>
        <v>0</v>
      </c>
      <c r="M16" s="95"/>
      <c r="N16" s="95"/>
      <c r="O16" s="95"/>
      <c r="P16" s="95"/>
      <c r="Q16" s="243">
        <f t="shared" si="15"/>
        <v>0</v>
      </c>
      <c r="R16" s="98">
        <f t="shared" si="16"/>
        <v>0</v>
      </c>
      <c r="S16" s="99"/>
      <c r="T16" s="99"/>
      <c r="U16" s="98">
        <f t="shared" si="1"/>
        <v>0</v>
      </c>
      <c r="V16" s="99"/>
      <c r="W16" s="99"/>
      <c r="X16" s="98">
        <f t="shared" si="2"/>
        <v>0</v>
      </c>
      <c r="Y16" s="99"/>
      <c r="Z16" s="99"/>
      <c r="AA16" s="98">
        <f t="shared" si="3"/>
        <v>0</v>
      </c>
      <c r="AB16" s="98">
        <f t="shared" si="17"/>
        <v>0</v>
      </c>
      <c r="AC16" s="244" t="e">
        <f t="shared" si="4"/>
        <v>#DIV/0!</v>
      </c>
      <c r="AD16" s="98">
        <f t="shared" si="5"/>
        <v>0</v>
      </c>
      <c r="AE16" s="99"/>
      <c r="AF16" s="244">
        <f t="shared" si="6"/>
        <v>0</v>
      </c>
      <c r="AG16" s="99"/>
      <c r="AH16" s="99"/>
      <c r="AI16" s="99"/>
      <c r="AJ16" s="99"/>
      <c r="AK16" s="99"/>
      <c r="AL16" s="128">
        <f t="shared" si="7"/>
        <v>0</v>
      </c>
      <c r="AM16" s="99"/>
      <c r="AN16" s="100">
        <f t="shared" si="18"/>
        <v>0</v>
      </c>
      <c r="AO16" s="101">
        <f t="shared" si="20"/>
        <v>0</v>
      </c>
      <c r="AP16" s="102"/>
      <c r="AQ16" s="103">
        <f t="shared" si="8"/>
        <v>0</v>
      </c>
      <c r="AR16" s="104">
        <f t="shared" si="9"/>
        <v>117.24</v>
      </c>
      <c r="AS16" s="104">
        <f t="shared" si="10"/>
        <v>0</v>
      </c>
      <c r="AT16" s="104">
        <f t="shared" si="11"/>
        <v>0</v>
      </c>
      <c r="AU16" s="104">
        <f t="shared" si="19"/>
        <v>0</v>
      </c>
      <c r="AV16" s="104">
        <f t="array" ref="AV16">_xlfn.IFS(U16=0,AO16,U16&lt;0,AO16/-U16,U16&gt;0,AO16/U16)</f>
        <v>0</v>
      </c>
      <c r="AW16" s="244">
        <f t="shared" si="27"/>
        <v>0</v>
      </c>
      <c r="AX16" s="244">
        <f t="shared" si="28"/>
        <v>0</v>
      </c>
      <c r="AY16" s="105"/>
      <c r="AZ16" s="100">
        <f t="shared" si="14"/>
        <v>0</v>
      </c>
    </row>
    <row r="17" spans="1:52" outlineLevel="1">
      <c r="A17" s="95" t="s">
        <v>124</v>
      </c>
      <c r="B17" s="96">
        <v>276819546</v>
      </c>
      <c r="C17" s="96" t="s">
        <v>139</v>
      </c>
      <c r="D17" s="97" t="s">
        <v>84</v>
      </c>
      <c r="E17" s="242">
        <f t="shared" si="25"/>
        <v>0</v>
      </c>
      <c r="F17" s="99"/>
      <c r="G17" s="99"/>
      <c r="H17" s="99"/>
      <c r="I17" s="99"/>
      <c r="J17" s="99"/>
      <c r="K17" s="99">
        <v>123.09</v>
      </c>
      <c r="L17" s="98">
        <f t="shared" si="29"/>
        <v>0</v>
      </c>
      <c r="M17" s="95"/>
      <c r="N17" s="95"/>
      <c r="O17" s="95"/>
      <c r="P17" s="95"/>
      <c r="Q17" s="243">
        <f t="shared" si="15"/>
        <v>0</v>
      </c>
      <c r="R17" s="98">
        <f t="shared" si="16"/>
        <v>0</v>
      </c>
      <c r="S17" s="99"/>
      <c r="T17" s="99"/>
      <c r="U17" s="98">
        <f t="shared" si="1"/>
        <v>0</v>
      </c>
      <c r="V17" s="99"/>
      <c r="W17" s="99"/>
      <c r="X17" s="98">
        <f t="shared" si="2"/>
        <v>0</v>
      </c>
      <c r="Y17" s="99"/>
      <c r="Z17" s="99"/>
      <c r="AA17" s="98">
        <f t="shared" si="3"/>
        <v>0</v>
      </c>
      <c r="AB17" s="98">
        <f t="shared" si="17"/>
        <v>0</v>
      </c>
      <c r="AC17" s="244" t="e">
        <f t="shared" si="4"/>
        <v>#DIV/0!</v>
      </c>
      <c r="AD17" s="98">
        <f t="shared" si="5"/>
        <v>0</v>
      </c>
      <c r="AE17" s="99"/>
      <c r="AF17" s="244">
        <f t="shared" si="6"/>
        <v>0</v>
      </c>
      <c r="AG17" s="99"/>
      <c r="AH17" s="99"/>
      <c r="AI17" s="99"/>
      <c r="AJ17" s="99"/>
      <c r="AK17" s="99"/>
      <c r="AL17" s="128">
        <f t="shared" si="7"/>
        <v>0</v>
      </c>
      <c r="AM17" s="99"/>
      <c r="AN17" s="100">
        <f t="shared" si="18"/>
        <v>0</v>
      </c>
      <c r="AO17" s="101">
        <f t="shared" si="20"/>
        <v>0</v>
      </c>
      <c r="AP17" s="102"/>
      <c r="AQ17" s="103">
        <f t="shared" si="8"/>
        <v>0</v>
      </c>
      <c r="AR17" s="104">
        <f t="shared" si="9"/>
        <v>123.09</v>
      </c>
      <c r="AS17" s="104">
        <f t="shared" si="10"/>
        <v>0</v>
      </c>
      <c r="AT17" s="104">
        <f t="shared" si="11"/>
        <v>0</v>
      </c>
      <c r="AU17" s="104">
        <f t="shared" si="19"/>
        <v>0</v>
      </c>
      <c r="AV17" s="104">
        <f t="array" ref="AV17">_xlfn.IFS(U17=0,AO17,U17&lt;0,AO17/-U17,U17&gt;0,AO17/U17)</f>
        <v>0</v>
      </c>
      <c r="AW17" s="244">
        <f t="shared" si="27"/>
        <v>0</v>
      </c>
      <c r="AX17" s="244">
        <f t="shared" si="28"/>
        <v>0</v>
      </c>
      <c r="AY17" s="105"/>
      <c r="AZ17" s="100">
        <f t="shared" si="14"/>
        <v>0</v>
      </c>
    </row>
    <row r="18" spans="1:52" outlineLevel="1">
      <c r="A18" s="95" t="s">
        <v>124</v>
      </c>
      <c r="B18" s="96">
        <v>276815909</v>
      </c>
      <c r="C18" s="96" t="s">
        <v>140</v>
      </c>
      <c r="D18" s="97" t="s">
        <v>84</v>
      </c>
      <c r="E18" s="242">
        <f t="shared" si="25"/>
        <v>0</v>
      </c>
      <c r="F18" s="99"/>
      <c r="G18" s="99"/>
      <c r="H18" s="99"/>
      <c r="I18" s="99"/>
      <c r="J18" s="99"/>
      <c r="K18" s="99">
        <v>123.09</v>
      </c>
      <c r="L18" s="98">
        <f t="shared" si="29"/>
        <v>0</v>
      </c>
      <c r="M18" s="95"/>
      <c r="N18" s="95"/>
      <c r="O18" s="95"/>
      <c r="P18" s="95"/>
      <c r="Q18" s="243">
        <f t="shared" si="15"/>
        <v>0</v>
      </c>
      <c r="R18" s="98">
        <f t="shared" si="16"/>
        <v>0</v>
      </c>
      <c r="S18" s="99"/>
      <c r="T18" s="99"/>
      <c r="U18" s="98">
        <f t="shared" si="1"/>
        <v>0</v>
      </c>
      <c r="V18" s="99"/>
      <c r="W18" s="99"/>
      <c r="X18" s="98">
        <f t="shared" si="2"/>
        <v>0</v>
      </c>
      <c r="Y18" s="99"/>
      <c r="Z18" s="99"/>
      <c r="AA18" s="98">
        <f t="shared" si="3"/>
        <v>0</v>
      </c>
      <c r="AB18" s="98">
        <f t="shared" si="17"/>
        <v>0</v>
      </c>
      <c r="AC18" s="244" t="e">
        <f t="shared" si="4"/>
        <v>#DIV/0!</v>
      </c>
      <c r="AD18" s="98">
        <f t="shared" si="5"/>
        <v>0</v>
      </c>
      <c r="AE18" s="99"/>
      <c r="AF18" s="244">
        <f t="shared" si="6"/>
        <v>0</v>
      </c>
      <c r="AG18" s="99"/>
      <c r="AH18" s="99"/>
      <c r="AI18" s="99"/>
      <c r="AJ18" s="99"/>
      <c r="AK18" s="99"/>
      <c r="AL18" s="128">
        <f t="shared" si="7"/>
        <v>0</v>
      </c>
      <c r="AM18" s="99"/>
      <c r="AN18" s="100">
        <f t="shared" si="18"/>
        <v>0</v>
      </c>
      <c r="AO18" s="101">
        <f t="shared" si="20"/>
        <v>0</v>
      </c>
      <c r="AP18" s="102"/>
      <c r="AQ18" s="103">
        <f t="shared" si="8"/>
        <v>0</v>
      </c>
      <c r="AR18" s="104">
        <f t="shared" si="9"/>
        <v>123.09</v>
      </c>
      <c r="AS18" s="104">
        <f t="shared" si="10"/>
        <v>0</v>
      </c>
      <c r="AT18" s="104">
        <f t="shared" si="11"/>
        <v>0</v>
      </c>
      <c r="AU18" s="104">
        <f t="shared" si="19"/>
        <v>0</v>
      </c>
      <c r="AV18" s="104">
        <f t="array" ref="AV18">_xlfn.IFS(U18=0,AO18,U18&lt;0,AO18/-U18,U18&gt;0,AO18/U18)</f>
        <v>0</v>
      </c>
      <c r="AW18" s="244">
        <f t="shared" si="27"/>
        <v>0</v>
      </c>
      <c r="AX18" s="244">
        <f t="shared" si="28"/>
        <v>0</v>
      </c>
      <c r="AY18" s="105"/>
      <c r="AZ18" s="100">
        <f t="shared" si="14"/>
        <v>0</v>
      </c>
    </row>
    <row r="19" spans="1:52" outlineLevel="1">
      <c r="A19" s="95" t="s">
        <v>124</v>
      </c>
      <c r="B19" s="96">
        <v>276817565</v>
      </c>
      <c r="C19" s="96" t="s">
        <v>141</v>
      </c>
      <c r="D19" s="97" t="s">
        <v>84</v>
      </c>
      <c r="E19" s="242">
        <f t="shared" si="25"/>
        <v>0</v>
      </c>
      <c r="F19" s="99"/>
      <c r="G19" s="99"/>
      <c r="H19" s="99"/>
      <c r="I19" s="99"/>
      <c r="J19" s="99"/>
      <c r="K19" s="99">
        <v>123.09</v>
      </c>
      <c r="L19" s="98">
        <f t="shared" si="29"/>
        <v>0</v>
      </c>
      <c r="M19" s="95"/>
      <c r="N19" s="95"/>
      <c r="O19" s="95"/>
      <c r="P19" s="95"/>
      <c r="Q19" s="243">
        <f t="shared" si="15"/>
        <v>0</v>
      </c>
      <c r="R19" s="98">
        <f t="shared" si="16"/>
        <v>0</v>
      </c>
      <c r="S19" s="99"/>
      <c r="T19" s="99"/>
      <c r="U19" s="98">
        <f t="shared" si="1"/>
        <v>0</v>
      </c>
      <c r="V19" s="99"/>
      <c r="W19" s="99"/>
      <c r="X19" s="98">
        <f t="shared" si="2"/>
        <v>0</v>
      </c>
      <c r="Y19" s="99"/>
      <c r="Z19" s="99"/>
      <c r="AA19" s="98">
        <f t="shared" si="3"/>
        <v>0</v>
      </c>
      <c r="AB19" s="98">
        <f t="shared" si="17"/>
        <v>0</v>
      </c>
      <c r="AC19" s="244" t="e">
        <f t="shared" si="4"/>
        <v>#DIV/0!</v>
      </c>
      <c r="AD19" s="98">
        <f t="shared" si="5"/>
        <v>0</v>
      </c>
      <c r="AE19" s="99"/>
      <c r="AF19" s="244">
        <f t="shared" si="6"/>
        <v>0</v>
      </c>
      <c r="AG19" s="99"/>
      <c r="AH19" s="99"/>
      <c r="AI19" s="99"/>
      <c r="AJ19" s="99"/>
      <c r="AK19" s="99"/>
      <c r="AL19" s="128">
        <f t="shared" si="7"/>
        <v>0</v>
      </c>
      <c r="AM19" s="99"/>
      <c r="AN19" s="100">
        <f t="shared" si="18"/>
        <v>0</v>
      </c>
      <c r="AO19" s="101">
        <f t="shared" si="20"/>
        <v>0</v>
      </c>
      <c r="AP19" s="102"/>
      <c r="AQ19" s="103">
        <f t="shared" si="8"/>
        <v>0</v>
      </c>
      <c r="AR19" s="104">
        <f t="shared" si="9"/>
        <v>123.09</v>
      </c>
      <c r="AS19" s="104">
        <f t="shared" si="10"/>
        <v>0</v>
      </c>
      <c r="AT19" s="104">
        <f t="shared" si="11"/>
        <v>0</v>
      </c>
      <c r="AU19" s="104">
        <f t="shared" si="19"/>
        <v>0</v>
      </c>
      <c r="AV19" s="104">
        <f t="array" ref="AV19">_xlfn.IFS(U19=0,AO19,U19&lt;0,AO19/-U19,U19&gt;0,AO19/U19)</f>
        <v>0</v>
      </c>
      <c r="AW19" s="244">
        <f t="shared" si="27"/>
        <v>0</v>
      </c>
      <c r="AX19" s="244">
        <f t="shared" si="28"/>
        <v>0</v>
      </c>
      <c r="AY19" s="105"/>
      <c r="AZ19" s="100">
        <f t="shared" si="14"/>
        <v>0</v>
      </c>
    </row>
    <row r="20" spans="1:52" outlineLevel="1">
      <c r="A20" s="95" t="s">
        <v>124</v>
      </c>
      <c r="B20" s="96">
        <v>335387679</v>
      </c>
      <c r="C20" s="96" t="s">
        <v>142</v>
      </c>
      <c r="D20" s="97" t="s">
        <v>84</v>
      </c>
      <c r="E20" s="242">
        <f t="shared" si="25"/>
        <v>0</v>
      </c>
      <c r="F20" s="99"/>
      <c r="G20" s="99"/>
      <c r="H20" s="99"/>
      <c r="I20" s="99"/>
      <c r="J20" s="99"/>
      <c r="K20" s="99">
        <v>117.24</v>
      </c>
      <c r="L20" s="98">
        <f t="shared" si="29"/>
        <v>0</v>
      </c>
      <c r="M20" s="95"/>
      <c r="N20" s="95"/>
      <c r="O20" s="95"/>
      <c r="P20" s="95"/>
      <c r="Q20" s="243">
        <f t="shared" si="15"/>
        <v>0</v>
      </c>
      <c r="R20" s="98">
        <f t="shared" si="16"/>
        <v>0</v>
      </c>
      <c r="S20" s="99"/>
      <c r="T20" s="99"/>
      <c r="U20" s="98">
        <f t="shared" si="1"/>
        <v>0</v>
      </c>
      <c r="V20" s="99"/>
      <c r="W20" s="99"/>
      <c r="X20" s="98">
        <f t="shared" si="2"/>
        <v>0</v>
      </c>
      <c r="Y20" s="99"/>
      <c r="Z20" s="99"/>
      <c r="AA20" s="98">
        <f t="shared" si="3"/>
        <v>0</v>
      </c>
      <c r="AB20" s="98">
        <f t="shared" si="17"/>
        <v>0</v>
      </c>
      <c r="AC20" s="244" t="e">
        <f t="shared" si="4"/>
        <v>#DIV/0!</v>
      </c>
      <c r="AD20" s="98">
        <f t="shared" si="5"/>
        <v>0</v>
      </c>
      <c r="AE20" s="99"/>
      <c r="AF20" s="244">
        <f t="shared" si="6"/>
        <v>0</v>
      </c>
      <c r="AG20" s="99"/>
      <c r="AH20" s="99"/>
      <c r="AI20" s="99"/>
      <c r="AJ20" s="99"/>
      <c r="AK20" s="99"/>
      <c r="AL20" s="128">
        <f t="shared" si="7"/>
        <v>0</v>
      </c>
      <c r="AM20" s="99"/>
      <c r="AN20" s="100">
        <f t="shared" si="18"/>
        <v>0</v>
      </c>
      <c r="AO20" s="101">
        <f t="shared" si="20"/>
        <v>0</v>
      </c>
      <c r="AP20" s="102"/>
      <c r="AQ20" s="103">
        <f t="shared" si="8"/>
        <v>0</v>
      </c>
      <c r="AR20" s="104">
        <f>K20</f>
        <v>117.24</v>
      </c>
      <c r="AS20" s="104">
        <f t="shared" si="10"/>
        <v>0</v>
      </c>
      <c r="AT20" s="104">
        <f t="shared" si="11"/>
        <v>0</v>
      </c>
      <c r="AU20" s="104">
        <f t="shared" si="19"/>
        <v>0</v>
      </c>
      <c r="AV20" s="104">
        <f t="array" ref="AV20">_xlfn.IFS(U20=0,AO20,U20&lt;0,AO20/-U20,U20&gt;0,AO20/U20)</f>
        <v>0</v>
      </c>
      <c r="AW20" s="244">
        <f t="shared" si="27"/>
        <v>0</v>
      </c>
      <c r="AX20" s="244">
        <f t="shared" si="28"/>
        <v>0</v>
      </c>
      <c r="AY20" s="105"/>
      <c r="AZ20" s="100">
        <f t="shared" si="14"/>
        <v>0</v>
      </c>
    </row>
    <row r="21" spans="1:52" outlineLevel="1">
      <c r="A21" s="95" t="s">
        <v>124</v>
      </c>
      <c r="B21" s="96">
        <v>335388183</v>
      </c>
      <c r="C21" s="96" t="s">
        <v>143</v>
      </c>
      <c r="D21" s="97" t="s">
        <v>84</v>
      </c>
      <c r="E21" s="242">
        <f t="shared" si="25"/>
        <v>0</v>
      </c>
      <c r="F21" s="99"/>
      <c r="G21" s="99"/>
      <c r="H21" s="99"/>
      <c r="I21" s="99"/>
      <c r="J21" s="99"/>
      <c r="K21" s="99">
        <v>117.24</v>
      </c>
      <c r="L21" s="98">
        <f t="shared" si="29"/>
        <v>0</v>
      </c>
      <c r="M21" s="95"/>
      <c r="N21" s="95"/>
      <c r="O21" s="95"/>
      <c r="P21" s="95"/>
      <c r="Q21" s="243">
        <f t="shared" si="15"/>
        <v>0</v>
      </c>
      <c r="R21" s="98">
        <f t="shared" si="16"/>
        <v>0</v>
      </c>
      <c r="S21" s="99"/>
      <c r="T21" s="99"/>
      <c r="U21" s="98">
        <f t="shared" si="1"/>
        <v>0</v>
      </c>
      <c r="V21" s="99"/>
      <c r="W21" s="99"/>
      <c r="X21" s="98">
        <f t="shared" si="2"/>
        <v>0</v>
      </c>
      <c r="Y21" s="99"/>
      <c r="Z21" s="99"/>
      <c r="AA21" s="98">
        <f t="shared" si="3"/>
        <v>0</v>
      </c>
      <c r="AB21" s="98">
        <f t="shared" si="17"/>
        <v>0</v>
      </c>
      <c r="AC21" s="244" t="e">
        <f t="shared" si="4"/>
        <v>#DIV/0!</v>
      </c>
      <c r="AD21" s="98">
        <f t="shared" si="5"/>
        <v>0</v>
      </c>
      <c r="AE21" s="99"/>
      <c r="AF21" s="244">
        <f t="shared" si="6"/>
        <v>0</v>
      </c>
      <c r="AG21" s="99"/>
      <c r="AH21" s="99"/>
      <c r="AI21" s="99"/>
      <c r="AJ21" s="99"/>
      <c r="AK21" s="99"/>
      <c r="AL21" s="128">
        <f t="shared" si="7"/>
        <v>0</v>
      </c>
      <c r="AM21" s="99"/>
      <c r="AN21" s="100">
        <f t="shared" si="18"/>
        <v>0</v>
      </c>
      <c r="AO21" s="101">
        <f t="shared" si="20"/>
        <v>0</v>
      </c>
      <c r="AP21" s="102"/>
      <c r="AQ21" s="103">
        <f t="shared" si="8"/>
        <v>0</v>
      </c>
      <c r="AR21" s="104">
        <f t="shared" ref="AR21:AR98" si="30">K21</f>
        <v>117.24</v>
      </c>
      <c r="AS21" s="104">
        <f t="shared" si="10"/>
        <v>0</v>
      </c>
      <c r="AT21" s="104">
        <f t="shared" si="11"/>
        <v>0</v>
      </c>
      <c r="AU21" s="104">
        <f t="shared" si="19"/>
        <v>0</v>
      </c>
      <c r="AV21" s="104">
        <f t="array" ref="AV21">_xlfn.IFS(U21=0,AO21,U21&lt;0,AO21/-U21,U21&gt;0,AO21/U21)</f>
        <v>0</v>
      </c>
      <c r="AW21" s="244">
        <f t="shared" si="27"/>
        <v>0</v>
      </c>
      <c r="AX21" s="244">
        <f t="shared" si="28"/>
        <v>0</v>
      </c>
      <c r="AY21" s="105"/>
      <c r="AZ21" s="100">
        <f t="shared" si="14"/>
        <v>0</v>
      </c>
    </row>
    <row r="22" spans="1:52" outlineLevel="1">
      <c r="A22" s="95" t="s">
        <v>124</v>
      </c>
      <c r="B22" s="96">
        <v>335388404</v>
      </c>
      <c r="C22" s="96" t="s">
        <v>144</v>
      </c>
      <c r="D22" s="97" t="s">
        <v>84</v>
      </c>
      <c r="E22" s="242">
        <f t="shared" si="25"/>
        <v>0</v>
      </c>
      <c r="F22" s="99"/>
      <c r="G22" s="99"/>
      <c r="H22" s="99"/>
      <c r="I22" s="99"/>
      <c r="J22" s="99"/>
      <c r="K22" s="99">
        <v>117.24</v>
      </c>
      <c r="L22" s="98">
        <f t="shared" si="29"/>
        <v>0</v>
      </c>
      <c r="M22" s="95"/>
      <c r="N22" s="95"/>
      <c r="O22" s="95"/>
      <c r="P22" s="95"/>
      <c r="Q22" s="243">
        <f t="shared" si="15"/>
        <v>0</v>
      </c>
      <c r="R22" s="98">
        <f t="shared" si="16"/>
        <v>0</v>
      </c>
      <c r="S22" s="99"/>
      <c r="T22" s="99"/>
      <c r="U22" s="98">
        <f t="shared" si="1"/>
        <v>0</v>
      </c>
      <c r="V22" s="99"/>
      <c r="W22" s="99"/>
      <c r="X22" s="98">
        <f t="shared" si="2"/>
        <v>0</v>
      </c>
      <c r="Y22" s="99"/>
      <c r="Z22" s="99"/>
      <c r="AA22" s="98">
        <f t="shared" si="3"/>
        <v>0</v>
      </c>
      <c r="AB22" s="98">
        <f t="shared" si="17"/>
        <v>0</v>
      </c>
      <c r="AC22" s="244" t="e">
        <f t="shared" si="4"/>
        <v>#DIV/0!</v>
      </c>
      <c r="AD22" s="98">
        <f t="shared" si="5"/>
        <v>0</v>
      </c>
      <c r="AE22" s="99"/>
      <c r="AF22" s="244">
        <f t="shared" si="6"/>
        <v>0</v>
      </c>
      <c r="AG22" s="99"/>
      <c r="AH22" s="99"/>
      <c r="AI22" s="99"/>
      <c r="AJ22" s="99"/>
      <c r="AK22" s="99"/>
      <c r="AL22" s="128">
        <f t="shared" si="7"/>
        <v>0</v>
      </c>
      <c r="AM22" s="99"/>
      <c r="AN22" s="100">
        <f t="shared" si="18"/>
        <v>0</v>
      </c>
      <c r="AO22" s="101">
        <f t="shared" si="20"/>
        <v>0</v>
      </c>
      <c r="AP22" s="102"/>
      <c r="AQ22" s="103">
        <f t="shared" si="8"/>
        <v>0</v>
      </c>
      <c r="AR22" s="104">
        <f t="shared" si="30"/>
        <v>117.24</v>
      </c>
      <c r="AS22" s="104">
        <f t="shared" si="10"/>
        <v>0</v>
      </c>
      <c r="AT22" s="104">
        <f t="shared" si="11"/>
        <v>0</v>
      </c>
      <c r="AU22" s="104">
        <f t="shared" si="19"/>
        <v>0</v>
      </c>
      <c r="AV22" s="104">
        <f t="array" ref="AV22">_xlfn.IFS(U22=0,AO22,U22&lt;0,AO22/-U22,U22&gt;0,AO22/U22)</f>
        <v>0</v>
      </c>
      <c r="AW22" s="244">
        <f t="shared" si="27"/>
        <v>0</v>
      </c>
      <c r="AX22" s="244">
        <f t="shared" si="28"/>
        <v>0</v>
      </c>
      <c r="AY22" s="105"/>
      <c r="AZ22" s="100">
        <f t="shared" si="14"/>
        <v>0</v>
      </c>
    </row>
    <row r="23" spans="1:52" outlineLevel="1">
      <c r="A23" s="95" t="s">
        <v>124</v>
      </c>
      <c r="B23" s="96">
        <v>335389672</v>
      </c>
      <c r="C23" s="96" t="s">
        <v>145</v>
      </c>
      <c r="D23" s="97" t="s">
        <v>84</v>
      </c>
      <c r="E23" s="242">
        <f t="shared" si="25"/>
        <v>0</v>
      </c>
      <c r="F23" s="99"/>
      <c r="G23" s="99"/>
      <c r="H23" s="99"/>
      <c r="I23" s="99"/>
      <c r="J23" s="99"/>
      <c r="K23" s="99">
        <v>117.24</v>
      </c>
      <c r="L23" s="98">
        <f t="shared" si="29"/>
        <v>0</v>
      </c>
      <c r="M23" s="95"/>
      <c r="N23" s="95"/>
      <c r="O23" s="95"/>
      <c r="P23" s="95"/>
      <c r="Q23" s="243">
        <f t="shared" si="15"/>
        <v>0</v>
      </c>
      <c r="R23" s="98">
        <f t="shared" si="16"/>
        <v>0</v>
      </c>
      <c r="S23" s="99"/>
      <c r="T23" s="99"/>
      <c r="U23" s="98">
        <f t="shared" si="1"/>
        <v>0</v>
      </c>
      <c r="V23" s="99"/>
      <c r="W23" s="99"/>
      <c r="X23" s="98">
        <f t="shared" si="2"/>
        <v>0</v>
      </c>
      <c r="Y23" s="99"/>
      <c r="Z23" s="99"/>
      <c r="AA23" s="98">
        <f t="shared" si="3"/>
        <v>0</v>
      </c>
      <c r="AB23" s="98">
        <f t="shared" si="17"/>
        <v>0</v>
      </c>
      <c r="AC23" s="244" t="e">
        <f t="shared" si="4"/>
        <v>#DIV/0!</v>
      </c>
      <c r="AD23" s="98">
        <f t="shared" si="5"/>
        <v>0</v>
      </c>
      <c r="AE23" s="99"/>
      <c r="AF23" s="244">
        <f t="shared" si="6"/>
        <v>0</v>
      </c>
      <c r="AG23" s="99"/>
      <c r="AH23" s="99"/>
      <c r="AI23" s="99"/>
      <c r="AJ23" s="99"/>
      <c r="AK23" s="99"/>
      <c r="AL23" s="128">
        <f t="shared" si="7"/>
        <v>0</v>
      </c>
      <c r="AM23" s="99"/>
      <c r="AN23" s="100">
        <f t="shared" si="18"/>
        <v>0</v>
      </c>
      <c r="AO23" s="101">
        <f t="shared" si="20"/>
        <v>0</v>
      </c>
      <c r="AP23" s="102"/>
      <c r="AQ23" s="103">
        <f t="shared" si="8"/>
        <v>0</v>
      </c>
      <c r="AR23" s="104">
        <f t="shared" si="30"/>
        <v>117.24</v>
      </c>
      <c r="AS23" s="104">
        <f t="shared" si="10"/>
        <v>0</v>
      </c>
      <c r="AT23" s="104">
        <f t="shared" si="11"/>
        <v>0</v>
      </c>
      <c r="AU23" s="104">
        <f t="shared" si="19"/>
        <v>0</v>
      </c>
      <c r="AV23" s="104">
        <f t="array" ref="AV23">_xlfn.IFS(U23=0,AO23,U23&lt;0,AO23/-U23,U23&gt;0,AO23/U23)</f>
        <v>0</v>
      </c>
      <c r="AW23" s="244">
        <f t="shared" si="27"/>
        <v>0</v>
      </c>
      <c r="AX23" s="244">
        <f t="shared" si="28"/>
        <v>0</v>
      </c>
      <c r="AY23" s="105"/>
      <c r="AZ23" s="100">
        <f t="shared" si="14"/>
        <v>0</v>
      </c>
    </row>
    <row r="24" spans="1:52" outlineLevel="1">
      <c r="A24" s="95" t="s">
        <v>124</v>
      </c>
      <c r="B24" s="96">
        <v>335389846</v>
      </c>
      <c r="C24" s="96" t="s">
        <v>146</v>
      </c>
      <c r="D24" s="97" t="s">
        <v>84</v>
      </c>
      <c r="E24" s="242">
        <f t="shared" si="25"/>
        <v>0</v>
      </c>
      <c r="F24" s="99"/>
      <c r="G24" s="99"/>
      <c r="H24" s="99"/>
      <c r="I24" s="99"/>
      <c r="J24" s="99"/>
      <c r="K24" s="99">
        <v>117.24</v>
      </c>
      <c r="L24" s="98">
        <f t="shared" si="29"/>
        <v>0</v>
      </c>
      <c r="M24" s="95"/>
      <c r="N24" s="95"/>
      <c r="O24" s="95"/>
      <c r="P24" s="95"/>
      <c r="Q24" s="243">
        <f t="shared" si="15"/>
        <v>0</v>
      </c>
      <c r="R24" s="98">
        <f t="shared" si="16"/>
        <v>0</v>
      </c>
      <c r="S24" s="99"/>
      <c r="T24" s="99"/>
      <c r="U24" s="98">
        <f t="shared" si="1"/>
        <v>0</v>
      </c>
      <c r="V24" s="99"/>
      <c r="W24" s="99"/>
      <c r="X24" s="98">
        <f t="shared" si="2"/>
        <v>0</v>
      </c>
      <c r="Y24" s="99"/>
      <c r="Z24" s="99"/>
      <c r="AA24" s="98">
        <f t="shared" si="3"/>
        <v>0</v>
      </c>
      <c r="AB24" s="98">
        <f t="shared" si="17"/>
        <v>0</v>
      </c>
      <c r="AC24" s="244" t="e">
        <f t="shared" si="4"/>
        <v>#DIV/0!</v>
      </c>
      <c r="AD24" s="98">
        <f t="shared" si="5"/>
        <v>0</v>
      </c>
      <c r="AE24" s="99"/>
      <c r="AF24" s="244">
        <f t="shared" si="6"/>
        <v>0</v>
      </c>
      <c r="AG24" s="99"/>
      <c r="AH24" s="99"/>
      <c r="AI24" s="99"/>
      <c r="AJ24" s="99"/>
      <c r="AK24" s="99"/>
      <c r="AL24" s="128">
        <f t="shared" si="7"/>
        <v>0</v>
      </c>
      <c r="AM24" s="99"/>
      <c r="AN24" s="100">
        <f t="shared" si="18"/>
        <v>0</v>
      </c>
      <c r="AO24" s="101">
        <f t="shared" si="20"/>
        <v>0</v>
      </c>
      <c r="AP24" s="102"/>
      <c r="AQ24" s="103">
        <f t="shared" si="8"/>
        <v>0</v>
      </c>
      <c r="AR24" s="104">
        <f t="shared" si="30"/>
        <v>117.24</v>
      </c>
      <c r="AS24" s="104">
        <f t="shared" si="10"/>
        <v>0</v>
      </c>
      <c r="AT24" s="104">
        <f t="shared" si="11"/>
        <v>0</v>
      </c>
      <c r="AU24" s="104">
        <f t="shared" si="19"/>
        <v>0</v>
      </c>
      <c r="AV24" s="104">
        <f t="array" ref="AV24">_xlfn.IFS(U24=0,AO24,U24&lt;0,AO24/-U24,U24&gt;0,AO24/U24)</f>
        <v>0</v>
      </c>
      <c r="AW24" s="244">
        <f t="shared" si="27"/>
        <v>0</v>
      </c>
      <c r="AX24" s="244">
        <f t="shared" si="28"/>
        <v>0</v>
      </c>
      <c r="AY24" s="105"/>
      <c r="AZ24" s="100">
        <f t="shared" si="14"/>
        <v>0</v>
      </c>
    </row>
    <row r="25" spans="1:52" outlineLevel="1">
      <c r="A25" s="95" t="s">
        <v>124</v>
      </c>
      <c r="B25" s="96">
        <v>335390038</v>
      </c>
      <c r="C25" s="96" t="s">
        <v>147</v>
      </c>
      <c r="D25" s="97" t="s">
        <v>84</v>
      </c>
      <c r="E25" s="242">
        <f t="shared" si="25"/>
        <v>0</v>
      </c>
      <c r="F25" s="99"/>
      <c r="G25" s="99"/>
      <c r="H25" s="99"/>
      <c r="I25" s="99"/>
      <c r="J25" s="99"/>
      <c r="K25" s="99">
        <v>117.24</v>
      </c>
      <c r="L25" s="98">
        <f t="shared" si="29"/>
        <v>0</v>
      </c>
      <c r="M25" s="95"/>
      <c r="N25" s="95"/>
      <c r="O25" s="95"/>
      <c r="P25" s="95"/>
      <c r="Q25" s="243">
        <f t="shared" si="15"/>
        <v>0</v>
      </c>
      <c r="R25" s="98">
        <f t="shared" si="16"/>
        <v>0</v>
      </c>
      <c r="S25" s="99"/>
      <c r="T25" s="99"/>
      <c r="U25" s="98">
        <f t="shared" si="1"/>
        <v>0</v>
      </c>
      <c r="V25" s="99"/>
      <c r="W25" s="99"/>
      <c r="X25" s="98">
        <f t="shared" si="2"/>
        <v>0</v>
      </c>
      <c r="Y25" s="99"/>
      <c r="Z25" s="99"/>
      <c r="AA25" s="98">
        <f t="shared" si="3"/>
        <v>0</v>
      </c>
      <c r="AB25" s="98">
        <f t="shared" si="17"/>
        <v>0</v>
      </c>
      <c r="AC25" s="244" t="e">
        <f t="shared" si="4"/>
        <v>#DIV/0!</v>
      </c>
      <c r="AD25" s="98">
        <f t="shared" si="5"/>
        <v>0</v>
      </c>
      <c r="AE25" s="99"/>
      <c r="AF25" s="244">
        <f t="shared" si="6"/>
        <v>0</v>
      </c>
      <c r="AG25" s="99"/>
      <c r="AH25" s="99"/>
      <c r="AI25" s="99"/>
      <c r="AJ25" s="99"/>
      <c r="AK25" s="99"/>
      <c r="AL25" s="128">
        <f t="shared" si="7"/>
        <v>0</v>
      </c>
      <c r="AM25" s="99"/>
      <c r="AN25" s="100">
        <f t="shared" si="18"/>
        <v>0</v>
      </c>
      <c r="AO25" s="101">
        <f t="shared" si="20"/>
        <v>0</v>
      </c>
      <c r="AP25" s="102"/>
      <c r="AQ25" s="103">
        <f t="shared" si="8"/>
        <v>0</v>
      </c>
      <c r="AR25" s="104">
        <f t="shared" si="30"/>
        <v>117.24</v>
      </c>
      <c r="AS25" s="104">
        <f t="shared" si="10"/>
        <v>0</v>
      </c>
      <c r="AT25" s="104">
        <f t="shared" si="11"/>
        <v>0</v>
      </c>
      <c r="AU25" s="104">
        <f t="shared" si="19"/>
        <v>0</v>
      </c>
      <c r="AV25" s="104">
        <f t="array" ref="AV25">_xlfn.IFS(U25=0,AO25,U25&lt;0,AO25/-U25,U25&gt;0,AO25/U25)</f>
        <v>0</v>
      </c>
      <c r="AW25" s="244">
        <f t="shared" si="27"/>
        <v>0</v>
      </c>
      <c r="AX25" s="244">
        <f t="shared" si="28"/>
        <v>0</v>
      </c>
      <c r="AY25" s="105"/>
      <c r="AZ25" s="100">
        <f t="shared" si="14"/>
        <v>0</v>
      </c>
    </row>
    <row r="26" spans="1:52" outlineLevel="1">
      <c r="A26" s="95" t="s">
        <v>124</v>
      </c>
      <c r="B26" s="96">
        <v>207984026</v>
      </c>
      <c r="C26" s="96" t="s">
        <v>148</v>
      </c>
      <c r="D26" s="97" t="s">
        <v>84</v>
      </c>
      <c r="E26" s="242">
        <f t="shared" si="25"/>
        <v>0</v>
      </c>
      <c r="F26" s="99"/>
      <c r="G26" s="99"/>
      <c r="H26" s="99"/>
      <c r="I26" s="99"/>
      <c r="J26" s="99"/>
      <c r="K26" s="99">
        <v>123.09</v>
      </c>
      <c r="L26" s="98">
        <f t="shared" si="29"/>
        <v>0</v>
      </c>
      <c r="M26" s="95"/>
      <c r="N26" s="95"/>
      <c r="O26" s="95"/>
      <c r="P26" s="95"/>
      <c r="Q26" s="243">
        <f t="shared" si="15"/>
        <v>0</v>
      </c>
      <c r="R26" s="98">
        <f t="shared" si="16"/>
        <v>0</v>
      </c>
      <c r="S26" s="99"/>
      <c r="T26" s="99"/>
      <c r="U26" s="98">
        <f t="shared" si="1"/>
        <v>0</v>
      </c>
      <c r="V26" s="99"/>
      <c r="W26" s="99"/>
      <c r="X26" s="98">
        <f t="shared" si="2"/>
        <v>0</v>
      </c>
      <c r="Y26" s="99"/>
      <c r="Z26" s="99"/>
      <c r="AA26" s="98">
        <f t="shared" si="3"/>
        <v>0</v>
      </c>
      <c r="AB26" s="98">
        <f t="shared" si="17"/>
        <v>0</v>
      </c>
      <c r="AC26" s="244" t="e">
        <f t="shared" si="4"/>
        <v>#DIV/0!</v>
      </c>
      <c r="AD26" s="98">
        <f t="shared" si="5"/>
        <v>0</v>
      </c>
      <c r="AE26" s="99"/>
      <c r="AF26" s="244">
        <f t="shared" si="6"/>
        <v>0</v>
      </c>
      <c r="AG26" s="99"/>
      <c r="AH26" s="99"/>
      <c r="AI26" s="99"/>
      <c r="AJ26" s="99"/>
      <c r="AK26" s="99"/>
      <c r="AL26" s="128">
        <f t="shared" si="7"/>
        <v>0</v>
      </c>
      <c r="AM26" s="99"/>
      <c r="AN26" s="100">
        <f t="shared" si="18"/>
        <v>0</v>
      </c>
      <c r="AO26" s="101">
        <f t="shared" si="20"/>
        <v>0</v>
      </c>
      <c r="AP26" s="102"/>
      <c r="AQ26" s="103">
        <f t="shared" si="8"/>
        <v>0</v>
      </c>
      <c r="AR26" s="104">
        <f t="shared" si="30"/>
        <v>123.09</v>
      </c>
      <c r="AS26" s="104">
        <f t="shared" si="10"/>
        <v>0</v>
      </c>
      <c r="AT26" s="104">
        <f t="shared" si="11"/>
        <v>0</v>
      </c>
      <c r="AU26" s="104">
        <f t="shared" si="19"/>
        <v>0</v>
      </c>
      <c r="AV26" s="104">
        <f t="array" ref="AV26">_xlfn.IFS(U26=0,AO26,U26&lt;0,AO26/-U26,U26&gt;0,AO26/U26)</f>
        <v>0</v>
      </c>
      <c r="AW26" s="244">
        <f t="shared" si="27"/>
        <v>0</v>
      </c>
      <c r="AX26" s="244">
        <f t="shared" si="28"/>
        <v>0</v>
      </c>
      <c r="AY26" s="105"/>
      <c r="AZ26" s="100">
        <f t="shared" si="14"/>
        <v>0</v>
      </c>
    </row>
    <row r="27" spans="1:52" outlineLevel="1">
      <c r="A27" s="95" t="s">
        <v>124</v>
      </c>
      <c r="B27" s="96">
        <v>207984027</v>
      </c>
      <c r="C27" s="96" t="s">
        <v>149</v>
      </c>
      <c r="D27" s="97" t="s">
        <v>84</v>
      </c>
      <c r="E27" s="242">
        <f t="shared" si="25"/>
        <v>0</v>
      </c>
      <c r="F27" s="99"/>
      <c r="G27" s="99"/>
      <c r="H27" s="99"/>
      <c r="I27" s="99"/>
      <c r="J27" s="99"/>
      <c r="K27" s="99">
        <v>181.59</v>
      </c>
      <c r="L27" s="98">
        <f t="shared" si="29"/>
        <v>0</v>
      </c>
      <c r="M27" s="95"/>
      <c r="N27" s="95"/>
      <c r="O27" s="95"/>
      <c r="P27" s="95"/>
      <c r="Q27" s="243">
        <f t="shared" si="15"/>
        <v>0</v>
      </c>
      <c r="R27" s="98">
        <f t="shared" si="16"/>
        <v>0</v>
      </c>
      <c r="S27" s="99"/>
      <c r="T27" s="99"/>
      <c r="U27" s="98">
        <f t="shared" si="1"/>
        <v>0</v>
      </c>
      <c r="V27" s="99"/>
      <c r="W27" s="99"/>
      <c r="X27" s="98">
        <f t="shared" si="2"/>
        <v>0</v>
      </c>
      <c r="Y27" s="99"/>
      <c r="Z27" s="99"/>
      <c r="AA27" s="98">
        <f t="shared" si="3"/>
        <v>0</v>
      </c>
      <c r="AB27" s="98">
        <f t="shared" si="17"/>
        <v>0</v>
      </c>
      <c r="AC27" s="244" t="e">
        <f t="shared" si="4"/>
        <v>#DIV/0!</v>
      </c>
      <c r="AD27" s="98">
        <f t="shared" si="5"/>
        <v>0</v>
      </c>
      <c r="AE27" s="99"/>
      <c r="AF27" s="244">
        <f t="shared" si="6"/>
        <v>0</v>
      </c>
      <c r="AG27" s="99"/>
      <c r="AH27" s="99"/>
      <c r="AI27" s="99"/>
      <c r="AJ27" s="99"/>
      <c r="AK27" s="99"/>
      <c r="AL27" s="128">
        <f t="shared" si="7"/>
        <v>0</v>
      </c>
      <c r="AM27" s="99"/>
      <c r="AN27" s="100">
        <f t="shared" si="18"/>
        <v>0</v>
      </c>
      <c r="AO27" s="101">
        <f t="shared" si="20"/>
        <v>0</v>
      </c>
      <c r="AP27" s="102"/>
      <c r="AQ27" s="103">
        <f t="shared" si="8"/>
        <v>0</v>
      </c>
      <c r="AR27" s="104">
        <f t="shared" si="30"/>
        <v>181.59</v>
      </c>
      <c r="AS27" s="104">
        <f t="shared" si="10"/>
        <v>0</v>
      </c>
      <c r="AT27" s="104">
        <f t="shared" si="11"/>
        <v>0</v>
      </c>
      <c r="AU27" s="104">
        <f t="shared" si="19"/>
        <v>0</v>
      </c>
      <c r="AV27" s="104">
        <f t="array" ref="AV27">_xlfn.IFS(U27=0,AO27,U27&lt;0,AO27/-U27,U27&gt;0,AO27/U27)</f>
        <v>0</v>
      </c>
      <c r="AW27" s="244">
        <f t="shared" si="27"/>
        <v>0</v>
      </c>
      <c r="AX27" s="244">
        <f t="shared" si="28"/>
        <v>0</v>
      </c>
      <c r="AY27" s="105"/>
      <c r="AZ27" s="100">
        <f t="shared" si="14"/>
        <v>0</v>
      </c>
    </row>
    <row r="28" spans="1:52" outlineLevel="1">
      <c r="A28" s="95" t="s">
        <v>124</v>
      </c>
      <c r="B28" s="96">
        <v>207984028</v>
      </c>
      <c r="C28" s="96" t="s">
        <v>150</v>
      </c>
      <c r="D28" s="97" t="s">
        <v>84</v>
      </c>
      <c r="E28" s="242">
        <f t="shared" ref="E28" si="31">SUM(F28:J28)</f>
        <v>0</v>
      </c>
      <c r="F28" s="99"/>
      <c r="G28" s="99"/>
      <c r="H28" s="99"/>
      <c r="I28" s="99"/>
      <c r="J28" s="99"/>
      <c r="K28" s="99">
        <v>133.62</v>
      </c>
      <c r="L28" s="98">
        <f t="shared" si="29"/>
        <v>0</v>
      </c>
      <c r="M28" s="95"/>
      <c r="N28" s="95"/>
      <c r="O28" s="95"/>
      <c r="P28" s="95"/>
      <c r="Q28" s="243">
        <f t="shared" si="15"/>
        <v>0</v>
      </c>
      <c r="R28" s="98">
        <f t="shared" si="16"/>
        <v>0</v>
      </c>
      <c r="S28" s="99"/>
      <c r="T28" s="99"/>
      <c r="U28" s="98">
        <f t="shared" si="1"/>
        <v>0</v>
      </c>
      <c r="V28" s="99"/>
      <c r="W28" s="99"/>
      <c r="X28" s="98">
        <f t="shared" si="2"/>
        <v>0</v>
      </c>
      <c r="Y28" s="99"/>
      <c r="Z28" s="99"/>
      <c r="AA28" s="98">
        <f t="shared" si="3"/>
        <v>0</v>
      </c>
      <c r="AB28" s="98">
        <f t="shared" si="17"/>
        <v>0</v>
      </c>
      <c r="AC28" s="244" t="e">
        <f t="shared" si="4"/>
        <v>#DIV/0!</v>
      </c>
      <c r="AD28" s="98">
        <f t="shared" si="5"/>
        <v>0</v>
      </c>
      <c r="AE28" s="99"/>
      <c r="AF28" s="244">
        <f t="shared" si="6"/>
        <v>0</v>
      </c>
      <c r="AG28" s="99"/>
      <c r="AH28" s="99"/>
      <c r="AI28" s="99"/>
      <c r="AJ28" s="99"/>
      <c r="AK28" s="99"/>
      <c r="AL28" s="128">
        <f t="shared" si="7"/>
        <v>0</v>
      </c>
      <c r="AM28" s="99"/>
      <c r="AN28" s="100">
        <f t="shared" si="18"/>
        <v>0</v>
      </c>
      <c r="AO28" s="101">
        <f t="shared" si="20"/>
        <v>0</v>
      </c>
      <c r="AP28" s="102"/>
      <c r="AQ28" s="103">
        <f t="shared" si="8"/>
        <v>0</v>
      </c>
      <c r="AR28" s="104">
        <f t="shared" si="30"/>
        <v>133.62</v>
      </c>
      <c r="AS28" s="104">
        <f t="shared" si="10"/>
        <v>0</v>
      </c>
      <c r="AT28" s="104">
        <f t="shared" si="11"/>
        <v>0</v>
      </c>
      <c r="AU28" s="104">
        <f t="shared" si="19"/>
        <v>0</v>
      </c>
      <c r="AV28" s="104">
        <f>_xlfn.IFS(U28=0,AO28,U28&lt;0,AO28/-U28,U28&gt;0,AO28/U28)</f>
        <v>0</v>
      </c>
      <c r="AW28" s="244">
        <f t="shared" si="27"/>
        <v>0</v>
      </c>
      <c r="AX28" s="244">
        <f t="shared" si="28"/>
        <v>0</v>
      </c>
      <c r="AY28" s="105"/>
      <c r="AZ28" s="100">
        <f t="shared" si="14"/>
        <v>0</v>
      </c>
    </row>
    <row r="29" spans="1:52" outlineLevel="1">
      <c r="A29" s="95" t="s">
        <v>124</v>
      </c>
      <c r="B29" s="96">
        <v>207984029</v>
      </c>
      <c r="C29" s="96" t="s">
        <v>151</v>
      </c>
      <c r="D29" s="97" t="s">
        <v>84</v>
      </c>
      <c r="E29" s="242">
        <f>SUM(F29:J29)</f>
        <v>0</v>
      </c>
      <c r="F29" s="99"/>
      <c r="G29" s="99"/>
      <c r="H29" s="99"/>
      <c r="I29" s="99"/>
      <c r="J29" s="99"/>
      <c r="K29" s="99">
        <v>111.39</v>
      </c>
      <c r="L29" s="98">
        <f>E29*K29</f>
        <v>0</v>
      </c>
      <c r="M29" s="95"/>
      <c r="N29" s="95"/>
      <c r="O29" s="95"/>
      <c r="P29" s="95"/>
      <c r="Q29" s="243">
        <f t="shared" si="15"/>
        <v>0</v>
      </c>
      <c r="R29" s="98">
        <f t="shared" si="16"/>
        <v>0</v>
      </c>
      <c r="S29" s="99"/>
      <c r="T29" s="99"/>
      <c r="U29" s="98">
        <f t="shared" si="1"/>
        <v>0</v>
      </c>
      <c r="V29" s="99"/>
      <c r="W29" s="99"/>
      <c r="X29" s="98">
        <f t="shared" si="2"/>
        <v>0</v>
      </c>
      <c r="Y29" s="99"/>
      <c r="Z29" s="99"/>
      <c r="AA29" s="98">
        <f t="shared" si="3"/>
        <v>0</v>
      </c>
      <c r="AB29" s="98">
        <f t="shared" si="17"/>
        <v>0</v>
      </c>
      <c r="AC29" s="244" t="e">
        <f t="shared" si="4"/>
        <v>#DIV/0!</v>
      </c>
      <c r="AD29" s="98">
        <f t="shared" si="5"/>
        <v>0</v>
      </c>
      <c r="AE29" s="99"/>
      <c r="AF29" s="244">
        <f t="shared" si="6"/>
        <v>0</v>
      </c>
      <c r="AG29" s="99"/>
      <c r="AH29" s="99"/>
      <c r="AI29" s="99"/>
      <c r="AJ29" s="99"/>
      <c r="AK29" s="99"/>
      <c r="AL29" s="128">
        <f t="shared" si="7"/>
        <v>0</v>
      </c>
      <c r="AM29" s="99"/>
      <c r="AN29" s="100">
        <f t="shared" si="18"/>
        <v>0</v>
      </c>
      <c r="AO29" s="101">
        <f t="shared" si="20"/>
        <v>0</v>
      </c>
      <c r="AP29" s="102"/>
      <c r="AQ29" s="103">
        <f t="shared" si="8"/>
        <v>0</v>
      </c>
      <c r="AR29" s="104">
        <f t="shared" si="30"/>
        <v>111.39</v>
      </c>
      <c r="AS29" s="104">
        <f t="shared" si="10"/>
        <v>0</v>
      </c>
      <c r="AT29" s="104">
        <f t="shared" si="11"/>
        <v>0</v>
      </c>
      <c r="AU29" s="104">
        <f t="shared" si="19"/>
        <v>0</v>
      </c>
      <c r="AV29" s="104">
        <f t="array" ref="AV29">_xlfn.IFS(U29=0,AO29,U29&lt;0,AO29/-U29,U29&gt;0,AO29/U29)</f>
        <v>0</v>
      </c>
      <c r="AW29" s="244">
        <f>IF(AQ29=0,0,AV29/AQ29)</f>
        <v>0</v>
      </c>
      <c r="AX29" s="244">
        <f>IF(AR29=0,0,AV29/AR29)</f>
        <v>0</v>
      </c>
      <c r="AY29" s="105"/>
      <c r="AZ29" s="100">
        <f t="shared" si="14"/>
        <v>0</v>
      </c>
    </row>
    <row r="30" spans="1:52" outlineLevel="1">
      <c r="A30" s="95" t="s">
        <v>124</v>
      </c>
      <c r="B30" s="96">
        <v>233496972</v>
      </c>
      <c r="C30" s="96" t="s">
        <v>152</v>
      </c>
      <c r="D30" s="97" t="s">
        <v>84</v>
      </c>
      <c r="E30" s="242">
        <f>SUM(F30:J30)</f>
        <v>0</v>
      </c>
      <c r="F30" s="99"/>
      <c r="G30" s="99"/>
      <c r="H30" s="99"/>
      <c r="I30" s="99"/>
      <c r="J30" s="99"/>
      <c r="K30" s="99">
        <v>111.39</v>
      </c>
      <c r="L30" s="98">
        <f>E30*K30</f>
        <v>0</v>
      </c>
      <c r="M30" s="95"/>
      <c r="N30" s="95"/>
      <c r="O30" s="95"/>
      <c r="P30" s="95"/>
      <c r="Q30" s="243">
        <f t="shared" si="15"/>
        <v>0</v>
      </c>
      <c r="R30" s="98">
        <f t="shared" si="16"/>
        <v>0</v>
      </c>
      <c r="S30" s="99"/>
      <c r="T30" s="99"/>
      <c r="U30" s="98">
        <f t="shared" si="1"/>
        <v>0</v>
      </c>
      <c r="V30" s="99"/>
      <c r="W30" s="99"/>
      <c r="X30" s="98">
        <f t="shared" si="2"/>
        <v>0</v>
      </c>
      <c r="Y30" s="99"/>
      <c r="Z30" s="99"/>
      <c r="AA30" s="98">
        <f t="shared" si="3"/>
        <v>0</v>
      </c>
      <c r="AB30" s="98">
        <f t="shared" si="17"/>
        <v>0</v>
      </c>
      <c r="AC30" s="244" t="e">
        <f t="shared" si="4"/>
        <v>#DIV/0!</v>
      </c>
      <c r="AD30" s="98">
        <f t="shared" si="5"/>
        <v>0</v>
      </c>
      <c r="AE30" s="99"/>
      <c r="AF30" s="244">
        <f t="shared" si="6"/>
        <v>0</v>
      </c>
      <c r="AG30" s="99"/>
      <c r="AH30" s="99"/>
      <c r="AI30" s="99"/>
      <c r="AJ30" s="99"/>
      <c r="AK30" s="99"/>
      <c r="AL30" s="128">
        <f t="shared" si="7"/>
        <v>0</v>
      </c>
      <c r="AM30" s="99"/>
      <c r="AN30" s="100">
        <f t="shared" si="18"/>
        <v>0</v>
      </c>
      <c r="AO30" s="101">
        <f t="shared" si="20"/>
        <v>0</v>
      </c>
      <c r="AP30" s="102"/>
      <c r="AQ30" s="103">
        <f t="shared" si="8"/>
        <v>0</v>
      </c>
      <c r="AR30" s="104">
        <f t="shared" si="30"/>
        <v>111.39</v>
      </c>
      <c r="AS30" s="104">
        <f t="shared" si="10"/>
        <v>0</v>
      </c>
      <c r="AT30" s="104">
        <f t="shared" si="11"/>
        <v>0</v>
      </c>
      <c r="AU30" s="104">
        <f t="shared" si="19"/>
        <v>0</v>
      </c>
      <c r="AV30" s="104">
        <f t="array" ref="AV30">_xlfn.IFS(U30=0,AO30,U30&lt;0,AO30/-U30,U30&gt;0,AO30/U30)</f>
        <v>0</v>
      </c>
      <c r="AW30" s="244">
        <f>IF(AQ30=0,0,AV30/AQ30)</f>
        <v>0</v>
      </c>
      <c r="AX30" s="244">
        <f>IF(AR30=0,0,AV30/AR30)</f>
        <v>0</v>
      </c>
      <c r="AY30" s="105"/>
      <c r="AZ30" s="100">
        <f t="shared" si="14"/>
        <v>0</v>
      </c>
    </row>
    <row r="31" spans="1:52" outlineLevel="1">
      <c r="A31" s="95" t="s">
        <v>124</v>
      </c>
      <c r="B31" s="96">
        <v>233497520</v>
      </c>
      <c r="C31" s="96" t="s">
        <v>153</v>
      </c>
      <c r="D31" s="97" t="s">
        <v>84</v>
      </c>
      <c r="E31" s="242">
        <f>SUM(F31:J31)</f>
        <v>0</v>
      </c>
      <c r="F31" s="99"/>
      <c r="G31" s="99"/>
      <c r="H31" s="99"/>
      <c r="I31" s="99"/>
      <c r="J31" s="99"/>
      <c r="K31" s="99">
        <v>105.54</v>
      </c>
      <c r="L31" s="98">
        <f>E31*K31</f>
        <v>0</v>
      </c>
      <c r="M31" s="95"/>
      <c r="N31" s="95"/>
      <c r="O31" s="95"/>
      <c r="P31" s="95"/>
      <c r="Q31" s="243">
        <f t="shared" si="15"/>
        <v>0</v>
      </c>
      <c r="R31" s="98">
        <f t="shared" si="16"/>
        <v>0</v>
      </c>
      <c r="S31" s="99"/>
      <c r="T31" s="99"/>
      <c r="U31" s="98">
        <f t="shared" si="1"/>
        <v>0</v>
      </c>
      <c r="V31" s="99"/>
      <c r="W31" s="99"/>
      <c r="X31" s="98">
        <f t="shared" si="2"/>
        <v>0</v>
      </c>
      <c r="Y31" s="99"/>
      <c r="Z31" s="99"/>
      <c r="AA31" s="98">
        <f t="shared" si="3"/>
        <v>0</v>
      </c>
      <c r="AB31" s="98">
        <f t="shared" si="17"/>
        <v>0</v>
      </c>
      <c r="AC31" s="244" t="e">
        <f t="shared" si="4"/>
        <v>#DIV/0!</v>
      </c>
      <c r="AD31" s="98">
        <f t="shared" si="5"/>
        <v>0</v>
      </c>
      <c r="AE31" s="99"/>
      <c r="AF31" s="244">
        <f t="shared" si="6"/>
        <v>0</v>
      </c>
      <c r="AG31" s="99"/>
      <c r="AH31" s="99"/>
      <c r="AI31" s="99"/>
      <c r="AJ31" s="99"/>
      <c r="AK31" s="99"/>
      <c r="AL31" s="128">
        <f t="shared" si="7"/>
        <v>0</v>
      </c>
      <c r="AM31" s="99"/>
      <c r="AN31" s="100">
        <f t="shared" si="18"/>
        <v>0</v>
      </c>
      <c r="AO31" s="101">
        <f t="shared" si="20"/>
        <v>0</v>
      </c>
      <c r="AP31" s="102"/>
      <c r="AQ31" s="103">
        <f t="shared" si="8"/>
        <v>0</v>
      </c>
      <c r="AR31" s="104">
        <f t="shared" si="30"/>
        <v>105.54</v>
      </c>
      <c r="AS31" s="104">
        <f t="shared" si="10"/>
        <v>0</v>
      </c>
      <c r="AT31" s="104">
        <f t="shared" si="11"/>
        <v>0</v>
      </c>
      <c r="AU31" s="104">
        <f t="shared" si="19"/>
        <v>0</v>
      </c>
      <c r="AV31" s="104">
        <f t="array" ref="AV31">_xlfn.IFS(U31=0,AO31,U31&lt;0,AO31/-U31,U31&gt;0,AO31/U31)</f>
        <v>0</v>
      </c>
      <c r="AW31" s="244">
        <f>IF(AQ31=0,0,AV31/AQ31)</f>
        <v>0</v>
      </c>
      <c r="AX31" s="244">
        <f>IF(AR31=0,0,AV31/AR31)</f>
        <v>0</v>
      </c>
      <c r="AY31" s="105"/>
      <c r="AZ31" s="100">
        <f t="shared" si="14"/>
        <v>0</v>
      </c>
    </row>
    <row r="32" spans="1:52" outlineLevel="1">
      <c r="A32" s="95" t="s">
        <v>124</v>
      </c>
      <c r="B32" s="96">
        <v>233498313</v>
      </c>
      <c r="C32" s="96" t="s">
        <v>154</v>
      </c>
      <c r="D32" s="97" t="s">
        <v>84</v>
      </c>
      <c r="E32" s="242">
        <f t="shared" ref="E32" si="32">SUM(F32:J32)</f>
        <v>0</v>
      </c>
      <c r="F32" s="99"/>
      <c r="G32" s="99"/>
      <c r="H32" s="99"/>
      <c r="I32" s="99"/>
      <c r="J32" s="99"/>
      <c r="K32" s="99">
        <v>140.63999999999999</v>
      </c>
      <c r="L32" s="98">
        <f t="shared" ref="L32" si="33">E32*K32</f>
        <v>0</v>
      </c>
      <c r="M32" s="95"/>
      <c r="N32" s="95"/>
      <c r="O32" s="95"/>
      <c r="P32" s="95"/>
      <c r="Q32" s="243">
        <f t="shared" si="15"/>
        <v>0</v>
      </c>
      <c r="R32" s="98">
        <f t="shared" si="16"/>
        <v>0</v>
      </c>
      <c r="S32" s="99"/>
      <c r="T32" s="99"/>
      <c r="U32" s="98">
        <f t="shared" si="1"/>
        <v>0</v>
      </c>
      <c r="V32" s="99"/>
      <c r="W32" s="99"/>
      <c r="X32" s="98">
        <f t="shared" si="2"/>
        <v>0</v>
      </c>
      <c r="Y32" s="99"/>
      <c r="Z32" s="99"/>
      <c r="AA32" s="98">
        <f t="shared" si="3"/>
        <v>0</v>
      </c>
      <c r="AB32" s="98">
        <f t="shared" si="17"/>
        <v>0</v>
      </c>
      <c r="AC32" s="244" t="e">
        <f t="shared" si="4"/>
        <v>#DIV/0!</v>
      </c>
      <c r="AD32" s="98">
        <f t="shared" si="5"/>
        <v>0</v>
      </c>
      <c r="AE32" s="99"/>
      <c r="AF32" s="244">
        <f t="shared" si="6"/>
        <v>0</v>
      </c>
      <c r="AG32" s="99"/>
      <c r="AH32" s="99"/>
      <c r="AI32" s="99"/>
      <c r="AJ32" s="99"/>
      <c r="AK32" s="99"/>
      <c r="AL32" s="128">
        <f t="shared" si="7"/>
        <v>0</v>
      </c>
      <c r="AM32" s="99"/>
      <c r="AN32" s="100">
        <f t="shared" si="18"/>
        <v>0</v>
      </c>
      <c r="AO32" s="101">
        <f t="shared" si="20"/>
        <v>0</v>
      </c>
      <c r="AP32" s="102"/>
      <c r="AQ32" s="103">
        <f t="shared" si="8"/>
        <v>0</v>
      </c>
      <c r="AR32" s="104">
        <f t="shared" si="30"/>
        <v>140.63999999999999</v>
      </c>
      <c r="AS32" s="104">
        <f t="shared" si="10"/>
        <v>0</v>
      </c>
      <c r="AT32" s="104">
        <f t="shared" si="11"/>
        <v>0</v>
      </c>
      <c r="AU32" s="104">
        <f t="shared" si="19"/>
        <v>0</v>
      </c>
      <c r="AV32" s="104">
        <f t="array" ref="AV32">_xlfn.IFS(U32=0,AO32,U32&lt;0,AO32/-U32,U32&gt;0,AO32/U32)</f>
        <v>0</v>
      </c>
      <c r="AW32" s="244">
        <f t="shared" ref="AW32" si="34">IF(AQ32=0,0,AV32/AQ32)</f>
        <v>0</v>
      </c>
      <c r="AX32" s="244">
        <f t="shared" ref="AX32" si="35">IF(AR32=0,0,AV32/AR32)</f>
        <v>0</v>
      </c>
      <c r="AY32" s="105"/>
      <c r="AZ32" s="100">
        <f t="shared" si="14"/>
        <v>0</v>
      </c>
    </row>
    <row r="33" spans="1:52" outlineLevel="1">
      <c r="A33" s="95" t="s">
        <v>124</v>
      </c>
      <c r="B33" s="96">
        <v>233499847</v>
      </c>
      <c r="C33" s="96" t="s">
        <v>155</v>
      </c>
      <c r="D33" s="97" t="s">
        <v>84</v>
      </c>
      <c r="E33" s="242">
        <f>SUM(F33:J33)</f>
        <v>0</v>
      </c>
      <c r="F33" s="99"/>
      <c r="G33" s="99"/>
      <c r="H33" s="99"/>
      <c r="I33" s="99"/>
      <c r="J33" s="99"/>
      <c r="K33" s="99">
        <v>123.09</v>
      </c>
      <c r="L33" s="98">
        <f>E33*K33</f>
        <v>0</v>
      </c>
      <c r="M33" s="95"/>
      <c r="N33" s="95"/>
      <c r="O33" s="95"/>
      <c r="P33" s="95"/>
      <c r="Q33" s="243">
        <f t="shared" si="15"/>
        <v>0</v>
      </c>
      <c r="R33" s="98">
        <f t="shared" si="16"/>
        <v>0</v>
      </c>
      <c r="S33" s="99"/>
      <c r="T33" s="99"/>
      <c r="U33" s="98">
        <f t="shared" si="1"/>
        <v>0</v>
      </c>
      <c r="V33" s="99"/>
      <c r="W33" s="99"/>
      <c r="X33" s="98">
        <f t="shared" si="2"/>
        <v>0</v>
      </c>
      <c r="Y33" s="99"/>
      <c r="Z33" s="99"/>
      <c r="AA33" s="98">
        <f t="shared" si="3"/>
        <v>0</v>
      </c>
      <c r="AB33" s="98">
        <f t="shared" si="17"/>
        <v>0</v>
      </c>
      <c r="AC33" s="244" t="e">
        <f t="shared" si="4"/>
        <v>#DIV/0!</v>
      </c>
      <c r="AD33" s="98">
        <f t="shared" si="5"/>
        <v>0</v>
      </c>
      <c r="AE33" s="99"/>
      <c r="AF33" s="244">
        <f t="shared" si="6"/>
        <v>0</v>
      </c>
      <c r="AG33" s="99"/>
      <c r="AH33" s="99"/>
      <c r="AI33" s="99"/>
      <c r="AJ33" s="99"/>
      <c r="AK33" s="99"/>
      <c r="AL33" s="128">
        <f t="shared" si="7"/>
        <v>0</v>
      </c>
      <c r="AM33" s="99"/>
      <c r="AN33" s="100">
        <f t="shared" si="18"/>
        <v>0</v>
      </c>
      <c r="AO33" s="101">
        <f t="shared" si="20"/>
        <v>0</v>
      </c>
      <c r="AP33" s="102"/>
      <c r="AQ33" s="103">
        <f t="shared" si="8"/>
        <v>0</v>
      </c>
      <c r="AR33" s="104">
        <f t="shared" si="30"/>
        <v>123.09</v>
      </c>
      <c r="AS33" s="104">
        <f t="shared" si="10"/>
        <v>0</v>
      </c>
      <c r="AT33" s="104">
        <f t="shared" si="11"/>
        <v>0</v>
      </c>
      <c r="AU33" s="104">
        <f t="shared" si="19"/>
        <v>0</v>
      </c>
      <c r="AV33" s="104">
        <f t="array" ref="AV33">_xlfn.IFS(U33=0,AO33,U33&lt;0,AO33/-U33,U33&gt;0,AO33/U33)</f>
        <v>0</v>
      </c>
      <c r="AW33" s="244">
        <f>IF(AQ33=0,0,AV33/AQ33)</f>
        <v>0</v>
      </c>
      <c r="AX33" s="244">
        <f>IF(AR33=0,0,AV33/AR33)</f>
        <v>0</v>
      </c>
      <c r="AY33" s="105"/>
      <c r="AZ33" s="100">
        <f t="shared" si="14"/>
        <v>0</v>
      </c>
    </row>
    <row r="34" spans="1:52" outlineLevel="1">
      <c r="A34" s="95" t="s">
        <v>124</v>
      </c>
      <c r="B34" s="96">
        <v>233500274</v>
      </c>
      <c r="C34" s="96" t="s">
        <v>156</v>
      </c>
      <c r="D34" s="97" t="s">
        <v>84</v>
      </c>
      <c r="E34" s="242">
        <f>SUM(F34:J34)</f>
        <v>0</v>
      </c>
      <c r="F34" s="99"/>
      <c r="G34" s="99"/>
      <c r="H34" s="99"/>
      <c r="I34" s="99"/>
      <c r="J34" s="99"/>
      <c r="K34" s="99">
        <v>117.24</v>
      </c>
      <c r="L34" s="98">
        <f>E34*K34</f>
        <v>0</v>
      </c>
      <c r="M34" s="95"/>
      <c r="N34" s="95"/>
      <c r="O34" s="95"/>
      <c r="P34" s="95"/>
      <c r="Q34" s="243">
        <f t="shared" si="15"/>
        <v>0</v>
      </c>
      <c r="R34" s="98">
        <f t="shared" si="16"/>
        <v>0</v>
      </c>
      <c r="S34" s="99"/>
      <c r="T34" s="99"/>
      <c r="U34" s="98">
        <f t="shared" si="1"/>
        <v>0</v>
      </c>
      <c r="V34" s="99"/>
      <c r="W34" s="99"/>
      <c r="X34" s="98">
        <f t="shared" si="2"/>
        <v>0</v>
      </c>
      <c r="Y34" s="99"/>
      <c r="Z34" s="99"/>
      <c r="AA34" s="98">
        <f t="shared" si="3"/>
        <v>0</v>
      </c>
      <c r="AB34" s="98">
        <f t="shared" si="17"/>
        <v>0</v>
      </c>
      <c r="AC34" s="244" t="e">
        <f t="shared" si="4"/>
        <v>#DIV/0!</v>
      </c>
      <c r="AD34" s="98">
        <f t="shared" si="5"/>
        <v>0</v>
      </c>
      <c r="AE34" s="99"/>
      <c r="AF34" s="244">
        <f t="shared" si="6"/>
        <v>0</v>
      </c>
      <c r="AG34" s="99"/>
      <c r="AH34" s="99"/>
      <c r="AI34" s="99"/>
      <c r="AJ34" s="99"/>
      <c r="AK34" s="99"/>
      <c r="AL34" s="128">
        <f t="shared" si="7"/>
        <v>0</v>
      </c>
      <c r="AM34" s="99"/>
      <c r="AN34" s="100">
        <f t="shared" si="18"/>
        <v>0</v>
      </c>
      <c r="AO34" s="101">
        <f t="shared" si="20"/>
        <v>0</v>
      </c>
      <c r="AP34" s="102"/>
      <c r="AQ34" s="103">
        <f t="shared" si="8"/>
        <v>0</v>
      </c>
      <c r="AR34" s="104">
        <f t="shared" si="30"/>
        <v>117.24</v>
      </c>
      <c r="AS34" s="104">
        <f t="shared" si="10"/>
        <v>0</v>
      </c>
      <c r="AT34" s="104">
        <f t="shared" si="11"/>
        <v>0</v>
      </c>
      <c r="AU34" s="104">
        <f t="shared" si="19"/>
        <v>0</v>
      </c>
      <c r="AV34" s="104">
        <f t="array" ref="AV34">_xlfn.IFS(U34=0,AO34,U34&lt;0,AO34/-U34,U34&gt;0,AO34/U34)</f>
        <v>0</v>
      </c>
      <c r="AW34" s="244">
        <f>IF(AQ34=0,0,AV34/AQ34)</f>
        <v>0</v>
      </c>
      <c r="AX34" s="244">
        <f>IF(AR34=0,0,AV34/AR34)</f>
        <v>0</v>
      </c>
      <c r="AY34" s="105"/>
      <c r="AZ34" s="100">
        <f t="shared" si="14"/>
        <v>0</v>
      </c>
    </row>
    <row r="35" spans="1:52" outlineLevel="1">
      <c r="A35" s="95" t="s">
        <v>124</v>
      </c>
      <c r="B35" s="96">
        <v>471878869</v>
      </c>
      <c r="C35" s="96" t="s">
        <v>157</v>
      </c>
      <c r="D35" s="97" t="s">
        <v>84</v>
      </c>
      <c r="E35" s="242">
        <f t="shared" ref="E35:E53" si="36">SUM(F35:J35)</f>
        <v>0</v>
      </c>
      <c r="F35" s="99"/>
      <c r="G35" s="99"/>
      <c r="H35" s="99"/>
      <c r="I35" s="99"/>
      <c r="J35" s="99"/>
      <c r="K35" s="99">
        <v>128.94</v>
      </c>
      <c r="L35" s="98">
        <f t="shared" ref="L35:L98" si="37">E35*K35</f>
        <v>0</v>
      </c>
      <c r="M35" s="95"/>
      <c r="N35" s="95"/>
      <c r="O35" s="95"/>
      <c r="P35" s="95"/>
      <c r="Q35" s="243">
        <f t="shared" si="15"/>
        <v>0</v>
      </c>
      <c r="R35" s="98">
        <f t="shared" si="16"/>
        <v>0</v>
      </c>
      <c r="S35" s="99"/>
      <c r="T35" s="99"/>
      <c r="U35" s="98">
        <f t="shared" si="1"/>
        <v>0</v>
      </c>
      <c r="V35" s="99"/>
      <c r="W35" s="99"/>
      <c r="X35" s="98">
        <f t="shared" si="2"/>
        <v>0</v>
      </c>
      <c r="Y35" s="99"/>
      <c r="Z35" s="99"/>
      <c r="AA35" s="98">
        <f t="shared" si="3"/>
        <v>0</v>
      </c>
      <c r="AB35" s="98">
        <f t="shared" si="17"/>
        <v>0</v>
      </c>
      <c r="AC35" s="244" t="e">
        <f t="shared" si="4"/>
        <v>#DIV/0!</v>
      </c>
      <c r="AD35" s="98">
        <f t="shared" si="5"/>
        <v>0</v>
      </c>
      <c r="AE35" s="99"/>
      <c r="AF35" s="244">
        <f t="shared" si="6"/>
        <v>0</v>
      </c>
      <c r="AG35" s="99"/>
      <c r="AH35" s="99"/>
      <c r="AI35" s="99"/>
      <c r="AJ35" s="99"/>
      <c r="AK35" s="99"/>
      <c r="AL35" s="128">
        <f t="shared" si="7"/>
        <v>0</v>
      </c>
      <c r="AM35" s="99"/>
      <c r="AN35" s="100">
        <f t="shared" si="18"/>
        <v>0</v>
      </c>
      <c r="AO35" s="101">
        <f t="shared" si="20"/>
        <v>0</v>
      </c>
      <c r="AP35" s="102"/>
      <c r="AQ35" s="103">
        <f t="shared" si="8"/>
        <v>0</v>
      </c>
      <c r="AR35" s="104">
        <f t="shared" si="30"/>
        <v>128.94</v>
      </c>
      <c r="AS35" s="104">
        <f t="shared" si="10"/>
        <v>0</v>
      </c>
      <c r="AT35" s="104">
        <f t="shared" si="11"/>
        <v>0</v>
      </c>
      <c r="AU35" s="104">
        <f t="shared" si="19"/>
        <v>0</v>
      </c>
      <c r="AV35" s="104">
        <f t="array" ref="AV35">_xlfn.IFS(U35=0,AO35,U35&lt;0,AO35/-U35,U35&gt;0,AO35/U35)</f>
        <v>0</v>
      </c>
      <c r="AW35" s="244">
        <f t="shared" ref="AW35:AW98" si="38">IF(AQ35=0,0,AV35/AQ35)</f>
        <v>0</v>
      </c>
      <c r="AX35" s="244">
        <f t="shared" ref="AX35:AX98" si="39">IF(AR35=0,0,AV35/AR35)</f>
        <v>0</v>
      </c>
      <c r="AY35" s="105"/>
      <c r="AZ35" s="100">
        <f t="shared" si="14"/>
        <v>0</v>
      </c>
    </row>
    <row r="36" spans="1:52" outlineLevel="1">
      <c r="A36" s="95" t="s">
        <v>124</v>
      </c>
      <c r="B36" s="96">
        <v>471878989</v>
      </c>
      <c r="C36" s="96" t="s">
        <v>158</v>
      </c>
      <c r="D36" s="97" t="s">
        <v>84</v>
      </c>
      <c r="E36" s="242">
        <f t="shared" si="36"/>
        <v>0</v>
      </c>
      <c r="F36" s="99"/>
      <c r="G36" s="99"/>
      <c r="H36" s="99"/>
      <c r="I36" s="99"/>
      <c r="J36" s="99"/>
      <c r="K36" s="99">
        <v>169.89</v>
      </c>
      <c r="L36" s="98">
        <f t="shared" si="37"/>
        <v>0</v>
      </c>
      <c r="M36" s="95"/>
      <c r="N36" s="95"/>
      <c r="O36" s="95"/>
      <c r="P36" s="95"/>
      <c r="Q36" s="243">
        <f t="shared" si="15"/>
        <v>0</v>
      </c>
      <c r="R36" s="98">
        <f t="shared" si="16"/>
        <v>0</v>
      </c>
      <c r="S36" s="99"/>
      <c r="T36" s="99"/>
      <c r="U36" s="98">
        <f t="shared" si="1"/>
        <v>0</v>
      </c>
      <c r="V36" s="99"/>
      <c r="W36" s="99"/>
      <c r="X36" s="98">
        <f t="shared" si="2"/>
        <v>0</v>
      </c>
      <c r="Y36" s="99"/>
      <c r="Z36" s="99"/>
      <c r="AA36" s="98">
        <f t="shared" si="3"/>
        <v>0</v>
      </c>
      <c r="AB36" s="98">
        <f t="shared" si="17"/>
        <v>0</v>
      </c>
      <c r="AC36" s="244" t="e">
        <f t="shared" si="4"/>
        <v>#DIV/0!</v>
      </c>
      <c r="AD36" s="98">
        <f t="shared" si="5"/>
        <v>0</v>
      </c>
      <c r="AE36" s="99"/>
      <c r="AF36" s="244">
        <f t="shared" si="6"/>
        <v>0</v>
      </c>
      <c r="AG36" s="99"/>
      <c r="AH36" s="99"/>
      <c r="AI36" s="99"/>
      <c r="AJ36" s="99"/>
      <c r="AK36" s="99"/>
      <c r="AL36" s="128">
        <f t="shared" si="7"/>
        <v>0</v>
      </c>
      <c r="AM36" s="99"/>
      <c r="AN36" s="100">
        <f t="shared" si="18"/>
        <v>0</v>
      </c>
      <c r="AO36" s="101">
        <f t="shared" si="20"/>
        <v>0</v>
      </c>
      <c r="AP36" s="102"/>
      <c r="AQ36" s="103">
        <f t="shared" si="8"/>
        <v>0</v>
      </c>
      <c r="AR36" s="104">
        <f t="shared" si="30"/>
        <v>169.89</v>
      </c>
      <c r="AS36" s="104">
        <f t="shared" si="10"/>
        <v>0</v>
      </c>
      <c r="AT36" s="104">
        <f t="shared" si="11"/>
        <v>0</v>
      </c>
      <c r="AU36" s="104">
        <f t="shared" si="19"/>
        <v>0</v>
      </c>
      <c r="AV36" s="104">
        <f t="array" ref="AV36">_xlfn.IFS(U36=0,AO36,U36&lt;0,AO36/-U36,U36&gt;0,AO36/U36)</f>
        <v>0</v>
      </c>
      <c r="AW36" s="244">
        <f t="shared" si="38"/>
        <v>0</v>
      </c>
      <c r="AX36" s="244">
        <f t="shared" si="39"/>
        <v>0</v>
      </c>
      <c r="AY36" s="105"/>
      <c r="AZ36" s="100">
        <f t="shared" si="14"/>
        <v>0</v>
      </c>
    </row>
    <row r="37" spans="1:52" outlineLevel="1">
      <c r="A37" s="95" t="s">
        <v>124</v>
      </c>
      <c r="B37" s="96">
        <v>471879283</v>
      </c>
      <c r="C37" s="96" t="s">
        <v>159</v>
      </c>
      <c r="D37" s="97" t="s">
        <v>84</v>
      </c>
      <c r="E37" s="242">
        <f t="shared" si="36"/>
        <v>0</v>
      </c>
      <c r="F37" s="99"/>
      <c r="G37" s="99"/>
      <c r="H37" s="99"/>
      <c r="I37" s="99"/>
      <c r="J37" s="99"/>
      <c r="K37" s="99">
        <v>169.89</v>
      </c>
      <c r="L37" s="98">
        <f t="shared" si="37"/>
        <v>0</v>
      </c>
      <c r="M37" s="95"/>
      <c r="N37" s="95"/>
      <c r="O37" s="95"/>
      <c r="P37" s="95"/>
      <c r="Q37" s="243">
        <f t="shared" si="15"/>
        <v>0</v>
      </c>
      <c r="R37" s="98">
        <f t="shared" si="16"/>
        <v>0</v>
      </c>
      <c r="S37" s="99"/>
      <c r="T37" s="99"/>
      <c r="U37" s="98">
        <f t="shared" si="1"/>
        <v>0</v>
      </c>
      <c r="V37" s="99"/>
      <c r="W37" s="99"/>
      <c r="X37" s="98">
        <f t="shared" si="2"/>
        <v>0</v>
      </c>
      <c r="Y37" s="99"/>
      <c r="Z37" s="99"/>
      <c r="AA37" s="98">
        <f t="shared" si="3"/>
        <v>0</v>
      </c>
      <c r="AB37" s="98">
        <f t="shared" si="17"/>
        <v>0</v>
      </c>
      <c r="AC37" s="244" t="e">
        <f t="shared" si="4"/>
        <v>#DIV/0!</v>
      </c>
      <c r="AD37" s="98">
        <f t="shared" si="5"/>
        <v>0</v>
      </c>
      <c r="AE37" s="99"/>
      <c r="AF37" s="244">
        <f t="shared" si="6"/>
        <v>0</v>
      </c>
      <c r="AG37" s="99"/>
      <c r="AH37" s="99"/>
      <c r="AI37" s="99"/>
      <c r="AJ37" s="99"/>
      <c r="AK37" s="99"/>
      <c r="AL37" s="128">
        <f t="shared" si="7"/>
        <v>0</v>
      </c>
      <c r="AM37" s="99"/>
      <c r="AN37" s="100">
        <f t="shared" si="18"/>
        <v>0</v>
      </c>
      <c r="AO37" s="101">
        <f t="shared" si="20"/>
        <v>0</v>
      </c>
      <c r="AP37" s="102"/>
      <c r="AQ37" s="103">
        <f t="shared" si="8"/>
        <v>0</v>
      </c>
      <c r="AR37" s="104">
        <f t="shared" si="30"/>
        <v>169.89</v>
      </c>
      <c r="AS37" s="104">
        <f t="shared" si="10"/>
        <v>0</v>
      </c>
      <c r="AT37" s="104">
        <f t="shared" si="11"/>
        <v>0</v>
      </c>
      <c r="AU37" s="104">
        <f t="shared" si="19"/>
        <v>0</v>
      </c>
      <c r="AV37" s="104">
        <f t="array" ref="AV37">_xlfn.IFS(U37=0,AO37,U37&lt;0,AO37/-U37,U37&gt;0,AO37/U37)</f>
        <v>0</v>
      </c>
      <c r="AW37" s="244">
        <f t="shared" si="38"/>
        <v>0</v>
      </c>
      <c r="AX37" s="244">
        <f t="shared" si="39"/>
        <v>0</v>
      </c>
      <c r="AY37" s="105"/>
      <c r="AZ37" s="100">
        <f t="shared" si="14"/>
        <v>0</v>
      </c>
    </row>
    <row r="38" spans="1:52" outlineLevel="1">
      <c r="A38" s="95" t="s">
        <v>124</v>
      </c>
      <c r="B38" s="96">
        <v>507117329</v>
      </c>
      <c r="C38" s="96" t="s">
        <v>160</v>
      </c>
      <c r="D38" s="97" t="s">
        <v>84</v>
      </c>
      <c r="E38" s="242">
        <f t="shared" si="36"/>
        <v>0</v>
      </c>
      <c r="F38" s="99"/>
      <c r="G38" s="99"/>
      <c r="H38" s="99"/>
      <c r="I38" s="99"/>
      <c r="J38" s="99"/>
      <c r="K38" s="98">
        <v>105.54</v>
      </c>
      <c r="L38" s="98">
        <f t="shared" si="37"/>
        <v>0</v>
      </c>
      <c r="M38" s="95"/>
      <c r="N38" s="95"/>
      <c r="O38" s="95"/>
      <c r="P38" s="95"/>
      <c r="Q38" s="243">
        <f t="shared" si="15"/>
        <v>0</v>
      </c>
      <c r="R38" s="98">
        <f t="shared" si="16"/>
        <v>0</v>
      </c>
      <c r="S38" s="99"/>
      <c r="T38" s="99"/>
      <c r="U38" s="98">
        <f t="shared" si="1"/>
        <v>0</v>
      </c>
      <c r="V38" s="99"/>
      <c r="W38" s="99"/>
      <c r="X38" s="98">
        <f t="shared" si="2"/>
        <v>0</v>
      </c>
      <c r="Y38" s="99"/>
      <c r="Z38" s="99"/>
      <c r="AA38" s="98">
        <f t="shared" si="3"/>
        <v>0</v>
      </c>
      <c r="AB38" s="98">
        <f t="shared" si="17"/>
        <v>0</v>
      </c>
      <c r="AC38" s="244" t="e">
        <f t="shared" si="4"/>
        <v>#DIV/0!</v>
      </c>
      <c r="AD38" s="98">
        <f t="shared" si="5"/>
        <v>0</v>
      </c>
      <c r="AE38" s="99"/>
      <c r="AF38" s="244">
        <f t="shared" si="6"/>
        <v>0</v>
      </c>
      <c r="AG38" s="99"/>
      <c r="AH38" s="99"/>
      <c r="AI38" s="99"/>
      <c r="AJ38" s="99"/>
      <c r="AK38" s="99"/>
      <c r="AL38" s="128">
        <f t="shared" si="7"/>
        <v>0</v>
      </c>
      <c r="AM38" s="99"/>
      <c r="AN38" s="100">
        <f t="shared" si="18"/>
        <v>0</v>
      </c>
      <c r="AO38" s="101">
        <f t="shared" si="20"/>
        <v>0</v>
      </c>
      <c r="AP38" s="102"/>
      <c r="AQ38" s="103">
        <f t="shared" si="8"/>
        <v>0</v>
      </c>
      <c r="AR38" s="104">
        <f t="shared" si="30"/>
        <v>105.54</v>
      </c>
      <c r="AS38" s="104">
        <f t="shared" si="10"/>
        <v>0</v>
      </c>
      <c r="AT38" s="104">
        <f t="shared" si="11"/>
        <v>0</v>
      </c>
      <c r="AU38" s="104">
        <f t="shared" si="19"/>
        <v>0</v>
      </c>
      <c r="AV38" s="104">
        <f t="array" ref="AV38">_xlfn.IFS(U38=0,AO38,U38&lt;0,AO38/-U38,U38&gt;0,AO38/U38)</f>
        <v>0</v>
      </c>
      <c r="AW38" s="244">
        <f t="shared" si="38"/>
        <v>0</v>
      </c>
      <c r="AX38" s="244">
        <f t="shared" si="39"/>
        <v>0</v>
      </c>
      <c r="AY38" s="105"/>
      <c r="AZ38" s="100">
        <f t="shared" si="14"/>
        <v>0</v>
      </c>
    </row>
    <row r="39" spans="1:52" outlineLevel="1">
      <c r="A39" s="95" t="s">
        <v>124</v>
      </c>
      <c r="B39" s="96">
        <v>507117646</v>
      </c>
      <c r="C39" s="96" t="s">
        <v>161</v>
      </c>
      <c r="D39" s="97" t="s">
        <v>84</v>
      </c>
      <c r="E39" s="242">
        <f t="shared" si="36"/>
        <v>0</v>
      </c>
      <c r="F39" s="99"/>
      <c r="G39" s="99"/>
      <c r="H39" s="99"/>
      <c r="I39" s="99"/>
      <c r="J39" s="99"/>
      <c r="K39" s="98">
        <v>105.54</v>
      </c>
      <c r="L39" s="98">
        <f t="shared" si="37"/>
        <v>0</v>
      </c>
      <c r="M39" s="95"/>
      <c r="N39" s="95"/>
      <c r="O39" s="95"/>
      <c r="P39" s="95"/>
      <c r="Q39" s="243">
        <f t="shared" si="15"/>
        <v>0</v>
      </c>
      <c r="R39" s="98">
        <f t="shared" si="16"/>
        <v>0</v>
      </c>
      <c r="S39" s="99"/>
      <c r="T39" s="99"/>
      <c r="U39" s="98">
        <f t="shared" si="1"/>
        <v>0</v>
      </c>
      <c r="V39" s="99"/>
      <c r="W39" s="99"/>
      <c r="X39" s="98">
        <f t="shared" si="2"/>
        <v>0</v>
      </c>
      <c r="Y39" s="99"/>
      <c r="Z39" s="99"/>
      <c r="AA39" s="98">
        <f t="shared" si="3"/>
        <v>0</v>
      </c>
      <c r="AB39" s="98">
        <f t="shared" si="17"/>
        <v>0</v>
      </c>
      <c r="AC39" s="244" t="e">
        <f t="shared" si="4"/>
        <v>#DIV/0!</v>
      </c>
      <c r="AD39" s="98">
        <f t="shared" si="5"/>
        <v>0</v>
      </c>
      <c r="AE39" s="99"/>
      <c r="AF39" s="244">
        <f t="shared" si="6"/>
        <v>0</v>
      </c>
      <c r="AG39" s="99"/>
      <c r="AH39" s="99"/>
      <c r="AI39" s="99"/>
      <c r="AJ39" s="99"/>
      <c r="AK39" s="99"/>
      <c r="AL39" s="128">
        <f t="shared" si="7"/>
        <v>0</v>
      </c>
      <c r="AM39" s="99"/>
      <c r="AN39" s="100">
        <f t="shared" si="18"/>
        <v>0</v>
      </c>
      <c r="AO39" s="101">
        <f t="shared" si="20"/>
        <v>0</v>
      </c>
      <c r="AP39" s="102"/>
      <c r="AQ39" s="103">
        <f t="shared" si="8"/>
        <v>0</v>
      </c>
      <c r="AR39" s="104">
        <f t="shared" si="30"/>
        <v>105.54</v>
      </c>
      <c r="AS39" s="104">
        <f t="shared" si="10"/>
        <v>0</v>
      </c>
      <c r="AT39" s="104">
        <f t="shared" si="11"/>
        <v>0</v>
      </c>
      <c r="AU39" s="104">
        <f t="shared" si="19"/>
        <v>0</v>
      </c>
      <c r="AV39" s="104">
        <f t="array" ref="AV39">_xlfn.IFS(U39=0,AO39,U39&lt;0,AO39/-U39,U39&gt;0,AO39/U39)</f>
        <v>0</v>
      </c>
      <c r="AW39" s="244">
        <f t="shared" si="38"/>
        <v>0</v>
      </c>
      <c r="AX39" s="244">
        <f t="shared" si="39"/>
        <v>0</v>
      </c>
      <c r="AY39" s="105"/>
      <c r="AZ39" s="100">
        <f t="shared" si="14"/>
        <v>0</v>
      </c>
    </row>
    <row r="40" spans="1:52" outlineLevel="1">
      <c r="A40" s="95" t="s">
        <v>124</v>
      </c>
      <c r="B40" s="96">
        <v>507118076</v>
      </c>
      <c r="C40" s="96" t="s">
        <v>162</v>
      </c>
      <c r="D40" s="97" t="s">
        <v>84</v>
      </c>
      <c r="E40" s="242">
        <f t="shared" si="36"/>
        <v>0</v>
      </c>
      <c r="F40" s="99"/>
      <c r="G40" s="99"/>
      <c r="H40" s="99"/>
      <c r="I40" s="99"/>
      <c r="J40" s="99"/>
      <c r="K40" s="98">
        <v>105.54</v>
      </c>
      <c r="L40" s="98">
        <f t="shared" si="37"/>
        <v>0</v>
      </c>
      <c r="M40" s="95"/>
      <c r="N40" s="95"/>
      <c r="O40" s="95"/>
      <c r="P40" s="95"/>
      <c r="Q40" s="243">
        <f t="shared" si="15"/>
        <v>0</v>
      </c>
      <c r="R40" s="98">
        <f t="shared" si="16"/>
        <v>0</v>
      </c>
      <c r="S40" s="99"/>
      <c r="T40" s="99"/>
      <c r="U40" s="98">
        <f t="shared" si="1"/>
        <v>0</v>
      </c>
      <c r="V40" s="99"/>
      <c r="W40" s="99"/>
      <c r="X40" s="98">
        <f t="shared" si="2"/>
        <v>0</v>
      </c>
      <c r="Y40" s="99"/>
      <c r="Z40" s="99"/>
      <c r="AA40" s="98">
        <f t="shared" si="3"/>
        <v>0</v>
      </c>
      <c r="AB40" s="98">
        <f t="shared" si="17"/>
        <v>0</v>
      </c>
      <c r="AC40" s="244" t="e">
        <f t="shared" si="4"/>
        <v>#DIV/0!</v>
      </c>
      <c r="AD40" s="98">
        <f t="shared" si="5"/>
        <v>0</v>
      </c>
      <c r="AE40" s="99"/>
      <c r="AF40" s="244">
        <f t="shared" si="6"/>
        <v>0</v>
      </c>
      <c r="AG40" s="99"/>
      <c r="AH40" s="99"/>
      <c r="AI40" s="99"/>
      <c r="AJ40" s="99"/>
      <c r="AK40" s="99"/>
      <c r="AL40" s="128">
        <f t="shared" si="7"/>
        <v>0</v>
      </c>
      <c r="AM40" s="99"/>
      <c r="AN40" s="100">
        <f t="shared" si="18"/>
        <v>0</v>
      </c>
      <c r="AO40" s="101">
        <f t="shared" si="20"/>
        <v>0</v>
      </c>
      <c r="AP40" s="102"/>
      <c r="AQ40" s="103">
        <f t="shared" si="8"/>
        <v>0</v>
      </c>
      <c r="AR40" s="104">
        <f t="shared" si="30"/>
        <v>105.54</v>
      </c>
      <c r="AS40" s="104">
        <f t="shared" si="10"/>
        <v>0</v>
      </c>
      <c r="AT40" s="104">
        <f t="shared" si="11"/>
        <v>0</v>
      </c>
      <c r="AU40" s="104">
        <f t="shared" si="19"/>
        <v>0</v>
      </c>
      <c r="AV40" s="104">
        <f t="array" ref="AV40">_xlfn.IFS(U40=0,AO40,U40&lt;0,AO40/-U40,U40&gt;0,AO40/U40)</f>
        <v>0</v>
      </c>
      <c r="AW40" s="244">
        <f t="shared" si="38"/>
        <v>0</v>
      </c>
      <c r="AX40" s="244">
        <f t="shared" si="39"/>
        <v>0</v>
      </c>
      <c r="AY40" s="105"/>
      <c r="AZ40" s="100">
        <f t="shared" si="14"/>
        <v>0</v>
      </c>
    </row>
    <row r="41" spans="1:52" outlineLevel="1">
      <c r="A41" s="95" t="s">
        <v>124</v>
      </c>
      <c r="B41" s="96">
        <v>507118377</v>
      </c>
      <c r="C41" s="96" t="s">
        <v>163</v>
      </c>
      <c r="D41" s="97" t="s">
        <v>84</v>
      </c>
      <c r="E41" s="242">
        <f t="shared" si="36"/>
        <v>0</v>
      </c>
      <c r="F41" s="99"/>
      <c r="G41" s="99"/>
      <c r="H41" s="99"/>
      <c r="I41" s="99"/>
      <c r="J41" s="99"/>
      <c r="K41" s="98">
        <v>123.09</v>
      </c>
      <c r="L41" s="98">
        <f t="shared" si="37"/>
        <v>0</v>
      </c>
      <c r="M41" s="95"/>
      <c r="N41" s="95"/>
      <c r="O41" s="95"/>
      <c r="P41" s="95"/>
      <c r="Q41" s="243">
        <f t="shared" si="15"/>
        <v>0</v>
      </c>
      <c r="R41" s="98">
        <f t="shared" si="16"/>
        <v>0</v>
      </c>
      <c r="S41" s="99"/>
      <c r="T41" s="99"/>
      <c r="U41" s="98">
        <f t="shared" si="1"/>
        <v>0</v>
      </c>
      <c r="V41" s="99"/>
      <c r="W41" s="99"/>
      <c r="X41" s="98">
        <f t="shared" si="2"/>
        <v>0</v>
      </c>
      <c r="Y41" s="99"/>
      <c r="Z41" s="99"/>
      <c r="AA41" s="98">
        <f t="shared" si="3"/>
        <v>0</v>
      </c>
      <c r="AB41" s="98">
        <f t="shared" si="17"/>
        <v>0</v>
      </c>
      <c r="AC41" s="244" t="e">
        <f t="shared" si="4"/>
        <v>#DIV/0!</v>
      </c>
      <c r="AD41" s="98">
        <f t="shared" si="5"/>
        <v>0</v>
      </c>
      <c r="AE41" s="99"/>
      <c r="AF41" s="244">
        <f t="shared" si="6"/>
        <v>0</v>
      </c>
      <c r="AG41" s="99"/>
      <c r="AH41" s="99"/>
      <c r="AI41" s="99"/>
      <c r="AJ41" s="99"/>
      <c r="AK41" s="99"/>
      <c r="AL41" s="128">
        <f t="shared" si="7"/>
        <v>0</v>
      </c>
      <c r="AM41" s="99"/>
      <c r="AN41" s="100">
        <f t="shared" si="18"/>
        <v>0</v>
      </c>
      <c r="AO41" s="101">
        <f t="shared" si="20"/>
        <v>0</v>
      </c>
      <c r="AP41" s="102"/>
      <c r="AQ41" s="103">
        <f t="shared" si="8"/>
        <v>0</v>
      </c>
      <c r="AR41" s="104">
        <f t="shared" si="30"/>
        <v>123.09</v>
      </c>
      <c r="AS41" s="104">
        <f t="shared" si="10"/>
        <v>0</v>
      </c>
      <c r="AT41" s="104">
        <f t="shared" si="11"/>
        <v>0</v>
      </c>
      <c r="AU41" s="104">
        <f t="shared" si="19"/>
        <v>0</v>
      </c>
      <c r="AV41" s="104">
        <f t="array" ref="AV41">_xlfn.IFS(U41=0,AO41,U41&lt;0,AO41/-U41,U41&gt;0,AO41/U41)</f>
        <v>0</v>
      </c>
      <c r="AW41" s="244">
        <f t="shared" si="38"/>
        <v>0</v>
      </c>
      <c r="AX41" s="244">
        <f t="shared" si="39"/>
        <v>0</v>
      </c>
      <c r="AY41" s="105"/>
      <c r="AZ41" s="100">
        <f t="shared" si="14"/>
        <v>0</v>
      </c>
    </row>
    <row r="42" spans="1:52" outlineLevel="1">
      <c r="A42" s="95" t="s">
        <v>124</v>
      </c>
      <c r="B42" s="96">
        <v>507119317</v>
      </c>
      <c r="C42" s="96" t="s">
        <v>164</v>
      </c>
      <c r="D42" s="97" t="s">
        <v>84</v>
      </c>
      <c r="E42" s="242">
        <f t="shared" si="36"/>
        <v>0</v>
      </c>
      <c r="F42" s="99"/>
      <c r="G42" s="99"/>
      <c r="H42" s="99"/>
      <c r="I42" s="99"/>
      <c r="J42" s="99"/>
      <c r="K42" s="98">
        <v>123.09</v>
      </c>
      <c r="L42" s="98">
        <f t="shared" si="37"/>
        <v>0</v>
      </c>
      <c r="M42" s="95"/>
      <c r="N42" s="95"/>
      <c r="O42" s="95"/>
      <c r="P42" s="95"/>
      <c r="Q42" s="243">
        <f t="shared" si="15"/>
        <v>0</v>
      </c>
      <c r="R42" s="98">
        <f t="shared" si="16"/>
        <v>0</v>
      </c>
      <c r="S42" s="99"/>
      <c r="T42" s="99"/>
      <c r="U42" s="98">
        <f t="shared" si="1"/>
        <v>0</v>
      </c>
      <c r="V42" s="99"/>
      <c r="W42" s="99"/>
      <c r="X42" s="98">
        <f t="shared" si="2"/>
        <v>0</v>
      </c>
      <c r="Y42" s="99"/>
      <c r="Z42" s="99"/>
      <c r="AA42" s="98">
        <f t="shared" si="3"/>
        <v>0</v>
      </c>
      <c r="AB42" s="98">
        <f t="shared" si="17"/>
        <v>0</v>
      </c>
      <c r="AC42" s="244" t="e">
        <f t="shared" si="4"/>
        <v>#DIV/0!</v>
      </c>
      <c r="AD42" s="98">
        <f t="shared" si="5"/>
        <v>0</v>
      </c>
      <c r="AE42" s="99"/>
      <c r="AF42" s="244">
        <f t="shared" si="6"/>
        <v>0</v>
      </c>
      <c r="AG42" s="99"/>
      <c r="AH42" s="99"/>
      <c r="AI42" s="99"/>
      <c r="AJ42" s="99"/>
      <c r="AK42" s="99"/>
      <c r="AL42" s="128">
        <f t="shared" si="7"/>
        <v>0</v>
      </c>
      <c r="AM42" s="99"/>
      <c r="AN42" s="100">
        <f t="shared" si="18"/>
        <v>0</v>
      </c>
      <c r="AO42" s="101">
        <f t="shared" si="20"/>
        <v>0</v>
      </c>
      <c r="AP42" s="102"/>
      <c r="AQ42" s="103">
        <f t="shared" si="8"/>
        <v>0</v>
      </c>
      <c r="AR42" s="104">
        <f t="shared" si="30"/>
        <v>123.09</v>
      </c>
      <c r="AS42" s="104">
        <f t="shared" si="10"/>
        <v>0</v>
      </c>
      <c r="AT42" s="104">
        <f t="shared" si="11"/>
        <v>0</v>
      </c>
      <c r="AU42" s="104">
        <f t="shared" si="19"/>
        <v>0</v>
      </c>
      <c r="AV42" s="104">
        <f t="array" ref="AV42">_xlfn.IFS(U42=0,AO42,U42&lt;0,AO42/-U42,U42&gt;0,AO42/U42)</f>
        <v>0</v>
      </c>
      <c r="AW42" s="244">
        <f t="shared" si="38"/>
        <v>0</v>
      </c>
      <c r="AX42" s="244">
        <f t="shared" si="39"/>
        <v>0</v>
      </c>
      <c r="AY42" s="105"/>
      <c r="AZ42" s="100">
        <f t="shared" si="14"/>
        <v>0</v>
      </c>
    </row>
    <row r="43" spans="1:52" outlineLevel="1">
      <c r="A43" s="95" t="s">
        <v>124</v>
      </c>
      <c r="B43" s="96">
        <v>507119522</v>
      </c>
      <c r="C43" s="96" t="s">
        <v>165</v>
      </c>
      <c r="D43" s="97" t="s">
        <v>84</v>
      </c>
      <c r="E43" s="242">
        <f t="shared" si="36"/>
        <v>0</v>
      </c>
      <c r="F43" s="99"/>
      <c r="G43" s="99"/>
      <c r="H43" s="99"/>
      <c r="I43" s="99"/>
      <c r="J43" s="99"/>
      <c r="K43" s="98">
        <v>123.09</v>
      </c>
      <c r="L43" s="98">
        <f t="shared" si="37"/>
        <v>0</v>
      </c>
      <c r="M43" s="95"/>
      <c r="N43" s="95"/>
      <c r="O43" s="95"/>
      <c r="P43" s="95"/>
      <c r="Q43" s="243">
        <f t="shared" si="15"/>
        <v>0</v>
      </c>
      <c r="R43" s="98">
        <f t="shared" si="16"/>
        <v>0</v>
      </c>
      <c r="S43" s="99"/>
      <c r="T43" s="99"/>
      <c r="U43" s="98">
        <f t="shared" si="1"/>
        <v>0</v>
      </c>
      <c r="V43" s="99"/>
      <c r="W43" s="99"/>
      <c r="X43" s="98">
        <f t="shared" si="2"/>
        <v>0</v>
      </c>
      <c r="Y43" s="99"/>
      <c r="Z43" s="99"/>
      <c r="AA43" s="98">
        <f t="shared" si="3"/>
        <v>0</v>
      </c>
      <c r="AB43" s="98">
        <f t="shared" si="17"/>
        <v>0</v>
      </c>
      <c r="AC43" s="244" t="e">
        <f t="shared" si="4"/>
        <v>#DIV/0!</v>
      </c>
      <c r="AD43" s="98">
        <f t="shared" si="5"/>
        <v>0</v>
      </c>
      <c r="AE43" s="99"/>
      <c r="AF43" s="244">
        <f t="shared" si="6"/>
        <v>0</v>
      </c>
      <c r="AG43" s="99"/>
      <c r="AH43" s="99"/>
      <c r="AI43" s="99"/>
      <c r="AJ43" s="99"/>
      <c r="AK43" s="99"/>
      <c r="AL43" s="128">
        <f t="shared" si="7"/>
        <v>0</v>
      </c>
      <c r="AM43" s="99"/>
      <c r="AN43" s="100">
        <f t="shared" si="18"/>
        <v>0</v>
      </c>
      <c r="AO43" s="101">
        <f t="shared" si="20"/>
        <v>0</v>
      </c>
      <c r="AP43" s="102"/>
      <c r="AQ43" s="103">
        <f t="shared" si="8"/>
        <v>0</v>
      </c>
      <c r="AR43" s="104">
        <f t="shared" si="30"/>
        <v>123.09</v>
      </c>
      <c r="AS43" s="104">
        <f t="shared" si="10"/>
        <v>0</v>
      </c>
      <c r="AT43" s="104">
        <f t="shared" si="11"/>
        <v>0</v>
      </c>
      <c r="AU43" s="104">
        <f t="shared" si="19"/>
        <v>0</v>
      </c>
      <c r="AV43" s="104">
        <f t="array" ref="AV43">_xlfn.IFS(U43=0,AO43,U43&lt;0,AO43/-U43,U43&gt;0,AO43/U43)</f>
        <v>0</v>
      </c>
      <c r="AW43" s="244">
        <f t="shared" si="38"/>
        <v>0</v>
      </c>
      <c r="AX43" s="244">
        <f t="shared" si="39"/>
        <v>0</v>
      </c>
      <c r="AY43" s="105"/>
      <c r="AZ43" s="100">
        <f t="shared" si="14"/>
        <v>0</v>
      </c>
    </row>
    <row r="44" spans="1:52" outlineLevel="1">
      <c r="A44" s="95" t="s">
        <v>124</v>
      </c>
      <c r="B44" s="96">
        <v>386597215</v>
      </c>
      <c r="C44" s="96" t="s">
        <v>166</v>
      </c>
      <c r="D44" s="97" t="s">
        <v>84</v>
      </c>
      <c r="E44" s="242">
        <f t="shared" si="36"/>
        <v>0</v>
      </c>
      <c r="F44" s="99"/>
      <c r="G44" s="99"/>
      <c r="H44" s="99"/>
      <c r="I44" s="99"/>
      <c r="J44" s="99"/>
      <c r="K44" s="98">
        <v>111.39</v>
      </c>
      <c r="L44" s="98">
        <f t="shared" si="37"/>
        <v>0</v>
      </c>
      <c r="M44" s="95"/>
      <c r="N44" s="95"/>
      <c r="O44" s="95"/>
      <c r="P44" s="95"/>
      <c r="Q44" s="243">
        <f t="shared" si="15"/>
        <v>0</v>
      </c>
      <c r="R44" s="98">
        <f t="shared" si="16"/>
        <v>0</v>
      </c>
      <c r="S44" s="99"/>
      <c r="T44" s="99"/>
      <c r="U44" s="98">
        <f t="shared" si="1"/>
        <v>0</v>
      </c>
      <c r="V44" s="99"/>
      <c r="W44" s="99"/>
      <c r="X44" s="98">
        <f t="shared" si="2"/>
        <v>0</v>
      </c>
      <c r="Y44" s="99"/>
      <c r="Z44" s="99"/>
      <c r="AA44" s="98">
        <f t="shared" si="3"/>
        <v>0</v>
      </c>
      <c r="AB44" s="98">
        <f t="shared" si="17"/>
        <v>0</v>
      </c>
      <c r="AC44" s="244" t="e">
        <f t="shared" si="4"/>
        <v>#DIV/0!</v>
      </c>
      <c r="AD44" s="98">
        <f t="shared" si="5"/>
        <v>0</v>
      </c>
      <c r="AE44" s="99"/>
      <c r="AF44" s="244">
        <f t="shared" si="6"/>
        <v>0</v>
      </c>
      <c r="AG44" s="99"/>
      <c r="AH44" s="99"/>
      <c r="AI44" s="99"/>
      <c r="AJ44" s="99"/>
      <c r="AK44" s="99"/>
      <c r="AL44" s="128">
        <f t="shared" si="7"/>
        <v>0</v>
      </c>
      <c r="AM44" s="99"/>
      <c r="AN44" s="100">
        <f t="shared" si="18"/>
        <v>0</v>
      </c>
      <c r="AO44" s="101">
        <f t="shared" si="20"/>
        <v>0</v>
      </c>
      <c r="AP44" s="102"/>
      <c r="AQ44" s="103">
        <f t="shared" si="8"/>
        <v>0</v>
      </c>
      <c r="AR44" s="104">
        <f t="shared" si="30"/>
        <v>111.39</v>
      </c>
      <c r="AS44" s="104">
        <f t="shared" si="10"/>
        <v>0</v>
      </c>
      <c r="AT44" s="104">
        <f t="shared" si="11"/>
        <v>0</v>
      </c>
      <c r="AU44" s="104">
        <f t="shared" si="19"/>
        <v>0</v>
      </c>
      <c r="AV44" s="104">
        <f t="array" ref="AV44">_xlfn.IFS(U44=0,AO44,U44&lt;0,AO44/-U44,U44&gt;0,AO44/U44)</f>
        <v>0</v>
      </c>
      <c r="AW44" s="244">
        <f t="shared" si="38"/>
        <v>0</v>
      </c>
      <c r="AX44" s="244">
        <f t="shared" si="39"/>
        <v>0</v>
      </c>
      <c r="AY44" s="105"/>
      <c r="AZ44" s="100">
        <f t="shared" si="14"/>
        <v>0</v>
      </c>
    </row>
    <row r="45" spans="1:52" outlineLevel="1">
      <c r="A45" s="95" t="s">
        <v>124</v>
      </c>
      <c r="B45" s="96">
        <v>386777272</v>
      </c>
      <c r="C45" s="96" t="s">
        <v>167</v>
      </c>
      <c r="D45" s="97" t="s">
        <v>84</v>
      </c>
      <c r="E45" s="242">
        <f t="shared" si="36"/>
        <v>0</v>
      </c>
      <c r="F45" s="99"/>
      <c r="G45" s="99"/>
      <c r="H45" s="99"/>
      <c r="I45" s="99"/>
      <c r="J45" s="99"/>
      <c r="K45" s="98">
        <v>107.88</v>
      </c>
      <c r="L45" s="98">
        <f t="shared" si="37"/>
        <v>0</v>
      </c>
      <c r="M45" s="95"/>
      <c r="N45" s="95"/>
      <c r="O45" s="95"/>
      <c r="P45" s="95"/>
      <c r="Q45" s="243">
        <f t="shared" si="15"/>
        <v>0</v>
      </c>
      <c r="R45" s="98">
        <f t="shared" si="16"/>
        <v>0</v>
      </c>
      <c r="S45" s="99"/>
      <c r="T45" s="99"/>
      <c r="U45" s="98">
        <f t="shared" si="1"/>
        <v>0</v>
      </c>
      <c r="V45" s="99"/>
      <c r="W45" s="99"/>
      <c r="X45" s="98">
        <f t="shared" si="2"/>
        <v>0</v>
      </c>
      <c r="Y45" s="99"/>
      <c r="Z45" s="99"/>
      <c r="AA45" s="98">
        <f t="shared" si="3"/>
        <v>0</v>
      </c>
      <c r="AB45" s="98">
        <f t="shared" si="17"/>
        <v>0</v>
      </c>
      <c r="AC45" s="244" t="e">
        <f t="shared" si="4"/>
        <v>#DIV/0!</v>
      </c>
      <c r="AD45" s="98">
        <f t="shared" si="5"/>
        <v>0</v>
      </c>
      <c r="AE45" s="99"/>
      <c r="AF45" s="244">
        <f t="shared" si="6"/>
        <v>0</v>
      </c>
      <c r="AG45" s="99"/>
      <c r="AH45" s="99"/>
      <c r="AI45" s="99"/>
      <c r="AJ45" s="99"/>
      <c r="AK45" s="99"/>
      <c r="AL45" s="128">
        <f t="shared" si="7"/>
        <v>0</v>
      </c>
      <c r="AM45" s="99"/>
      <c r="AN45" s="100">
        <f t="shared" si="18"/>
        <v>0</v>
      </c>
      <c r="AO45" s="101">
        <f t="shared" si="20"/>
        <v>0</v>
      </c>
      <c r="AP45" s="102"/>
      <c r="AQ45" s="103">
        <f t="shared" si="8"/>
        <v>0</v>
      </c>
      <c r="AR45" s="104">
        <f t="shared" si="30"/>
        <v>107.88</v>
      </c>
      <c r="AS45" s="104">
        <f t="shared" si="10"/>
        <v>0</v>
      </c>
      <c r="AT45" s="104">
        <f t="shared" si="11"/>
        <v>0</v>
      </c>
      <c r="AU45" s="104">
        <f t="shared" si="19"/>
        <v>0</v>
      </c>
      <c r="AV45" s="104">
        <f t="array" ref="AV45">_xlfn.IFS(U45=0,AO45,U45&lt;0,AO45/-U45,U45&gt;0,AO45/U45)</f>
        <v>0</v>
      </c>
      <c r="AW45" s="244">
        <f t="shared" si="38"/>
        <v>0</v>
      </c>
      <c r="AX45" s="244">
        <f t="shared" si="39"/>
        <v>0</v>
      </c>
      <c r="AY45" s="105"/>
      <c r="AZ45" s="100">
        <f t="shared" si="14"/>
        <v>0</v>
      </c>
    </row>
    <row r="46" spans="1:52" outlineLevel="1">
      <c r="A46" s="95" t="s">
        <v>124</v>
      </c>
      <c r="B46" s="96">
        <v>386777270</v>
      </c>
      <c r="C46" s="96" t="s">
        <v>168</v>
      </c>
      <c r="D46" s="97" t="s">
        <v>84</v>
      </c>
      <c r="E46" s="242">
        <f t="shared" si="36"/>
        <v>0</v>
      </c>
      <c r="F46" s="99"/>
      <c r="G46" s="99"/>
      <c r="H46" s="99"/>
      <c r="I46" s="99"/>
      <c r="J46" s="99"/>
      <c r="K46" s="98">
        <v>107.88</v>
      </c>
      <c r="L46" s="98">
        <f t="shared" si="37"/>
        <v>0</v>
      </c>
      <c r="M46" s="95"/>
      <c r="N46" s="95"/>
      <c r="O46" s="95"/>
      <c r="P46" s="95"/>
      <c r="Q46" s="243">
        <f t="shared" si="15"/>
        <v>0</v>
      </c>
      <c r="R46" s="98">
        <f t="shared" si="16"/>
        <v>0</v>
      </c>
      <c r="S46" s="99"/>
      <c r="T46" s="99"/>
      <c r="U46" s="98">
        <f t="shared" si="1"/>
        <v>0</v>
      </c>
      <c r="V46" s="99"/>
      <c r="W46" s="99"/>
      <c r="X46" s="98">
        <f t="shared" si="2"/>
        <v>0</v>
      </c>
      <c r="Y46" s="99"/>
      <c r="Z46" s="99"/>
      <c r="AA46" s="98">
        <f t="shared" si="3"/>
        <v>0</v>
      </c>
      <c r="AB46" s="98">
        <f t="shared" si="17"/>
        <v>0</v>
      </c>
      <c r="AC46" s="244" t="e">
        <f t="shared" si="4"/>
        <v>#DIV/0!</v>
      </c>
      <c r="AD46" s="98">
        <f t="shared" si="5"/>
        <v>0</v>
      </c>
      <c r="AE46" s="99"/>
      <c r="AF46" s="244">
        <f t="shared" si="6"/>
        <v>0</v>
      </c>
      <c r="AG46" s="99"/>
      <c r="AH46" s="99"/>
      <c r="AI46" s="99"/>
      <c r="AJ46" s="99"/>
      <c r="AK46" s="99"/>
      <c r="AL46" s="128">
        <f t="shared" si="7"/>
        <v>0</v>
      </c>
      <c r="AM46" s="99"/>
      <c r="AN46" s="100">
        <f t="shared" si="18"/>
        <v>0</v>
      </c>
      <c r="AO46" s="101">
        <f t="shared" si="20"/>
        <v>0</v>
      </c>
      <c r="AP46" s="102"/>
      <c r="AQ46" s="103">
        <f t="shared" si="8"/>
        <v>0</v>
      </c>
      <c r="AR46" s="104">
        <f t="shared" si="30"/>
        <v>107.88</v>
      </c>
      <c r="AS46" s="104">
        <f t="shared" si="10"/>
        <v>0</v>
      </c>
      <c r="AT46" s="104">
        <f t="shared" si="11"/>
        <v>0</v>
      </c>
      <c r="AU46" s="104">
        <f t="shared" si="19"/>
        <v>0</v>
      </c>
      <c r="AV46" s="104">
        <f t="array" ref="AV46">_xlfn.IFS(U46=0,AO46,U46&lt;0,AO46/-U46,U46&gt;0,AO46/U46)</f>
        <v>0</v>
      </c>
      <c r="AW46" s="244">
        <f t="shared" si="38"/>
        <v>0</v>
      </c>
      <c r="AX46" s="244">
        <f t="shared" si="39"/>
        <v>0</v>
      </c>
      <c r="AY46" s="105"/>
      <c r="AZ46" s="100">
        <f t="shared" si="14"/>
        <v>0</v>
      </c>
    </row>
    <row r="47" spans="1:52" outlineLevel="1">
      <c r="A47" s="95" t="s">
        <v>124</v>
      </c>
      <c r="B47" s="96">
        <v>386777273</v>
      </c>
      <c r="C47" s="96" t="s">
        <v>169</v>
      </c>
      <c r="D47" s="97" t="s">
        <v>84</v>
      </c>
      <c r="E47" s="242">
        <f t="shared" si="36"/>
        <v>0</v>
      </c>
      <c r="F47" s="99"/>
      <c r="G47" s="99"/>
      <c r="H47" s="99"/>
      <c r="I47" s="99"/>
      <c r="J47" s="99"/>
      <c r="K47" s="98">
        <v>123.09</v>
      </c>
      <c r="L47" s="98">
        <f t="shared" si="37"/>
        <v>0</v>
      </c>
      <c r="M47" s="95"/>
      <c r="N47" s="95"/>
      <c r="O47" s="95"/>
      <c r="P47" s="95"/>
      <c r="Q47" s="243">
        <f t="shared" si="15"/>
        <v>0</v>
      </c>
      <c r="R47" s="98">
        <f t="shared" si="16"/>
        <v>0</v>
      </c>
      <c r="S47" s="99"/>
      <c r="T47" s="99"/>
      <c r="U47" s="98">
        <f t="shared" si="1"/>
        <v>0</v>
      </c>
      <c r="V47" s="99"/>
      <c r="W47" s="99"/>
      <c r="X47" s="98">
        <f t="shared" si="2"/>
        <v>0</v>
      </c>
      <c r="Y47" s="99"/>
      <c r="Z47" s="99"/>
      <c r="AA47" s="98">
        <f t="shared" si="3"/>
        <v>0</v>
      </c>
      <c r="AB47" s="98">
        <f t="shared" si="17"/>
        <v>0</v>
      </c>
      <c r="AC47" s="244" t="e">
        <f t="shared" si="4"/>
        <v>#DIV/0!</v>
      </c>
      <c r="AD47" s="98">
        <f t="shared" si="5"/>
        <v>0</v>
      </c>
      <c r="AE47" s="99"/>
      <c r="AF47" s="244">
        <f t="shared" si="6"/>
        <v>0</v>
      </c>
      <c r="AG47" s="99"/>
      <c r="AH47" s="99"/>
      <c r="AI47" s="99"/>
      <c r="AJ47" s="99"/>
      <c r="AK47" s="99"/>
      <c r="AL47" s="128">
        <f t="shared" si="7"/>
        <v>0</v>
      </c>
      <c r="AM47" s="99"/>
      <c r="AN47" s="100">
        <f t="shared" si="18"/>
        <v>0</v>
      </c>
      <c r="AO47" s="101">
        <f t="shared" si="20"/>
        <v>0</v>
      </c>
      <c r="AP47" s="102"/>
      <c r="AQ47" s="103">
        <f t="shared" si="8"/>
        <v>0</v>
      </c>
      <c r="AR47" s="104">
        <f t="shared" si="30"/>
        <v>123.09</v>
      </c>
      <c r="AS47" s="104">
        <f t="shared" si="10"/>
        <v>0</v>
      </c>
      <c r="AT47" s="104">
        <f t="shared" si="11"/>
        <v>0</v>
      </c>
      <c r="AU47" s="104">
        <f t="shared" si="19"/>
        <v>0</v>
      </c>
      <c r="AV47" s="104">
        <f t="array" ref="AV47">_xlfn.IFS(U47=0,AO47,U47&lt;0,AO47/-U47,U47&gt;0,AO47/U47)</f>
        <v>0</v>
      </c>
      <c r="AW47" s="244">
        <f t="shared" si="38"/>
        <v>0</v>
      </c>
      <c r="AX47" s="244">
        <f t="shared" si="39"/>
        <v>0</v>
      </c>
      <c r="AY47" s="105"/>
      <c r="AZ47" s="100">
        <f t="shared" si="14"/>
        <v>0</v>
      </c>
    </row>
    <row r="48" spans="1:52" outlineLevel="1">
      <c r="A48" s="95" t="s">
        <v>124</v>
      </c>
      <c r="B48" s="96">
        <v>386777271</v>
      </c>
      <c r="C48" s="96" t="s">
        <v>170</v>
      </c>
      <c r="D48" s="97" t="s">
        <v>84</v>
      </c>
      <c r="E48" s="242">
        <f t="shared" si="36"/>
        <v>0</v>
      </c>
      <c r="F48" s="99"/>
      <c r="G48" s="99"/>
      <c r="H48" s="99"/>
      <c r="I48" s="99"/>
      <c r="J48" s="99"/>
      <c r="K48" s="98">
        <v>107.88</v>
      </c>
      <c r="L48" s="98">
        <f t="shared" si="37"/>
        <v>0</v>
      </c>
      <c r="M48" s="95"/>
      <c r="N48" s="95"/>
      <c r="O48" s="95"/>
      <c r="P48" s="95"/>
      <c r="Q48" s="243">
        <f t="shared" si="15"/>
        <v>0</v>
      </c>
      <c r="R48" s="98">
        <f t="shared" si="16"/>
        <v>0</v>
      </c>
      <c r="S48" s="99"/>
      <c r="T48" s="99"/>
      <c r="U48" s="98">
        <f t="shared" si="1"/>
        <v>0</v>
      </c>
      <c r="V48" s="99"/>
      <c r="W48" s="99"/>
      <c r="X48" s="98">
        <f t="shared" si="2"/>
        <v>0</v>
      </c>
      <c r="Y48" s="99"/>
      <c r="Z48" s="99"/>
      <c r="AA48" s="98">
        <f t="shared" si="3"/>
        <v>0</v>
      </c>
      <c r="AB48" s="98">
        <f t="shared" si="17"/>
        <v>0</v>
      </c>
      <c r="AC48" s="244" t="e">
        <f t="shared" si="4"/>
        <v>#DIV/0!</v>
      </c>
      <c r="AD48" s="98">
        <f t="shared" si="5"/>
        <v>0</v>
      </c>
      <c r="AE48" s="99"/>
      <c r="AF48" s="244">
        <f t="shared" si="6"/>
        <v>0</v>
      </c>
      <c r="AG48" s="99"/>
      <c r="AH48" s="99"/>
      <c r="AI48" s="99"/>
      <c r="AJ48" s="99"/>
      <c r="AK48" s="99"/>
      <c r="AL48" s="128">
        <f t="shared" si="7"/>
        <v>0</v>
      </c>
      <c r="AM48" s="99"/>
      <c r="AN48" s="100">
        <f t="shared" si="18"/>
        <v>0</v>
      </c>
      <c r="AO48" s="101">
        <f t="shared" si="20"/>
        <v>0</v>
      </c>
      <c r="AP48" s="102"/>
      <c r="AQ48" s="103">
        <f t="shared" si="8"/>
        <v>0</v>
      </c>
      <c r="AR48" s="104">
        <f t="shared" si="30"/>
        <v>107.88</v>
      </c>
      <c r="AS48" s="104">
        <f t="shared" si="10"/>
        <v>0</v>
      </c>
      <c r="AT48" s="104">
        <f t="shared" si="11"/>
        <v>0</v>
      </c>
      <c r="AU48" s="104">
        <f t="shared" si="19"/>
        <v>0</v>
      </c>
      <c r="AV48" s="104">
        <f t="array" ref="AV48">_xlfn.IFS(U48=0,AO48,U48&lt;0,AO48/-U48,U48&gt;0,AO48/U48)</f>
        <v>0</v>
      </c>
      <c r="AW48" s="244">
        <f t="shared" si="38"/>
        <v>0</v>
      </c>
      <c r="AX48" s="244">
        <f t="shared" si="39"/>
        <v>0</v>
      </c>
      <c r="AY48" s="105"/>
      <c r="AZ48" s="100">
        <f t="shared" si="14"/>
        <v>0</v>
      </c>
    </row>
    <row r="49" spans="1:52" outlineLevel="1">
      <c r="A49" s="95" t="s">
        <v>124</v>
      </c>
      <c r="B49" s="96">
        <v>386753444</v>
      </c>
      <c r="C49" s="96" t="s">
        <v>171</v>
      </c>
      <c r="D49" s="97" t="s">
        <v>84</v>
      </c>
      <c r="E49" s="242">
        <f t="shared" si="36"/>
        <v>0</v>
      </c>
      <c r="F49" s="99"/>
      <c r="G49" s="99"/>
      <c r="H49" s="99"/>
      <c r="I49" s="99"/>
      <c r="J49" s="99"/>
      <c r="K49" s="98">
        <v>123.09</v>
      </c>
      <c r="L49" s="98">
        <f t="shared" si="37"/>
        <v>0</v>
      </c>
      <c r="M49" s="95"/>
      <c r="N49" s="95"/>
      <c r="O49" s="95"/>
      <c r="P49" s="95"/>
      <c r="Q49" s="243">
        <f t="shared" si="15"/>
        <v>0</v>
      </c>
      <c r="R49" s="98">
        <f t="shared" si="16"/>
        <v>0</v>
      </c>
      <c r="S49" s="99"/>
      <c r="T49" s="99"/>
      <c r="U49" s="98">
        <f t="shared" si="1"/>
        <v>0</v>
      </c>
      <c r="V49" s="99"/>
      <c r="W49" s="99"/>
      <c r="X49" s="98">
        <f t="shared" si="2"/>
        <v>0</v>
      </c>
      <c r="Y49" s="99"/>
      <c r="Z49" s="99"/>
      <c r="AA49" s="98">
        <f t="shared" si="3"/>
        <v>0</v>
      </c>
      <c r="AB49" s="98">
        <f t="shared" si="17"/>
        <v>0</v>
      </c>
      <c r="AC49" s="244" t="e">
        <f t="shared" si="4"/>
        <v>#DIV/0!</v>
      </c>
      <c r="AD49" s="98">
        <f t="shared" si="5"/>
        <v>0</v>
      </c>
      <c r="AE49" s="99"/>
      <c r="AF49" s="244">
        <f t="shared" si="6"/>
        <v>0</v>
      </c>
      <c r="AG49" s="99"/>
      <c r="AH49" s="99"/>
      <c r="AI49" s="99"/>
      <c r="AJ49" s="99"/>
      <c r="AK49" s="99"/>
      <c r="AL49" s="128">
        <f t="shared" si="7"/>
        <v>0</v>
      </c>
      <c r="AM49" s="99"/>
      <c r="AN49" s="100">
        <f t="shared" si="18"/>
        <v>0</v>
      </c>
      <c r="AO49" s="101">
        <f t="shared" si="20"/>
        <v>0</v>
      </c>
      <c r="AP49" s="102"/>
      <c r="AQ49" s="103">
        <f t="shared" si="8"/>
        <v>0</v>
      </c>
      <c r="AR49" s="104">
        <f t="shared" si="30"/>
        <v>123.09</v>
      </c>
      <c r="AS49" s="104">
        <f t="shared" si="10"/>
        <v>0</v>
      </c>
      <c r="AT49" s="104">
        <f t="shared" si="11"/>
        <v>0</v>
      </c>
      <c r="AU49" s="104">
        <f t="shared" si="19"/>
        <v>0</v>
      </c>
      <c r="AV49" s="104">
        <f t="array" ref="AV49">_xlfn.IFS(U49=0,AO49,U49&lt;0,AO49/-U49,U49&gt;0,AO49/U49)</f>
        <v>0</v>
      </c>
      <c r="AW49" s="244">
        <f t="shared" si="38"/>
        <v>0</v>
      </c>
      <c r="AX49" s="244">
        <f t="shared" si="39"/>
        <v>0</v>
      </c>
      <c r="AY49" s="105"/>
      <c r="AZ49" s="100">
        <f t="shared" si="14"/>
        <v>0</v>
      </c>
    </row>
    <row r="50" spans="1:52" outlineLevel="1">
      <c r="A50" s="95" t="s">
        <v>124</v>
      </c>
      <c r="B50" s="96">
        <v>386733628</v>
      </c>
      <c r="C50" s="96" t="s">
        <v>172</v>
      </c>
      <c r="D50" s="97" t="s">
        <v>84</v>
      </c>
      <c r="E50" s="242">
        <f t="shared" si="36"/>
        <v>0</v>
      </c>
      <c r="F50" s="99"/>
      <c r="G50" s="99"/>
      <c r="H50" s="99"/>
      <c r="I50" s="99"/>
      <c r="J50" s="99"/>
      <c r="K50" s="98">
        <v>134.79</v>
      </c>
      <c r="L50" s="98">
        <f t="shared" si="37"/>
        <v>0</v>
      </c>
      <c r="M50" s="95"/>
      <c r="N50" s="95"/>
      <c r="O50" s="95"/>
      <c r="P50" s="95"/>
      <c r="Q50" s="243">
        <f t="shared" si="15"/>
        <v>0</v>
      </c>
      <c r="R50" s="98">
        <f t="shared" si="16"/>
        <v>0</v>
      </c>
      <c r="S50" s="99"/>
      <c r="T50" s="99"/>
      <c r="U50" s="98">
        <f t="shared" si="1"/>
        <v>0</v>
      </c>
      <c r="V50" s="99"/>
      <c r="W50" s="99"/>
      <c r="X50" s="98">
        <f t="shared" si="2"/>
        <v>0</v>
      </c>
      <c r="Y50" s="99"/>
      <c r="Z50" s="99"/>
      <c r="AA50" s="98">
        <f t="shared" si="3"/>
        <v>0</v>
      </c>
      <c r="AB50" s="98">
        <f t="shared" si="17"/>
        <v>0</v>
      </c>
      <c r="AC50" s="244" t="e">
        <f t="shared" si="4"/>
        <v>#DIV/0!</v>
      </c>
      <c r="AD50" s="98">
        <f t="shared" si="5"/>
        <v>0</v>
      </c>
      <c r="AE50" s="99"/>
      <c r="AF50" s="244">
        <f t="shared" si="6"/>
        <v>0</v>
      </c>
      <c r="AG50" s="99"/>
      <c r="AH50" s="99"/>
      <c r="AI50" s="99"/>
      <c r="AJ50" s="99"/>
      <c r="AK50" s="99"/>
      <c r="AL50" s="128">
        <f t="shared" si="7"/>
        <v>0</v>
      </c>
      <c r="AM50" s="99"/>
      <c r="AN50" s="100">
        <f t="shared" si="18"/>
        <v>0</v>
      </c>
      <c r="AO50" s="101">
        <f t="shared" si="20"/>
        <v>0</v>
      </c>
      <c r="AP50" s="102"/>
      <c r="AQ50" s="103">
        <f t="shared" si="8"/>
        <v>0</v>
      </c>
      <c r="AR50" s="104">
        <f t="shared" si="30"/>
        <v>134.79</v>
      </c>
      <c r="AS50" s="104">
        <f t="shared" si="10"/>
        <v>0</v>
      </c>
      <c r="AT50" s="104">
        <f t="shared" si="11"/>
        <v>0</v>
      </c>
      <c r="AU50" s="104">
        <f t="shared" si="19"/>
        <v>0</v>
      </c>
      <c r="AV50" s="104">
        <f t="array" ref="AV50">_xlfn.IFS(U50=0,AO50,U50&lt;0,AO50/-U50,U50&gt;0,AO50/U50)</f>
        <v>0</v>
      </c>
      <c r="AW50" s="244">
        <f t="shared" si="38"/>
        <v>0</v>
      </c>
      <c r="AX50" s="244">
        <f t="shared" si="39"/>
        <v>0</v>
      </c>
      <c r="AY50" s="105"/>
      <c r="AZ50" s="100">
        <f t="shared" si="14"/>
        <v>0</v>
      </c>
    </row>
    <row r="51" spans="1:52" outlineLevel="1">
      <c r="A51" s="95" t="s">
        <v>124</v>
      </c>
      <c r="B51" s="96">
        <v>386787535</v>
      </c>
      <c r="C51" s="96" t="s">
        <v>173</v>
      </c>
      <c r="D51" s="97" t="s">
        <v>84</v>
      </c>
      <c r="E51" s="242">
        <f t="shared" si="36"/>
        <v>0</v>
      </c>
      <c r="F51" s="99"/>
      <c r="G51" s="99"/>
      <c r="H51" s="99"/>
      <c r="I51" s="99"/>
      <c r="J51" s="99"/>
      <c r="K51" s="98">
        <v>144.15</v>
      </c>
      <c r="L51" s="98">
        <f t="shared" si="37"/>
        <v>0</v>
      </c>
      <c r="M51" s="95"/>
      <c r="N51" s="95"/>
      <c r="O51" s="95"/>
      <c r="P51" s="95"/>
      <c r="Q51" s="243">
        <f t="shared" si="15"/>
        <v>0</v>
      </c>
      <c r="R51" s="98">
        <f t="shared" si="16"/>
        <v>0</v>
      </c>
      <c r="S51" s="99"/>
      <c r="T51" s="99"/>
      <c r="U51" s="98">
        <f t="shared" si="1"/>
        <v>0</v>
      </c>
      <c r="V51" s="99"/>
      <c r="W51" s="99"/>
      <c r="X51" s="98">
        <f t="shared" si="2"/>
        <v>0</v>
      </c>
      <c r="Y51" s="99"/>
      <c r="Z51" s="99"/>
      <c r="AA51" s="98">
        <f t="shared" si="3"/>
        <v>0</v>
      </c>
      <c r="AB51" s="98">
        <f t="shared" si="17"/>
        <v>0</v>
      </c>
      <c r="AC51" s="244" t="e">
        <f t="shared" si="4"/>
        <v>#DIV/0!</v>
      </c>
      <c r="AD51" s="98">
        <f t="shared" si="5"/>
        <v>0</v>
      </c>
      <c r="AE51" s="99"/>
      <c r="AF51" s="244">
        <f t="shared" si="6"/>
        <v>0</v>
      </c>
      <c r="AG51" s="99"/>
      <c r="AH51" s="99"/>
      <c r="AI51" s="99"/>
      <c r="AJ51" s="99"/>
      <c r="AK51" s="99"/>
      <c r="AL51" s="128">
        <f t="shared" si="7"/>
        <v>0</v>
      </c>
      <c r="AM51" s="99"/>
      <c r="AN51" s="100">
        <f t="shared" si="18"/>
        <v>0</v>
      </c>
      <c r="AO51" s="101">
        <f t="shared" si="20"/>
        <v>0</v>
      </c>
      <c r="AP51" s="102"/>
      <c r="AQ51" s="103">
        <f t="shared" si="8"/>
        <v>0</v>
      </c>
      <c r="AR51" s="104">
        <f t="shared" si="30"/>
        <v>144.15</v>
      </c>
      <c r="AS51" s="104">
        <f t="shared" si="10"/>
        <v>0</v>
      </c>
      <c r="AT51" s="104">
        <f t="shared" si="11"/>
        <v>0</v>
      </c>
      <c r="AU51" s="104">
        <f t="shared" si="19"/>
        <v>0</v>
      </c>
      <c r="AV51" s="104">
        <f t="array" ref="AV51">_xlfn.IFS(U51=0,AO51,U51&lt;0,AO51/-U51,U51&gt;0,AO51/U51)</f>
        <v>0</v>
      </c>
      <c r="AW51" s="244">
        <f t="shared" si="38"/>
        <v>0</v>
      </c>
      <c r="AX51" s="244">
        <f t="shared" si="39"/>
        <v>0</v>
      </c>
      <c r="AY51" s="105"/>
      <c r="AZ51" s="100">
        <f t="shared" si="14"/>
        <v>0</v>
      </c>
    </row>
    <row r="52" spans="1:52" outlineLevel="1">
      <c r="A52" s="95" t="s">
        <v>124</v>
      </c>
      <c r="B52" s="96">
        <v>507114655</v>
      </c>
      <c r="C52" s="96" t="s">
        <v>174</v>
      </c>
      <c r="D52" s="97" t="s">
        <v>84</v>
      </c>
      <c r="E52" s="242">
        <f t="shared" si="36"/>
        <v>0</v>
      </c>
      <c r="F52" s="99"/>
      <c r="G52" s="99"/>
      <c r="H52" s="99"/>
      <c r="I52" s="99"/>
      <c r="J52" s="99"/>
      <c r="K52" s="98">
        <v>96.18</v>
      </c>
      <c r="L52" s="98">
        <f t="shared" si="37"/>
        <v>0</v>
      </c>
      <c r="M52" s="95"/>
      <c r="N52" s="95"/>
      <c r="O52" s="95"/>
      <c r="P52" s="95"/>
      <c r="Q52" s="243">
        <f t="shared" si="15"/>
        <v>0</v>
      </c>
      <c r="R52" s="98">
        <f t="shared" si="16"/>
        <v>0</v>
      </c>
      <c r="S52" s="99"/>
      <c r="T52" s="99"/>
      <c r="U52" s="98">
        <f t="shared" si="1"/>
        <v>0</v>
      </c>
      <c r="V52" s="99"/>
      <c r="W52" s="99"/>
      <c r="X52" s="98">
        <f t="shared" si="2"/>
        <v>0</v>
      </c>
      <c r="Y52" s="99"/>
      <c r="Z52" s="99"/>
      <c r="AA52" s="98">
        <f t="shared" si="3"/>
        <v>0</v>
      </c>
      <c r="AB52" s="98">
        <f t="shared" si="17"/>
        <v>0</v>
      </c>
      <c r="AC52" s="244" t="e">
        <f t="shared" si="4"/>
        <v>#DIV/0!</v>
      </c>
      <c r="AD52" s="98">
        <f t="shared" si="5"/>
        <v>0</v>
      </c>
      <c r="AE52" s="99"/>
      <c r="AF52" s="244">
        <f t="shared" si="6"/>
        <v>0</v>
      </c>
      <c r="AG52" s="99"/>
      <c r="AH52" s="99"/>
      <c r="AI52" s="99"/>
      <c r="AJ52" s="99"/>
      <c r="AK52" s="99"/>
      <c r="AL52" s="128">
        <f t="shared" si="7"/>
        <v>0</v>
      </c>
      <c r="AM52" s="99"/>
      <c r="AN52" s="100">
        <f t="shared" si="18"/>
        <v>0</v>
      </c>
      <c r="AO52" s="101">
        <f t="shared" si="20"/>
        <v>0</v>
      </c>
      <c r="AP52" s="102"/>
      <c r="AQ52" s="103">
        <f t="shared" si="8"/>
        <v>0</v>
      </c>
      <c r="AR52" s="104">
        <f t="shared" si="30"/>
        <v>96.18</v>
      </c>
      <c r="AS52" s="104">
        <f t="shared" si="10"/>
        <v>0</v>
      </c>
      <c r="AT52" s="104">
        <f t="shared" si="11"/>
        <v>0</v>
      </c>
      <c r="AU52" s="104">
        <f t="shared" si="19"/>
        <v>0</v>
      </c>
      <c r="AV52" s="104">
        <f t="array" ref="AV52">_xlfn.IFS(U52=0,AO52,U52&lt;0,AO52/-U52,U52&gt;0,AO52/U52)</f>
        <v>0</v>
      </c>
      <c r="AW52" s="244">
        <f t="shared" si="38"/>
        <v>0</v>
      </c>
      <c r="AX52" s="244">
        <f t="shared" si="39"/>
        <v>0</v>
      </c>
      <c r="AY52" s="105"/>
      <c r="AZ52" s="100">
        <f t="shared" si="14"/>
        <v>0</v>
      </c>
    </row>
    <row r="53" spans="1:52" outlineLevel="1">
      <c r="A53" s="95" t="s">
        <v>124</v>
      </c>
      <c r="B53" s="96">
        <v>507115073</v>
      </c>
      <c r="C53" s="96" t="s">
        <v>175</v>
      </c>
      <c r="D53" s="97" t="s">
        <v>84</v>
      </c>
      <c r="E53" s="242">
        <f t="shared" si="36"/>
        <v>0</v>
      </c>
      <c r="F53" s="99"/>
      <c r="G53" s="99"/>
      <c r="H53" s="99"/>
      <c r="I53" s="99"/>
      <c r="J53" s="99"/>
      <c r="K53" s="98">
        <v>96.18</v>
      </c>
      <c r="L53" s="98">
        <f t="shared" si="37"/>
        <v>0</v>
      </c>
      <c r="M53" s="95"/>
      <c r="N53" s="95"/>
      <c r="O53" s="95"/>
      <c r="P53" s="95"/>
      <c r="Q53" s="243">
        <f t="shared" si="15"/>
        <v>0</v>
      </c>
      <c r="R53" s="98">
        <f t="shared" si="16"/>
        <v>0</v>
      </c>
      <c r="S53" s="99"/>
      <c r="T53" s="99"/>
      <c r="U53" s="98">
        <f t="shared" si="1"/>
        <v>0</v>
      </c>
      <c r="V53" s="99"/>
      <c r="W53" s="99"/>
      <c r="X53" s="98">
        <f t="shared" si="2"/>
        <v>0</v>
      </c>
      <c r="Y53" s="99"/>
      <c r="Z53" s="99"/>
      <c r="AA53" s="98">
        <f t="shared" si="3"/>
        <v>0</v>
      </c>
      <c r="AB53" s="98">
        <f t="shared" si="17"/>
        <v>0</v>
      </c>
      <c r="AC53" s="244" t="e">
        <f t="shared" si="4"/>
        <v>#DIV/0!</v>
      </c>
      <c r="AD53" s="98">
        <f t="shared" si="5"/>
        <v>0</v>
      </c>
      <c r="AE53" s="99"/>
      <c r="AF53" s="244">
        <f t="shared" si="6"/>
        <v>0</v>
      </c>
      <c r="AG53" s="99"/>
      <c r="AH53" s="99"/>
      <c r="AI53" s="99"/>
      <c r="AJ53" s="99"/>
      <c r="AK53" s="99"/>
      <c r="AL53" s="128">
        <f t="shared" si="7"/>
        <v>0</v>
      </c>
      <c r="AM53" s="99"/>
      <c r="AN53" s="100">
        <f t="shared" si="18"/>
        <v>0</v>
      </c>
      <c r="AO53" s="101">
        <f t="shared" si="20"/>
        <v>0</v>
      </c>
      <c r="AP53" s="102"/>
      <c r="AQ53" s="103">
        <f t="shared" si="8"/>
        <v>0</v>
      </c>
      <c r="AR53" s="104">
        <f t="shared" si="30"/>
        <v>96.18</v>
      </c>
      <c r="AS53" s="104">
        <f t="shared" si="10"/>
        <v>0</v>
      </c>
      <c r="AT53" s="104">
        <f t="shared" si="11"/>
        <v>0</v>
      </c>
      <c r="AU53" s="104">
        <f t="shared" si="19"/>
        <v>0</v>
      </c>
      <c r="AV53" s="104">
        <f t="array" ref="AV53">_xlfn.IFS(U53=0,AO53,U53&lt;0,AO53/-U53,U53&gt;0,AO53/U53)</f>
        <v>0</v>
      </c>
      <c r="AW53" s="244">
        <f t="shared" si="38"/>
        <v>0</v>
      </c>
      <c r="AX53" s="244">
        <f t="shared" si="39"/>
        <v>0</v>
      </c>
      <c r="AY53" s="105"/>
      <c r="AZ53" s="100">
        <f t="shared" si="14"/>
        <v>0</v>
      </c>
    </row>
    <row r="54" spans="1:52" outlineLevel="1">
      <c r="A54" s="95" t="s">
        <v>124</v>
      </c>
      <c r="B54" s="96">
        <v>431398576</v>
      </c>
      <c r="C54" s="96" t="s">
        <v>176</v>
      </c>
      <c r="D54" s="97" t="s">
        <v>84</v>
      </c>
      <c r="E54" s="242">
        <f t="shared" ref="E54:E98" si="40">SUM(F54:J54)</f>
        <v>0</v>
      </c>
      <c r="F54" s="99"/>
      <c r="G54" s="99"/>
      <c r="H54" s="99"/>
      <c r="I54" s="99"/>
      <c r="J54" s="99"/>
      <c r="K54" s="99">
        <v>123.09</v>
      </c>
      <c r="L54" s="98">
        <f t="shared" si="37"/>
        <v>0</v>
      </c>
      <c r="M54" s="95"/>
      <c r="N54" s="95"/>
      <c r="O54" s="95"/>
      <c r="P54" s="95"/>
      <c r="Q54" s="243">
        <f t="shared" si="15"/>
        <v>0</v>
      </c>
      <c r="R54" s="98">
        <f t="shared" si="16"/>
        <v>0</v>
      </c>
      <c r="S54" s="99"/>
      <c r="T54" s="99"/>
      <c r="U54" s="98">
        <f t="shared" si="1"/>
        <v>0</v>
      </c>
      <c r="V54" s="99"/>
      <c r="W54" s="99"/>
      <c r="X54" s="98">
        <f t="shared" si="2"/>
        <v>0</v>
      </c>
      <c r="Y54" s="99"/>
      <c r="Z54" s="99"/>
      <c r="AA54" s="98">
        <f t="shared" si="3"/>
        <v>0</v>
      </c>
      <c r="AB54" s="98">
        <f t="shared" si="17"/>
        <v>0</v>
      </c>
      <c r="AC54" s="244" t="e">
        <f t="shared" si="4"/>
        <v>#DIV/0!</v>
      </c>
      <c r="AD54" s="98">
        <f t="shared" si="5"/>
        <v>0</v>
      </c>
      <c r="AE54" s="99"/>
      <c r="AF54" s="244">
        <f t="shared" si="6"/>
        <v>0</v>
      </c>
      <c r="AG54" s="99"/>
      <c r="AH54" s="99"/>
      <c r="AI54" s="99"/>
      <c r="AJ54" s="99"/>
      <c r="AK54" s="99"/>
      <c r="AL54" s="128">
        <f t="shared" si="7"/>
        <v>0</v>
      </c>
      <c r="AM54" s="99"/>
      <c r="AN54" s="100">
        <f t="shared" si="18"/>
        <v>0</v>
      </c>
      <c r="AO54" s="101">
        <f t="shared" si="20"/>
        <v>0</v>
      </c>
      <c r="AP54" s="102"/>
      <c r="AQ54" s="103">
        <f t="shared" si="8"/>
        <v>0</v>
      </c>
      <c r="AR54" s="104">
        <f t="shared" si="30"/>
        <v>123.09</v>
      </c>
      <c r="AS54" s="104">
        <f t="shared" si="10"/>
        <v>0</v>
      </c>
      <c r="AT54" s="104">
        <f t="shared" si="11"/>
        <v>0</v>
      </c>
      <c r="AU54" s="104">
        <f t="shared" si="19"/>
        <v>0</v>
      </c>
      <c r="AV54" s="104">
        <f t="array" ref="AV54">_xlfn.IFS(U54=0,AO54,U54&lt;0,AO54/-U54,U54&gt;0,AO54/U54)</f>
        <v>0</v>
      </c>
      <c r="AW54" s="244">
        <f t="shared" si="38"/>
        <v>0</v>
      </c>
      <c r="AX54" s="244">
        <f t="shared" si="39"/>
        <v>0</v>
      </c>
      <c r="AY54" s="105"/>
      <c r="AZ54" s="100">
        <f t="shared" si="14"/>
        <v>0</v>
      </c>
    </row>
    <row r="55" spans="1:52" outlineLevel="1">
      <c r="A55" s="95" t="s">
        <v>124</v>
      </c>
      <c r="B55" s="96">
        <v>431391163</v>
      </c>
      <c r="C55" s="96" t="s">
        <v>177</v>
      </c>
      <c r="D55" s="97" t="s">
        <v>84</v>
      </c>
      <c r="E55" s="242">
        <f t="shared" si="40"/>
        <v>0</v>
      </c>
      <c r="F55" s="99"/>
      <c r="G55" s="99"/>
      <c r="H55" s="99"/>
      <c r="I55" s="99"/>
      <c r="J55" s="99"/>
      <c r="K55" s="99">
        <v>158.19</v>
      </c>
      <c r="L55" s="98">
        <f t="shared" si="37"/>
        <v>0</v>
      </c>
      <c r="M55" s="95"/>
      <c r="N55" s="95"/>
      <c r="O55" s="95"/>
      <c r="P55" s="95"/>
      <c r="Q55" s="243">
        <f t="shared" si="15"/>
        <v>0</v>
      </c>
      <c r="R55" s="98">
        <f t="shared" si="16"/>
        <v>0</v>
      </c>
      <c r="S55" s="99"/>
      <c r="T55" s="99"/>
      <c r="U55" s="98">
        <f t="shared" si="1"/>
        <v>0</v>
      </c>
      <c r="V55" s="99"/>
      <c r="W55" s="99"/>
      <c r="X55" s="98">
        <f t="shared" si="2"/>
        <v>0</v>
      </c>
      <c r="Y55" s="99"/>
      <c r="Z55" s="99"/>
      <c r="AA55" s="98">
        <f t="shared" si="3"/>
        <v>0</v>
      </c>
      <c r="AB55" s="98">
        <f t="shared" si="17"/>
        <v>0</v>
      </c>
      <c r="AC55" s="244" t="e">
        <f t="shared" si="4"/>
        <v>#DIV/0!</v>
      </c>
      <c r="AD55" s="98">
        <f t="shared" si="5"/>
        <v>0</v>
      </c>
      <c r="AE55" s="99"/>
      <c r="AF55" s="244">
        <f t="shared" si="6"/>
        <v>0</v>
      </c>
      <c r="AG55" s="99"/>
      <c r="AH55" s="99"/>
      <c r="AI55" s="99"/>
      <c r="AJ55" s="99"/>
      <c r="AK55" s="99"/>
      <c r="AL55" s="128">
        <f t="shared" si="7"/>
        <v>0</v>
      </c>
      <c r="AM55" s="99"/>
      <c r="AN55" s="100">
        <f t="shared" si="18"/>
        <v>0</v>
      </c>
      <c r="AO55" s="101">
        <f t="shared" si="20"/>
        <v>0</v>
      </c>
      <c r="AP55" s="102"/>
      <c r="AQ55" s="103">
        <f t="shared" si="8"/>
        <v>0</v>
      </c>
      <c r="AR55" s="104">
        <f t="shared" si="30"/>
        <v>158.19</v>
      </c>
      <c r="AS55" s="104">
        <f t="shared" si="10"/>
        <v>0</v>
      </c>
      <c r="AT55" s="104">
        <f t="shared" si="11"/>
        <v>0</v>
      </c>
      <c r="AU55" s="104">
        <f t="shared" si="19"/>
        <v>0</v>
      </c>
      <c r="AV55" s="104">
        <f t="array" ref="AV55">_xlfn.IFS(U55=0,AO55,U55&lt;0,AO55/-U55,U55&gt;0,AO55/U55)</f>
        <v>0</v>
      </c>
      <c r="AW55" s="244">
        <f t="shared" si="38"/>
        <v>0</v>
      </c>
      <c r="AX55" s="244">
        <f t="shared" si="39"/>
        <v>0</v>
      </c>
      <c r="AY55" s="105"/>
      <c r="AZ55" s="100">
        <f t="shared" si="14"/>
        <v>0</v>
      </c>
    </row>
    <row r="56" spans="1:52" outlineLevel="1">
      <c r="A56" s="95" t="s">
        <v>124</v>
      </c>
      <c r="B56" s="96">
        <v>431392656</v>
      </c>
      <c r="C56" s="96" t="s">
        <v>178</v>
      </c>
      <c r="D56" s="97" t="s">
        <v>84</v>
      </c>
      <c r="E56" s="242">
        <f t="shared" si="40"/>
        <v>0</v>
      </c>
      <c r="F56" s="99"/>
      <c r="G56" s="99"/>
      <c r="H56" s="99"/>
      <c r="I56" s="99"/>
      <c r="J56" s="99"/>
      <c r="K56" s="99">
        <v>152.34</v>
      </c>
      <c r="L56" s="98">
        <f t="shared" si="37"/>
        <v>0</v>
      </c>
      <c r="M56" s="95"/>
      <c r="N56" s="95"/>
      <c r="O56" s="95"/>
      <c r="P56" s="95"/>
      <c r="Q56" s="243">
        <f t="shared" si="15"/>
        <v>0</v>
      </c>
      <c r="R56" s="98">
        <f t="shared" si="16"/>
        <v>0</v>
      </c>
      <c r="S56" s="99"/>
      <c r="T56" s="99"/>
      <c r="U56" s="98">
        <f t="shared" si="1"/>
        <v>0</v>
      </c>
      <c r="V56" s="99"/>
      <c r="W56" s="99"/>
      <c r="X56" s="98">
        <f t="shared" si="2"/>
        <v>0</v>
      </c>
      <c r="Y56" s="99"/>
      <c r="Z56" s="99"/>
      <c r="AA56" s="98">
        <f t="shared" si="3"/>
        <v>0</v>
      </c>
      <c r="AB56" s="98">
        <f t="shared" si="17"/>
        <v>0</v>
      </c>
      <c r="AC56" s="244" t="e">
        <f t="shared" si="4"/>
        <v>#DIV/0!</v>
      </c>
      <c r="AD56" s="98">
        <f t="shared" si="5"/>
        <v>0</v>
      </c>
      <c r="AE56" s="99"/>
      <c r="AF56" s="244">
        <f t="shared" si="6"/>
        <v>0</v>
      </c>
      <c r="AG56" s="99"/>
      <c r="AH56" s="99"/>
      <c r="AI56" s="99"/>
      <c r="AJ56" s="99"/>
      <c r="AK56" s="99"/>
      <c r="AL56" s="128">
        <f t="shared" si="7"/>
        <v>0</v>
      </c>
      <c r="AM56" s="99"/>
      <c r="AN56" s="100">
        <f t="shared" si="18"/>
        <v>0</v>
      </c>
      <c r="AO56" s="101">
        <f t="shared" si="20"/>
        <v>0</v>
      </c>
      <c r="AP56" s="102"/>
      <c r="AQ56" s="103">
        <f t="shared" si="8"/>
        <v>0</v>
      </c>
      <c r="AR56" s="104">
        <f t="shared" si="30"/>
        <v>152.34</v>
      </c>
      <c r="AS56" s="104">
        <f t="shared" si="10"/>
        <v>0</v>
      </c>
      <c r="AT56" s="104">
        <f t="shared" si="11"/>
        <v>0</v>
      </c>
      <c r="AU56" s="104">
        <f t="shared" si="19"/>
        <v>0</v>
      </c>
      <c r="AV56" s="104">
        <f t="array" ref="AV56">_xlfn.IFS(U56=0,AO56,U56&lt;0,AO56/-U56,U56&gt;0,AO56/U56)</f>
        <v>0</v>
      </c>
      <c r="AW56" s="244">
        <f t="shared" si="38"/>
        <v>0</v>
      </c>
      <c r="AX56" s="244">
        <f t="shared" si="39"/>
        <v>0</v>
      </c>
      <c r="AY56" s="105"/>
      <c r="AZ56" s="100">
        <f t="shared" si="14"/>
        <v>0</v>
      </c>
    </row>
    <row r="57" spans="1:52" outlineLevel="1">
      <c r="A57" s="95" t="s">
        <v>124</v>
      </c>
      <c r="B57" s="96">
        <v>431394484</v>
      </c>
      <c r="C57" s="96" t="s">
        <v>179</v>
      </c>
      <c r="D57" s="97" t="s">
        <v>84</v>
      </c>
      <c r="E57" s="242">
        <f t="shared" si="40"/>
        <v>0</v>
      </c>
      <c r="F57" s="99"/>
      <c r="G57" s="99"/>
      <c r="H57" s="99"/>
      <c r="I57" s="99"/>
      <c r="J57" s="99"/>
      <c r="K57" s="99">
        <v>93.84</v>
      </c>
      <c r="L57" s="98">
        <f t="shared" si="37"/>
        <v>0</v>
      </c>
      <c r="M57" s="95"/>
      <c r="N57" s="95"/>
      <c r="O57" s="95"/>
      <c r="P57" s="95"/>
      <c r="Q57" s="243">
        <f t="shared" si="15"/>
        <v>0</v>
      </c>
      <c r="R57" s="98">
        <f t="shared" si="16"/>
        <v>0</v>
      </c>
      <c r="S57" s="99"/>
      <c r="T57" s="99"/>
      <c r="U57" s="98">
        <f t="shared" si="1"/>
        <v>0</v>
      </c>
      <c r="V57" s="99"/>
      <c r="W57" s="99"/>
      <c r="X57" s="98">
        <f t="shared" si="2"/>
        <v>0</v>
      </c>
      <c r="Y57" s="99"/>
      <c r="Z57" s="99"/>
      <c r="AA57" s="98">
        <f t="shared" si="3"/>
        <v>0</v>
      </c>
      <c r="AB57" s="98">
        <f t="shared" si="17"/>
        <v>0</v>
      </c>
      <c r="AC57" s="244" t="e">
        <f t="shared" si="4"/>
        <v>#DIV/0!</v>
      </c>
      <c r="AD57" s="98">
        <f t="shared" si="5"/>
        <v>0</v>
      </c>
      <c r="AE57" s="99"/>
      <c r="AF57" s="244">
        <f t="shared" si="6"/>
        <v>0</v>
      </c>
      <c r="AG57" s="99"/>
      <c r="AH57" s="99"/>
      <c r="AI57" s="99"/>
      <c r="AJ57" s="99"/>
      <c r="AK57" s="99"/>
      <c r="AL57" s="128">
        <f t="shared" si="7"/>
        <v>0</v>
      </c>
      <c r="AM57" s="99"/>
      <c r="AN57" s="100">
        <f t="shared" si="18"/>
        <v>0</v>
      </c>
      <c r="AO57" s="101">
        <f t="shared" si="20"/>
        <v>0</v>
      </c>
      <c r="AP57" s="102"/>
      <c r="AQ57" s="103">
        <f t="shared" si="8"/>
        <v>0</v>
      </c>
      <c r="AR57" s="104">
        <f t="shared" si="30"/>
        <v>93.84</v>
      </c>
      <c r="AS57" s="104">
        <f t="shared" si="10"/>
        <v>0</v>
      </c>
      <c r="AT57" s="104">
        <f t="shared" si="11"/>
        <v>0</v>
      </c>
      <c r="AU57" s="104">
        <f t="shared" si="19"/>
        <v>0</v>
      </c>
      <c r="AV57" s="104">
        <f t="array" ref="AV57">_xlfn.IFS(U57=0,AO57,U57&lt;0,AO57/-U57,U57&gt;0,AO57/U57)</f>
        <v>0</v>
      </c>
      <c r="AW57" s="244">
        <f t="shared" si="38"/>
        <v>0</v>
      </c>
      <c r="AX57" s="244">
        <f t="shared" si="39"/>
        <v>0</v>
      </c>
      <c r="AY57" s="105"/>
      <c r="AZ57" s="100">
        <f t="shared" si="14"/>
        <v>0</v>
      </c>
    </row>
    <row r="58" spans="1:52" outlineLevel="1">
      <c r="A58" s="95" t="s">
        <v>124</v>
      </c>
      <c r="B58" s="96">
        <v>431397787</v>
      </c>
      <c r="C58" s="96" t="s">
        <v>180</v>
      </c>
      <c r="D58" s="97" t="s">
        <v>84</v>
      </c>
      <c r="E58" s="242">
        <f t="shared" si="40"/>
        <v>0</v>
      </c>
      <c r="F58" s="99"/>
      <c r="G58" s="99"/>
      <c r="H58" s="99"/>
      <c r="I58" s="99"/>
      <c r="J58" s="99"/>
      <c r="K58" s="99">
        <v>169.89</v>
      </c>
      <c r="L58" s="98">
        <f t="shared" si="37"/>
        <v>0</v>
      </c>
      <c r="M58" s="95"/>
      <c r="N58" s="95"/>
      <c r="O58" s="95"/>
      <c r="P58" s="95"/>
      <c r="Q58" s="243">
        <f t="shared" si="15"/>
        <v>0</v>
      </c>
      <c r="R58" s="98">
        <f t="shared" si="16"/>
        <v>0</v>
      </c>
      <c r="S58" s="99"/>
      <c r="T58" s="99"/>
      <c r="U58" s="98">
        <f t="shared" si="1"/>
        <v>0</v>
      </c>
      <c r="V58" s="99"/>
      <c r="W58" s="99"/>
      <c r="X58" s="98">
        <f t="shared" si="2"/>
        <v>0</v>
      </c>
      <c r="Y58" s="99"/>
      <c r="Z58" s="99"/>
      <c r="AA58" s="98">
        <f t="shared" si="3"/>
        <v>0</v>
      </c>
      <c r="AB58" s="98">
        <f t="shared" si="17"/>
        <v>0</v>
      </c>
      <c r="AC58" s="244" t="e">
        <f t="shared" si="4"/>
        <v>#DIV/0!</v>
      </c>
      <c r="AD58" s="98">
        <f t="shared" si="5"/>
        <v>0</v>
      </c>
      <c r="AE58" s="99"/>
      <c r="AF58" s="244">
        <f t="shared" si="6"/>
        <v>0</v>
      </c>
      <c r="AG58" s="99"/>
      <c r="AH58" s="99"/>
      <c r="AI58" s="99"/>
      <c r="AJ58" s="99"/>
      <c r="AK58" s="99"/>
      <c r="AL58" s="128">
        <f t="shared" si="7"/>
        <v>0</v>
      </c>
      <c r="AM58" s="99"/>
      <c r="AN58" s="100">
        <f t="shared" si="18"/>
        <v>0</v>
      </c>
      <c r="AO58" s="101">
        <f t="shared" si="20"/>
        <v>0</v>
      </c>
      <c r="AP58" s="102"/>
      <c r="AQ58" s="103">
        <f t="shared" si="8"/>
        <v>0</v>
      </c>
      <c r="AR58" s="104">
        <f t="shared" si="30"/>
        <v>169.89</v>
      </c>
      <c r="AS58" s="104">
        <f t="shared" si="10"/>
        <v>0</v>
      </c>
      <c r="AT58" s="104">
        <f t="shared" si="11"/>
        <v>0</v>
      </c>
      <c r="AU58" s="104">
        <f t="shared" si="19"/>
        <v>0</v>
      </c>
      <c r="AV58" s="104">
        <f t="array" ref="AV58">_xlfn.IFS(U58=0,AO58,U58&lt;0,AO58/-U58,U58&gt;0,AO58/U58)</f>
        <v>0</v>
      </c>
      <c r="AW58" s="244">
        <f t="shared" si="38"/>
        <v>0</v>
      </c>
      <c r="AX58" s="244">
        <f t="shared" si="39"/>
        <v>0</v>
      </c>
      <c r="AY58" s="105"/>
      <c r="AZ58" s="100">
        <f t="shared" si="14"/>
        <v>0</v>
      </c>
    </row>
    <row r="59" spans="1:52" outlineLevel="1">
      <c r="A59" s="95" t="s">
        <v>124</v>
      </c>
      <c r="B59" s="96">
        <v>431399167</v>
      </c>
      <c r="C59" s="96" t="s">
        <v>181</v>
      </c>
      <c r="D59" s="97" t="s">
        <v>84</v>
      </c>
      <c r="E59" s="242">
        <f t="shared" si="40"/>
        <v>0</v>
      </c>
      <c r="F59" s="99"/>
      <c r="G59" s="99"/>
      <c r="H59" s="99"/>
      <c r="I59" s="99"/>
      <c r="J59" s="99"/>
      <c r="K59" s="99">
        <v>158.19</v>
      </c>
      <c r="L59" s="98">
        <f t="shared" si="37"/>
        <v>0</v>
      </c>
      <c r="M59" s="95"/>
      <c r="N59" s="95"/>
      <c r="O59" s="95"/>
      <c r="P59" s="95"/>
      <c r="Q59" s="243">
        <f t="shared" si="15"/>
        <v>0</v>
      </c>
      <c r="R59" s="98">
        <f t="shared" si="16"/>
        <v>0</v>
      </c>
      <c r="S59" s="99"/>
      <c r="T59" s="99"/>
      <c r="U59" s="98">
        <f t="shared" si="1"/>
        <v>0</v>
      </c>
      <c r="V59" s="99"/>
      <c r="W59" s="99"/>
      <c r="X59" s="98">
        <f t="shared" si="2"/>
        <v>0</v>
      </c>
      <c r="Y59" s="99"/>
      <c r="Z59" s="99"/>
      <c r="AA59" s="98">
        <f t="shared" si="3"/>
        <v>0</v>
      </c>
      <c r="AB59" s="98">
        <f t="shared" si="17"/>
        <v>0</v>
      </c>
      <c r="AC59" s="244" t="e">
        <f t="shared" si="4"/>
        <v>#DIV/0!</v>
      </c>
      <c r="AD59" s="98">
        <f t="shared" si="5"/>
        <v>0</v>
      </c>
      <c r="AE59" s="99"/>
      <c r="AF59" s="244">
        <f t="shared" si="6"/>
        <v>0</v>
      </c>
      <c r="AG59" s="99"/>
      <c r="AH59" s="99"/>
      <c r="AI59" s="99"/>
      <c r="AJ59" s="99"/>
      <c r="AK59" s="99"/>
      <c r="AL59" s="128">
        <f t="shared" si="7"/>
        <v>0</v>
      </c>
      <c r="AM59" s="99"/>
      <c r="AN59" s="100">
        <f t="shared" si="18"/>
        <v>0</v>
      </c>
      <c r="AO59" s="101">
        <f t="shared" si="20"/>
        <v>0</v>
      </c>
      <c r="AP59" s="102"/>
      <c r="AQ59" s="103">
        <f t="shared" si="8"/>
        <v>0</v>
      </c>
      <c r="AR59" s="104">
        <f t="shared" si="30"/>
        <v>158.19</v>
      </c>
      <c r="AS59" s="104">
        <f t="shared" si="10"/>
        <v>0</v>
      </c>
      <c r="AT59" s="104">
        <f t="shared" si="11"/>
        <v>0</v>
      </c>
      <c r="AU59" s="104">
        <f t="shared" si="19"/>
        <v>0</v>
      </c>
      <c r="AV59" s="104">
        <f t="array" ref="AV59">_xlfn.IFS(U59=0,AO59,U59&lt;0,AO59/-U59,U59&gt;0,AO59/U59)</f>
        <v>0</v>
      </c>
      <c r="AW59" s="244">
        <f t="shared" si="38"/>
        <v>0</v>
      </c>
      <c r="AX59" s="244">
        <f t="shared" si="39"/>
        <v>0</v>
      </c>
      <c r="AY59" s="105"/>
      <c r="AZ59" s="100">
        <f t="shared" si="14"/>
        <v>0</v>
      </c>
    </row>
    <row r="60" spans="1:52" outlineLevel="1">
      <c r="A60" s="95" t="s">
        <v>124</v>
      </c>
      <c r="B60" s="96">
        <v>431399543</v>
      </c>
      <c r="C60" s="96" t="s">
        <v>182</v>
      </c>
      <c r="D60" s="97" t="s">
        <v>84</v>
      </c>
      <c r="E60" s="242">
        <f t="shared" si="40"/>
        <v>0</v>
      </c>
      <c r="F60" s="99"/>
      <c r="G60" s="99"/>
      <c r="H60" s="99"/>
      <c r="I60" s="99"/>
      <c r="J60" s="99"/>
      <c r="K60" s="99">
        <v>158.19</v>
      </c>
      <c r="L60" s="98">
        <f t="shared" si="37"/>
        <v>0</v>
      </c>
      <c r="M60" s="95"/>
      <c r="N60" s="95"/>
      <c r="O60" s="95"/>
      <c r="P60" s="95"/>
      <c r="Q60" s="243">
        <f t="shared" si="15"/>
        <v>0</v>
      </c>
      <c r="R60" s="98">
        <f t="shared" si="16"/>
        <v>0</v>
      </c>
      <c r="S60" s="99"/>
      <c r="T60" s="99"/>
      <c r="U60" s="98">
        <f t="shared" si="1"/>
        <v>0</v>
      </c>
      <c r="V60" s="99"/>
      <c r="W60" s="99"/>
      <c r="X60" s="98">
        <f t="shared" si="2"/>
        <v>0</v>
      </c>
      <c r="Y60" s="99"/>
      <c r="Z60" s="99"/>
      <c r="AA60" s="98">
        <f t="shared" si="3"/>
        <v>0</v>
      </c>
      <c r="AB60" s="98">
        <f t="shared" si="17"/>
        <v>0</v>
      </c>
      <c r="AC60" s="244" t="e">
        <f t="shared" si="4"/>
        <v>#DIV/0!</v>
      </c>
      <c r="AD60" s="98">
        <f t="shared" si="5"/>
        <v>0</v>
      </c>
      <c r="AE60" s="99"/>
      <c r="AF60" s="244">
        <f t="shared" si="6"/>
        <v>0</v>
      </c>
      <c r="AG60" s="99"/>
      <c r="AH60" s="99"/>
      <c r="AI60" s="99"/>
      <c r="AJ60" s="99"/>
      <c r="AK60" s="99"/>
      <c r="AL60" s="128">
        <f t="shared" si="7"/>
        <v>0</v>
      </c>
      <c r="AM60" s="99"/>
      <c r="AN60" s="100">
        <f t="shared" si="18"/>
        <v>0</v>
      </c>
      <c r="AO60" s="101">
        <f t="shared" si="20"/>
        <v>0</v>
      </c>
      <c r="AP60" s="102"/>
      <c r="AQ60" s="103">
        <f t="shared" si="8"/>
        <v>0</v>
      </c>
      <c r="AR60" s="104">
        <f t="shared" si="30"/>
        <v>158.19</v>
      </c>
      <c r="AS60" s="104">
        <f t="shared" si="10"/>
        <v>0</v>
      </c>
      <c r="AT60" s="104">
        <f t="shared" si="11"/>
        <v>0</v>
      </c>
      <c r="AU60" s="104">
        <f t="shared" si="19"/>
        <v>0</v>
      </c>
      <c r="AV60" s="104">
        <f t="array" ref="AV60">_xlfn.IFS(U60=0,AO60,U60&lt;0,AO60/-U60,U60&gt;0,AO60/U60)</f>
        <v>0</v>
      </c>
      <c r="AW60" s="244">
        <f t="shared" si="38"/>
        <v>0</v>
      </c>
      <c r="AX60" s="244">
        <f t="shared" si="39"/>
        <v>0</v>
      </c>
      <c r="AY60" s="105"/>
      <c r="AZ60" s="100">
        <f t="shared" si="14"/>
        <v>0</v>
      </c>
    </row>
    <row r="61" spans="1:52" outlineLevel="1">
      <c r="A61" s="95" t="s">
        <v>124</v>
      </c>
      <c r="B61" s="96">
        <v>431399941</v>
      </c>
      <c r="C61" s="96" t="s">
        <v>183</v>
      </c>
      <c r="D61" s="97" t="s">
        <v>84</v>
      </c>
      <c r="E61" s="242">
        <f t="shared" si="40"/>
        <v>0</v>
      </c>
      <c r="F61" s="99"/>
      <c r="G61" s="99"/>
      <c r="H61" s="99"/>
      <c r="I61" s="99"/>
      <c r="J61" s="99"/>
      <c r="K61" s="99">
        <v>128.94</v>
      </c>
      <c r="L61" s="98">
        <f t="shared" si="37"/>
        <v>0</v>
      </c>
      <c r="M61" s="95"/>
      <c r="N61" s="95"/>
      <c r="O61" s="95"/>
      <c r="P61" s="95"/>
      <c r="Q61" s="243">
        <f t="shared" si="15"/>
        <v>0</v>
      </c>
      <c r="R61" s="98">
        <f t="shared" si="16"/>
        <v>0</v>
      </c>
      <c r="S61" s="99"/>
      <c r="T61" s="99"/>
      <c r="U61" s="98">
        <f t="shared" si="1"/>
        <v>0</v>
      </c>
      <c r="V61" s="99"/>
      <c r="W61" s="99"/>
      <c r="X61" s="98">
        <f t="shared" si="2"/>
        <v>0</v>
      </c>
      <c r="Y61" s="99"/>
      <c r="Z61" s="99"/>
      <c r="AA61" s="98">
        <f t="shared" si="3"/>
        <v>0</v>
      </c>
      <c r="AB61" s="98">
        <f t="shared" si="17"/>
        <v>0</v>
      </c>
      <c r="AC61" s="244" t="e">
        <f t="shared" si="4"/>
        <v>#DIV/0!</v>
      </c>
      <c r="AD61" s="98">
        <f t="shared" si="5"/>
        <v>0</v>
      </c>
      <c r="AE61" s="99"/>
      <c r="AF61" s="244">
        <f t="shared" si="6"/>
        <v>0</v>
      </c>
      <c r="AG61" s="99"/>
      <c r="AH61" s="99"/>
      <c r="AI61" s="99"/>
      <c r="AJ61" s="99"/>
      <c r="AK61" s="99"/>
      <c r="AL61" s="128">
        <f t="shared" si="7"/>
        <v>0</v>
      </c>
      <c r="AM61" s="99"/>
      <c r="AN61" s="100">
        <f t="shared" si="18"/>
        <v>0</v>
      </c>
      <c r="AO61" s="101">
        <f t="shared" si="20"/>
        <v>0</v>
      </c>
      <c r="AP61" s="102"/>
      <c r="AQ61" s="103">
        <f t="shared" si="8"/>
        <v>0</v>
      </c>
      <c r="AR61" s="104">
        <f t="shared" si="30"/>
        <v>128.94</v>
      </c>
      <c r="AS61" s="104">
        <f t="shared" si="10"/>
        <v>0</v>
      </c>
      <c r="AT61" s="104">
        <f t="shared" si="11"/>
        <v>0</v>
      </c>
      <c r="AU61" s="104">
        <f t="shared" si="19"/>
        <v>0</v>
      </c>
      <c r="AV61" s="104">
        <f t="array" ref="AV61">_xlfn.IFS(U61=0,AO61,U61&lt;0,AO61/-U61,U61&gt;0,AO61/U61)</f>
        <v>0</v>
      </c>
      <c r="AW61" s="244">
        <f t="shared" si="38"/>
        <v>0</v>
      </c>
      <c r="AX61" s="244">
        <f t="shared" si="39"/>
        <v>0</v>
      </c>
      <c r="AY61" s="105"/>
      <c r="AZ61" s="100">
        <f t="shared" si="14"/>
        <v>0</v>
      </c>
    </row>
    <row r="62" spans="1:52" outlineLevel="1">
      <c r="A62" s="95" t="s">
        <v>124</v>
      </c>
      <c r="B62" s="96">
        <v>431401135</v>
      </c>
      <c r="C62" s="96" t="s">
        <v>184</v>
      </c>
      <c r="D62" s="97" t="s">
        <v>84</v>
      </c>
      <c r="E62" s="242">
        <f t="shared" si="40"/>
        <v>0</v>
      </c>
      <c r="F62" s="99"/>
      <c r="G62" s="99"/>
      <c r="H62" s="99"/>
      <c r="I62" s="99"/>
      <c r="J62" s="99"/>
      <c r="K62" s="99">
        <v>175.74</v>
      </c>
      <c r="L62" s="98">
        <f t="shared" si="37"/>
        <v>0</v>
      </c>
      <c r="M62" s="95"/>
      <c r="N62" s="95"/>
      <c r="O62" s="95"/>
      <c r="P62" s="95"/>
      <c r="Q62" s="243">
        <f t="shared" si="15"/>
        <v>0</v>
      </c>
      <c r="R62" s="98">
        <f t="shared" si="16"/>
        <v>0</v>
      </c>
      <c r="S62" s="99"/>
      <c r="T62" s="99"/>
      <c r="U62" s="98">
        <f t="shared" si="1"/>
        <v>0</v>
      </c>
      <c r="V62" s="99"/>
      <c r="W62" s="99"/>
      <c r="X62" s="98">
        <f t="shared" si="2"/>
        <v>0</v>
      </c>
      <c r="Y62" s="99"/>
      <c r="Z62" s="99"/>
      <c r="AA62" s="98">
        <f t="shared" si="3"/>
        <v>0</v>
      </c>
      <c r="AB62" s="98">
        <f t="shared" si="17"/>
        <v>0</v>
      </c>
      <c r="AC62" s="244" t="e">
        <f t="shared" si="4"/>
        <v>#DIV/0!</v>
      </c>
      <c r="AD62" s="98">
        <f t="shared" si="5"/>
        <v>0</v>
      </c>
      <c r="AE62" s="99"/>
      <c r="AF62" s="244">
        <f t="shared" si="6"/>
        <v>0</v>
      </c>
      <c r="AG62" s="99"/>
      <c r="AH62" s="99"/>
      <c r="AI62" s="99"/>
      <c r="AJ62" s="99"/>
      <c r="AK62" s="99"/>
      <c r="AL62" s="128">
        <f t="shared" si="7"/>
        <v>0</v>
      </c>
      <c r="AM62" s="99"/>
      <c r="AN62" s="100">
        <f t="shared" si="18"/>
        <v>0</v>
      </c>
      <c r="AO62" s="101">
        <f t="shared" si="20"/>
        <v>0</v>
      </c>
      <c r="AP62" s="102"/>
      <c r="AQ62" s="103">
        <f t="shared" si="8"/>
        <v>0</v>
      </c>
      <c r="AR62" s="104">
        <f t="shared" si="30"/>
        <v>175.74</v>
      </c>
      <c r="AS62" s="104">
        <f t="shared" si="10"/>
        <v>0</v>
      </c>
      <c r="AT62" s="104">
        <f t="shared" si="11"/>
        <v>0</v>
      </c>
      <c r="AU62" s="104">
        <f t="shared" si="19"/>
        <v>0</v>
      </c>
      <c r="AV62" s="104">
        <f t="array" ref="AV62">_xlfn.IFS(U62=0,AO62,U62&lt;0,AO62/-U62,U62&gt;0,AO62/U62)</f>
        <v>0</v>
      </c>
      <c r="AW62" s="244">
        <f t="shared" si="38"/>
        <v>0</v>
      </c>
      <c r="AX62" s="244">
        <f t="shared" si="39"/>
        <v>0</v>
      </c>
      <c r="AY62" s="105"/>
      <c r="AZ62" s="100">
        <f t="shared" si="14"/>
        <v>0</v>
      </c>
    </row>
    <row r="63" spans="1:52" outlineLevel="1">
      <c r="A63" s="95" t="s">
        <v>124</v>
      </c>
      <c r="B63" s="96">
        <v>431401715</v>
      </c>
      <c r="C63" s="96" t="s">
        <v>185</v>
      </c>
      <c r="D63" s="97" t="s">
        <v>84</v>
      </c>
      <c r="E63" s="242">
        <f t="shared" si="40"/>
        <v>0</v>
      </c>
      <c r="F63" s="99"/>
      <c r="G63" s="99"/>
      <c r="H63" s="99"/>
      <c r="I63" s="99"/>
      <c r="J63" s="99"/>
      <c r="K63" s="99">
        <v>140.63999999999999</v>
      </c>
      <c r="L63" s="98">
        <f t="shared" si="37"/>
        <v>0</v>
      </c>
      <c r="M63" s="95"/>
      <c r="N63" s="95"/>
      <c r="O63" s="95"/>
      <c r="P63" s="95"/>
      <c r="Q63" s="243">
        <f t="shared" si="15"/>
        <v>0</v>
      </c>
      <c r="R63" s="98">
        <f t="shared" si="16"/>
        <v>0</v>
      </c>
      <c r="S63" s="99"/>
      <c r="T63" s="99"/>
      <c r="U63" s="98">
        <f t="shared" si="1"/>
        <v>0</v>
      </c>
      <c r="V63" s="99"/>
      <c r="W63" s="99"/>
      <c r="X63" s="98">
        <f t="shared" si="2"/>
        <v>0</v>
      </c>
      <c r="Y63" s="99"/>
      <c r="Z63" s="99"/>
      <c r="AA63" s="98">
        <f t="shared" si="3"/>
        <v>0</v>
      </c>
      <c r="AB63" s="98">
        <f t="shared" si="17"/>
        <v>0</v>
      </c>
      <c r="AC63" s="244" t="e">
        <f t="shared" si="4"/>
        <v>#DIV/0!</v>
      </c>
      <c r="AD63" s="98">
        <f t="shared" si="5"/>
        <v>0</v>
      </c>
      <c r="AE63" s="99"/>
      <c r="AF63" s="244">
        <f t="shared" si="6"/>
        <v>0</v>
      </c>
      <c r="AG63" s="99"/>
      <c r="AH63" s="99"/>
      <c r="AI63" s="99"/>
      <c r="AJ63" s="99"/>
      <c r="AK63" s="99"/>
      <c r="AL63" s="128">
        <f t="shared" si="7"/>
        <v>0</v>
      </c>
      <c r="AM63" s="99"/>
      <c r="AN63" s="100">
        <f t="shared" si="18"/>
        <v>0</v>
      </c>
      <c r="AO63" s="101">
        <f t="shared" si="20"/>
        <v>0</v>
      </c>
      <c r="AP63" s="102"/>
      <c r="AQ63" s="103">
        <f t="shared" si="8"/>
        <v>0</v>
      </c>
      <c r="AR63" s="104">
        <f t="shared" si="30"/>
        <v>140.63999999999999</v>
      </c>
      <c r="AS63" s="104">
        <f t="shared" si="10"/>
        <v>0</v>
      </c>
      <c r="AT63" s="104">
        <f t="shared" si="11"/>
        <v>0</v>
      </c>
      <c r="AU63" s="104">
        <f t="shared" si="19"/>
        <v>0</v>
      </c>
      <c r="AV63" s="104">
        <f t="array" ref="AV63">_xlfn.IFS(U63=0,AO63,U63&lt;0,AO63/-U63,U63&gt;0,AO63/U63)</f>
        <v>0</v>
      </c>
      <c r="AW63" s="244">
        <f t="shared" si="38"/>
        <v>0</v>
      </c>
      <c r="AX63" s="244">
        <f t="shared" si="39"/>
        <v>0</v>
      </c>
      <c r="AY63" s="105"/>
      <c r="AZ63" s="100">
        <f t="shared" si="14"/>
        <v>0</v>
      </c>
    </row>
    <row r="64" spans="1:52" outlineLevel="1">
      <c r="A64" s="95" t="s">
        <v>124</v>
      </c>
      <c r="B64" s="96">
        <v>431402918</v>
      </c>
      <c r="C64" s="96" t="s">
        <v>186</v>
      </c>
      <c r="D64" s="97" t="s">
        <v>84</v>
      </c>
      <c r="E64" s="242">
        <f t="shared" si="40"/>
        <v>0</v>
      </c>
      <c r="F64" s="99"/>
      <c r="G64" s="99"/>
      <c r="H64" s="99"/>
      <c r="I64" s="99"/>
      <c r="J64" s="99"/>
      <c r="K64" s="99">
        <v>99.69</v>
      </c>
      <c r="L64" s="98">
        <f t="shared" si="37"/>
        <v>0</v>
      </c>
      <c r="M64" s="95"/>
      <c r="N64" s="95"/>
      <c r="O64" s="95"/>
      <c r="P64" s="95"/>
      <c r="Q64" s="243">
        <f t="shared" si="15"/>
        <v>0</v>
      </c>
      <c r="R64" s="98">
        <f t="shared" si="16"/>
        <v>0</v>
      </c>
      <c r="S64" s="99"/>
      <c r="T64" s="99"/>
      <c r="U64" s="98">
        <f t="shared" si="1"/>
        <v>0</v>
      </c>
      <c r="V64" s="99"/>
      <c r="W64" s="99"/>
      <c r="X64" s="98">
        <f t="shared" si="2"/>
        <v>0</v>
      </c>
      <c r="Y64" s="99"/>
      <c r="Z64" s="99"/>
      <c r="AA64" s="98">
        <f t="shared" si="3"/>
        <v>0</v>
      </c>
      <c r="AB64" s="98">
        <f t="shared" si="17"/>
        <v>0</v>
      </c>
      <c r="AC64" s="244" t="e">
        <f t="shared" si="4"/>
        <v>#DIV/0!</v>
      </c>
      <c r="AD64" s="98">
        <f t="shared" si="5"/>
        <v>0</v>
      </c>
      <c r="AE64" s="99"/>
      <c r="AF64" s="244">
        <f t="shared" si="6"/>
        <v>0</v>
      </c>
      <c r="AG64" s="99"/>
      <c r="AH64" s="99"/>
      <c r="AI64" s="99"/>
      <c r="AJ64" s="99"/>
      <c r="AK64" s="99"/>
      <c r="AL64" s="128">
        <f t="shared" si="7"/>
        <v>0</v>
      </c>
      <c r="AM64" s="99"/>
      <c r="AN64" s="100">
        <f t="shared" si="18"/>
        <v>0</v>
      </c>
      <c r="AO64" s="101">
        <f t="shared" si="20"/>
        <v>0</v>
      </c>
      <c r="AP64" s="102"/>
      <c r="AQ64" s="103">
        <f t="shared" si="8"/>
        <v>0</v>
      </c>
      <c r="AR64" s="104">
        <f t="shared" si="30"/>
        <v>99.69</v>
      </c>
      <c r="AS64" s="104">
        <f t="shared" si="10"/>
        <v>0</v>
      </c>
      <c r="AT64" s="104">
        <f t="shared" si="11"/>
        <v>0</v>
      </c>
      <c r="AU64" s="104">
        <f t="shared" si="19"/>
        <v>0</v>
      </c>
      <c r="AV64" s="104">
        <f t="array" ref="AV64">_xlfn.IFS(U64=0,AO64,U64&lt;0,AO64/-U64,U64&gt;0,AO64/U64)</f>
        <v>0</v>
      </c>
      <c r="AW64" s="244">
        <f t="shared" si="38"/>
        <v>0</v>
      </c>
      <c r="AX64" s="244">
        <f t="shared" si="39"/>
        <v>0</v>
      </c>
      <c r="AY64" s="105"/>
      <c r="AZ64" s="100">
        <f t="shared" si="14"/>
        <v>0</v>
      </c>
    </row>
    <row r="65" spans="1:52" outlineLevel="1">
      <c r="A65" s="95" t="s">
        <v>124</v>
      </c>
      <c r="B65" s="96">
        <v>431405619</v>
      </c>
      <c r="C65" s="96" t="s">
        <v>187</v>
      </c>
      <c r="D65" s="97" t="s">
        <v>84</v>
      </c>
      <c r="E65" s="242">
        <f t="shared" si="40"/>
        <v>0</v>
      </c>
      <c r="F65" s="99"/>
      <c r="G65" s="99"/>
      <c r="H65" s="99"/>
      <c r="I65" s="99"/>
      <c r="J65" s="99"/>
      <c r="K65" s="99">
        <v>99.69</v>
      </c>
      <c r="L65" s="98">
        <f t="shared" si="37"/>
        <v>0</v>
      </c>
      <c r="M65" s="95"/>
      <c r="N65" s="95"/>
      <c r="O65" s="95"/>
      <c r="P65" s="95"/>
      <c r="Q65" s="243">
        <f t="shared" si="15"/>
        <v>0</v>
      </c>
      <c r="R65" s="98">
        <f t="shared" si="16"/>
        <v>0</v>
      </c>
      <c r="S65" s="99"/>
      <c r="T65" s="99"/>
      <c r="U65" s="98">
        <f t="shared" si="1"/>
        <v>0</v>
      </c>
      <c r="V65" s="99"/>
      <c r="W65" s="99"/>
      <c r="X65" s="98">
        <f t="shared" si="2"/>
        <v>0</v>
      </c>
      <c r="Y65" s="99"/>
      <c r="Z65" s="99"/>
      <c r="AA65" s="98">
        <f t="shared" si="3"/>
        <v>0</v>
      </c>
      <c r="AB65" s="98">
        <f t="shared" si="17"/>
        <v>0</v>
      </c>
      <c r="AC65" s="244" t="e">
        <f t="shared" si="4"/>
        <v>#DIV/0!</v>
      </c>
      <c r="AD65" s="98">
        <f t="shared" si="5"/>
        <v>0</v>
      </c>
      <c r="AE65" s="99"/>
      <c r="AF65" s="244">
        <f t="shared" si="6"/>
        <v>0</v>
      </c>
      <c r="AG65" s="99"/>
      <c r="AH65" s="99"/>
      <c r="AI65" s="99"/>
      <c r="AJ65" s="99"/>
      <c r="AK65" s="99"/>
      <c r="AL65" s="128">
        <f t="shared" si="7"/>
        <v>0</v>
      </c>
      <c r="AM65" s="99"/>
      <c r="AN65" s="100">
        <f t="shared" si="18"/>
        <v>0</v>
      </c>
      <c r="AO65" s="101">
        <f t="shared" si="20"/>
        <v>0</v>
      </c>
      <c r="AP65" s="102"/>
      <c r="AQ65" s="103">
        <f t="shared" si="8"/>
        <v>0</v>
      </c>
      <c r="AR65" s="104">
        <f t="shared" si="30"/>
        <v>99.69</v>
      </c>
      <c r="AS65" s="104">
        <f t="shared" si="10"/>
        <v>0</v>
      </c>
      <c r="AT65" s="104">
        <f t="shared" si="11"/>
        <v>0</v>
      </c>
      <c r="AU65" s="104">
        <f t="shared" si="19"/>
        <v>0</v>
      </c>
      <c r="AV65" s="104">
        <f t="array" ref="AV65">_xlfn.IFS(U65=0,AO65,U65&lt;0,AO65/-U65,U65&gt;0,AO65/U65)</f>
        <v>0</v>
      </c>
      <c r="AW65" s="244">
        <f t="shared" si="38"/>
        <v>0</v>
      </c>
      <c r="AX65" s="244">
        <f t="shared" si="39"/>
        <v>0</v>
      </c>
      <c r="AY65" s="105"/>
      <c r="AZ65" s="100">
        <f t="shared" si="14"/>
        <v>0</v>
      </c>
    </row>
    <row r="66" spans="1:52" outlineLevel="1">
      <c r="A66" s="95" t="s">
        <v>124</v>
      </c>
      <c r="B66" s="96">
        <v>431408292</v>
      </c>
      <c r="C66" s="96" t="s">
        <v>188</v>
      </c>
      <c r="D66" s="97" t="s">
        <v>84</v>
      </c>
      <c r="E66" s="242">
        <f t="shared" si="40"/>
        <v>0</v>
      </c>
      <c r="F66" s="99"/>
      <c r="G66" s="99"/>
      <c r="H66" s="99"/>
      <c r="I66" s="99"/>
      <c r="J66" s="99"/>
      <c r="K66" s="99">
        <v>97.35</v>
      </c>
      <c r="L66" s="98">
        <f t="shared" si="37"/>
        <v>0</v>
      </c>
      <c r="M66" s="95"/>
      <c r="N66" s="95"/>
      <c r="O66" s="95"/>
      <c r="P66" s="95"/>
      <c r="Q66" s="243">
        <f t="shared" si="15"/>
        <v>0</v>
      </c>
      <c r="R66" s="98">
        <f t="shared" si="16"/>
        <v>0</v>
      </c>
      <c r="S66" s="99"/>
      <c r="T66" s="99"/>
      <c r="U66" s="98">
        <f t="shared" si="1"/>
        <v>0</v>
      </c>
      <c r="V66" s="99"/>
      <c r="W66" s="99"/>
      <c r="X66" s="98">
        <f t="shared" si="2"/>
        <v>0</v>
      </c>
      <c r="Y66" s="99"/>
      <c r="Z66" s="99"/>
      <c r="AA66" s="98">
        <f t="shared" si="3"/>
        <v>0</v>
      </c>
      <c r="AB66" s="98">
        <f t="shared" si="17"/>
        <v>0</v>
      </c>
      <c r="AC66" s="244" t="e">
        <f t="shared" si="4"/>
        <v>#DIV/0!</v>
      </c>
      <c r="AD66" s="98">
        <f t="shared" si="5"/>
        <v>0</v>
      </c>
      <c r="AE66" s="99"/>
      <c r="AF66" s="244">
        <f t="shared" si="6"/>
        <v>0</v>
      </c>
      <c r="AG66" s="99"/>
      <c r="AH66" s="99"/>
      <c r="AI66" s="99"/>
      <c r="AJ66" s="99"/>
      <c r="AK66" s="99"/>
      <c r="AL66" s="128">
        <f t="shared" si="7"/>
        <v>0</v>
      </c>
      <c r="AM66" s="99"/>
      <c r="AN66" s="100">
        <f t="shared" si="18"/>
        <v>0</v>
      </c>
      <c r="AO66" s="101">
        <f t="shared" si="20"/>
        <v>0</v>
      </c>
      <c r="AP66" s="102"/>
      <c r="AQ66" s="103">
        <f t="shared" si="8"/>
        <v>0</v>
      </c>
      <c r="AR66" s="104">
        <f t="shared" si="30"/>
        <v>97.35</v>
      </c>
      <c r="AS66" s="104">
        <f t="shared" si="10"/>
        <v>0</v>
      </c>
      <c r="AT66" s="104">
        <f t="shared" si="11"/>
        <v>0</v>
      </c>
      <c r="AU66" s="104">
        <f t="shared" si="19"/>
        <v>0</v>
      </c>
      <c r="AV66" s="104">
        <f t="array" ref="AV66">_xlfn.IFS(U66=0,AO66,U66&lt;0,AO66/-U66,U66&gt;0,AO66/U66)</f>
        <v>0</v>
      </c>
      <c r="AW66" s="244">
        <f t="shared" si="38"/>
        <v>0</v>
      </c>
      <c r="AX66" s="244">
        <f t="shared" si="39"/>
        <v>0</v>
      </c>
      <c r="AY66" s="105"/>
      <c r="AZ66" s="100">
        <f t="shared" si="14"/>
        <v>0</v>
      </c>
    </row>
    <row r="67" spans="1:52" outlineLevel="1">
      <c r="A67" s="95" t="s">
        <v>124</v>
      </c>
      <c r="B67" s="96">
        <v>431411210</v>
      </c>
      <c r="C67" s="96" t="s">
        <v>189</v>
      </c>
      <c r="D67" s="97" t="s">
        <v>84</v>
      </c>
      <c r="E67" s="242">
        <f t="shared" si="40"/>
        <v>0</v>
      </c>
      <c r="F67" s="99"/>
      <c r="G67" s="99"/>
      <c r="H67" s="99"/>
      <c r="I67" s="99"/>
      <c r="J67" s="99"/>
      <c r="K67" s="99">
        <v>161.69999999999999</v>
      </c>
      <c r="L67" s="98">
        <f t="shared" si="37"/>
        <v>0</v>
      </c>
      <c r="M67" s="95"/>
      <c r="N67" s="95"/>
      <c r="O67" s="95"/>
      <c r="P67" s="95"/>
      <c r="Q67" s="243">
        <f t="shared" si="15"/>
        <v>0</v>
      </c>
      <c r="R67" s="98">
        <f t="shared" si="16"/>
        <v>0</v>
      </c>
      <c r="S67" s="99"/>
      <c r="T67" s="99"/>
      <c r="U67" s="98">
        <f t="shared" ref="U67:U98" si="41">S67+T67</f>
        <v>0</v>
      </c>
      <c r="V67" s="99"/>
      <c r="W67" s="99"/>
      <c r="X67" s="98">
        <f t="shared" ref="X67:X98" si="42">V67+W67</f>
        <v>0</v>
      </c>
      <c r="Y67" s="99"/>
      <c r="Z67" s="99"/>
      <c r="AA67" s="98">
        <f t="shared" ref="AA67:AA98" si="43">Y67+Z67</f>
        <v>0</v>
      </c>
      <c r="AB67" s="98">
        <f t="shared" si="17"/>
        <v>0</v>
      </c>
      <c r="AC67" s="244" t="e">
        <f t="shared" ref="AC67:AC98" si="44">AA67/$AA$121</f>
        <v>#DIV/0!</v>
      </c>
      <c r="AD67" s="98">
        <f t="shared" ref="AD67:AD98" si="45">U67*K67</f>
        <v>0</v>
      </c>
      <c r="AE67" s="99"/>
      <c r="AF67" s="244">
        <f t="shared" ref="AF67:AF98" si="46">IF(AA67=0,0,AE67/AA67)</f>
        <v>0</v>
      </c>
      <c r="AG67" s="99"/>
      <c r="AH67" s="99"/>
      <c r="AI67" s="99"/>
      <c r="AJ67" s="99"/>
      <c r="AK67" s="99"/>
      <c r="AL67" s="128">
        <f t="shared" ref="AL67:AL98" si="47">IFERROR($AL$121*H67/$H$121,0)</f>
        <v>0</v>
      </c>
      <c r="AM67" s="99"/>
      <c r="AN67" s="100">
        <f t="shared" si="18"/>
        <v>0</v>
      </c>
      <c r="AO67" s="101">
        <f t="shared" si="20"/>
        <v>0</v>
      </c>
      <c r="AP67" s="102"/>
      <c r="AQ67" s="103">
        <f t="shared" si="8"/>
        <v>0</v>
      </c>
      <c r="AR67" s="104">
        <f t="shared" si="30"/>
        <v>161.69999999999999</v>
      </c>
      <c r="AS67" s="104">
        <f t="shared" si="10"/>
        <v>0</v>
      </c>
      <c r="AT67" s="104">
        <f t="shared" si="11"/>
        <v>0</v>
      </c>
      <c r="AU67" s="104">
        <f t="shared" si="19"/>
        <v>0</v>
      </c>
      <c r="AV67" s="104">
        <f t="array" ref="AV67">_xlfn.IFS(U67=0,AO67,U67&lt;0,AO67/-U67,U67&gt;0,AO67/U67)</f>
        <v>0</v>
      </c>
      <c r="AW67" s="244">
        <f t="shared" si="38"/>
        <v>0</v>
      </c>
      <c r="AX67" s="244">
        <f t="shared" si="39"/>
        <v>0</v>
      </c>
      <c r="AY67" s="105"/>
      <c r="AZ67" s="100">
        <f t="shared" si="14"/>
        <v>0</v>
      </c>
    </row>
    <row r="68" spans="1:52" outlineLevel="1">
      <c r="A68" s="95" t="s">
        <v>124</v>
      </c>
      <c r="B68" s="96">
        <v>431412693</v>
      </c>
      <c r="C68" s="96" t="s">
        <v>190</v>
      </c>
      <c r="D68" s="97" t="s">
        <v>84</v>
      </c>
      <c r="E68" s="242">
        <f t="shared" si="40"/>
        <v>0</v>
      </c>
      <c r="F68" s="99"/>
      <c r="G68" s="99"/>
      <c r="H68" s="99"/>
      <c r="I68" s="99"/>
      <c r="J68" s="99"/>
      <c r="K68" s="99">
        <v>161.69999999999999</v>
      </c>
      <c r="L68" s="98">
        <f t="shared" si="37"/>
        <v>0</v>
      </c>
      <c r="M68" s="95"/>
      <c r="N68" s="95"/>
      <c r="O68" s="95"/>
      <c r="P68" s="95"/>
      <c r="Q68" s="243">
        <f t="shared" ref="Q68:Q98" si="48">N68/32</f>
        <v>0</v>
      </c>
      <c r="R68" s="98">
        <f t="shared" ref="R68:R98" si="49">U68/32</f>
        <v>0</v>
      </c>
      <c r="S68" s="99"/>
      <c r="T68" s="99"/>
      <c r="U68" s="98">
        <f t="shared" si="41"/>
        <v>0</v>
      </c>
      <c r="V68" s="99"/>
      <c r="W68" s="99"/>
      <c r="X68" s="98">
        <f t="shared" si="42"/>
        <v>0</v>
      </c>
      <c r="Y68" s="99"/>
      <c r="Z68" s="99"/>
      <c r="AA68" s="98">
        <f t="shared" si="43"/>
        <v>0</v>
      </c>
      <c r="AB68" s="98">
        <f t="shared" ref="AB68:AB98" si="50">N68*O68*P68/100</f>
        <v>0</v>
      </c>
      <c r="AC68" s="244" t="e">
        <f t="shared" si="44"/>
        <v>#DIV/0!</v>
      </c>
      <c r="AD68" s="98">
        <f t="shared" si="45"/>
        <v>0</v>
      </c>
      <c r="AE68" s="99"/>
      <c r="AF68" s="244">
        <f t="shared" si="46"/>
        <v>0</v>
      </c>
      <c r="AG68" s="99"/>
      <c r="AH68" s="99"/>
      <c r="AI68" s="99"/>
      <c r="AJ68" s="99"/>
      <c r="AK68" s="99"/>
      <c r="AL68" s="128">
        <f t="shared" si="47"/>
        <v>0</v>
      </c>
      <c r="AM68" s="99"/>
      <c r="AN68" s="100">
        <f t="shared" ref="AN68:AN98" si="51">X68*5.71%</f>
        <v>0</v>
      </c>
      <c r="AO68" s="101">
        <f t="shared" si="20"/>
        <v>0</v>
      </c>
      <c r="AP68" s="102"/>
      <c r="AQ68" s="103">
        <f t="shared" si="8"/>
        <v>0</v>
      </c>
      <c r="AR68" s="104">
        <f t="shared" si="30"/>
        <v>161.69999999999999</v>
      </c>
      <c r="AS68" s="104">
        <f t="shared" si="10"/>
        <v>0</v>
      </c>
      <c r="AT68" s="104">
        <f t="shared" si="11"/>
        <v>0</v>
      </c>
      <c r="AU68" s="104">
        <f t="shared" si="19"/>
        <v>0</v>
      </c>
      <c r="AV68" s="104">
        <f t="array" ref="AV68">_xlfn.IFS(U68=0,AO68,U68&lt;0,AO68/-U68,U68&gt;0,AO68/U68)</f>
        <v>0</v>
      </c>
      <c r="AW68" s="244">
        <f t="shared" si="38"/>
        <v>0</v>
      </c>
      <c r="AX68" s="244">
        <f t="shared" si="39"/>
        <v>0</v>
      </c>
      <c r="AY68" s="105"/>
      <c r="AZ68" s="100">
        <f t="shared" si="14"/>
        <v>0</v>
      </c>
    </row>
    <row r="69" spans="1:52" outlineLevel="1">
      <c r="A69" s="95" t="s">
        <v>124</v>
      </c>
      <c r="B69" s="96">
        <v>431417660</v>
      </c>
      <c r="C69" s="96" t="s">
        <v>191</v>
      </c>
      <c r="D69" s="97" t="s">
        <v>84</v>
      </c>
      <c r="E69" s="242">
        <f t="shared" si="40"/>
        <v>0</v>
      </c>
      <c r="F69" s="99"/>
      <c r="G69" s="99"/>
      <c r="H69" s="99"/>
      <c r="I69" s="99"/>
      <c r="J69" s="99"/>
      <c r="K69" s="99">
        <v>140.63999999999999</v>
      </c>
      <c r="L69" s="98">
        <f t="shared" si="37"/>
        <v>0</v>
      </c>
      <c r="M69" s="95"/>
      <c r="N69" s="95"/>
      <c r="O69" s="95"/>
      <c r="P69" s="95"/>
      <c r="Q69" s="243">
        <f t="shared" si="48"/>
        <v>0</v>
      </c>
      <c r="R69" s="98">
        <f t="shared" si="49"/>
        <v>0</v>
      </c>
      <c r="S69" s="99"/>
      <c r="T69" s="99"/>
      <c r="U69" s="98">
        <f t="shared" si="41"/>
        <v>0</v>
      </c>
      <c r="V69" s="99"/>
      <c r="W69" s="99"/>
      <c r="X69" s="98">
        <f t="shared" si="42"/>
        <v>0</v>
      </c>
      <c r="Y69" s="99"/>
      <c r="Z69" s="99"/>
      <c r="AA69" s="98">
        <f t="shared" si="43"/>
        <v>0</v>
      </c>
      <c r="AB69" s="98">
        <f t="shared" si="50"/>
        <v>0</v>
      </c>
      <c r="AC69" s="244" t="e">
        <f t="shared" si="44"/>
        <v>#DIV/0!</v>
      </c>
      <c r="AD69" s="98">
        <f t="shared" si="45"/>
        <v>0</v>
      </c>
      <c r="AE69" s="99"/>
      <c r="AF69" s="244">
        <f t="shared" si="46"/>
        <v>0</v>
      </c>
      <c r="AG69" s="99"/>
      <c r="AH69" s="99"/>
      <c r="AI69" s="99"/>
      <c r="AJ69" s="99"/>
      <c r="AK69" s="99"/>
      <c r="AL69" s="128">
        <f t="shared" si="47"/>
        <v>0</v>
      </c>
      <c r="AM69" s="99"/>
      <c r="AN69" s="100">
        <f t="shared" si="51"/>
        <v>0</v>
      </c>
      <c r="AO69" s="101">
        <f t="shared" ref="AO69:AO98" si="52">AA69-AD69-AE69-AG69-AH69-AI69-AK69-AL69-AN69-AM69</f>
        <v>0</v>
      </c>
      <c r="AP69" s="102"/>
      <c r="AQ69" s="103">
        <f t="shared" si="8"/>
        <v>0</v>
      </c>
      <c r="AR69" s="104">
        <f t="shared" si="30"/>
        <v>140.63999999999999</v>
      </c>
      <c r="AS69" s="104">
        <f t="shared" si="10"/>
        <v>0</v>
      </c>
      <c r="AT69" s="104">
        <f t="shared" si="11"/>
        <v>0</v>
      </c>
      <c r="AU69" s="104">
        <f t="shared" si="19"/>
        <v>0</v>
      </c>
      <c r="AV69" s="104">
        <f t="array" ref="AV69">_xlfn.IFS(U69=0,AO69,U69&lt;0,AO69/-U69,U69&gt;0,AO69/U69)</f>
        <v>0</v>
      </c>
      <c r="AW69" s="244">
        <f t="shared" si="38"/>
        <v>0</v>
      </c>
      <c r="AX69" s="244">
        <f t="shared" si="39"/>
        <v>0</v>
      </c>
      <c r="AY69" s="105"/>
      <c r="AZ69" s="100">
        <f t="shared" si="14"/>
        <v>0</v>
      </c>
    </row>
    <row r="70" spans="1:52" outlineLevel="1">
      <c r="A70" s="95" t="s">
        <v>124</v>
      </c>
      <c r="B70" s="96">
        <v>431421164</v>
      </c>
      <c r="C70" s="96" t="s">
        <v>192</v>
      </c>
      <c r="D70" s="97" t="s">
        <v>84</v>
      </c>
      <c r="E70" s="242">
        <f t="shared" si="40"/>
        <v>0</v>
      </c>
      <c r="F70" s="99"/>
      <c r="G70" s="99"/>
      <c r="H70" s="99"/>
      <c r="I70" s="99"/>
      <c r="J70" s="99"/>
      <c r="K70" s="99">
        <v>117.24</v>
      </c>
      <c r="L70" s="98">
        <f t="shared" si="37"/>
        <v>0</v>
      </c>
      <c r="M70" s="95"/>
      <c r="N70" s="95"/>
      <c r="O70" s="95"/>
      <c r="P70" s="95"/>
      <c r="Q70" s="243">
        <f t="shared" si="48"/>
        <v>0</v>
      </c>
      <c r="R70" s="98">
        <f t="shared" si="49"/>
        <v>0</v>
      </c>
      <c r="S70" s="99"/>
      <c r="T70" s="99"/>
      <c r="U70" s="98">
        <f t="shared" si="41"/>
        <v>0</v>
      </c>
      <c r="V70" s="99"/>
      <c r="W70" s="99"/>
      <c r="X70" s="98">
        <f t="shared" si="42"/>
        <v>0</v>
      </c>
      <c r="Y70" s="99"/>
      <c r="Z70" s="99"/>
      <c r="AA70" s="98">
        <f t="shared" si="43"/>
        <v>0</v>
      </c>
      <c r="AB70" s="98">
        <f t="shared" si="50"/>
        <v>0</v>
      </c>
      <c r="AC70" s="244" t="e">
        <f t="shared" si="44"/>
        <v>#DIV/0!</v>
      </c>
      <c r="AD70" s="98">
        <f t="shared" si="45"/>
        <v>0</v>
      </c>
      <c r="AE70" s="99"/>
      <c r="AF70" s="244">
        <f t="shared" si="46"/>
        <v>0</v>
      </c>
      <c r="AG70" s="99"/>
      <c r="AH70" s="99"/>
      <c r="AI70" s="99"/>
      <c r="AJ70" s="99"/>
      <c r="AK70" s="99"/>
      <c r="AL70" s="128">
        <f t="shared" si="47"/>
        <v>0</v>
      </c>
      <c r="AM70" s="99"/>
      <c r="AN70" s="100">
        <f t="shared" si="51"/>
        <v>0</v>
      </c>
      <c r="AO70" s="101">
        <f t="shared" si="52"/>
        <v>0</v>
      </c>
      <c r="AP70" s="102"/>
      <c r="AQ70" s="103">
        <f t="shared" si="8"/>
        <v>0</v>
      </c>
      <c r="AR70" s="104">
        <f t="shared" si="30"/>
        <v>117.24</v>
      </c>
      <c r="AS70" s="104">
        <f t="shared" si="10"/>
        <v>0</v>
      </c>
      <c r="AT70" s="104">
        <f t="shared" si="11"/>
        <v>0</v>
      </c>
      <c r="AU70" s="104">
        <f t="shared" si="19"/>
        <v>0</v>
      </c>
      <c r="AV70" s="104">
        <f t="array" ref="AV70">_xlfn.IFS(U70=0,AO70,U70&lt;0,AO70/-U70,U70&gt;0,AO70/U70)</f>
        <v>0</v>
      </c>
      <c r="AW70" s="244">
        <f t="shared" si="38"/>
        <v>0</v>
      </c>
      <c r="AX70" s="244">
        <f t="shared" si="39"/>
        <v>0</v>
      </c>
      <c r="AY70" s="105"/>
      <c r="AZ70" s="100">
        <f t="shared" si="14"/>
        <v>0</v>
      </c>
    </row>
    <row r="71" spans="1:52" outlineLevel="1">
      <c r="A71" s="95" t="s">
        <v>124</v>
      </c>
      <c r="B71" s="96">
        <v>471621229</v>
      </c>
      <c r="C71" s="96" t="s">
        <v>193</v>
      </c>
      <c r="D71" s="97" t="s">
        <v>84</v>
      </c>
      <c r="E71" s="242">
        <f t="shared" si="40"/>
        <v>0</v>
      </c>
      <c r="F71" s="99"/>
      <c r="G71" s="99"/>
      <c r="H71" s="99"/>
      <c r="I71" s="99"/>
      <c r="J71" s="99"/>
      <c r="K71" s="99">
        <v>123.09</v>
      </c>
      <c r="L71" s="98">
        <f t="shared" si="37"/>
        <v>0</v>
      </c>
      <c r="M71" s="95"/>
      <c r="N71" s="95"/>
      <c r="O71" s="95"/>
      <c r="P71" s="95"/>
      <c r="Q71" s="243">
        <f t="shared" si="48"/>
        <v>0</v>
      </c>
      <c r="R71" s="98">
        <f t="shared" si="49"/>
        <v>0</v>
      </c>
      <c r="S71" s="99"/>
      <c r="T71" s="99"/>
      <c r="U71" s="98">
        <f t="shared" si="41"/>
        <v>0</v>
      </c>
      <c r="V71" s="99"/>
      <c r="W71" s="99"/>
      <c r="X71" s="98">
        <f t="shared" si="42"/>
        <v>0</v>
      </c>
      <c r="Y71" s="99"/>
      <c r="Z71" s="99"/>
      <c r="AA71" s="98">
        <f t="shared" si="43"/>
        <v>0</v>
      </c>
      <c r="AB71" s="98">
        <f t="shared" si="50"/>
        <v>0</v>
      </c>
      <c r="AC71" s="244" t="e">
        <f t="shared" si="44"/>
        <v>#DIV/0!</v>
      </c>
      <c r="AD71" s="98">
        <f t="shared" si="45"/>
        <v>0</v>
      </c>
      <c r="AE71" s="99"/>
      <c r="AF71" s="244">
        <f t="shared" si="46"/>
        <v>0</v>
      </c>
      <c r="AG71" s="99"/>
      <c r="AH71" s="99"/>
      <c r="AI71" s="99"/>
      <c r="AJ71" s="99"/>
      <c r="AK71" s="99"/>
      <c r="AL71" s="128">
        <f t="shared" si="47"/>
        <v>0</v>
      </c>
      <c r="AM71" s="99"/>
      <c r="AN71" s="100">
        <f t="shared" si="51"/>
        <v>0</v>
      </c>
      <c r="AO71" s="101">
        <f t="shared" si="52"/>
        <v>0</v>
      </c>
      <c r="AP71" s="102"/>
      <c r="AQ71" s="103">
        <f t="shared" si="8"/>
        <v>0</v>
      </c>
      <c r="AR71" s="104">
        <f t="shared" si="30"/>
        <v>123.09</v>
      </c>
      <c r="AS71" s="104">
        <f t="shared" si="10"/>
        <v>0</v>
      </c>
      <c r="AT71" s="104">
        <f t="shared" si="11"/>
        <v>0</v>
      </c>
      <c r="AU71" s="104">
        <f t="shared" ref="AU71:AU98" si="53">IF(S71=0,0,(AH71+AI71+AJ71)/S71)</f>
        <v>0</v>
      </c>
      <c r="AV71" s="104">
        <f t="array" ref="AV71">_xlfn.IFS(U71=0,AO71,U71&lt;0,AO71/-U71,U71&gt;0,AO71/U71)</f>
        <v>0</v>
      </c>
      <c r="AW71" s="244">
        <f t="shared" si="38"/>
        <v>0</v>
      </c>
      <c r="AX71" s="244">
        <f t="shared" si="39"/>
        <v>0</v>
      </c>
      <c r="AY71" s="105"/>
      <c r="AZ71" s="100">
        <f t="shared" si="14"/>
        <v>0</v>
      </c>
    </row>
    <row r="72" spans="1:52" outlineLevel="1">
      <c r="A72" s="95" t="s">
        <v>124</v>
      </c>
      <c r="B72" s="96">
        <v>471653850</v>
      </c>
      <c r="C72" s="96" t="s">
        <v>194</v>
      </c>
      <c r="D72" s="97" t="s">
        <v>84</v>
      </c>
      <c r="E72" s="242">
        <f t="shared" si="40"/>
        <v>0</v>
      </c>
      <c r="F72" s="99"/>
      <c r="G72" s="99"/>
      <c r="H72" s="99"/>
      <c r="I72" s="99"/>
      <c r="J72" s="99"/>
      <c r="K72" s="99">
        <v>123.09</v>
      </c>
      <c r="L72" s="98">
        <f t="shared" si="37"/>
        <v>0</v>
      </c>
      <c r="M72" s="95"/>
      <c r="N72" s="95"/>
      <c r="O72" s="95"/>
      <c r="P72" s="95"/>
      <c r="Q72" s="243">
        <f t="shared" si="48"/>
        <v>0</v>
      </c>
      <c r="R72" s="98">
        <f t="shared" si="49"/>
        <v>0</v>
      </c>
      <c r="S72" s="99"/>
      <c r="T72" s="99"/>
      <c r="U72" s="98">
        <f t="shared" si="41"/>
        <v>0</v>
      </c>
      <c r="V72" s="99"/>
      <c r="W72" s="99"/>
      <c r="X72" s="98">
        <f t="shared" si="42"/>
        <v>0</v>
      </c>
      <c r="Y72" s="99"/>
      <c r="Z72" s="99"/>
      <c r="AA72" s="98">
        <f t="shared" si="43"/>
        <v>0</v>
      </c>
      <c r="AB72" s="98">
        <f t="shared" si="50"/>
        <v>0</v>
      </c>
      <c r="AC72" s="244" t="e">
        <f t="shared" si="44"/>
        <v>#DIV/0!</v>
      </c>
      <c r="AD72" s="98">
        <f t="shared" si="45"/>
        <v>0</v>
      </c>
      <c r="AE72" s="99"/>
      <c r="AF72" s="244">
        <f t="shared" si="46"/>
        <v>0</v>
      </c>
      <c r="AG72" s="99"/>
      <c r="AH72" s="99"/>
      <c r="AI72" s="99"/>
      <c r="AJ72" s="99"/>
      <c r="AK72" s="99"/>
      <c r="AL72" s="128">
        <f t="shared" si="47"/>
        <v>0</v>
      </c>
      <c r="AM72" s="99"/>
      <c r="AN72" s="100">
        <f t="shared" si="51"/>
        <v>0</v>
      </c>
      <c r="AO72" s="101">
        <f t="shared" si="52"/>
        <v>0</v>
      </c>
      <c r="AP72" s="102"/>
      <c r="AQ72" s="103">
        <f t="shared" si="8"/>
        <v>0</v>
      </c>
      <c r="AR72" s="104">
        <f t="shared" si="30"/>
        <v>123.09</v>
      </c>
      <c r="AS72" s="104">
        <f t="shared" si="10"/>
        <v>0</v>
      </c>
      <c r="AT72" s="104">
        <f t="shared" si="11"/>
        <v>0</v>
      </c>
      <c r="AU72" s="104">
        <f t="shared" si="53"/>
        <v>0</v>
      </c>
      <c r="AV72" s="104">
        <f t="array" ref="AV72">_xlfn.IFS(U72=0,AO72,U72&lt;0,AO72/-U72,U72&gt;0,AO72/U72)</f>
        <v>0</v>
      </c>
      <c r="AW72" s="244">
        <f t="shared" si="38"/>
        <v>0</v>
      </c>
      <c r="AX72" s="244">
        <f t="shared" si="39"/>
        <v>0</v>
      </c>
      <c r="AY72" s="105"/>
      <c r="AZ72" s="100">
        <f t="shared" si="14"/>
        <v>0</v>
      </c>
    </row>
    <row r="73" spans="1:52" outlineLevel="1">
      <c r="A73" s="95" t="s">
        <v>124</v>
      </c>
      <c r="B73" s="96">
        <v>471686887</v>
      </c>
      <c r="C73" s="96" t="s">
        <v>195</v>
      </c>
      <c r="D73" s="97" t="s">
        <v>84</v>
      </c>
      <c r="E73" s="242">
        <f t="shared" si="40"/>
        <v>0</v>
      </c>
      <c r="F73" s="99"/>
      <c r="G73" s="99"/>
      <c r="H73" s="99"/>
      <c r="I73" s="99"/>
      <c r="J73" s="99"/>
      <c r="K73" s="99">
        <v>123.09</v>
      </c>
      <c r="L73" s="98">
        <f t="shared" si="37"/>
        <v>0</v>
      </c>
      <c r="M73" s="95"/>
      <c r="N73" s="95"/>
      <c r="O73" s="95"/>
      <c r="P73" s="95"/>
      <c r="Q73" s="243">
        <f t="shared" si="48"/>
        <v>0</v>
      </c>
      <c r="R73" s="98">
        <f t="shared" si="49"/>
        <v>0</v>
      </c>
      <c r="S73" s="99"/>
      <c r="T73" s="99"/>
      <c r="U73" s="98">
        <f t="shared" si="41"/>
        <v>0</v>
      </c>
      <c r="V73" s="99"/>
      <c r="W73" s="99"/>
      <c r="X73" s="98">
        <f t="shared" si="42"/>
        <v>0</v>
      </c>
      <c r="Y73" s="99"/>
      <c r="Z73" s="99"/>
      <c r="AA73" s="98">
        <f t="shared" si="43"/>
        <v>0</v>
      </c>
      <c r="AB73" s="98">
        <f t="shared" si="50"/>
        <v>0</v>
      </c>
      <c r="AC73" s="244" t="e">
        <f t="shared" si="44"/>
        <v>#DIV/0!</v>
      </c>
      <c r="AD73" s="98">
        <f t="shared" si="45"/>
        <v>0</v>
      </c>
      <c r="AE73" s="99"/>
      <c r="AF73" s="244">
        <f t="shared" si="46"/>
        <v>0</v>
      </c>
      <c r="AG73" s="99"/>
      <c r="AH73" s="99"/>
      <c r="AI73" s="99"/>
      <c r="AJ73" s="99"/>
      <c r="AK73" s="99"/>
      <c r="AL73" s="128">
        <f t="shared" si="47"/>
        <v>0</v>
      </c>
      <c r="AM73" s="99"/>
      <c r="AN73" s="100">
        <f t="shared" si="51"/>
        <v>0</v>
      </c>
      <c r="AO73" s="101">
        <f t="shared" si="52"/>
        <v>0</v>
      </c>
      <c r="AP73" s="102"/>
      <c r="AQ73" s="103">
        <f t="shared" si="8"/>
        <v>0</v>
      </c>
      <c r="AR73" s="104">
        <f t="shared" si="30"/>
        <v>123.09</v>
      </c>
      <c r="AS73" s="104">
        <f t="shared" si="10"/>
        <v>0</v>
      </c>
      <c r="AT73" s="104">
        <f t="shared" si="11"/>
        <v>0</v>
      </c>
      <c r="AU73" s="104">
        <f t="shared" si="53"/>
        <v>0</v>
      </c>
      <c r="AV73" s="104">
        <f t="array" ref="AV73">_xlfn.IFS(U73=0,AO73,U73&lt;0,AO73/-U73,U73&gt;0,AO73/U73)</f>
        <v>0</v>
      </c>
      <c r="AW73" s="244">
        <f t="shared" si="38"/>
        <v>0</v>
      </c>
      <c r="AX73" s="244">
        <f t="shared" si="39"/>
        <v>0</v>
      </c>
      <c r="AY73" s="105"/>
      <c r="AZ73" s="100">
        <f t="shared" si="14"/>
        <v>0</v>
      </c>
    </row>
    <row r="74" spans="1:52" outlineLevel="1">
      <c r="A74" s="95" t="s">
        <v>124</v>
      </c>
      <c r="B74" s="96">
        <v>471743752</v>
      </c>
      <c r="C74" s="96" t="s">
        <v>196</v>
      </c>
      <c r="D74" s="97" t="s">
        <v>84</v>
      </c>
      <c r="E74" s="242">
        <f t="shared" si="40"/>
        <v>0</v>
      </c>
      <c r="F74" s="99"/>
      <c r="G74" s="99"/>
      <c r="H74" s="99"/>
      <c r="I74" s="99"/>
      <c r="J74" s="99"/>
      <c r="K74" s="99">
        <v>134.79</v>
      </c>
      <c r="L74" s="98">
        <f t="shared" si="37"/>
        <v>0</v>
      </c>
      <c r="M74" s="95"/>
      <c r="N74" s="95"/>
      <c r="O74" s="95"/>
      <c r="P74" s="95"/>
      <c r="Q74" s="243">
        <f t="shared" si="48"/>
        <v>0</v>
      </c>
      <c r="R74" s="98">
        <f t="shared" si="49"/>
        <v>0</v>
      </c>
      <c r="S74" s="99"/>
      <c r="T74" s="99"/>
      <c r="U74" s="98">
        <f t="shared" si="41"/>
        <v>0</v>
      </c>
      <c r="V74" s="99"/>
      <c r="W74" s="99"/>
      <c r="X74" s="98">
        <f t="shared" si="42"/>
        <v>0</v>
      </c>
      <c r="Y74" s="99"/>
      <c r="Z74" s="99"/>
      <c r="AA74" s="98">
        <f t="shared" si="43"/>
        <v>0</v>
      </c>
      <c r="AB74" s="98">
        <f t="shared" si="50"/>
        <v>0</v>
      </c>
      <c r="AC74" s="244" t="e">
        <f t="shared" si="44"/>
        <v>#DIV/0!</v>
      </c>
      <c r="AD74" s="98">
        <f t="shared" si="45"/>
        <v>0</v>
      </c>
      <c r="AE74" s="99"/>
      <c r="AF74" s="244">
        <f t="shared" si="46"/>
        <v>0</v>
      </c>
      <c r="AG74" s="99"/>
      <c r="AH74" s="99"/>
      <c r="AI74" s="99"/>
      <c r="AJ74" s="99"/>
      <c r="AK74" s="99"/>
      <c r="AL74" s="128">
        <f t="shared" si="47"/>
        <v>0</v>
      </c>
      <c r="AM74" s="99"/>
      <c r="AN74" s="100">
        <f t="shared" si="51"/>
        <v>0</v>
      </c>
      <c r="AO74" s="101">
        <f t="shared" si="52"/>
        <v>0</v>
      </c>
      <c r="AP74" s="102"/>
      <c r="AQ74" s="103">
        <f t="shared" si="8"/>
        <v>0</v>
      </c>
      <c r="AR74" s="104">
        <f t="shared" si="30"/>
        <v>134.79</v>
      </c>
      <c r="AS74" s="104">
        <f t="shared" si="10"/>
        <v>0</v>
      </c>
      <c r="AT74" s="104">
        <f t="shared" si="11"/>
        <v>0</v>
      </c>
      <c r="AU74" s="104">
        <f t="shared" si="53"/>
        <v>0</v>
      </c>
      <c r="AV74" s="104">
        <f t="array" ref="AV74">_xlfn.IFS(U74=0,AO74,U74&lt;0,AO74/-U74,U74&gt;0,AO74/U74)</f>
        <v>0</v>
      </c>
      <c r="AW74" s="244">
        <f t="shared" si="38"/>
        <v>0</v>
      </c>
      <c r="AX74" s="244">
        <f t="shared" si="39"/>
        <v>0</v>
      </c>
      <c r="AY74" s="105"/>
      <c r="AZ74" s="100">
        <f t="shared" si="14"/>
        <v>0</v>
      </c>
    </row>
    <row r="75" spans="1:52" outlineLevel="1">
      <c r="A75" s="95" t="s">
        <v>124</v>
      </c>
      <c r="B75" s="96">
        <v>471808801</v>
      </c>
      <c r="C75" s="96" t="s">
        <v>197</v>
      </c>
      <c r="D75" s="97" t="s">
        <v>84</v>
      </c>
      <c r="E75" s="242">
        <f t="shared" si="40"/>
        <v>0</v>
      </c>
      <c r="F75" s="99"/>
      <c r="G75" s="99"/>
      <c r="H75" s="99"/>
      <c r="I75" s="99"/>
      <c r="J75" s="99"/>
      <c r="K75" s="99">
        <v>134.79</v>
      </c>
      <c r="L75" s="98">
        <f t="shared" si="37"/>
        <v>0</v>
      </c>
      <c r="M75" s="95"/>
      <c r="N75" s="95"/>
      <c r="O75" s="95"/>
      <c r="P75" s="95"/>
      <c r="Q75" s="243">
        <f t="shared" si="48"/>
        <v>0</v>
      </c>
      <c r="R75" s="98">
        <f t="shared" si="49"/>
        <v>0</v>
      </c>
      <c r="S75" s="99"/>
      <c r="T75" s="99"/>
      <c r="U75" s="98">
        <f t="shared" si="41"/>
        <v>0</v>
      </c>
      <c r="V75" s="99"/>
      <c r="W75" s="99"/>
      <c r="X75" s="98">
        <f t="shared" si="42"/>
        <v>0</v>
      </c>
      <c r="Y75" s="99"/>
      <c r="Z75" s="99"/>
      <c r="AA75" s="98">
        <f t="shared" si="43"/>
        <v>0</v>
      </c>
      <c r="AB75" s="98">
        <f t="shared" si="50"/>
        <v>0</v>
      </c>
      <c r="AC75" s="244" t="e">
        <f t="shared" si="44"/>
        <v>#DIV/0!</v>
      </c>
      <c r="AD75" s="98">
        <f t="shared" si="45"/>
        <v>0</v>
      </c>
      <c r="AE75" s="99"/>
      <c r="AF75" s="244">
        <f t="shared" si="46"/>
        <v>0</v>
      </c>
      <c r="AG75" s="99"/>
      <c r="AH75" s="99"/>
      <c r="AI75" s="99"/>
      <c r="AJ75" s="99"/>
      <c r="AK75" s="99"/>
      <c r="AL75" s="128">
        <f t="shared" si="47"/>
        <v>0</v>
      </c>
      <c r="AM75" s="99"/>
      <c r="AN75" s="100">
        <f t="shared" si="51"/>
        <v>0</v>
      </c>
      <c r="AO75" s="101">
        <f t="shared" si="52"/>
        <v>0</v>
      </c>
      <c r="AP75" s="102"/>
      <c r="AQ75" s="103">
        <f t="shared" si="8"/>
        <v>0</v>
      </c>
      <c r="AR75" s="104">
        <f t="shared" si="30"/>
        <v>134.79</v>
      </c>
      <c r="AS75" s="104">
        <f t="shared" si="10"/>
        <v>0</v>
      </c>
      <c r="AT75" s="104">
        <f t="shared" si="11"/>
        <v>0</v>
      </c>
      <c r="AU75" s="104">
        <f t="shared" si="53"/>
        <v>0</v>
      </c>
      <c r="AV75" s="104">
        <f t="array" ref="AV75">_xlfn.IFS(U75=0,AO75,U75&lt;0,AO75/-U75,U75&gt;0,AO75/U75)</f>
        <v>0</v>
      </c>
      <c r="AW75" s="244">
        <f t="shared" si="38"/>
        <v>0</v>
      </c>
      <c r="AX75" s="244">
        <f t="shared" si="39"/>
        <v>0</v>
      </c>
      <c r="AY75" s="105"/>
      <c r="AZ75" s="100">
        <f t="shared" si="14"/>
        <v>0</v>
      </c>
    </row>
    <row r="76" spans="1:52" outlineLevel="1">
      <c r="A76" s="95" t="s">
        <v>124</v>
      </c>
      <c r="B76" s="96">
        <v>507102638</v>
      </c>
      <c r="C76" s="96" t="s">
        <v>198</v>
      </c>
      <c r="D76" s="97" t="s">
        <v>84</v>
      </c>
      <c r="E76" s="242">
        <f t="shared" si="40"/>
        <v>0</v>
      </c>
      <c r="F76" s="99"/>
      <c r="G76" s="99"/>
      <c r="H76" s="99"/>
      <c r="I76" s="99"/>
      <c r="J76" s="99"/>
      <c r="K76" s="99">
        <v>123.09</v>
      </c>
      <c r="L76" s="98">
        <f t="shared" si="37"/>
        <v>0</v>
      </c>
      <c r="M76" s="95"/>
      <c r="N76" s="95"/>
      <c r="O76" s="95"/>
      <c r="P76" s="95"/>
      <c r="Q76" s="243">
        <f t="shared" si="48"/>
        <v>0</v>
      </c>
      <c r="R76" s="98">
        <f t="shared" si="49"/>
        <v>0</v>
      </c>
      <c r="S76" s="99"/>
      <c r="T76" s="99"/>
      <c r="U76" s="98">
        <f t="shared" si="41"/>
        <v>0</v>
      </c>
      <c r="V76" s="99"/>
      <c r="W76" s="99"/>
      <c r="X76" s="98">
        <f t="shared" si="42"/>
        <v>0</v>
      </c>
      <c r="Y76" s="99"/>
      <c r="Z76" s="99"/>
      <c r="AA76" s="98">
        <f t="shared" si="43"/>
        <v>0</v>
      </c>
      <c r="AB76" s="98">
        <f t="shared" si="50"/>
        <v>0</v>
      </c>
      <c r="AC76" s="244" t="e">
        <f t="shared" si="44"/>
        <v>#DIV/0!</v>
      </c>
      <c r="AD76" s="98">
        <f t="shared" si="45"/>
        <v>0</v>
      </c>
      <c r="AE76" s="99"/>
      <c r="AF76" s="244">
        <f t="shared" si="46"/>
        <v>0</v>
      </c>
      <c r="AG76" s="99"/>
      <c r="AH76" s="99"/>
      <c r="AI76" s="99"/>
      <c r="AJ76" s="99"/>
      <c r="AK76" s="99"/>
      <c r="AL76" s="128">
        <f t="shared" si="47"/>
        <v>0</v>
      </c>
      <c r="AM76" s="99"/>
      <c r="AN76" s="100">
        <f t="shared" si="51"/>
        <v>0</v>
      </c>
      <c r="AO76" s="101">
        <f t="shared" si="52"/>
        <v>0</v>
      </c>
      <c r="AP76" s="102"/>
      <c r="AQ76" s="103">
        <f t="shared" si="8"/>
        <v>0</v>
      </c>
      <c r="AR76" s="104">
        <f t="shared" si="30"/>
        <v>123.09</v>
      </c>
      <c r="AS76" s="104">
        <f t="shared" si="10"/>
        <v>0</v>
      </c>
      <c r="AT76" s="104">
        <f t="shared" si="11"/>
        <v>0</v>
      </c>
      <c r="AU76" s="104">
        <f t="shared" si="53"/>
        <v>0</v>
      </c>
      <c r="AV76" s="104">
        <f t="array" ref="AV76">_xlfn.IFS(U76=0,AO76,U76&lt;0,AO76/-U76,U76&gt;0,AO76/U76)</f>
        <v>0</v>
      </c>
      <c r="AW76" s="244">
        <f t="shared" si="38"/>
        <v>0</v>
      </c>
      <c r="AX76" s="244">
        <f t="shared" si="39"/>
        <v>0</v>
      </c>
      <c r="AY76" s="105"/>
      <c r="AZ76" s="100">
        <f t="shared" si="14"/>
        <v>0</v>
      </c>
    </row>
    <row r="77" spans="1:52" outlineLevel="1">
      <c r="A77" s="95" t="s">
        <v>124</v>
      </c>
      <c r="B77" s="96">
        <v>507103278</v>
      </c>
      <c r="C77" s="96" t="s">
        <v>199</v>
      </c>
      <c r="D77" s="97" t="s">
        <v>84</v>
      </c>
      <c r="E77" s="242">
        <f t="shared" si="40"/>
        <v>0</v>
      </c>
      <c r="F77" s="99"/>
      <c r="G77" s="99"/>
      <c r="H77" s="99"/>
      <c r="I77" s="99"/>
      <c r="J77" s="99"/>
      <c r="K77" s="99">
        <v>123.09</v>
      </c>
      <c r="L77" s="98">
        <f t="shared" si="37"/>
        <v>0</v>
      </c>
      <c r="M77" s="95"/>
      <c r="N77" s="95"/>
      <c r="O77" s="95"/>
      <c r="P77" s="95"/>
      <c r="Q77" s="243">
        <f t="shared" si="48"/>
        <v>0</v>
      </c>
      <c r="R77" s="98">
        <f t="shared" si="49"/>
        <v>0</v>
      </c>
      <c r="S77" s="99"/>
      <c r="T77" s="99"/>
      <c r="U77" s="98">
        <f t="shared" si="41"/>
        <v>0</v>
      </c>
      <c r="V77" s="99"/>
      <c r="W77" s="99"/>
      <c r="X77" s="98">
        <f t="shared" si="42"/>
        <v>0</v>
      </c>
      <c r="Y77" s="99"/>
      <c r="Z77" s="99"/>
      <c r="AA77" s="98">
        <f t="shared" si="43"/>
        <v>0</v>
      </c>
      <c r="AB77" s="98">
        <f t="shared" si="50"/>
        <v>0</v>
      </c>
      <c r="AC77" s="244" t="e">
        <f t="shared" si="44"/>
        <v>#DIV/0!</v>
      </c>
      <c r="AD77" s="98">
        <f t="shared" si="45"/>
        <v>0</v>
      </c>
      <c r="AE77" s="99"/>
      <c r="AF77" s="244">
        <f t="shared" si="46"/>
        <v>0</v>
      </c>
      <c r="AG77" s="99"/>
      <c r="AH77" s="99"/>
      <c r="AI77" s="99"/>
      <c r="AJ77" s="99"/>
      <c r="AK77" s="99"/>
      <c r="AL77" s="128">
        <f t="shared" si="47"/>
        <v>0</v>
      </c>
      <c r="AM77" s="99"/>
      <c r="AN77" s="100">
        <f t="shared" si="51"/>
        <v>0</v>
      </c>
      <c r="AO77" s="101">
        <f t="shared" si="52"/>
        <v>0</v>
      </c>
      <c r="AP77" s="102"/>
      <c r="AQ77" s="103">
        <f t="shared" si="8"/>
        <v>0</v>
      </c>
      <c r="AR77" s="104">
        <f t="shared" si="30"/>
        <v>123.09</v>
      </c>
      <c r="AS77" s="104">
        <f t="shared" si="10"/>
        <v>0</v>
      </c>
      <c r="AT77" s="104">
        <f t="shared" si="11"/>
        <v>0</v>
      </c>
      <c r="AU77" s="104">
        <f t="shared" si="53"/>
        <v>0</v>
      </c>
      <c r="AV77" s="104">
        <f t="array" ref="AV77">_xlfn.IFS(U77=0,AO77,U77&lt;0,AO77/-U77,U77&gt;0,AO77/U77)</f>
        <v>0</v>
      </c>
      <c r="AW77" s="244">
        <f t="shared" si="38"/>
        <v>0</v>
      </c>
      <c r="AX77" s="244">
        <f t="shared" si="39"/>
        <v>0</v>
      </c>
      <c r="AY77" s="105"/>
      <c r="AZ77" s="100">
        <f t="shared" si="14"/>
        <v>0</v>
      </c>
    </row>
    <row r="78" spans="1:52" outlineLevel="1">
      <c r="A78" s="95" t="s">
        <v>124</v>
      </c>
      <c r="B78" s="96">
        <v>507103836</v>
      </c>
      <c r="C78" s="96" t="s">
        <v>200</v>
      </c>
      <c r="D78" s="97" t="s">
        <v>84</v>
      </c>
      <c r="E78" s="242">
        <f t="shared" si="40"/>
        <v>0</v>
      </c>
      <c r="F78" s="99"/>
      <c r="G78" s="99"/>
      <c r="H78" s="99"/>
      <c r="I78" s="99"/>
      <c r="J78" s="99"/>
      <c r="K78" s="99">
        <v>123.09</v>
      </c>
      <c r="L78" s="98">
        <f t="shared" si="37"/>
        <v>0</v>
      </c>
      <c r="M78" s="95"/>
      <c r="N78" s="95"/>
      <c r="O78" s="95"/>
      <c r="P78" s="95"/>
      <c r="Q78" s="243">
        <f t="shared" si="48"/>
        <v>0</v>
      </c>
      <c r="R78" s="98">
        <f t="shared" si="49"/>
        <v>0</v>
      </c>
      <c r="S78" s="99"/>
      <c r="T78" s="99"/>
      <c r="U78" s="98">
        <f t="shared" si="41"/>
        <v>0</v>
      </c>
      <c r="V78" s="99"/>
      <c r="W78" s="99"/>
      <c r="X78" s="98">
        <f t="shared" si="42"/>
        <v>0</v>
      </c>
      <c r="Y78" s="99"/>
      <c r="Z78" s="99"/>
      <c r="AA78" s="98">
        <f t="shared" si="43"/>
        <v>0</v>
      </c>
      <c r="AB78" s="98">
        <f t="shared" si="50"/>
        <v>0</v>
      </c>
      <c r="AC78" s="244" t="e">
        <f t="shared" si="44"/>
        <v>#DIV/0!</v>
      </c>
      <c r="AD78" s="98">
        <f t="shared" si="45"/>
        <v>0</v>
      </c>
      <c r="AE78" s="99"/>
      <c r="AF78" s="244">
        <f t="shared" si="46"/>
        <v>0</v>
      </c>
      <c r="AG78" s="99"/>
      <c r="AH78" s="99"/>
      <c r="AI78" s="99"/>
      <c r="AJ78" s="99"/>
      <c r="AK78" s="99"/>
      <c r="AL78" s="128">
        <f t="shared" si="47"/>
        <v>0</v>
      </c>
      <c r="AM78" s="99"/>
      <c r="AN78" s="100">
        <f t="shared" si="51"/>
        <v>0</v>
      </c>
      <c r="AO78" s="101">
        <f t="shared" si="52"/>
        <v>0</v>
      </c>
      <c r="AP78" s="102"/>
      <c r="AQ78" s="103">
        <f t="shared" si="8"/>
        <v>0</v>
      </c>
      <c r="AR78" s="104">
        <f t="shared" si="30"/>
        <v>123.09</v>
      </c>
      <c r="AS78" s="104">
        <f t="shared" si="10"/>
        <v>0</v>
      </c>
      <c r="AT78" s="104">
        <f t="shared" si="11"/>
        <v>0</v>
      </c>
      <c r="AU78" s="104">
        <f t="shared" si="53"/>
        <v>0</v>
      </c>
      <c r="AV78" s="104">
        <f t="array" ref="AV78">_xlfn.IFS(U78=0,AO78,U78&lt;0,AO78/-U78,U78&gt;0,AO78/U78)</f>
        <v>0</v>
      </c>
      <c r="AW78" s="244">
        <f t="shared" si="38"/>
        <v>0</v>
      </c>
      <c r="AX78" s="244">
        <f t="shared" si="39"/>
        <v>0</v>
      </c>
      <c r="AY78" s="105"/>
      <c r="AZ78" s="100">
        <f t="shared" si="14"/>
        <v>0</v>
      </c>
    </row>
    <row r="79" spans="1:52" outlineLevel="1">
      <c r="A79" s="95" t="s">
        <v>124</v>
      </c>
      <c r="B79" s="96">
        <v>507100961</v>
      </c>
      <c r="C79" s="96" t="s">
        <v>201</v>
      </c>
      <c r="D79" s="97" t="s">
        <v>84</v>
      </c>
      <c r="E79" s="242">
        <f t="shared" si="40"/>
        <v>0</v>
      </c>
      <c r="F79" s="99"/>
      <c r="G79" s="99"/>
      <c r="H79" s="99"/>
      <c r="I79" s="99"/>
      <c r="J79" s="99"/>
      <c r="K79" s="99">
        <v>164.04</v>
      </c>
      <c r="L79" s="98">
        <f t="shared" si="37"/>
        <v>0</v>
      </c>
      <c r="M79" s="95"/>
      <c r="N79" s="95"/>
      <c r="O79" s="95"/>
      <c r="P79" s="95"/>
      <c r="Q79" s="243">
        <f t="shared" si="48"/>
        <v>0</v>
      </c>
      <c r="R79" s="98">
        <f t="shared" si="49"/>
        <v>0</v>
      </c>
      <c r="S79" s="99"/>
      <c r="T79" s="99"/>
      <c r="U79" s="98">
        <f t="shared" si="41"/>
        <v>0</v>
      </c>
      <c r="V79" s="99"/>
      <c r="W79" s="99"/>
      <c r="X79" s="98">
        <f t="shared" si="42"/>
        <v>0</v>
      </c>
      <c r="Y79" s="99"/>
      <c r="Z79" s="99"/>
      <c r="AA79" s="98">
        <f t="shared" si="43"/>
        <v>0</v>
      </c>
      <c r="AB79" s="98">
        <f t="shared" si="50"/>
        <v>0</v>
      </c>
      <c r="AC79" s="244" t="e">
        <f t="shared" si="44"/>
        <v>#DIV/0!</v>
      </c>
      <c r="AD79" s="98">
        <f t="shared" si="45"/>
        <v>0</v>
      </c>
      <c r="AE79" s="99"/>
      <c r="AF79" s="244">
        <f t="shared" si="46"/>
        <v>0</v>
      </c>
      <c r="AG79" s="99"/>
      <c r="AH79" s="99"/>
      <c r="AI79" s="99"/>
      <c r="AJ79" s="99"/>
      <c r="AK79" s="99"/>
      <c r="AL79" s="128">
        <f t="shared" si="47"/>
        <v>0</v>
      </c>
      <c r="AM79" s="99"/>
      <c r="AN79" s="100">
        <f t="shared" si="51"/>
        <v>0</v>
      </c>
      <c r="AO79" s="101">
        <f t="shared" si="52"/>
        <v>0</v>
      </c>
      <c r="AP79" s="102"/>
      <c r="AQ79" s="103">
        <f t="shared" si="8"/>
        <v>0</v>
      </c>
      <c r="AR79" s="104">
        <f t="shared" si="30"/>
        <v>164.04</v>
      </c>
      <c r="AS79" s="104">
        <f t="shared" si="10"/>
        <v>0</v>
      </c>
      <c r="AT79" s="104">
        <f t="shared" si="11"/>
        <v>0</v>
      </c>
      <c r="AU79" s="104">
        <f t="shared" si="53"/>
        <v>0</v>
      </c>
      <c r="AV79" s="104">
        <f t="array" ref="AV79">_xlfn.IFS(U79=0,AO79,U79&lt;0,AO79/-U79,U79&gt;0,AO79/U79)</f>
        <v>0</v>
      </c>
      <c r="AW79" s="244">
        <f t="shared" si="38"/>
        <v>0</v>
      </c>
      <c r="AX79" s="244">
        <f t="shared" si="39"/>
        <v>0</v>
      </c>
      <c r="AY79" s="105"/>
      <c r="AZ79" s="100">
        <f t="shared" si="14"/>
        <v>0</v>
      </c>
    </row>
    <row r="80" spans="1:52" outlineLevel="1">
      <c r="A80" s="95" t="s">
        <v>124</v>
      </c>
      <c r="B80" s="96">
        <v>507101212</v>
      </c>
      <c r="C80" s="96" t="s">
        <v>202</v>
      </c>
      <c r="D80" s="97" t="s">
        <v>84</v>
      </c>
      <c r="E80" s="242">
        <f t="shared" si="40"/>
        <v>0</v>
      </c>
      <c r="F80" s="99"/>
      <c r="G80" s="99"/>
      <c r="H80" s="99"/>
      <c r="I80" s="99"/>
      <c r="J80" s="99"/>
      <c r="K80" s="99">
        <v>164.04</v>
      </c>
      <c r="L80" s="98">
        <f t="shared" si="37"/>
        <v>0</v>
      </c>
      <c r="M80" s="95"/>
      <c r="N80" s="95"/>
      <c r="O80" s="95"/>
      <c r="P80" s="95"/>
      <c r="Q80" s="243">
        <f t="shared" si="48"/>
        <v>0</v>
      </c>
      <c r="R80" s="98">
        <f t="shared" si="49"/>
        <v>0</v>
      </c>
      <c r="S80" s="99"/>
      <c r="T80" s="99"/>
      <c r="U80" s="98">
        <f t="shared" si="41"/>
        <v>0</v>
      </c>
      <c r="V80" s="99"/>
      <c r="W80" s="99"/>
      <c r="X80" s="98">
        <f t="shared" si="42"/>
        <v>0</v>
      </c>
      <c r="Y80" s="99"/>
      <c r="Z80" s="99"/>
      <c r="AA80" s="98">
        <f t="shared" si="43"/>
        <v>0</v>
      </c>
      <c r="AB80" s="98">
        <f t="shared" si="50"/>
        <v>0</v>
      </c>
      <c r="AC80" s="244" t="e">
        <f t="shared" si="44"/>
        <v>#DIV/0!</v>
      </c>
      <c r="AD80" s="98">
        <f t="shared" si="45"/>
        <v>0</v>
      </c>
      <c r="AE80" s="99"/>
      <c r="AF80" s="244">
        <f t="shared" si="46"/>
        <v>0</v>
      </c>
      <c r="AG80" s="99"/>
      <c r="AH80" s="99"/>
      <c r="AI80" s="99"/>
      <c r="AJ80" s="99"/>
      <c r="AK80" s="99"/>
      <c r="AL80" s="128">
        <f t="shared" si="47"/>
        <v>0</v>
      </c>
      <c r="AM80" s="99"/>
      <c r="AN80" s="100">
        <f t="shared" si="51"/>
        <v>0</v>
      </c>
      <c r="AO80" s="101">
        <f t="shared" si="52"/>
        <v>0</v>
      </c>
      <c r="AP80" s="102"/>
      <c r="AQ80" s="103">
        <f t="shared" si="8"/>
        <v>0</v>
      </c>
      <c r="AR80" s="104">
        <f t="shared" si="30"/>
        <v>164.04</v>
      </c>
      <c r="AS80" s="104">
        <f t="shared" si="10"/>
        <v>0</v>
      </c>
      <c r="AT80" s="104">
        <f t="shared" si="11"/>
        <v>0</v>
      </c>
      <c r="AU80" s="104">
        <f t="shared" si="53"/>
        <v>0</v>
      </c>
      <c r="AV80" s="104">
        <f t="array" ref="AV80">_xlfn.IFS(U80=0,AO80,U80&lt;0,AO80/-U80,U80&gt;0,AO80/U80)</f>
        <v>0</v>
      </c>
      <c r="AW80" s="244">
        <f t="shared" si="38"/>
        <v>0</v>
      </c>
      <c r="AX80" s="244">
        <f t="shared" si="39"/>
        <v>0</v>
      </c>
      <c r="AY80" s="105"/>
      <c r="AZ80" s="100">
        <f t="shared" si="14"/>
        <v>0</v>
      </c>
    </row>
    <row r="81" spans="1:52" outlineLevel="1">
      <c r="A81" s="95" t="s">
        <v>124</v>
      </c>
      <c r="B81" s="96">
        <v>507102032</v>
      </c>
      <c r="C81" s="96" t="s">
        <v>203</v>
      </c>
      <c r="D81" s="97" t="s">
        <v>84</v>
      </c>
      <c r="E81" s="242">
        <f t="shared" si="40"/>
        <v>0</v>
      </c>
      <c r="F81" s="99"/>
      <c r="G81" s="99"/>
      <c r="H81" s="99"/>
      <c r="I81" s="99"/>
      <c r="J81" s="99"/>
      <c r="K81" s="99">
        <v>128.94</v>
      </c>
      <c r="L81" s="98">
        <f t="shared" si="37"/>
        <v>0</v>
      </c>
      <c r="M81" s="95"/>
      <c r="N81" s="95"/>
      <c r="O81" s="95"/>
      <c r="P81" s="95"/>
      <c r="Q81" s="243">
        <f t="shared" si="48"/>
        <v>0</v>
      </c>
      <c r="R81" s="98">
        <f t="shared" si="49"/>
        <v>0</v>
      </c>
      <c r="S81" s="99"/>
      <c r="T81" s="99"/>
      <c r="U81" s="98">
        <f t="shared" si="41"/>
        <v>0</v>
      </c>
      <c r="V81" s="99"/>
      <c r="W81" s="99"/>
      <c r="X81" s="98">
        <f t="shared" si="42"/>
        <v>0</v>
      </c>
      <c r="Y81" s="99"/>
      <c r="Z81" s="99"/>
      <c r="AA81" s="98">
        <f t="shared" si="43"/>
        <v>0</v>
      </c>
      <c r="AB81" s="98">
        <f t="shared" si="50"/>
        <v>0</v>
      </c>
      <c r="AC81" s="244" t="e">
        <f t="shared" si="44"/>
        <v>#DIV/0!</v>
      </c>
      <c r="AD81" s="98">
        <f t="shared" si="45"/>
        <v>0</v>
      </c>
      <c r="AE81" s="99"/>
      <c r="AF81" s="244">
        <f t="shared" si="46"/>
        <v>0</v>
      </c>
      <c r="AG81" s="99"/>
      <c r="AH81" s="99"/>
      <c r="AI81" s="99"/>
      <c r="AJ81" s="99"/>
      <c r="AK81" s="99"/>
      <c r="AL81" s="128">
        <f t="shared" si="47"/>
        <v>0</v>
      </c>
      <c r="AM81" s="99"/>
      <c r="AN81" s="100">
        <f t="shared" si="51"/>
        <v>0</v>
      </c>
      <c r="AO81" s="101">
        <f t="shared" si="52"/>
        <v>0</v>
      </c>
      <c r="AP81" s="102"/>
      <c r="AQ81" s="103">
        <f t="shared" si="8"/>
        <v>0</v>
      </c>
      <c r="AR81" s="104">
        <f t="shared" si="30"/>
        <v>128.94</v>
      </c>
      <c r="AS81" s="104">
        <f t="shared" si="10"/>
        <v>0</v>
      </c>
      <c r="AT81" s="104">
        <f t="shared" si="11"/>
        <v>0</v>
      </c>
      <c r="AU81" s="104">
        <f t="shared" si="53"/>
        <v>0</v>
      </c>
      <c r="AV81" s="104">
        <f t="array" ref="AV81">_xlfn.IFS(U81=0,AO81,U81&lt;0,AO81/-U81,U81&gt;0,AO81/U81)</f>
        <v>0</v>
      </c>
      <c r="AW81" s="244">
        <f t="shared" si="38"/>
        <v>0</v>
      </c>
      <c r="AX81" s="244">
        <f t="shared" si="39"/>
        <v>0</v>
      </c>
      <c r="AY81" s="105"/>
      <c r="AZ81" s="100">
        <f t="shared" si="14"/>
        <v>0</v>
      </c>
    </row>
    <row r="82" spans="1:52" outlineLevel="1">
      <c r="A82" s="95" t="s">
        <v>124</v>
      </c>
      <c r="B82" s="96">
        <v>507102327</v>
      </c>
      <c r="C82" s="96" t="s">
        <v>204</v>
      </c>
      <c r="D82" s="97" t="s">
        <v>84</v>
      </c>
      <c r="E82" s="242">
        <f t="shared" si="40"/>
        <v>0</v>
      </c>
      <c r="F82" s="99"/>
      <c r="G82" s="99"/>
      <c r="H82" s="99"/>
      <c r="I82" s="99"/>
      <c r="J82" s="99"/>
      <c r="K82" s="99">
        <v>128.94</v>
      </c>
      <c r="L82" s="98">
        <f t="shared" si="37"/>
        <v>0</v>
      </c>
      <c r="M82" s="95"/>
      <c r="N82" s="95"/>
      <c r="O82" s="95"/>
      <c r="P82" s="95"/>
      <c r="Q82" s="243">
        <f t="shared" si="48"/>
        <v>0</v>
      </c>
      <c r="R82" s="98">
        <f t="shared" si="49"/>
        <v>0</v>
      </c>
      <c r="S82" s="99"/>
      <c r="T82" s="99"/>
      <c r="U82" s="98">
        <f t="shared" si="41"/>
        <v>0</v>
      </c>
      <c r="V82" s="99"/>
      <c r="W82" s="99"/>
      <c r="X82" s="98">
        <f t="shared" si="42"/>
        <v>0</v>
      </c>
      <c r="Y82" s="99"/>
      <c r="Z82" s="99"/>
      <c r="AA82" s="98">
        <f t="shared" si="43"/>
        <v>0</v>
      </c>
      <c r="AB82" s="98">
        <f t="shared" si="50"/>
        <v>0</v>
      </c>
      <c r="AC82" s="244" t="e">
        <f t="shared" si="44"/>
        <v>#DIV/0!</v>
      </c>
      <c r="AD82" s="98">
        <f t="shared" si="45"/>
        <v>0</v>
      </c>
      <c r="AE82" s="99"/>
      <c r="AF82" s="244">
        <f t="shared" si="46"/>
        <v>0</v>
      </c>
      <c r="AG82" s="99"/>
      <c r="AH82" s="99"/>
      <c r="AI82" s="99"/>
      <c r="AJ82" s="99"/>
      <c r="AK82" s="99"/>
      <c r="AL82" s="128">
        <f t="shared" si="47"/>
        <v>0</v>
      </c>
      <c r="AM82" s="99"/>
      <c r="AN82" s="100">
        <f t="shared" si="51"/>
        <v>0</v>
      </c>
      <c r="AO82" s="101">
        <f t="shared" si="52"/>
        <v>0</v>
      </c>
      <c r="AP82" s="102"/>
      <c r="AQ82" s="103">
        <f t="shared" si="8"/>
        <v>0</v>
      </c>
      <c r="AR82" s="104">
        <f t="shared" si="30"/>
        <v>128.94</v>
      </c>
      <c r="AS82" s="104">
        <f t="shared" si="10"/>
        <v>0</v>
      </c>
      <c r="AT82" s="104">
        <f t="shared" si="11"/>
        <v>0</v>
      </c>
      <c r="AU82" s="104">
        <f t="shared" si="53"/>
        <v>0</v>
      </c>
      <c r="AV82" s="104">
        <f t="array" ref="AV82">_xlfn.IFS(U82=0,AO82,U82&lt;0,AO82/-U82,U82&gt;0,AO82/U82)</f>
        <v>0</v>
      </c>
      <c r="AW82" s="244">
        <f t="shared" si="38"/>
        <v>0</v>
      </c>
      <c r="AX82" s="244">
        <f t="shared" si="39"/>
        <v>0</v>
      </c>
      <c r="AY82" s="105"/>
      <c r="AZ82" s="100">
        <f t="shared" si="14"/>
        <v>0</v>
      </c>
    </row>
    <row r="83" spans="1:52" outlineLevel="1">
      <c r="A83" s="95" t="s">
        <v>124</v>
      </c>
      <c r="B83" s="96">
        <v>507098553</v>
      </c>
      <c r="C83" s="96" t="s">
        <v>205</v>
      </c>
      <c r="D83" s="97" t="s">
        <v>84</v>
      </c>
      <c r="E83" s="242">
        <f t="shared" si="40"/>
        <v>0</v>
      </c>
      <c r="F83" s="99"/>
      <c r="G83" s="99"/>
      <c r="H83" s="99"/>
      <c r="I83" s="99"/>
      <c r="J83" s="99"/>
      <c r="K83" s="99">
        <v>123.09</v>
      </c>
      <c r="L83" s="98">
        <f t="shared" si="37"/>
        <v>0</v>
      </c>
      <c r="M83" s="95"/>
      <c r="N83" s="95"/>
      <c r="O83" s="95"/>
      <c r="P83" s="95"/>
      <c r="Q83" s="243">
        <f t="shared" si="48"/>
        <v>0</v>
      </c>
      <c r="R83" s="98">
        <f t="shared" si="49"/>
        <v>0</v>
      </c>
      <c r="S83" s="99"/>
      <c r="T83" s="99"/>
      <c r="U83" s="98">
        <f t="shared" si="41"/>
        <v>0</v>
      </c>
      <c r="V83" s="99"/>
      <c r="W83" s="99"/>
      <c r="X83" s="98">
        <f t="shared" si="42"/>
        <v>0</v>
      </c>
      <c r="Y83" s="99"/>
      <c r="Z83" s="99"/>
      <c r="AA83" s="98">
        <f t="shared" si="43"/>
        <v>0</v>
      </c>
      <c r="AB83" s="98">
        <f t="shared" si="50"/>
        <v>0</v>
      </c>
      <c r="AC83" s="244" t="e">
        <f t="shared" si="44"/>
        <v>#DIV/0!</v>
      </c>
      <c r="AD83" s="98">
        <f t="shared" si="45"/>
        <v>0</v>
      </c>
      <c r="AE83" s="99"/>
      <c r="AF83" s="244">
        <f t="shared" si="46"/>
        <v>0</v>
      </c>
      <c r="AG83" s="99"/>
      <c r="AH83" s="99"/>
      <c r="AI83" s="99"/>
      <c r="AJ83" s="99"/>
      <c r="AK83" s="99"/>
      <c r="AL83" s="128">
        <f t="shared" si="47"/>
        <v>0</v>
      </c>
      <c r="AM83" s="99"/>
      <c r="AN83" s="100">
        <f t="shared" si="51"/>
        <v>0</v>
      </c>
      <c r="AO83" s="101">
        <f t="shared" si="52"/>
        <v>0</v>
      </c>
      <c r="AP83" s="102"/>
      <c r="AQ83" s="103">
        <f t="shared" si="8"/>
        <v>0</v>
      </c>
      <c r="AR83" s="104">
        <f t="shared" si="30"/>
        <v>123.09</v>
      </c>
      <c r="AS83" s="104">
        <f t="shared" si="10"/>
        <v>0</v>
      </c>
      <c r="AT83" s="104">
        <f t="shared" si="11"/>
        <v>0</v>
      </c>
      <c r="AU83" s="104">
        <f t="shared" si="53"/>
        <v>0</v>
      </c>
      <c r="AV83" s="104">
        <f t="array" ref="AV83">_xlfn.IFS(U83=0,AO83,U83&lt;0,AO83/-U83,U83&gt;0,AO83/U83)</f>
        <v>0</v>
      </c>
      <c r="AW83" s="244">
        <f t="shared" si="38"/>
        <v>0</v>
      </c>
      <c r="AX83" s="244">
        <f t="shared" si="39"/>
        <v>0</v>
      </c>
      <c r="AY83" s="105"/>
      <c r="AZ83" s="100">
        <f t="shared" si="14"/>
        <v>0</v>
      </c>
    </row>
    <row r="84" spans="1:52" outlineLevel="1">
      <c r="A84" s="95" t="s">
        <v>124</v>
      </c>
      <c r="B84" s="96">
        <v>507097715</v>
      </c>
      <c r="C84" s="96" t="s">
        <v>206</v>
      </c>
      <c r="D84" s="97" t="s">
        <v>84</v>
      </c>
      <c r="E84" s="242">
        <f t="shared" si="40"/>
        <v>0</v>
      </c>
      <c r="F84" s="99"/>
      <c r="G84" s="99"/>
      <c r="H84" s="99"/>
      <c r="I84" s="99"/>
      <c r="J84" s="99"/>
      <c r="K84" s="99">
        <v>146.49</v>
      </c>
      <c r="L84" s="98">
        <f t="shared" si="37"/>
        <v>0</v>
      </c>
      <c r="M84" s="95"/>
      <c r="N84" s="95"/>
      <c r="O84" s="95"/>
      <c r="P84" s="95"/>
      <c r="Q84" s="243">
        <f t="shared" si="48"/>
        <v>0</v>
      </c>
      <c r="R84" s="98">
        <f t="shared" si="49"/>
        <v>0</v>
      </c>
      <c r="S84" s="99"/>
      <c r="T84" s="99"/>
      <c r="U84" s="98">
        <f t="shared" si="41"/>
        <v>0</v>
      </c>
      <c r="V84" s="99"/>
      <c r="W84" s="99"/>
      <c r="X84" s="98">
        <f t="shared" si="42"/>
        <v>0</v>
      </c>
      <c r="Y84" s="99"/>
      <c r="Z84" s="99"/>
      <c r="AA84" s="98">
        <f t="shared" si="43"/>
        <v>0</v>
      </c>
      <c r="AB84" s="98">
        <f t="shared" si="50"/>
        <v>0</v>
      </c>
      <c r="AC84" s="244" t="e">
        <f t="shared" si="44"/>
        <v>#DIV/0!</v>
      </c>
      <c r="AD84" s="98">
        <f t="shared" si="45"/>
        <v>0</v>
      </c>
      <c r="AE84" s="99"/>
      <c r="AF84" s="244">
        <f t="shared" si="46"/>
        <v>0</v>
      </c>
      <c r="AG84" s="99"/>
      <c r="AH84" s="99"/>
      <c r="AI84" s="99"/>
      <c r="AJ84" s="99"/>
      <c r="AK84" s="99"/>
      <c r="AL84" s="128">
        <f t="shared" si="47"/>
        <v>0</v>
      </c>
      <c r="AM84" s="99"/>
      <c r="AN84" s="100">
        <f t="shared" si="51"/>
        <v>0</v>
      </c>
      <c r="AO84" s="101">
        <f t="shared" si="52"/>
        <v>0</v>
      </c>
      <c r="AP84" s="102"/>
      <c r="AQ84" s="103">
        <f t="shared" si="8"/>
        <v>0</v>
      </c>
      <c r="AR84" s="104">
        <f t="shared" si="30"/>
        <v>146.49</v>
      </c>
      <c r="AS84" s="104">
        <f t="shared" si="10"/>
        <v>0</v>
      </c>
      <c r="AT84" s="104">
        <f t="shared" si="11"/>
        <v>0</v>
      </c>
      <c r="AU84" s="104">
        <f t="shared" si="53"/>
        <v>0</v>
      </c>
      <c r="AV84" s="104">
        <f t="array" ref="AV84">_xlfn.IFS(U84=0,AO84,U84&lt;0,AO84/-U84,U84&gt;0,AO84/U84)</f>
        <v>0</v>
      </c>
      <c r="AW84" s="244">
        <f t="shared" si="38"/>
        <v>0</v>
      </c>
      <c r="AX84" s="244">
        <f t="shared" si="39"/>
        <v>0</v>
      </c>
      <c r="AY84" s="105"/>
      <c r="AZ84" s="100">
        <f t="shared" si="14"/>
        <v>0</v>
      </c>
    </row>
    <row r="85" spans="1:52" outlineLevel="1">
      <c r="A85" s="95" t="s">
        <v>124</v>
      </c>
      <c r="B85" s="96">
        <v>507115441</v>
      </c>
      <c r="C85" s="96" t="s">
        <v>207</v>
      </c>
      <c r="D85" s="97" t="s">
        <v>84</v>
      </c>
      <c r="E85" s="242">
        <f t="shared" si="40"/>
        <v>0</v>
      </c>
      <c r="F85" s="99"/>
      <c r="G85" s="99"/>
      <c r="H85" s="99"/>
      <c r="I85" s="99"/>
      <c r="J85" s="99"/>
      <c r="K85" s="99">
        <v>103.2</v>
      </c>
      <c r="L85" s="98">
        <f t="shared" si="37"/>
        <v>0</v>
      </c>
      <c r="M85" s="95"/>
      <c r="N85" s="95"/>
      <c r="O85" s="95"/>
      <c r="P85" s="95"/>
      <c r="Q85" s="243">
        <f t="shared" si="48"/>
        <v>0</v>
      </c>
      <c r="R85" s="98">
        <f t="shared" si="49"/>
        <v>0</v>
      </c>
      <c r="S85" s="99"/>
      <c r="T85" s="99"/>
      <c r="U85" s="98">
        <f t="shared" si="41"/>
        <v>0</v>
      </c>
      <c r="V85" s="99"/>
      <c r="W85" s="99"/>
      <c r="X85" s="98">
        <f t="shared" si="42"/>
        <v>0</v>
      </c>
      <c r="Y85" s="99"/>
      <c r="Z85" s="99"/>
      <c r="AA85" s="98">
        <f t="shared" si="43"/>
        <v>0</v>
      </c>
      <c r="AB85" s="98">
        <f t="shared" si="50"/>
        <v>0</v>
      </c>
      <c r="AC85" s="244" t="e">
        <f t="shared" si="44"/>
        <v>#DIV/0!</v>
      </c>
      <c r="AD85" s="98">
        <f t="shared" si="45"/>
        <v>0</v>
      </c>
      <c r="AE85" s="99"/>
      <c r="AF85" s="244">
        <f t="shared" si="46"/>
        <v>0</v>
      </c>
      <c r="AG85" s="99"/>
      <c r="AH85" s="99"/>
      <c r="AI85" s="99"/>
      <c r="AJ85" s="99"/>
      <c r="AK85" s="99"/>
      <c r="AL85" s="128">
        <f t="shared" si="47"/>
        <v>0</v>
      </c>
      <c r="AM85" s="99"/>
      <c r="AN85" s="100">
        <f t="shared" si="51"/>
        <v>0</v>
      </c>
      <c r="AO85" s="101">
        <f t="shared" si="52"/>
        <v>0</v>
      </c>
      <c r="AP85" s="102"/>
      <c r="AQ85" s="103">
        <f t="shared" si="8"/>
        <v>0</v>
      </c>
      <c r="AR85" s="104">
        <f t="shared" si="30"/>
        <v>103.2</v>
      </c>
      <c r="AS85" s="104">
        <f t="shared" si="10"/>
        <v>0</v>
      </c>
      <c r="AT85" s="104">
        <f t="shared" si="11"/>
        <v>0</v>
      </c>
      <c r="AU85" s="104">
        <f t="shared" si="53"/>
        <v>0</v>
      </c>
      <c r="AV85" s="104">
        <f t="array" ref="AV85">_xlfn.IFS(U85=0,AO85,U85&lt;0,AO85/-U85,U85&gt;0,AO85/U85)</f>
        <v>0</v>
      </c>
      <c r="AW85" s="244">
        <f t="shared" si="38"/>
        <v>0</v>
      </c>
      <c r="AX85" s="244">
        <f t="shared" si="39"/>
        <v>0</v>
      </c>
      <c r="AY85" s="105"/>
      <c r="AZ85" s="100">
        <f t="shared" si="14"/>
        <v>0</v>
      </c>
    </row>
    <row r="86" spans="1:52" outlineLevel="1">
      <c r="A86" s="95" t="s">
        <v>124</v>
      </c>
      <c r="B86" s="96">
        <v>507115668</v>
      </c>
      <c r="C86" s="96" t="s">
        <v>208</v>
      </c>
      <c r="D86" s="97" t="s">
        <v>84</v>
      </c>
      <c r="E86" s="242">
        <f t="shared" si="40"/>
        <v>0</v>
      </c>
      <c r="F86" s="99"/>
      <c r="G86" s="99"/>
      <c r="H86" s="99"/>
      <c r="I86" s="99"/>
      <c r="J86" s="99"/>
      <c r="K86" s="99">
        <v>150</v>
      </c>
      <c r="L86" s="98">
        <f t="shared" si="37"/>
        <v>0</v>
      </c>
      <c r="M86" s="95"/>
      <c r="N86" s="95"/>
      <c r="O86" s="95"/>
      <c r="P86" s="95"/>
      <c r="Q86" s="243">
        <f t="shared" si="48"/>
        <v>0</v>
      </c>
      <c r="R86" s="98">
        <f t="shared" si="49"/>
        <v>0</v>
      </c>
      <c r="S86" s="99"/>
      <c r="T86" s="99"/>
      <c r="U86" s="98">
        <f t="shared" si="41"/>
        <v>0</v>
      </c>
      <c r="V86" s="99"/>
      <c r="W86" s="99"/>
      <c r="X86" s="98">
        <f t="shared" si="42"/>
        <v>0</v>
      </c>
      <c r="Y86" s="99"/>
      <c r="Z86" s="99"/>
      <c r="AA86" s="98">
        <f t="shared" si="43"/>
        <v>0</v>
      </c>
      <c r="AB86" s="98">
        <f t="shared" si="50"/>
        <v>0</v>
      </c>
      <c r="AC86" s="244" t="e">
        <f t="shared" si="44"/>
        <v>#DIV/0!</v>
      </c>
      <c r="AD86" s="98">
        <f t="shared" si="45"/>
        <v>0</v>
      </c>
      <c r="AE86" s="99"/>
      <c r="AF86" s="244">
        <f t="shared" si="46"/>
        <v>0</v>
      </c>
      <c r="AG86" s="99"/>
      <c r="AH86" s="99"/>
      <c r="AI86" s="99"/>
      <c r="AJ86" s="99"/>
      <c r="AK86" s="99"/>
      <c r="AL86" s="128">
        <f t="shared" si="47"/>
        <v>0</v>
      </c>
      <c r="AM86" s="99"/>
      <c r="AN86" s="100">
        <f t="shared" si="51"/>
        <v>0</v>
      </c>
      <c r="AO86" s="101">
        <f t="shared" si="52"/>
        <v>0</v>
      </c>
      <c r="AP86" s="102"/>
      <c r="AQ86" s="103">
        <f t="shared" si="8"/>
        <v>0</v>
      </c>
      <c r="AR86" s="104">
        <f t="shared" si="30"/>
        <v>150</v>
      </c>
      <c r="AS86" s="104">
        <f t="shared" si="10"/>
        <v>0</v>
      </c>
      <c r="AT86" s="104">
        <f t="shared" si="11"/>
        <v>0</v>
      </c>
      <c r="AU86" s="104">
        <f t="shared" si="53"/>
        <v>0</v>
      </c>
      <c r="AV86" s="104">
        <f t="array" ref="AV86">_xlfn.IFS(U86=0,AO86,U86&lt;0,AO86/-U86,U86&gt;0,AO86/U86)</f>
        <v>0</v>
      </c>
      <c r="AW86" s="244">
        <f t="shared" si="38"/>
        <v>0</v>
      </c>
      <c r="AX86" s="244">
        <f t="shared" si="39"/>
        <v>0</v>
      </c>
      <c r="AY86" s="105"/>
      <c r="AZ86" s="100">
        <f t="shared" si="14"/>
        <v>0</v>
      </c>
    </row>
    <row r="87" spans="1:52" outlineLevel="1">
      <c r="A87" s="95" t="s">
        <v>124</v>
      </c>
      <c r="B87" s="96">
        <v>507116209</v>
      </c>
      <c r="C87" s="96" t="s">
        <v>209</v>
      </c>
      <c r="D87" s="97" t="s">
        <v>84</v>
      </c>
      <c r="E87" s="242">
        <f t="shared" si="40"/>
        <v>0</v>
      </c>
      <c r="F87" s="99"/>
      <c r="G87" s="99"/>
      <c r="H87" s="99"/>
      <c r="I87" s="99"/>
      <c r="J87" s="99"/>
      <c r="K87" s="99">
        <v>150</v>
      </c>
      <c r="L87" s="98">
        <f t="shared" si="37"/>
        <v>0</v>
      </c>
      <c r="M87" s="95"/>
      <c r="N87" s="95"/>
      <c r="O87" s="95"/>
      <c r="P87" s="95"/>
      <c r="Q87" s="243">
        <f t="shared" si="48"/>
        <v>0</v>
      </c>
      <c r="R87" s="98">
        <f t="shared" si="49"/>
        <v>0</v>
      </c>
      <c r="S87" s="99"/>
      <c r="T87" s="99"/>
      <c r="U87" s="98">
        <f t="shared" si="41"/>
        <v>0</v>
      </c>
      <c r="V87" s="99"/>
      <c r="W87" s="99"/>
      <c r="X87" s="98">
        <f t="shared" si="42"/>
        <v>0</v>
      </c>
      <c r="Y87" s="99"/>
      <c r="Z87" s="99"/>
      <c r="AA87" s="98">
        <f t="shared" si="43"/>
        <v>0</v>
      </c>
      <c r="AB87" s="98">
        <f t="shared" si="50"/>
        <v>0</v>
      </c>
      <c r="AC87" s="244" t="e">
        <f t="shared" si="44"/>
        <v>#DIV/0!</v>
      </c>
      <c r="AD87" s="98">
        <f t="shared" si="45"/>
        <v>0</v>
      </c>
      <c r="AE87" s="99"/>
      <c r="AF87" s="244">
        <f t="shared" si="46"/>
        <v>0</v>
      </c>
      <c r="AG87" s="99"/>
      <c r="AH87" s="99"/>
      <c r="AI87" s="99"/>
      <c r="AJ87" s="99"/>
      <c r="AK87" s="99"/>
      <c r="AL87" s="128">
        <f t="shared" si="47"/>
        <v>0</v>
      </c>
      <c r="AM87" s="99"/>
      <c r="AN87" s="100">
        <f t="shared" si="51"/>
        <v>0</v>
      </c>
      <c r="AO87" s="101">
        <f t="shared" si="52"/>
        <v>0</v>
      </c>
      <c r="AP87" s="102"/>
      <c r="AQ87" s="103">
        <f t="shared" si="8"/>
        <v>0</v>
      </c>
      <c r="AR87" s="104">
        <f t="shared" si="30"/>
        <v>150</v>
      </c>
      <c r="AS87" s="104">
        <f t="shared" si="10"/>
        <v>0</v>
      </c>
      <c r="AT87" s="104">
        <f t="shared" si="11"/>
        <v>0</v>
      </c>
      <c r="AU87" s="104">
        <f t="shared" si="53"/>
        <v>0</v>
      </c>
      <c r="AV87" s="104">
        <f t="array" ref="AV87">_xlfn.IFS(U87=0,AO87,U87&lt;0,AO87/-U87,U87&gt;0,AO87/U87)</f>
        <v>0</v>
      </c>
      <c r="AW87" s="244">
        <f t="shared" si="38"/>
        <v>0</v>
      </c>
      <c r="AX87" s="244">
        <f t="shared" si="39"/>
        <v>0</v>
      </c>
      <c r="AY87" s="105"/>
      <c r="AZ87" s="100">
        <f t="shared" si="14"/>
        <v>0</v>
      </c>
    </row>
    <row r="88" spans="1:52" outlineLevel="1">
      <c r="A88" s="95" t="s">
        <v>124</v>
      </c>
      <c r="B88" s="96">
        <v>507115918</v>
      </c>
      <c r="C88" s="96" t="s">
        <v>210</v>
      </c>
      <c r="D88" s="97" t="s">
        <v>84</v>
      </c>
      <c r="E88" s="242">
        <f t="shared" si="40"/>
        <v>0</v>
      </c>
      <c r="F88" s="99"/>
      <c r="G88" s="99"/>
      <c r="H88" s="99"/>
      <c r="I88" s="99"/>
      <c r="J88" s="99"/>
      <c r="K88" s="99">
        <v>150</v>
      </c>
      <c r="L88" s="98">
        <f t="shared" si="37"/>
        <v>0</v>
      </c>
      <c r="M88" s="95"/>
      <c r="N88" s="95"/>
      <c r="O88" s="95"/>
      <c r="P88" s="95"/>
      <c r="Q88" s="243">
        <f t="shared" si="48"/>
        <v>0</v>
      </c>
      <c r="R88" s="98">
        <f t="shared" si="49"/>
        <v>0</v>
      </c>
      <c r="S88" s="99"/>
      <c r="T88" s="99"/>
      <c r="U88" s="98">
        <f t="shared" si="41"/>
        <v>0</v>
      </c>
      <c r="V88" s="99"/>
      <c r="W88" s="99"/>
      <c r="X88" s="98">
        <f t="shared" si="42"/>
        <v>0</v>
      </c>
      <c r="Y88" s="99"/>
      <c r="Z88" s="99"/>
      <c r="AA88" s="98">
        <f t="shared" si="43"/>
        <v>0</v>
      </c>
      <c r="AB88" s="98">
        <f t="shared" si="50"/>
        <v>0</v>
      </c>
      <c r="AC88" s="244" t="e">
        <f t="shared" si="44"/>
        <v>#DIV/0!</v>
      </c>
      <c r="AD88" s="98">
        <f t="shared" si="45"/>
        <v>0</v>
      </c>
      <c r="AE88" s="99"/>
      <c r="AF88" s="244">
        <f t="shared" si="46"/>
        <v>0</v>
      </c>
      <c r="AG88" s="99"/>
      <c r="AH88" s="99"/>
      <c r="AI88" s="99"/>
      <c r="AJ88" s="99"/>
      <c r="AK88" s="99"/>
      <c r="AL88" s="128">
        <f t="shared" si="47"/>
        <v>0</v>
      </c>
      <c r="AM88" s="99"/>
      <c r="AN88" s="100">
        <f t="shared" si="51"/>
        <v>0</v>
      </c>
      <c r="AO88" s="101">
        <f t="shared" si="52"/>
        <v>0</v>
      </c>
      <c r="AP88" s="102"/>
      <c r="AQ88" s="103">
        <f t="shared" si="8"/>
        <v>0</v>
      </c>
      <c r="AR88" s="104">
        <f t="shared" si="30"/>
        <v>150</v>
      </c>
      <c r="AS88" s="104">
        <f t="shared" si="10"/>
        <v>0</v>
      </c>
      <c r="AT88" s="104">
        <f t="shared" si="11"/>
        <v>0</v>
      </c>
      <c r="AU88" s="104">
        <f t="shared" si="53"/>
        <v>0</v>
      </c>
      <c r="AV88" s="104">
        <f t="array" ref="AV88">_xlfn.IFS(U88=0,AO88,U88&lt;0,AO88/-U88,U88&gt;0,AO88/U88)</f>
        <v>0</v>
      </c>
      <c r="AW88" s="244">
        <f t="shared" si="38"/>
        <v>0</v>
      </c>
      <c r="AX88" s="244">
        <f t="shared" si="39"/>
        <v>0</v>
      </c>
      <c r="AY88" s="105"/>
      <c r="AZ88" s="100">
        <f t="shared" si="14"/>
        <v>0</v>
      </c>
    </row>
    <row r="89" spans="1:52" outlineLevel="1">
      <c r="A89" s="95" t="s">
        <v>124</v>
      </c>
      <c r="B89" s="96">
        <v>507113512</v>
      </c>
      <c r="C89" s="96" t="s">
        <v>211</v>
      </c>
      <c r="D89" s="97" t="s">
        <v>84</v>
      </c>
      <c r="E89" s="242">
        <f t="shared" si="40"/>
        <v>0</v>
      </c>
      <c r="F89" s="99"/>
      <c r="G89" s="99"/>
      <c r="H89" s="99"/>
      <c r="I89" s="99"/>
      <c r="J89" s="99"/>
      <c r="K89" s="99">
        <v>169.89</v>
      </c>
      <c r="L89" s="98">
        <f t="shared" si="37"/>
        <v>0</v>
      </c>
      <c r="M89" s="95"/>
      <c r="N89" s="95"/>
      <c r="O89" s="95"/>
      <c r="P89" s="95"/>
      <c r="Q89" s="243">
        <f t="shared" si="48"/>
        <v>0</v>
      </c>
      <c r="R89" s="98">
        <f t="shared" si="49"/>
        <v>0</v>
      </c>
      <c r="S89" s="99"/>
      <c r="T89" s="99"/>
      <c r="U89" s="98">
        <f t="shared" si="41"/>
        <v>0</v>
      </c>
      <c r="V89" s="99"/>
      <c r="W89" s="99"/>
      <c r="X89" s="98">
        <f t="shared" si="42"/>
        <v>0</v>
      </c>
      <c r="Y89" s="99"/>
      <c r="Z89" s="99"/>
      <c r="AA89" s="98">
        <f t="shared" si="43"/>
        <v>0</v>
      </c>
      <c r="AB89" s="98">
        <f t="shared" si="50"/>
        <v>0</v>
      </c>
      <c r="AC89" s="244" t="e">
        <f t="shared" si="44"/>
        <v>#DIV/0!</v>
      </c>
      <c r="AD89" s="98">
        <f t="shared" si="45"/>
        <v>0</v>
      </c>
      <c r="AE89" s="99"/>
      <c r="AF89" s="244">
        <f t="shared" si="46"/>
        <v>0</v>
      </c>
      <c r="AG89" s="99"/>
      <c r="AH89" s="99"/>
      <c r="AI89" s="99"/>
      <c r="AJ89" s="99"/>
      <c r="AK89" s="99"/>
      <c r="AL89" s="128">
        <f t="shared" si="47"/>
        <v>0</v>
      </c>
      <c r="AM89" s="99"/>
      <c r="AN89" s="100">
        <f t="shared" si="51"/>
        <v>0</v>
      </c>
      <c r="AO89" s="101">
        <f t="shared" si="52"/>
        <v>0</v>
      </c>
      <c r="AP89" s="102"/>
      <c r="AQ89" s="103">
        <f t="shared" si="8"/>
        <v>0</v>
      </c>
      <c r="AR89" s="104">
        <f t="shared" si="30"/>
        <v>169.89</v>
      </c>
      <c r="AS89" s="104">
        <f t="shared" si="10"/>
        <v>0</v>
      </c>
      <c r="AT89" s="104">
        <f t="shared" si="11"/>
        <v>0</v>
      </c>
      <c r="AU89" s="104">
        <f t="shared" si="53"/>
        <v>0</v>
      </c>
      <c r="AV89" s="104">
        <f t="array" ref="AV89">_xlfn.IFS(U89=0,AO89,U89&lt;0,AO89/-U89,U89&gt;0,AO89/U89)</f>
        <v>0</v>
      </c>
      <c r="AW89" s="244">
        <f t="shared" si="38"/>
        <v>0</v>
      </c>
      <c r="AX89" s="244">
        <f t="shared" si="39"/>
        <v>0</v>
      </c>
      <c r="AY89" s="105"/>
      <c r="AZ89" s="100">
        <f t="shared" si="14"/>
        <v>0</v>
      </c>
    </row>
    <row r="90" spans="1:52" outlineLevel="1">
      <c r="A90" s="95" t="s">
        <v>124</v>
      </c>
      <c r="B90" s="96">
        <v>507114447</v>
      </c>
      <c r="C90" s="96" t="s">
        <v>212</v>
      </c>
      <c r="D90" s="97" t="s">
        <v>84</v>
      </c>
      <c r="E90" s="242">
        <f t="shared" si="40"/>
        <v>0</v>
      </c>
      <c r="F90" s="99"/>
      <c r="G90" s="99"/>
      <c r="H90" s="99"/>
      <c r="I90" s="99"/>
      <c r="J90" s="99"/>
      <c r="K90" s="99">
        <v>107.88</v>
      </c>
      <c r="L90" s="98">
        <f t="shared" si="37"/>
        <v>0</v>
      </c>
      <c r="M90" s="95"/>
      <c r="N90" s="95"/>
      <c r="O90" s="95"/>
      <c r="P90" s="95"/>
      <c r="Q90" s="243">
        <f t="shared" si="48"/>
        <v>0</v>
      </c>
      <c r="R90" s="98">
        <f t="shared" si="49"/>
        <v>0</v>
      </c>
      <c r="S90" s="99"/>
      <c r="T90" s="99"/>
      <c r="U90" s="98">
        <f t="shared" si="41"/>
        <v>0</v>
      </c>
      <c r="V90" s="99"/>
      <c r="W90" s="99"/>
      <c r="X90" s="98">
        <f t="shared" si="42"/>
        <v>0</v>
      </c>
      <c r="Y90" s="99"/>
      <c r="Z90" s="99"/>
      <c r="AA90" s="98">
        <f t="shared" si="43"/>
        <v>0</v>
      </c>
      <c r="AB90" s="98">
        <f t="shared" si="50"/>
        <v>0</v>
      </c>
      <c r="AC90" s="244" t="e">
        <f t="shared" si="44"/>
        <v>#DIV/0!</v>
      </c>
      <c r="AD90" s="98">
        <f t="shared" si="45"/>
        <v>0</v>
      </c>
      <c r="AE90" s="99"/>
      <c r="AF90" s="244">
        <f t="shared" si="46"/>
        <v>0</v>
      </c>
      <c r="AG90" s="99"/>
      <c r="AH90" s="99"/>
      <c r="AI90" s="99"/>
      <c r="AJ90" s="99"/>
      <c r="AK90" s="99"/>
      <c r="AL90" s="128">
        <f t="shared" si="47"/>
        <v>0</v>
      </c>
      <c r="AM90" s="99"/>
      <c r="AN90" s="100">
        <f t="shared" si="51"/>
        <v>0</v>
      </c>
      <c r="AO90" s="101">
        <f t="shared" si="52"/>
        <v>0</v>
      </c>
      <c r="AP90" s="102"/>
      <c r="AQ90" s="103">
        <f t="shared" si="8"/>
        <v>0</v>
      </c>
      <c r="AR90" s="104">
        <f t="shared" si="30"/>
        <v>107.88</v>
      </c>
      <c r="AS90" s="104">
        <f t="shared" si="10"/>
        <v>0</v>
      </c>
      <c r="AT90" s="104">
        <f t="shared" si="11"/>
        <v>0</v>
      </c>
      <c r="AU90" s="104">
        <f t="shared" si="53"/>
        <v>0</v>
      </c>
      <c r="AV90" s="104">
        <f t="array" ref="AV90">_xlfn.IFS(U90=0,AO90,U90&lt;0,AO90/-U90,U90&gt;0,AO90/U90)</f>
        <v>0</v>
      </c>
      <c r="AW90" s="244">
        <f t="shared" si="38"/>
        <v>0</v>
      </c>
      <c r="AX90" s="244">
        <f t="shared" si="39"/>
        <v>0</v>
      </c>
      <c r="AY90" s="105"/>
      <c r="AZ90" s="100">
        <f t="shared" si="14"/>
        <v>0</v>
      </c>
    </row>
    <row r="91" spans="1:52" outlineLevel="1">
      <c r="A91" s="95" t="s">
        <v>124</v>
      </c>
      <c r="B91" s="96">
        <v>507096642</v>
      </c>
      <c r="C91" s="96" t="s">
        <v>213</v>
      </c>
      <c r="D91" s="97" t="s">
        <v>84</v>
      </c>
      <c r="E91" s="242">
        <f t="shared" si="40"/>
        <v>0</v>
      </c>
      <c r="F91" s="99"/>
      <c r="G91" s="99"/>
      <c r="H91" s="99"/>
      <c r="I91" s="99"/>
      <c r="J91" s="99"/>
      <c r="K91" s="99">
        <v>93.84</v>
      </c>
      <c r="L91" s="98">
        <f t="shared" si="37"/>
        <v>0</v>
      </c>
      <c r="M91" s="95"/>
      <c r="N91" s="95"/>
      <c r="O91" s="95"/>
      <c r="P91" s="95"/>
      <c r="Q91" s="243">
        <f t="shared" si="48"/>
        <v>0</v>
      </c>
      <c r="R91" s="98">
        <f t="shared" si="49"/>
        <v>0</v>
      </c>
      <c r="S91" s="99"/>
      <c r="T91" s="99"/>
      <c r="U91" s="98">
        <f t="shared" si="41"/>
        <v>0</v>
      </c>
      <c r="V91" s="99"/>
      <c r="W91" s="99"/>
      <c r="X91" s="98">
        <f t="shared" si="42"/>
        <v>0</v>
      </c>
      <c r="Y91" s="99"/>
      <c r="Z91" s="99"/>
      <c r="AA91" s="98">
        <f t="shared" si="43"/>
        <v>0</v>
      </c>
      <c r="AB91" s="98">
        <f t="shared" si="50"/>
        <v>0</v>
      </c>
      <c r="AC91" s="244" t="e">
        <f t="shared" si="44"/>
        <v>#DIV/0!</v>
      </c>
      <c r="AD91" s="98">
        <f t="shared" si="45"/>
        <v>0</v>
      </c>
      <c r="AE91" s="99"/>
      <c r="AF91" s="244">
        <f t="shared" si="46"/>
        <v>0</v>
      </c>
      <c r="AG91" s="99"/>
      <c r="AH91" s="99"/>
      <c r="AI91" s="99"/>
      <c r="AJ91" s="99"/>
      <c r="AK91" s="99"/>
      <c r="AL91" s="128">
        <f t="shared" si="47"/>
        <v>0</v>
      </c>
      <c r="AM91" s="99"/>
      <c r="AN91" s="100">
        <f t="shared" si="51"/>
        <v>0</v>
      </c>
      <c r="AO91" s="101">
        <f t="shared" si="52"/>
        <v>0</v>
      </c>
      <c r="AP91" s="102"/>
      <c r="AQ91" s="103">
        <f t="shared" si="8"/>
        <v>0</v>
      </c>
      <c r="AR91" s="104">
        <f t="shared" si="30"/>
        <v>93.84</v>
      </c>
      <c r="AS91" s="104">
        <f t="shared" si="10"/>
        <v>0</v>
      </c>
      <c r="AT91" s="104">
        <f t="shared" si="11"/>
        <v>0</v>
      </c>
      <c r="AU91" s="104">
        <f t="shared" si="53"/>
        <v>0</v>
      </c>
      <c r="AV91" s="104">
        <f t="array" ref="AV91">_xlfn.IFS(U91=0,AO91,U91&lt;0,AO91/-U91,U91&gt;0,AO91/U91)</f>
        <v>0</v>
      </c>
      <c r="AW91" s="244">
        <f t="shared" si="38"/>
        <v>0</v>
      </c>
      <c r="AX91" s="244">
        <f t="shared" si="39"/>
        <v>0</v>
      </c>
      <c r="AY91" s="105"/>
      <c r="AZ91" s="100">
        <f t="shared" si="14"/>
        <v>0</v>
      </c>
    </row>
    <row r="92" spans="1:52" outlineLevel="1">
      <c r="A92" s="95" t="s">
        <v>124</v>
      </c>
      <c r="B92" s="96">
        <v>507100232</v>
      </c>
      <c r="C92" s="96" t="s">
        <v>214</v>
      </c>
      <c r="D92" s="97" t="s">
        <v>84</v>
      </c>
      <c r="E92" s="242">
        <f t="shared" si="40"/>
        <v>0</v>
      </c>
      <c r="F92" s="99"/>
      <c r="G92" s="99"/>
      <c r="H92" s="99"/>
      <c r="I92" s="99"/>
      <c r="J92" s="99"/>
      <c r="K92" s="99">
        <v>139.47</v>
      </c>
      <c r="L92" s="98">
        <f t="shared" si="37"/>
        <v>0</v>
      </c>
      <c r="M92" s="95"/>
      <c r="N92" s="95"/>
      <c r="O92" s="95"/>
      <c r="P92" s="95"/>
      <c r="Q92" s="243">
        <f t="shared" si="48"/>
        <v>0</v>
      </c>
      <c r="R92" s="98">
        <f t="shared" si="49"/>
        <v>0</v>
      </c>
      <c r="S92" s="99"/>
      <c r="T92" s="99"/>
      <c r="U92" s="98">
        <f t="shared" si="41"/>
        <v>0</v>
      </c>
      <c r="V92" s="99"/>
      <c r="W92" s="99"/>
      <c r="X92" s="98">
        <f t="shared" si="42"/>
        <v>0</v>
      </c>
      <c r="Y92" s="99"/>
      <c r="Z92" s="99"/>
      <c r="AA92" s="98">
        <f t="shared" si="43"/>
        <v>0</v>
      </c>
      <c r="AB92" s="98">
        <f t="shared" si="50"/>
        <v>0</v>
      </c>
      <c r="AC92" s="244" t="e">
        <f t="shared" si="44"/>
        <v>#DIV/0!</v>
      </c>
      <c r="AD92" s="98">
        <f t="shared" si="45"/>
        <v>0</v>
      </c>
      <c r="AE92" s="99"/>
      <c r="AF92" s="244">
        <f t="shared" si="46"/>
        <v>0</v>
      </c>
      <c r="AG92" s="99"/>
      <c r="AH92" s="99"/>
      <c r="AI92" s="99"/>
      <c r="AJ92" s="99"/>
      <c r="AK92" s="99"/>
      <c r="AL92" s="128">
        <f t="shared" si="47"/>
        <v>0</v>
      </c>
      <c r="AM92" s="99"/>
      <c r="AN92" s="100">
        <f t="shared" si="51"/>
        <v>0</v>
      </c>
      <c r="AO92" s="101">
        <f t="shared" si="52"/>
        <v>0</v>
      </c>
      <c r="AP92" s="102"/>
      <c r="AQ92" s="103">
        <f t="shared" si="8"/>
        <v>0</v>
      </c>
      <c r="AR92" s="104">
        <f t="shared" si="30"/>
        <v>139.47</v>
      </c>
      <c r="AS92" s="104">
        <f t="shared" si="10"/>
        <v>0</v>
      </c>
      <c r="AT92" s="104">
        <f t="shared" si="11"/>
        <v>0</v>
      </c>
      <c r="AU92" s="104">
        <f t="shared" si="53"/>
        <v>0</v>
      </c>
      <c r="AV92" s="104">
        <f t="array" ref="AV92">_xlfn.IFS(U92=0,AO92,U92&lt;0,AO92/-U92,U92&gt;0,AO92/U92)</f>
        <v>0</v>
      </c>
      <c r="AW92" s="244">
        <f t="shared" si="38"/>
        <v>0</v>
      </c>
      <c r="AX92" s="244">
        <f t="shared" si="39"/>
        <v>0</v>
      </c>
      <c r="AY92" s="105"/>
      <c r="AZ92" s="100">
        <f t="shared" si="14"/>
        <v>0</v>
      </c>
    </row>
    <row r="93" spans="1:52" outlineLevel="1">
      <c r="A93" s="95" t="s">
        <v>124</v>
      </c>
      <c r="B93" s="96">
        <v>507099885</v>
      </c>
      <c r="C93" s="96" t="s">
        <v>215</v>
      </c>
      <c r="D93" s="97" t="s">
        <v>84</v>
      </c>
      <c r="E93" s="242">
        <f t="shared" si="40"/>
        <v>0</v>
      </c>
      <c r="F93" s="99"/>
      <c r="G93" s="99"/>
      <c r="H93" s="99"/>
      <c r="I93" s="99"/>
      <c r="J93" s="99"/>
      <c r="K93" s="99">
        <v>139.47</v>
      </c>
      <c r="L93" s="98">
        <f t="shared" si="37"/>
        <v>0</v>
      </c>
      <c r="M93" s="95"/>
      <c r="N93" s="95"/>
      <c r="O93" s="95"/>
      <c r="P93" s="95"/>
      <c r="Q93" s="243">
        <f t="shared" si="48"/>
        <v>0</v>
      </c>
      <c r="R93" s="98">
        <f t="shared" si="49"/>
        <v>0</v>
      </c>
      <c r="S93" s="99"/>
      <c r="T93" s="99"/>
      <c r="U93" s="98">
        <f t="shared" si="41"/>
        <v>0</v>
      </c>
      <c r="V93" s="99"/>
      <c r="W93" s="99"/>
      <c r="X93" s="98">
        <f t="shared" si="42"/>
        <v>0</v>
      </c>
      <c r="Y93" s="99"/>
      <c r="Z93" s="99"/>
      <c r="AA93" s="98">
        <f t="shared" si="43"/>
        <v>0</v>
      </c>
      <c r="AB93" s="98">
        <f t="shared" si="50"/>
        <v>0</v>
      </c>
      <c r="AC93" s="244" t="e">
        <f t="shared" si="44"/>
        <v>#DIV/0!</v>
      </c>
      <c r="AD93" s="98">
        <f t="shared" si="45"/>
        <v>0</v>
      </c>
      <c r="AE93" s="99"/>
      <c r="AF93" s="244">
        <f t="shared" si="46"/>
        <v>0</v>
      </c>
      <c r="AG93" s="99"/>
      <c r="AH93" s="99"/>
      <c r="AI93" s="99"/>
      <c r="AJ93" s="99"/>
      <c r="AK93" s="99"/>
      <c r="AL93" s="128">
        <f t="shared" si="47"/>
        <v>0</v>
      </c>
      <c r="AM93" s="99"/>
      <c r="AN93" s="100">
        <f t="shared" si="51"/>
        <v>0</v>
      </c>
      <c r="AO93" s="101">
        <f t="shared" si="52"/>
        <v>0</v>
      </c>
      <c r="AP93" s="102"/>
      <c r="AQ93" s="103">
        <f t="shared" si="8"/>
        <v>0</v>
      </c>
      <c r="AR93" s="104">
        <f t="shared" si="30"/>
        <v>139.47</v>
      </c>
      <c r="AS93" s="104">
        <f t="shared" si="10"/>
        <v>0</v>
      </c>
      <c r="AT93" s="104">
        <f t="shared" si="11"/>
        <v>0</v>
      </c>
      <c r="AU93" s="104">
        <f t="shared" si="53"/>
        <v>0</v>
      </c>
      <c r="AV93" s="104">
        <f t="array" ref="AV93">_xlfn.IFS(U93=0,AO93,U93&lt;0,AO93/-U93,U93&gt;0,AO93/U93)</f>
        <v>0</v>
      </c>
      <c r="AW93" s="244">
        <f t="shared" si="38"/>
        <v>0</v>
      </c>
      <c r="AX93" s="244">
        <f t="shared" si="39"/>
        <v>0</v>
      </c>
      <c r="AY93" s="105"/>
      <c r="AZ93" s="100">
        <f t="shared" si="14"/>
        <v>0</v>
      </c>
    </row>
    <row r="94" spans="1:52" outlineLevel="1">
      <c r="A94" s="95" t="s">
        <v>124</v>
      </c>
      <c r="B94" s="96">
        <v>342776517</v>
      </c>
      <c r="C94" s="96" t="s">
        <v>216</v>
      </c>
      <c r="D94" s="97" t="s">
        <v>84</v>
      </c>
      <c r="E94" s="242">
        <f t="shared" si="40"/>
        <v>0</v>
      </c>
      <c r="F94" s="99"/>
      <c r="G94" s="99"/>
      <c r="H94" s="99"/>
      <c r="I94" s="99"/>
      <c r="J94" s="99"/>
      <c r="K94" s="99">
        <v>400.08</v>
      </c>
      <c r="L94" s="98">
        <f t="shared" si="37"/>
        <v>0</v>
      </c>
      <c r="M94" s="95"/>
      <c r="N94" s="95"/>
      <c r="O94" s="95"/>
      <c r="P94" s="95"/>
      <c r="Q94" s="243">
        <f t="shared" si="48"/>
        <v>0</v>
      </c>
      <c r="R94" s="98">
        <f t="shared" si="49"/>
        <v>0</v>
      </c>
      <c r="S94" s="99"/>
      <c r="T94" s="99"/>
      <c r="U94" s="98">
        <f t="shared" si="41"/>
        <v>0</v>
      </c>
      <c r="V94" s="99"/>
      <c r="W94" s="99"/>
      <c r="X94" s="98">
        <f t="shared" si="42"/>
        <v>0</v>
      </c>
      <c r="Y94" s="99"/>
      <c r="Z94" s="99"/>
      <c r="AA94" s="98">
        <f t="shared" si="43"/>
        <v>0</v>
      </c>
      <c r="AB94" s="98">
        <f t="shared" si="50"/>
        <v>0</v>
      </c>
      <c r="AC94" s="244" t="e">
        <f t="shared" si="44"/>
        <v>#DIV/0!</v>
      </c>
      <c r="AD94" s="98">
        <f t="shared" si="45"/>
        <v>0</v>
      </c>
      <c r="AE94" s="99"/>
      <c r="AF94" s="244">
        <f t="shared" si="46"/>
        <v>0</v>
      </c>
      <c r="AG94" s="99"/>
      <c r="AH94" s="99"/>
      <c r="AI94" s="99"/>
      <c r="AJ94" s="99"/>
      <c r="AK94" s="99"/>
      <c r="AL94" s="128">
        <f t="shared" si="47"/>
        <v>0</v>
      </c>
      <c r="AM94" s="99"/>
      <c r="AN94" s="100">
        <f t="shared" si="51"/>
        <v>0</v>
      </c>
      <c r="AO94" s="101">
        <f t="shared" si="52"/>
        <v>0</v>
      </c>
      <c r="AP94" s="102"/>
      <c r="AQ94" s="103">
        <f t="shared" si="8"/>
        <v>0</v>
      </c>
      <c r="AR94" s="104">
        <f t="shared" si="30"/>
        <v>400.08</v>
      </c>
      <c r="AS94" s="104">
        <f t="shared" si="10"/>
        <v>0</v>
      </c>
      <c r="AT94" s="104">
        <f t="shared" si="11"/>
        <v>0</v>
      </c>
      <c r="AU94" s="104">
        <f t="shared" si="53"/>
        <v>0</v>
      </c>
      <c r="AV94" s="104">
        <f t="array" ref="AV94">_xlfn.IFS(U94=0,AO94,U94&lt;0,AO94/-U94,U94&gt;0,AO94/U94)</f>
        <v>0</v>
      </c>
      <c r="AW94" s="244">
        <f t="shared" si="38"/>
        <v>0</v>
      </c>
      <c r="AX94" s="244">
        <f t="shared" si="39"/>
        <v>0</v>
      </c>
      <c r="AY94" s="105"/>
      <c r="AZ94" s="100">
        <f t="shared" si="14"/>
        <v>0</v>
      </c>
    </row>
    <row r="95" spans="1:52" outlineLevel="1">
      <c r="A95" s="95" t="s">
        <v>124</v>
      </c>
      <c r="B95" s="96">
        <v>342751979</v>
      </c>
      <c r="C95" s="96" t="s">
        <v>217</v>
      </c>
      <c r="D95" s="97" t="s">
        <v>84</v>
      </c>
      <c r="E95" s="242">
        <f t="shared" si="40"/>
        <v>0</v>
      </c>
      <c r="F95" s="99"/>
      <c r="G95" s="99"/>
      <c r="H95" s="99"/>
      <c r="I95" s="99"/>
      <c r="J95" s="99"/>
      <c r="K95" s="99">
        <v>400.08</v>
      </c>
      <c r="L95" s="98">
        <f t="shared" si="37"/>
        <v>0</v>
      </c>
      <c r="M95" s="95"/>
      <c r="N95" s="95"/>
      <c r="O95" s="95"/>
      <c r="P95" s="95"/>
      <c r="Q95" s="243">
        <f t="shared" si="48"/>
        <v>0</v>
      </c>
      <c r="R95" s="98">
        <f t="shared" si="49"/>
        <v>0</v>
      </c>
      <c r="S95" s="99"/>
      <c r="T95" s="99"/>
      <c r="U95" s="98">
        <f t="shared" si="41"/>
        <v>0</v>
      </c>
      <c r="V95" s="99"/>
      <c r="W95" s="99"/>
      <c r="X95" s="98">
        <f t="shared" si="42"/>
        <v>0</v>
      </c>
      <c r="Y95" s="99"/>
      <c r="Z95" s="99"/>
      <c r="AA95" s="98">
        <f t="shared" si="43"/>
        <v>0</v>
      </c>
      <c r="AB95" s="98">
        <f t="shared" si="50"/>
        <v>0</v>
      </c>
      <c r="AC95" s="244" t="e">
        <f t="shared" si="44"/>
        <v>#DIV/0!</v>
      </c>
      <c r="AD95" s="98">
        <f t="shared" si="45"/>
        <v>0</v>
      </c>
      <c r="AE95" s="99"/>
      <c r="AF95" s="244">
        <f t="shared" si="46"/>
        <v>0</v>
      </c>
      <c r="AG95" s="99"/>
      <c r="AH95" s="99"/>
      <c r="AI95" s="99"/>
      <c r="AJ95" s="99"/>
      <c r="AK95" s="99"/>
      <c r="AL95" s="128">
        <f t="shared" si="47"/>
        <v>0</v>
      </c>
      <c r="AM95" s="99"/>
      <c r="AN95" s="100">
        <f t="shared" si="51"/>
        <v>0</v>
      </c>
      <c r="AO95" s="101">
        <f t="shared" si="52"/>
        <v>0</v>
      </c>
      <c r="AP95" s="102"/>
      <c r="AQ95" s="103">
        <f t="shared" si="8"/>
        <v>0</v>
      </c>
      <c r="AR95" s="104">
        <f t="shared" si="30"/>
        <v>400.08</v>
      </c>
      <c r="AS95" s="104">
        <f t="shared" si="10"/>
        <v>0</v>
      </c>
      <c r="AT95" s="104">
        <f t="shared" si="11"/>
        <v>0</v>
      </c>
      <c r="AU95" s="104">
        <f t="shared" si="53"/>
        <v>0</v>
      </c>
      <c r="AV95" s="104">
        <f t="array" ref="AV95">_xlfn.IFS(U95=0,AO95,U95&lt;0,AO95/-U95,U95&gt;0,AO95/U95)</f>
        <v>0</v>
      </c>
      <c r="AW95" s="244">
        <f t="shared" si="38"/>
        <v>0</v>
      </c>
      <c r="AX95" s="244">
        <f t="shared" si="39"/>
        <v>0</v>
      </c>
      <c r="AY95" s="105"/>
      <c r="AZ95" s="100">
        <f t="shared" si="14"/>
        <v>0</v>
      </c>
    </row>
    <row r="96" spans="1:52" outlineLevel="1">
      <c r="A96" s="95" t="s">
        <v>124</v>
      </c>
      <c r="B96" s="96">
        <v>342792174</v>
      </c>
      <c r="C96" s="96" t="s">
        <v>218</v>
      </c>
      <c r="D96" s="97" t="s">
        <v>84</v>
      </c>
      <c r="E96" s="242">
        <f t="shared" si="40"/>
        <v>0</v>
      </c>
      <c r="F96" s="99"/>
      <c r="G96" s="99"/>
      <c r="H96" s="99"/>
      <c r="I96" s="99"/>
      <c r="J96" s="99"/>
      <c r="K96" s="99">
        <v>300.08</v>
      </c>
      <c r="L96" s="98">
        <f t="shared" si="37"/>
        <v>0</v>
      </c>
      <c r="M96" s="95"/>
      <c r="N96" s="95"/>
      <c r="O96" s="95"/>
      <c r="P96" s="95"/>
      <c r="Q96" s="243">
        <f t="shared" si="48"/>
        <v>0</v>
      </c>
      <c r="R96" s="98">
        <f t="shared" si="49"/>
        <v>0</v>
      </c>
      <c r="S96" s="99"/>
      <c r="T96" s="99"/>
      <c r="U96" s="98">
        <f t="shared" si="41"/>
        <v>0</v>
      </c>
      <c r="V96" s="99"/>
      <c r="W96" s="99"/>
      <c r="X96" s="98">
        <f t="shared" si="42"/>
        <v>0</v>
      </c>
      <c r="Y96" s="99"/>
      <c r="Z96" s="99"/>
      <c r="AA96" s="98">
        <f t="shared" si="43"/>
        <v>0</v>
      </c>
      <c r="AB96" s="98">
        <f t="shared" si="50"/>
        <v>0</v>
      </c>
      <c r="AC96" s="244" t="e">
        <f t="shared" si="44"/>
        <v>#DIV/0!</v>
      </c>
      <c r="AD96" s="98">
        <f t="shared" si="45"/>
        <v>0</v>
      </c>
      <c r="AE96" s="99"/>
      <c r="AF96" s="244">
        <f t="shared" si="46"/>
        <v>0</v>
      </c>
      <c r="AG96" s="99"/>
      <c r="AH96" s="99"/>
      <c r="AI96" s="99"/>
      <c r="AJ96" s="99"/>
      <c r="AK96" s="99"/>
      <c r="AL96" s="128">
        <f t="shared" si="47"/>
        <v>0</v>
      </c>
      <c r="AM96" s="99"/>
      <c r="AN96" s="100">
        <f t="shared" si="51"/>
        <v>0</v>
      </c>
      <c r="AO96" s="101">
        <f t="shared" si="52"/>
        <v>0</v>
      </c>
      <c r="AP96" s="102"/>
      <c r="AQ96" s="103">
        <f t="shared" si="8"/>
        <v>0</v>
      </c>
      <c r="AR96" s="104">
        <f t="shared" si="30"/>
        <v>300.08</v>
      </c>
      <c r="AS96" s="104">
        <f t="shared" si="10"/>
        <v>0</v>
      </c>
      <c r="AT96" s="104">
        <f t="shared" si="11"/>
        <v>0</v>
      </c>
      <c r="AU96" s="104">
        <f t="shared" si="53"/>
        <v>0</v>
      </c>
      <c r="AV96" s="104">
        <f t="array" ref="AV96">_xlfn.IFS(U96=0,AO96,U96&lt;0,AO96/-U96,U96&gt;0,AO96/U96)</f>
        <v>0</v>
      </c>
      <c r="AW96" s="244">
        <f t="shared" si="38"/>
        <v>0</v>
      </c>
      <c r="AX96" s="244">
        <f t="shared" si="39"/>
        <v>0</v>
      </c>
      <c r="AY96" s="105"/>
      <c r="AZ96" s="100">
        <f t="shared" si="14"/>
        <v>0</v>
      </c>
    </row>
    <row r="97" spans="1:52" outlineLevel="1">
      <c r="A97" s="95" t="s">
        <v>124</v>
      </c>
      <c r="B97" s="96">
        <v>342807082</v>
      </c>
      <c r="C97" s="96" t="s">
        <v>219</v>
      </c>
      <c r="D97" s="97" t="s">
        <v>84</v>
      </c>
      <c r="E97" s="242">
        <f t="shared" si="40"/>
        <v>0</v>
      </c>
      <c r="F97" s="99"/>
      <c r="G97" s="99"/>
      <c r="H97" s="99"/>
      <c r="I97" s="99"/>
      <c r="J97" s="99"/>
      <c r="K97" s="99">
        <v>400.08</v>
      </c>
      <c r="L97" s="98">
        <f t="shared" si="37"/>
        <v>0</v>
      </c>
      <c r="M97" s="95"/>
      <c r="N97" s="95"/>
      <c r="O97" s="95"/>
      <c r="P97" s="95"/>
      <c r="Q97" s="243">
        <f t="shared" si="48"/>
        <v>0</v>
      </c>
      <c r="R97" s="98">
        <f t="shared" si="49"/>
        <v>0</v>
      </c>
      <c r="S97" s="99"/>
      <c r="T97" s="99"/>
      <c r="U97" s="98">
        <f t="shared" si="41"/>
        <v>0</v>
      </c>
      <c r="V97" s="99"/>
      <c r="W97" s="99"/>
      <c r="X97" s="98">
        <f t="shared" si="42"/>
        <v>0</v>
      </c>
      <c r="Y97" s="99"/>
      <c r="Z97" s="99"/>
      <c r="AA97" s="98">
        <f t="shared" si="43"/>
        <v>0</v>
      </c>
      <c r="AB97" s="98">
        <f t="shared" si="50"/>
        <v>0</v>
      </c>
      <c r="AC97" s="244" t="e">
        <f t="shared" si="44"/>
        <v>#DIV/0!</v>
      </c>
      <c r="AD97" s="98">
        <f t="shared" si="45"/>
        <v>0</v>
      </c>
      <c r="AE97" s="99"/>
      <c r="AF97" s="244">
        <f t="shared" si="46"/>
        <v>0</v>
      </c>
      <c r="AG97" s="99"/>
      <c r="AH97" s="99"/>
      <c r="AI97" s="99"/>
      <c r="AJ97" s="99"/>
      <c r="AK97" s="99"/>
      <c r="AL97" s="128">
        <f t="shared" si="47"/>
        <v>0</v>
      </c>
      <c r="AM97" s="99"/>
      <c r="AN97" s="100">
        <f t="shared" si="51"/>
        <v>0</v>
      </c>
      <c r="AO97" s="101">
        <f t="shared" si="52"/>
        <v>0</v>
      </c>
      <c r="AP97" s="102"/>
      <c r="AQ97" s="103">
        <f t="shared" si="8"/>
        <v>0</v>
      </c>
      <c r="AR97" s="104">
        <f t="shared" si="30"/>
        <v>400.08</v>
      </c>
      <c r="AS97" s="104">
        <f t="shared" si="10"/>
        <v>0</v>
      </c>
      <c r="AT97" s="104">
        <f t="shared" si="11"/>
        <v>0</v>
      </c>
      <c r="AU97" s="104">
        <f t="shared" si="53"/>
        <v>0</v>
      </c>
      <c r="AV97" s="104">
        <f t="array" ref="AV97">_xlfn.IFS(U97=0,AO97,U97&lt;0,AO97/-U97,U97&gt;0,AO97/U97)</f>
        <v>0</v>
      </c>
      <c r="AW97" s="244">
        <f t="shared" si="38"/>
        <v>0</v>
      </c>
      <c r="AX97" s="244">
        <f t="shared" si="39"/>
        <v>0</v>
      </c>
      <c r="AY97" s="105"/>
      <c r="AZ97" s="100">
        <f t="shared" si="14"/>
        <v>0</v>
      </c>
    </row>
    <row r="98" spans="1:52" outlineLevel="1">
      <c r="A98" s="95" t="s">
        <v>124</v>
      </c>
      <c r="B98" s="96">
        <v>342820134</v>
      </c>
      <c r="C98" s="96" t="s">
        <v>220</v>
      </c>
      <c r="D98" s="97" t="s">
        <v>84</v>
      </c>
      <c r="E98" s="242">
        <f t="shared" si="40"/>
        <v>0</v>
      </c>
      <c r="F98" s="99"/>
      <c r="G98" s="99"/>
      <c r="H98" s="99"/>
      <c r="I98" s="99"/>
      <c r="J98" s="99"/>
      <c r="K98" s="99">
        <v>300.08</v>
      </c>
      <c r="L98" s="98">
        <f t="shared" si="37"/>
        <v>0</v>
      </c>
      <c r="M98" s="95"/>
      <c r="N98" s="95"/>
      <c r="O98" s="95"/>
      <c r="P98" s="95"/>
      <c r="Q98" s="243">
        <f t="shared" si="48"/>
        <v>0</v>
      </c>
      <c r="R98" s="98">
        <f t="shared" si="49"/>
        <v>0</v>
      </c>
      <c r="S98" s="99"/>
      <c r="T98" s="99"/>
      <c r="U98" s="98">
        <f t="shared" si="41"/>
        <v>0</v>
      </c>
      <c r="V98" s="99"/>
      <c r="W98" s="99"/>
      <c r="X98" s="98">
        <f t="shared" si="42"/>
        <v>0</v>
      </c>
      <c r="Y98" s="99"/>
      <c r="Z98" s="99"/>
      <c r="AA98" s="98">
        <f t="shared" si="43"/>
        <v>0</v>
      </c>
      <c r="AB98" s="98">
        <f t="shared" si="50"/>
        <v>0</v>
      </c>
      <c r="AC98" s="244" t="e">
        <f t="shared" si="44"/>
        <v>#DIV/0!</v>
      </c>
      <c r="AD98" s="98">
        <f t="shared" si="45"/>
        <v>0</v>
      </c>
      <c r="AE98" s="99"/>
      <c r="AF98" s="244">
        <f t="shared" si="46"/>
        <v>0</v>
      </c>
      <c r="AG98" s="99"/>
      <c r="AH98" s="99"/>
      <c r="AI98" s="99"/>
      <c r="AJ98" s="99"/>
      <c r="AK98" s="99"/>
      <c r="AL98" s="128">
        <f t="shared" si="47"/>
        <v>0</v>
      </c>
      <c r="AM98" s="99"/>
      <c r="AN98" s="100">
        <f t="shared" si="51"/>
        <v>0</v>
      </c>
      <c r="AO98" s="101">
        <f t="shared" si="52"/>
        <v>0</v>
      </c>
      <c r="AP98" s="102"/>
      <c r="AQ98" s="103">
        <f t="shared" ref="AQ98" si="54">IF(U98=0,0,AA98/U98)</f>
        <v>0</v>
      </c>
      <c r="AR98" s="104">
        <f t="shared" si="30"/>
        <v>300.08</v>
      </c>
      <c r="AS98" s="104">
        <f t="shared" ref="AS98" si="55">IF(U98=0,0,AE98/U98)</f>
        <v>0</v>
      </c>
      <c r="AT98" s="104">
        <f t="shared" ref="AT98" si="56">IF(S98=0,AG98/1,AG98/S98)</f>
        <v>0</v>
      </c>
      <c r="AU98" s="104">
        <f t="shared" si="53"/>
        <v>0</v>
      </c>
      <c r="AV98" s="104">
        <f t="array" ref="AV98">_xlfn.IFS(U98=0,AO98,U98&lt;0,AO98/-U98,U98&gt;0,AO98/U98)</f>
        <v>0</v>
      </c>
      <c r="AW98" s="244">
        <f t="shared" si="38"/>
        <v>0</v>
      </c>
      <c r="AX98" s="244">
        <f t="shared" si="39"/>
        <v>0</v>
      </c>
      <c r="AY98" s="105"/>
      <c r="AZ98" s="100">
        <f t="shared" ref="AZ98" si="57">AV98*E98</f>
        <v>0</v>
      </c>
    </row>
    <row r="99" spans="1:52" s="119" customFormat="1" outlineLevel="1">
      <c r="A99" s="107"/>
      <c r="B99" s="108"/>
      <c r="C99" s="109" t="s">
        <v>221</v>
      </c>
      <c r="D99" s="110"/>
      <c r="E99" s="245"/>
      <c r="F99" s="111"/>
      <c r="G99" s="111"/>
      <c r="H99" s="112"/>
      <c r="I99" s="112"/>
      <c r="J99" s="112"/>
      <c r="K99" s="111"/>
      <c r="L99" s="111"/>
      <c r="M99" s="109"/>
      <c r="N99" s="109"/>
      <c r="O99" s="109"/>
      <c r="P99" s="109"/>
      <c r="Q99" s="246"/>
      <c r="R99" s="111"/>
      <c r="S99" s="112"/>
      <c r="T99" s="112"/>
      <c r="U99" s="111"/>
      <c r="V99" s="112"/>
      <c r="W99" s="112"/>
      <c r="X99" s="111"/>
      <c r="Y99" s="112"/>
      <c r="Z99" s="112"/>
      <c r="AA99" s="111"/>
      <c r="AB99" s="111"/>
      <c r="AC99" s="247"/>
      <c r="AD99" s="111"/>
      <c r="AE99" s="112"/>
      <c r="AF99" s="247"/>
      <c r="AG99" s="112"/>
      <c r="AH99" s="112"/>
      <c r="AI99" s="112"/>
      <c r="AJ99" s="112"/>
      <c r="AK99" s="112"/>
      <c r="AL99" s="113"/>
      <c r="AM99" s="112"/>
      <c r="AN99" s="114"/>
      <c r="AO99" s="115"/>
      <c r="AP99" s="116"/>
      <c r="AQ99" s="117">
        <f t="shared" ref="AQ99:AX99" si="58">AVERAGE(AQ7:AQ98)</f>
        <v>0</v>
      </c>
      <c r="AR99" s="117">
        <f t="shared" si="58"/>
        <v>141.22217391304349</v>
      </c>
      <c r="AS99" s="117">
        <f t="shared" si="58"/>
        <v>0</v>
      </c>
      <c r="AT99" s="117">
        <f t="shared" si="58"/>
        <v>0</v>
      </c>
      <c r="AU99" s="117">
        <f t="shared" si="58"/>
        <v>0</v>
      </c>
      <c r="AV99" s="117">
        <f t="shared" si="58"/>
        <v>0</v>
      </c>
      <c r="AW99" s="118">
        <f t="shared" si="58"/>
        <v>0</v>
      </c>
      <c r="AX99" s="118">
        <f t="shared" si="58"/>
        <v>0</v>
      </c>
      <c r="AY99" s="105"/>
      <c r="AZ99" s="114"/>
    </row>
    <row r="100" spans="1:52" s="126" customFormat="1">
      <c r="A100" s="120" t="s">
        <v>85</v>
      </c>
      <c r="B100" s="121"/>
      <c r="C100" s="122"/>
      <c r="D100" s="122"/>
      <c r="E100" s="248">
        <f t="shared" ref="E100:J100" si="59">SUM(E3:E98)</f>
        <v>0</v>
      </c>
      <c r="F100" s="122">
        <f t="shared" si="59"/>
        <v>0</v>
      </c>
      <c r="G100" s="122">
        <f t="shared" si="59"/>
        <v>0</v>
      </c>
      <c r="H100" s="122">
        <f t="shared" si="59"/>
        <v>0</v>
      </c>
      <c r="I100" s="122">
        <f t="shared" si="59"/>
        <v>0</v>
      </c>
      <c r="J100" s="122">
        <f t="shared" si="59"/>
        <v>0</v>
      </c>
      <c r="K100" s="122"/>
      <c r="L100" s="122">
        <f>SUM(L3:L98)</f>
        <v>0</v>
      </c>
      <c r="M100" s="122"/>
      <c r="N100" s="122">
        <f>SUM(N3:N98)</f>
        <v>0</v>
      </c>
      <c r="O100" s="122"/>
      <c r="P100" s="122"/>
      <c r="Q100" s="221"/>
      <c r="R100" s="122"/>
      <c r="S100" s="122">
        <f t="shared" ref="S100:AE100" si="60">SUM(S3:S98)</f>
        <v>0</v>
      </c>
      <c r="T100" s="122">
        <f t="shared" si="60"/>
        <v>0</v>
      </c>
      <c r="U100" s="122">
        <f t="shared" si="60"/>
        <v>0</v>
      </c>
      <c r="V100" s="122">
        <f t="shared" si="60"/>
        <v>0</v>
      </c>
      <c r="W100" s="122">
        <f t="shared" si="60"/>
        <v>0</v>
      </c>
      <c r="X100" s="122">
        <f t="shared" si="60"/>
        <v>0</v>
      </c>
      <c r="Y100" s="122">
        <f t="shared" si="60"/>
        <v>0</v>
      </c>
      <c r="Z100" s="122">
        <f t="shared" si="60"/>
        <v>0</v>
      </c>
      <c r="AA100" s="122">
        <f t="shared" si="60"/>
        <v>0</v>
      </c>
      <c r="AB100" s="122">
        <f t="shared" si="60"/>
        <v>0</v>
      </c>
      <c r="AC100" s="249" t="e">
        <f t="shared" si="60"/>
        <v>#DIV/0!</v>
      </c>
      <c r="AD100" s="123">
        <f t="shared" si="60"/>
        <v>0</v>
      </c>
      <c r="AE100" s="122">
        <f t="shared" si="60"/>
        <v>0</v>
      </c>
      <c r="AF100" s="249" t="e">
        <f>AE100/AA100</f>
        <v>#DIV/0!</v>
      </c>
      <c r="AG100" s="122">
        <f t="shared" ref="AG100:AO100" si="61">SUM(AG3:AG98)</f>
        <v>0</v>
      </c>
      <c r="AH100" s="123">
        <f t="shared" si="61"/>
        <v>0</v>
      </c>
      <c r="AI100" s="123">
        <f t="shared" si="61"/>
        <v>0</v>
      </c>
      <c r="AJ100" s="123">
        <f>SUM(AJ3:AJ98)</f>
        <v>0</v>
      </c>
      <c r="AK100" s="123">
        <f t="shared" si="61"/>
        <v>0</v>
      </c>
      <c r="AL100" s="123">
        <f t="shared" si="61"/>
        <v>0</v>
      </c>
      <c r="AM100" s="122">
        <f t="shared" si="61"/>
        <v>0</v>
      </c>
      <c r="AN100" s="123">
        <f t="shared" si="61"/>
        <v>0</v>
      </c>
      <c r="AO100" s="123">
        <f t="shared" si="61"/>
        <v>0</v>
      </c>
      <c r="AP100" s="124"/>
      <c r="AQ100" s="122"/>
      <c r="AR100" s="122"/>
      <c r="AS100" s="122"/>
      <c r="AT100" s="122"/>
      <c r="AU100" s="250" t="e">
        <f>(AH100+AI100+AJ100)/S100</f>
        <v>#DIV/0!</v>
      </c>
      <c r="AV100" s="122"/>
      <c r="AW100" s="122"/>
      <c r="AX100" s="122"/>
      <c r="AY100" s="125"/>
      <c r="AZ100" s="122">
        <f>SUM(AZ3:AZ98)</f>
        <v>0</v>
      </c>
    </row>
    <row r="101" spans="1:52">
      <c r="A101" s="95"/>
      <c r="B101" s="96"/>
      <c r="C101" s="96"/>
      <c r="D101" s="127"/>
      <c r="E101" s="251"/>
      <c r="F101" s="99"/>
      <c r="G101" s="99"/>
      <c r="H101" s="99"/>
      <c r="I101" s="99"/>
      <c r="J101" s="99"/>
      <c r="K101" s="99"/>
      <c r="L101" s="99"/>
      <c r="M101" s="95"/>
      <c r="N101" s="95"/>
      <c r="O101" s="95"/>
      <c r="P101" s="95"/>
      <c r="Q101" s="252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253"/>
      <c r="AD101" s="99"/>
      <c r="AE101" s="99"/>
      <c r="AF101" s="253"/>
      <c r="AG101" s="99"/>
      <c r="AH101" s="350"/>
      <c r="AI101" s="350"/>
      <c r="AJ101" s="229"/>
      <c r="AK101" s="229"/>
      <c r="AL101" s="128"/>
      <c r="AM101" s="99"/>
      <c r="AN101" s="129"/>
      <c r="AO101" s="130"/>
      <c r="AP101" s="102"/>
      <c r="AQ101" s="131"/>
      <c r="AR101" s="132"/>
      <c r="AS101" s="132"/>
      <c r="AT101" s="132"/>
      <c r="AU101" s="132"/>
      <c r="AV101" s="132"/>
      <c r="AW101" s="254"/>
      <c r="AX101" s="254"/>
      <c r="AY101" s="105"/>
      <c r="AZ101" s="129"/>
    </row>
    <row r="102" spans="1:52">
      <c r="A102" s="95" t="s">
        <v>222</v>
      </c>
      <c r="B102" s="96">
        <v>437023601</v>
      </c>
      <c r="C102" s="96" t="s">
        <v>223</v>
      </c>
      <c r="D102" s="127" t="s">
        <v>224</v>
      </c>
      <c r="E102" s="242">
        <f t="shared" ref="E102:E106" si="62">SUM(F102:J102)</f>
        <v>1</v>
      </c>
      <c r="F102" s="99"/>
      <c r="G102" s="99"/>
      <c r="H102" s="99">
        <v>0</v>
      </c>
      <c r="I102" s="99">
        <v>0</v>
      </c>
      <c r="J102" s="99">
        <v>1</v>
      </c>
      <c r="K102" s="99">
        <v>579.17999999999995</v>
      </c>
      <c r="L102" s="98">
        <f>E102*K102</f>
        <v>579.17999999999995</v>
      </c>
      <c r="M102" s="95"/>
      <c r="N102" s="95"/>
      <c r="O102" s="95"/>
      <c r="P102" s="95"/>
      <c r="Q102" s="243">
        <f t="shared" ref="Q102:Q106" si="63">N102/32</f>
        <v>0</v>
      </c>
      <c r="R102" s="98">
        <f t="shared" ref="R102:R106" si="64">U102/32</f>
        <v>0</v>
      </c>
      <c r="S102" s="99"/>
      <c r="T102" s="99"/>
      <c r="U102" s="98">
        <f t="shared" ref="U102:U106" si="65">S102+T102</f>
        <v>0</v>
      </c>
      <c r="V102" s="99"/>
      <c r="W102" s="99"/>
      <c r="X102" s="98">
        <f t="shared" ref="X102:X106" si="66">V102+W102</f>
        <v>0</v>
      </c>
      <c r="Y102" s="99"/>
      <c r="Z102" s="99"/>
      <c r="AA102" s="98">
        <f t="shared" ref="AA102:AA106" si="67">Y102+Z102</f>
        <v>0</v>
      </c>
      <c r="AB102" s="98">
        <f t="shared" ref="AB102:AB106" si="68">N102*O102*P102/100</f>
        <v>0</v>
      </c>
      <c r="AC102" s="244" t="e">
        <f t="shared" ref="AC102:AC106" si="69">AA102/$AA$121</f>
        <v>#DIV/0!</v>
      </c>
      <c r="AD102" s="98">
        <f t="shared" ref="AD102:AD106" si="70">U102*K102</f>
        <v>0</v>
      </c>
      <c r="AE102" s="99"/>
      <c r="AF102" s="244">
        <f t="shared" ref="AF102:AF106" si="71">IF(AA102=0,0,AE102/AA102)</f>
        <v>0</v>
      </c>
      <c r="AG102" s="99"/>
      <c r="AH102" s="99"/>
      <c r="AI102" s="99"/>
      <c r="AJ102" s="99"/>
      <c r="AK102" s="99"/>
      <c r="AL102" s="128">
        <f t="shared" ref="AL102:AL106" si="72">IFERROR($AL$121*H102/$H$121,0)</f>
        <v>0</v>
      </c>
      <c r="AM102" s="99"/>
      <c r="AN102" s="100">
        <f t="shared" ref="AN102:AN106" si="73">X102*5.71%</f>
        <v>0</v>
      </c>
      <c r="AO102" s="101">
        <f t="shared" ref="AO102:AO106" si="74">AA102-AD102-AE102-AG102-AH102-AI102-AK102-AL102-AN102-AM102</f>
        <v>0</v>
      </c>
      <c r="AP102" s="102"/>
      <c r="AQ102" s="103">
        <f t="shared" ref="AQ102:AQ106" si="75">IF(U102=0,0,AA102/U102)</f>
        <v>0</v>
      </c>
      <c r="AR102" s="104">
        <f t="shared" ref="AR102:AR106" si="76">K102</f>
        <v>579.17999999999995</v>
      </c>
      <c r="AS102" s="104">
        <f t="shared" ref="AS102:AS106" si="77">IF(U102=0,0,AE102/U102)</f>
        <v>0</v>
      </c>
      <c r="AT102" s="104">
        <f t="shared" ref="AT102:AT106" si="78">IF(S102=0,AG102/1,AG102/S102)</f>
        <v>0</v>
      </c>
      <c r="AU102" s="104">
        <f t="shared" ref="AU102:AU106" si="79">IF(S102=0,0,(AH102+AI102+AJ102)/S102)</f>
        <v>0</v>
      </c>
      <c r="AV102" s="104">
        <f t="array" ref="AV102">_xlfn.IFS(U102=0,AO102,U102&lt;0,AO102/-U102,U102&gt;0,AO102/U102)</f>
        <v>0</v>
      </c>
      <c r="AW102" s="244">
        <f t="shared" ref="AW102:AW106" si="80">IF(AQ102=0,0,AV102/AQ102)</f>
        <v>0</v>
      </c>
      <c r="AX102" s="244">
        <f t="shared" ref="AX102:AX106" si="81">IF(AR102=0,0,AV102/AR102)</f>
        <v>0</v>
      </c>
      <c r="AY102" s="105"/>
      <c r="AZ102" s="100">
        <f t="shared" ref="AZ102:AZ106" si="82">AV102*E102</f>
        <v>0</v>
      </c>
    </row>
    <row r="103" spans="1:52">
      <c r="A103" s="95" t="s">
        <v>222</v>
      </c>
      <c r="B103" s="96">
        <v>437027509</v>
      </c>
      <c r="C103" s="96" t="s">
        <v>225</v>
      </c>
      <c r="D103" s="127" t="s">
        <v>224</v>
      </c>
      <c r="E103" s="242">
        <f t="shared" si="62"/>
        <v>2</v>
      </c>
      <c r="F103" s="99"/>
      <c r="G103" s="99"/>
      <c r="H103" s="99">
        <v>1</v>
      </c>
      <c r="I103" s="99">
        <v>0</v>
      </c>
      <c r="J103" s="99">
        <v>1</v>
      </c>
      <c r="K103" s="99">
        <v>579.17999999999995</v>
      </c>
      <c r="L103" s="98">
        <f t="shared" ref="L103:L106" si="83">E103*K103</f>
        <v>1158.3599999999999</v>
      </c>
      <c r="M103" s="95"/>
      <c r="N103" s="95"/>
      <c r="O103" s="95"/>
      <c r="P103" s="95"/>
      <c r="Q103" s="243">
        <f t="shared" si="63"/>
        <v>0</v>
      </c>
      <c r="R103" s="98">
        <f t="shared" si="64"/>
        <v>0</v>
      </c>
      <c r="S103" s="99"/>
      <c r="T103" s="99"/>
      <c r="U103" s="98">
        <f t="shared" si="65"/>
        <v>0</v>
      </c>
      <c r="V103" s="99"/>
      <c r="W103" s="99"/>
      <c r="X103" s="98">
        <f t="shared" si="66"/>
        <v>0</v>
      </c>
      <c r="Y103" s="99"/>
      <c r="Z103" s="99"/>
      <c r="AA103" s="98">
        <f t="shared" si="67"/>
        <v>0</v>
      </c>
      <c r="AB103" s="98">
        <f t="shared" si="68"/>
        <v>0</v>
      </c>
      <c r="AC103" s="244" t="e">
        <f t="shared" si="69"/>
        <v>#DIV/0!</v>
      </c>
      <c r="AD103" s="98">
        <f t="shared" si="70"/>
        <v>0</v>
      </c>
      <c r="AE103" s="99"/>
      <c r="AF103" s="244">
        <f t="shared" si="71"/>
        <v>0</v>
      </c>
      <c r="AG103" s="99"/>
      <c r="AH103" s="99"/>
      <c r="AI103" s="99"/>
      <c r="AJ103" s="99"/>
      <c r="AK103" s="99"/>
      <c r="AL103" s="128">
        <f t="shared" si="72"/>
        <v>0</v>
      </c>
      <c r="AM103" s="99"/>
      <c r="AN103" s="100">
        <f t="shared" si="73"/>
        <v>0</v>
      </c>
      <c r="AO103" s="101">
        <f t="shared" si="74"/>
        <v>0</v>
      </c>
      <c r="AP103" s="102"/>
      <c r="AQ103" s="103">
        <f t="shared" si="75"/>
        <v>0</v>
      </c>
      <c r="AR103" s="104">
        <f t="shared" si="76"/>
        <v>579.17999999999995</v>
      </c>
      <c r="AS103" s="104">
        <f t="shared" si="77"/>
        <v>0</v>
      </c>
      <c r="AT103" s="104">
        <f t="shared" si="78"/>
        <v>0</v>
      </c>
      <c r="AU103" s="104">
        <f t="shared" si="79"/>
        <v>0</v>
      </c>
      <c r="AV103" s="104">
        <f t="array" ref="AV103">_xlfn.IFS(U103=0,AO103,U103&lt;0,AO103/-U103,U103&gt;0,AO103/U103)</f>
        <v>0</v>
      </c>
      <c r="AW103" s="244">
        <f t="shared" si="80"/>
        <v>0</v>
      </c>
      <c r="AX103" s="244">
        <f t="shared" si="81"/>
        <v>0</v>
      </c>
      <c r="AY103" s="105"/>
      <c r="AZ103" s="100">
        <f t="shared" si="82"/>
        <v>0</v>
      </c>
    </row>
    <row r="104" spans="1:52">
      <c r="A104" s="95" t="s">
        <v>222</v>
      </c>
      <c r="B104" s="96">
        <v>437097997</v>
      </c>
      <c r="C104" s="96" t="s">
        <v>226</v>
      </c>
      <c r="D104" s="127" t="s">
        <v>224</v>
      </c>
      <c r="E104" s="242">
        <f t="shared" si="62"/>
        <v>2</v>
      </c>
      <c r="F104" s="99"/>
      <c r="G104" s="99"/>
      <c r="H104" s="99">
        <v>0</v>
      </c>
      <c r="I104" s="99">
        <v>0</v>
      </c>
      <c r="J104" s="99">
        <v>2</v>
      </c>
      <c r="K104" s="99">
        <v>541.67999999999995</v>
      </c>
      <c r="L104" s="98">
        <f t="shared" si="83"/>
        <v>1083.3599999999999</v>
      </c>
      <c r="M104" s="95"/>
      <c r="N104" s="95"/>
      <c r="O104" s="95"/>
      <c r="P104" s="95"/>
      <c r="Q104" s="243">
        <f t="shared" si="63"/>
        <v>0</v>
      </c>
      <c r="R104" s="98">
        <f t="shared" si="64"/>
        <v>0</v>
      </c>
      <c r="S104" s="99"/>
      <c r="T104" s="99"/>
      <c r="U104" s="98">
        <f t="shared" si="65"/>
        <v>0</v>
      </c>
      <c r="V104" s="99"/>
      <c r="W104" s="99"/>
      <c r="X104" s="98">
        <f t="shared" si="66"/>
        <v>0</v>
      </c>
      <c r="Y104" s="99"/>
      <c r="Z104" s="99"/>
      <c r="AA104" s="98">
        <f t="shared" si="67"/>
        <v>0</v>
      </c>
      <c r="AB104" s="98">
        <f t="shared" si="68"/>
        <v>0</v>
      </c>
      <c r="AC104" s="244" t="e">
        <f t="shared" si="69"/>
        <v>#DIV/0!</v>
      </c>
      <c r="AD104" s="98">
        <f t="shared" si="70"/>
        <v>0</v>
      </c>
      <c r="AE104" s="99"/>
      <c r="AF104" s="244">
        <f t="shared" si="71"/>
        <v>0</v>
      </c>
      <c r="AG104" s="99"/>
      <c r="AH104" s="99"/>
      <c r="AI104" s="99"/>
      <c r="AJ104" s="99"/>
      <c r="AK104" s="99"/>
      <c r="AL104" s="128">
        <f t="shared" si="72"/>
        <v>0</v>
      </c>
      <c r="AM104" s="99"/>
      <c r="AN104" s="100">
        <f t="shared" si="73"/>
        <v>0</v>
      </c>
      <c r="AO104" s="101">
        <f t="shared" si="74"/>
        <v>0</v>
      </c>
      <c r="AP104" s="102"/>
      <c r="AQ104" s="103">
        <f t="shared" si="75"/>
        <v>0</v>
      </c>
      <c r="AR104" s="104">
        <f t="shared" si="76"/>
        <v>541.67999999999995</v>
      </c>
      <c r="AS104" s="104">
        <f t="shared" si="77"/>
        <v>0</v>
      </c>
      <c r="AT104" s="104">
        <f t="shared" si="78"/>
        <v>0</v>
      </c>
      <c r="AU104" s="104">
        <f t="shared" si="79"/>
        <v>0</v>
      </c>
      <c r="AV104" s="104">
        <f t="array" ref="AV104">_xlfn.IFS(U104=0,AO104,U104&lt;0,AO104/-U104,U104&gt;0,AO104/U104)</f>
        <v>0</v>
      </c>
      <c r="AW104" s="244">
        <f t="shared" si="80"/>
        <v>0</v>
      </c>
      <c r="AX104" s="244">
        <f t="shared" si="81"/>
        <v>0</v>
      </c>
      <c r="AY104" s="105"/>
      <c r="AZ104" s="100">
        <f t="shared" si="82"/>
        <v>0</v>
      </c>
    </row>
    <row r="105" spans="1:52">
      <c r="A105" s="95" t="s">
        <v>222</v>
      </c>
      <c r="B105" s="96">
        <v>437061068</v>
      </c>
      <c r="C105" s="96" t="s">
        <v>227</v>
      </c>
      <c r="D105" s="127" t="s">
        <v>224</v>
      </c>
      <c r="E105" s="242">
        <f t="shared" si="62"/>
        <v>1</v>
      </c>
      <c r="F105" s="99"/>
      <c r="G105" s="99"/>
      <c r="H105" s="99">
        <v>0</v>
      </c>
      <c r="I105" s="99">
        <v>0</v>
      </c>
      <c r="J105" s="99">
        <v>1</v>
      </c>
      <c r="K105" s="99">
        <v>541.67999999999995</v>
      </c>
      <c r="L105" s="98">
        <f t="shared" si="83"/>
        <v>541.67999999999995</v>
      </c>
      <c r="M105" s="95"/>
      <c r="N105" s="95"/>
      <c r="O105" s="95"/>
      <c r="P105" s="95"/>
      <c r="Q105" s="243">
        <f t="shared" si="63"/>
        <v>0</v>
      </c>
      <c r="R105" s="98">
        <f t="shared" si="64"/>
        <v>0</v>
      </c>
      <c r="S105" s="99"/>
      <c r="T105" s="99"/>
      <c r="U105" s="98">
        <f t="shared" si="65"/>
        <v>0</v>
      </c>
      <c r="V105" s="99"/>
      <c r="W105" s="99"/>
      <c r="X105" s="98">
        <f t="shared" si="66"/>
        <v>0</v>
      </c>
      <c r="Y105" s="99"/>
      <c r="Z105" s="99"/>
      <c r="AA105" s="98">
        <f t="shared" si="67"/>
        <v>0</v>
      </c>
      <c r="AB105" s="98">
        <f t="shared" si="68"/>
        <v>0</v>
      </c>
      <c r="AC105" s="244" t="e">
        <f t="shared" si="69"/>
        <v>#DIV/0!</v>
      </c>
      <c r="AD105" s="98">
        <f t="shared" si="70"/>
        <v>0</v>
      </c>
      <c r="AE105" s="99"/>
      <c r="AF105" s="244">
        <f t="shared" si="71"/>
        <v>0</v>
      </c>
      <c r="AG105" s="99"/>
      <c r="AH105" s="99"/>
      <c r="AI105" s="99"/>
      <c r="AJ105" s="99"/>
      <c r="AK105" s="99"/>
      <c r="AL105" s="128">
        <f t="shared" si="72"/>
        <v>0</v>
      </c>
      <c r="AM105" s="99"/>
      <c r="AN105" s="100">
        <f t="shared" si="73"/>
        <v>0</v>
      </c>
      <c r="AO105" s="101">
        <f t="shared" si="74"/>
        <v>0</v>
      </c>
      <c r="AP105" s="102"/>
      <c r="AQ105" s="103">
        <f t="shared" si="75"/>
        <v>0</v>
      </c>
      <c r="AR105" s="104">
        <f t="shared" si="76"/>
        <v>541.67999999999995</v>
      </c>
      <c r="AS105" s="104">
        <f t="shared" si="77"/>
        <v>0</v>
      </c>
      <c r="AT105" s="104">
        <f t="shared" si="78"/>
        <v>0</v>
      </c>
      <c r="AU105" s="104">
        <f t="shared" si="79"/>
        <v>0</v>
      </c>
      <c r="AV105" s="104">
        <f t="array" ref="AV105">_xlfn.IFS(U105=0,AO105,U105&lt;0,AO105/-U105,U105&gt;0,AO105/U105)</f>
        <v>0</v>
      </c>
      <c r="AW105" s="244">
        <f t="shared" si="80"/>
        <v>0</v>
      </c>
      <c r="AX105" s="244">
        <f t="shared" si="81"/>
        <v>0</v>
      </c>
      <c r="AY105" s="105"/>
      <c r="AZ105" s="100">
        <f t="shared" si="82"/>
        <v>0</v>
      </c>
    </row>
    <row r="106" spans="1:52">
      <c r="A106" s="95" t="s">
        <v>222</v>
      </c>
      <c r="B106" s="96">
        <v>437095304</v>
      </c>
      <c r="C106" s="96" t="s">
        <v>228</v>
      </c>
      <c r="D106" s="127" t="s">
        <v>224</v>
      </c>
      <c r="E106" s="242">
        <f t="shared" si="62"/>
        <v>1</v>
      </c>
      <c r="F106" s="99"/>
      <c r="G106" s="99"/>
      <c r="H106" s="99">
        <v>0</v>
      </c>
      <c r="I106" s="99">
        <v>0</v>
      </c>
      <c r="J106" s="99">
        <v>1</v>
      </c>
      <c r="K106" s="99">
        <v>541.67999999999995</v>
      </c>
      <c r="L106" s="98">
        <f t="shared" si="83"/>
        <v>541.67999999999995</v>
      </c>
      <c r="M106" s="95"/>
      <c r="N106" s="95"/>
      <c r="O106" s="95"/>
      <c r="P106" s="95"/>
      <c r="Q106" s="243">
        <f t="shared" si="63"/>
        <v>0</v>
      </c>
      <c r="R106" s="98">
        <f t="shared" si="64"/>
        <v>0</v>
      </c>
      <c r="S106" s="99"/>
      <c r="T106" s="99"/>
      <c r="U106" s="98">
        <f t="shared" si="65"/>
        <v>0</v>
      </c>
      <c r="V106" s="99"/>
      <c r="W106" s="99"/>
      <c r="X106" s="98">
        <f t="shared" si="66"/>
        <v>0</v>
      </c>
      <c r="Y106" s="99"/>
      <c r="Z106" s="99"/>
      <c r="AA106" s="98">
        <f t="shared" si="67"/>
        <v>0</v>
      </c>
      <c r="AB106" s="98">
        <f t="shared" si="68"/>
        <v>0</v>
      </c>
      <c r="AC106" s="244" t="e">
        <f t="shared" si="69"/>
        <v>#DIV/0!</v>
      </c>
      <c r="AD106" s="98">
        <f t="shared" si="70"/>
        <v>0</v>
      </c>
      <c r="AE106" s="99"/>
      <c r="AF106" s="244">
        <f t="shared" si="71"/>
        <v>0</v>
      </c>
      <c r="AG106" s="99"/>
      <c r="AH106" s="99"/>
      <c r="AI106" s="99"/>
      <c r="AJ106" s="99"/>
      <c r="AK106" s="99"/>
      <c r="AL106" s="128">
        <f t="shared" si="72"/>
        <v>0</v>
      </c>
      <c r="AM106" s="99"/>
      <c r="AN106" s="100">
        <f t="shared" si="73"/>
        <v>0</v>
      </c>
      <c r="AO106" s="101">
        <f t="shared" si="74"/>
        <v>0</v>
      </c>
      <c r="AP106" s="102"/>
      <c r="AQ106" s="103">
        <f t="shared" si="75"/>
        <v>0</v>
      </c>
      <c r="AR106" s="104">
        <f t="shared" si="76"/>
        <v>541.67999999999995</v>
      </c>
      <c r="AS106" s="104">
        <f t="shared" si="77"/>
        <v>0</v>
      </c>
      <c r="AT106" s="104">
        <f t="shared" si="78"/>
        <v>0</v>
      </c>
      <c r="AU106" s="104">
        <f t="shared" si="79"/>
        <v>0</v>
      </c>
      <c r="AV106" s="104">
        <f t="array" ref="AV106">_xlfn.IFS(U106=0,AO106,U106&lt;0,AO106/-U106,U106&gt;0,AO106/U106)</f>
        <v>0</v>
      </c>
      <c r="AW106" s="244">
        <f t="shared" si="80"/>
        <v>0</v>
      </c>
      <c r="AX106" s="244">
        <f t="shared" si="81"/>
        <v>0</v>
      </c>
      <c r="AY106" s="105"/>
      <c r="AZ106" s="100">
        <f t="shared" si="82"/>
        <v>0</v>
      </c>
    </row>
    <row r="107" spans="1:52">
      <c r="A107" s="95"/>
      <c r="B107" s="106"/>
      <c r="C107" s="106"/>
      <c r="D107" s="106"/>
      <c r="E107" s="106"/>
      <c r="H107" s="280"/>
      <c r="K107" s="99"/>
      <c r="L107" s="99"/>
      <c r="M107" s="95"/>
      <c r="N107" s="95"/>
      <c r="O107" s="95"/>
      <c r="P107" s="95"/>
      <c r="Q107" s="252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253"/>
      <c r="AD107" s="99"/>
      <c r="AE107" s="99"/>
      <c r="AF107" s="253"/>
      <c r="AG107" s="99"/>
      <c r="AH107" s="229"/>
      <c r="AI107" s="229"/>
      <c r="AJ107" s="229"/>
      <c r="AK107" s="229"/>
      <c r="AL107" s="128"/>
      <c r="AM107" s="99"/>
      <c r="AN107" s="129"/>
      <c r="AO107" s="130"/>
      <c r="AP107" s="102"/>
      <c r="AQ107" s="255">
        <f>AVERAGE(AQ102:AQ106)</f>
        <v>0</v>
      </c>
      <c r="AR107" s="255">
        <f>AVERAGE(AR102:AR106)</f>
        <v>556.67999999999995</v>
      </c>
      <c r="AS107" s="255">
        <f t="shared" ref="AS107:AX107" si="84">AVERAGE(AS102:AS106)</f>
        <v>0</v>
      </c>
      <c r="AT107" s="255">
        <f t="shared" si="84"/>
        <v>0</v>
      </c>
      <c r="AU107" s="255">
        <f t="shared" si="84"/>
        <v>0</v>
      </c>
      <c r="AV107" s="255">
        <f t="shared" si="84"/>
        <v>0</v>
      </c>
      <c r="AW107" s="256">
        <f t="shared" si="84"/>
        <v>0</v>
      </c>
      <c r="AX107" s="256">
        <f t="shared" si="84"/>
        <v>0</v>
      </c>
      <c r="AY107" s="105"/>
      <c r="AZ107" s="129"/>
    </row>
    <row r="108" spans="1:52" s="126" customFormat="1">
      <c r="A108" s="257" t="s">
        <v>229</v>
      </c>
      <c r="B108" s="258"/>
      <c r="C108" s="259"/>
      <c r="D108" s="259"/>
      <c r="E108" s="260">
        <f t="shared" ref="E108:J108" si="85">SUM(E102:E106)</f>
        <v>7</v>
      </c>
      <c r="F108" s="259">
        <f t="shared" si="85"/>
        <v>0</v>
      </c>
      <c r="G108" s="259">
        <f t="shared" si="85"/>
        <v>0</v>
      </c>
      <c r="H108" s="259">
        <f t="shared" si="85"/>
        <v>1</v>
      </c>
      <c r="I108" s="259">
        <f t="shared" si="85"/>
        <v>0</v>
      </c>
      <c r="J108" s="259">
        <f t="shared" si="85"/>
        <v>6</v>
      </c>
      <c r="K108" s="259"/>
      <c r="L108" s="259">
        <f>SUM(L102:L106)</f>
        <v>3904.2599999999993</v>
      </c>
      <c r="M108" s="259"/>
      <c r="N108" s="259">
        <f>SUM(N102:N106)</f>
        <v>0</v>
      </c>
      <c r="O108" s="259"/>
      <c r="P108" s="259"/>
      <c r="Q108" s="261"/>
      <c r="R108" s="259"/>
      <c r="S108" s="259">
        <f t="shared" ref="S108:AE108" si="86">SUM(S102:S106)</f>
        <v>0</v>
      </c>
      <c r="T108" s="259">
        <f t="shared" si="86"/>
        <v>0</v>
      </c>
      <c r="U108" s="259">
        <f t="shared" si="86"/>
        <v>0</v>
      </c>
      <c r="V108" s="259">
        <f t="shared" si="86"/>
        <v>0</v>
      </c>
      <c r="W108" s="259">
        <f t="shared" si="86"/>
        <v>0</v>
      </c>
      <c r="X108" s="259">
        <f t="shared" si="86"/>
        <v>0</v>
      </c>
      <c r="Y108" s="259">
        <f t="shared" si="86"/>
        <v>0</v>
      </c>
      <c r="Z108" s="259">
        <f t="shared" si="86"/>
        <v>0</v>
      </c>
      <c r="AA108" s="259">
        <f t="shared" si="86"/>
        <v>0</v>
      </c>
      <c r="AB108" s="259">
        <f t="shared" si="86"/>
        <v>0</v>
      </c>
      <c r="AC108" s="262" t="e">
        <f t="shared" si="86"/>
        <v>#DIV/0!</v>
      </c>
      <c r="AD108" s="263">
        <f t="shared" si="86"/>
        <v>0</v>
      </c>
      <c r="AE108" s="259">
        <f t="shared" si="86"/>
        <v>0</v>
      </c>
      <c r="AF108" s="262" t="e">
        <f>AE108/AA108</f>
        <v>#DIV/0!</v>
      </c>
      <c r="AG108" s="259">
        <f t="shared" ref="AG108:AO108" si="87">SUM(AG102:AG106)</f>
        <v>0</v>
      </c>
      <c r="AH108" s="263">
        <f t="shared" si="87"/>
        <v>0</v>
      </c>
      <c r="AI108" s="263">
        <f t="shared" si="87"/>
        <v>0</v>
      </c>
      <c r="AJ108" s="263">
        <f t="shared" si="87"/>
        <v>0</v>
      </c>
      <c r="AK108" s="263">
        <f t="shared" si="87"/>
        <v>0</v>
      </c>
      <c r="AL108" s="263">
        <f t="shared" si="87"/>
        <v>0</v>
      </c>
      <c r="AM108" s="259">
        <f t="shared" si="87"/>
        <v>0</v>
      </c>
      <c r="AN108" s="263">
        <f t="shared" si="87"/>
        <v>0</v>
      </c>
      <c r="AO108" s="263">
        <f t="shared" si="87"/>
        <v>0</v>
      </c>
      <c r="AP108" s="264"/>
      <c r="AQ108" s="259"/>
      <c r="AR108" s="259"/>
      <c r="AS108" s="259"/>
      <c r="AT108" s="259"/>
      <c r="AU108" s="265" t="e">
        <f>(AH108+AI108+AJ108)/S108</f>
        <v>#DIV/0!</v>
      </c>
      <c r="AV108" s="259"/>
      <c r="AW108" s="259"/>
      <c r="AX108" s="259"/>
      <c r="AY108" s="266"/>
      <c r="AZ108" s="259">
        <f>SUM(AZ102:AZ106)</f>
        <v>0</v>
      </c>
    </row>
    <row r="109" spans="1:52" s="126" customFormat="1">
      <c r="A109" s="267"/>
      <c r="B109" s="268"/>
      <c r="C109" s="145"/>
      <c r="D109" s="145"/>
      <c r="E109" s="269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270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271"/>
      <c r="AD109" s="272"/>
      <c r="AE109" s="145"/>
      <c r="AF109" s="271"/>
      <c r="AG109" s="145"/>
      <c r="AH109" s="351"/>
      <c r="AI109" s="352"/>
      <c r="AJ109" s="273"/>
      <c r="AK109" s="272"/>
      <c r="AL109" s="272"/>
      <c r="AM109" s="145"/>
      <c r="AN109" s="272"/>
      <c r="AO109" s="272"/>
      <c r="AP109" s="102"/>
      <c r="AQ109" s="145"/>
      <c r="AR109" s="145"/>
      <c r="AS109" s="145"/>
      <c r="AT109" s="145"/>
      <c r="AU109" s="145"/>
      <c r="AV109" s="145"/>
      <c r="AW109" s="145"/>
      <c r="AX109" s="145"/>
      <c r="AY109" s="102"/>
      <c r="AZ109" s="145"/>
    </row>
    <row r="110" spans="1:52" outlineLevel="1">
      <c r="A110" s="95" t="s">
        <v>222</v>
      </c>
      <c r="B110" s="96">
        <v>260411674</v>
      </c>
      <c r="C110" s="96" t="s">
        <v>230</v>
      </c>
      <c r="D110" s="97"/>
      <c r="E110" s="242">
        <f>SUM(F110:J110)</f>
        <v>2</v>
      </c>
      <c r="F110" s="99"/>
      <c r="G110" s="99"/>
      <c r="H110" s="99">
        <v>0</v>
      </c>
      <c r="I110" s="99">
        <v>1</v>
      </c>
      <c r="J110" s="99">
        <v>1</v>
      </c>
      <c r="K110" s="98">
        <v>140</v>
      </c>
      <c r="L110" s="98">
        <f t="shared" ref="L110:L117" si="88">E110*K110</f>
        <v>280</v>
      </c>
      <c r="M110" s="95"/>
      <c r="N110" s="95"/>
      <c r="O110" s="95"/>
      <c r="P110" s="95"/>
      <c r="Q110" s="243">
        <f t="shared" ref="Q110:Q117" si="89">N110/32</f>
        <v>0</v>
      </c>
      <c r="R110" s="98">
        <f t="shared" ref="R110:R117" si="90">U110/32</f>
        <v>0</v>
      </c>
      <c r="S110" s="99"/>
      <c r="T110" s="99"/>
      <c r="U110" s="98">
        <f t="shared" ref="U110:U117" si="91">S110+T110</f>
        <v>0</v>
      </c>
      <c r="V110" s="99"/>
      <c r="W110" s="99"/>
      <c r="X110" s="98">
        <f t="shared" ref="X110:X117" si="92">V110+W110</f>
        <v>0</v>
      </c>
      <c r="Y110" s="99"/>
      <c r="Z110" s="99"/>
      <c r="AA110" s="98">
        <f t="shared" ref="AA110:AA117" si="93">Y110+Z110</f>
        <v>0</v>
      </c>
      <c r="AB110" s="98">
        <f t="shared" ref="AB110:AB117" si="94">N110*O110*P110/100</f>
        <v>0</v>
      </c>
      <c r="AC110" s="244" t="e">
        <f t="shared" ref="AC110:AC117" si="95">AA110/$AA$121</f>
        <v>#DIV/0!</v>
      </c>
      <c r="AD110" s="98">
        <f t="shared" ref="AD110:AD117" si="96">U110*K110</f>
        <v>0</v>
      </c>
      <c r="AE110" s="99"/>
      <c r="AF110" s="244">
        <f t="shared" ref="AF110:AF117" si="97">IF(AA110=0,0,AE110/AA110)</f>
        <v>0</v>
      </c>
      <c r="AG110" s="99"/>
      <c r="AH110" s="99"/>
      <c r="AI110" s="99"/>
      <c r="AJ110" s="99"/>
      <c r="AK110" s="99"/>
      <c r="AL110" s="128">
        <f t="shared" ref="AL110:AL117" si="98">IFERROR($AL$121*H110/$H$121,0)</f>
        <v>0</v>
      </c>
      <c r="AM110" s="99"/>
      <c r="AN110" s="100">
        <f t="shared" ref="AN110:AN117" si="99">X110*5.71%</f>
        <v>0</v>
      </c>
      <c r="AO110" s="101">
        <f t="shared" ref="AO110:AO117" si="100">AA110-AD110-AE110-AG110-AH110-AI110-AK110-AL110-AN110-AM110</f>
        <v>0</v>
      </c>
      <c r="AP110" s="102"/>
      <c r="AQ110" s="103">
        <f t="shared" ref="AQ110:AQ117" si="101">IF(U110=0,0,AA110/U110)</f>
        <v>0</v>
      </c>
      <c r="AR110" s="104">
        <f t="shared" ref="AR110:AR117" si="102">K110</f>
        <v>140</v>
      </c>
      <c r="AS110" s="104">
        <f t="shared" ref="AS110:AS117" si="103">IF(U110=0,0,AE110/U110)</f>
        <v>0</v>
      </c>
      <c r="AT110" s="104">
        <f t="shared" ref="AT110:AT117" si="104">IF(S110=0,AG110/1,AG110/S110)</f>
        <v>0</v>
      </c>
      <c r="AU110" s="104">
        <f t="shared" ref="AU110:AU117" si="105">IF(S110=0,0,(AH110+AI110+AJ110)/S110)</f>
        <v>0</v>
      </c>
      <c r="AV110" s="104">
        <f t="array" ref="AV110">_xlfn.IFS(U110=0,AO110,U110&lt;0,AO110/-U110,U110&gt;0,AO110/U110)</f>
        <v>0</v>
      </c>
      <c r="AW110" s="244">
        <f t="shared" ref="AW110:AW117" si="106">IF(AQ110=0,0,AV110/AQ110)</f>
        <v>0</v>
      </c>
      <c r="AX110" s="244">
        <f t="shared" ref="AX110:AX117" si="107">IF(AR110=0,0,AV110/AR110)</f>
        <v>0</v>
      </c>
      <c r="AY110" s="105"/>
      <c r="AZ110" s="100">
        <f t="shared" ref="AZ110:AZ117" si="108">AV110*E110</f>
        <v>0</v>
      </c>
    </row>
    <row r="111" spans="1:52" outlineLevel="1">
      <c r="A111" s="95" t="s">
        <v>222</v>
      </c>
      <c r="B111" s="96">
        <v>260945325</v>
      </c>
      <c r="C111" s="96" t="s">
        <v>231</v>
      </c>
      <c r="D111" s="97"/>
      <c r="E111" s="242">
        <f t="shared" ref="E111:E117" si="109">SUM(F111:J111)</f>
        <v>1</v>
      </c>
      <c r="F111" s="99"/>
      <c r="G111" s="99"/>
      <c r="H111" s="99">
        <v>0</v>
      </c>
      <c r="I111" s="99">
        <v>1</v>
      </c>
      <c r="J111" s="99"/>
      <c r="K111" s="98">
        <v>154</v>
      </c>
      <c r="L111" s="98">
        <f t="shared" si="88"/>
        <v>154</v>
      </c>
      <c r="M111" s="95"/>
      <c r="N111" s="95"/>
      <c r="O111" s="95"/>
      <c r="P111" s="95"/>
      <c r="Q111" s="243">
        <f t="shared" si="89"/>
        <v>0</v>
      </c>
      <c r="R111" s="98">
        <f t="shared" si="90"/>
        <v>0</v>
      </c>
      <c r="S111" s="99"/>
      <c r="T111" s="99"/>
      <c r="U111" s="98">
        <f t="shared" si="91"/>
        <v>0</v>
      </c>
      <c r="V111" s="99"/>
      <c r="W111" s="99"/>
      <c r="X111" s="98">
        <f t="shared" si="92"/>
        <v>0</v>
      </c>
      <c r="Y111" s="99"/>
      <c r="Z111" s="99"/>
      <c r="AA111" s="98">
        <f t="shared" si="93"/>
        <v>0</v>
      </c>
      <c r="AB111" s="98">
        <f t="shared" si="94"/>
        <v>0</v>
      </c>
      <c r="AC111" s="244" t="e">
        <f t="shared" si="95"/>
        <v>#DIV/0!</v>
      </c>
      <c r="AD111" s="98">
        <f t="shared" si="96"/>
        <v>0</v>
      </c>
      <c r="AE111" s="99"/>
      <c r="AF111" s="244">
        <f t="shared" si="97"/>
        <v>0</v>
      </c>
      <c r="AG111" s="99"/>
      <c r="AH111" s="99"/>
      <c r="AI111" s="99"/>
      <c r="AJ111" s="99"/>
      <c r="AK111" s="99"/>
      <c r="AL111" s="128">
        <f t="shared" si="98"/>
        <v>0</v>
      </c>
      <c r="AM111" s="99"/>
      <c r="AN111" s="100">
        <f t="shared" si="99"/>
        <v>0</v>
      </c>
      <c r="AO111" s="101">
        <f t="shared" si="100"/>
        <v>0</v>
      </c>
      <c r="AP111" s="102"/>
      <c r="AQ111" s="103">
        <f t="shared" si="101"/>
        <v>0</v>
      </c>
      <c r="AR111" s="104">
        <f t="shared" si="102"/>
        <v>154</v>
      </c>
      <c r="AS111" s="104">
        <f t="shared" si="103"/>
        <v>0</v>
      </c>
      <c r="AT111" s="104">
        <f t="shared" si="104"/>
        <v>0</v>
      </c>
      <c r="AU111" s="104">
        <f t="shared" si="105"/>
        <v>0</v>
      </c>
      <c r="AV111" s="104">
        <f t="array" ref="AV111">_xlfn.IFS(U111=0,AO111,U111&lt;0,AO111/-U111,U111&gt;0,AO111/U111)</f>
        <v>0</v>
      </c>
      <c r="AW111" s="244">
        <f t="shared" si="106"/>
        <v>0</v>
      </c>
      <c r="AX111" s="244">
        <f t="shared" si="107"/>
        <v>0</v>
      </c>
      <c r="AY111" s="105"/>
      <c r="AZ111" s="100">
        <f t="shared" si="108"/>
        <v>0</v>
      </c>
    </row>
    <row r="112" spans="1:52" outlineLevel="1">
      <c r="A112" s="95" t="s">
        <v>222</v>
      </c>
      <c r="B112" s="96">
        <v>261545954</v>
      </c>
      <c r="C112" s="96" t="s">
        <v>232</v>
      </c>
      <c r="D112" s="97"/>
      <c r="E112" s="242">
        <f t="shared" si="109"/>
        <v>1</v>
      </c>
      <c r="F112" s="99"/>
      <c r="G112" s="99"/>
      <c r="H112" s="99">
        <v>0</v>
      </c>
      <c r="I112" s="99">
        <v>1</v>
      </c>
      <c r="J112" s="99"/>
      <c r="K112" s="98">
        <v>220</v>
      </c>
      <c r="L112" s="98">
        <f t="shared" si="88"/>
        <v>220</v>
      </c>
      <c r="M112" s="95"/>
      <c r="N112" s="95"/>
      <c r="O112" s="95"/>
      <c r="P112" s="95"/>
      <c r="Q112" s="243">
        <f t="shared" si="89"/>
        <v>0</v>
      </c>
      <c r="R112" s="98">
        <f t="shared" si="90"/>
        <v>0</v>
      </c>
      <c r="S112" s="99"/>
      <c r="T112" s="99"/>
      <c r="U112" s="98">
        <f t="shared" si="91"/>
        <v>0</v>
      </c>
      <c r="V112" s="99"/>
      <c r="W112" s="99"/>
      <c r="X112" s="98">
        <f t="shared" si="92"/>
        <v>0</v>
      </c>
      <c r="Y112" s="99"/>
      <c r="Z112" s="99"/>
      <c r="AA112" s="98">
        <f t="shared" si="93"/>
        <v>0</v>
      </c>
      <c r="AB112" s="98">
        <f t="shared" si="94"/>
        <v>0</v>
      </c>
      <c r="AC112" s="244" t="e">
        <f t="shared" si="95"/>
        <v>#DIV/0!</v>
      </c>
      <c r="AD112" s="98">
        <f t="shared" si="96"/>
        <v>0</v>
      </c>
      <c r="AE112" s="99"/>
      <c r="AF112" s="244">
        <f t="shared" si="97"/>
        <v>0</v>
      </c>
      <c r="AG112" s="99"/>
      <c r="AH112" s="99"/>
      <c r="AI112" s="99"/>
      <c r="AJ112" s="99"/>
      <c r="AK112" s="99"/>
      <c r="AL112" s="128">
        <f t="shared" si="98"/>
        <v>0</v>
      </c>
      <c r="AM112" s="99"/>
      <c r="AN112" s="100">
        <f t="shared" si="99"/>
        <v>0</v>
      </c>
      <c r="AO112" s="101">
        <f t="shared" si="100"/>
        <v>0</v>
      </c>
      <c r="AP112" s="102"/>
      <c r="AQ112" s="103">
        <f t="shared" si="101"/>
        <v>0</v>
      </c>
      <c r="AR112" s="104">
        <f t="shared" si="102"/>
        <v>220</v>
      </c>
      <c r="AS112" s="104">
        <f t="shared" si="103"/>
        <v>0</v>
      </c>
      <c r="AT112" s="104">
        <f t="shared" si="104"/>
        <v>0</v>
      </c>
      <c r="AU112" s="104">
        <f t="shared" si="105"/>
        <v>0</v>
      </c>
      <c r="AV112" s="104">
        <f t="array" ref="AV112">_xlfn.IFS(U112=0,AO112,U112&lt;0,AO112/-U112,U112&gt;0,AO112/U112)</f>
        <v>0</v>
      </c>
      <c r="AW112" s="244">
        <f t="shared" si="106"/>
        <v>0</v>
      </c>
      <c r="AX112" s="244">
        <f t="shared" si="107"/>
        <v>0</v>
      </c>
      <c r="AY112" s="105"/>
      <c r="AZ112" s="100">
        <f t="shared" si="108"/>
        <v>0</v>
      </c>
    </row>
    <row r="113" spans="1:52" outlineLevel="1">
      <c r="A113" s="95" t="s">
        <v>222</v>
      </c>
      <c r="B113" s="96">
        <v>261546082</v>
      </c>
      <c r="C113" s="96" t="s">
        <v>233</v>
      </c>
      <c r="D113" s="97"/>
      <c r="E113" s="242">
        <f t="shared" si="109"/>
        <v>1</v>
      </c>
      <c r="F113" s="99"/>
      <c r="G113" s="99"/>
      <c r="H113" s="99">
        <v>0</v>
      </c>
      <c r="I113" s="99">
        <v>1</v>
      </c>
      <c r="J113" s="99"/>
      <c r="K113" s="98">
        <v>220</v>
      </c>
      <c r="L113" s="98">
        <f t="shared" si="88"/>
        <v>220</v>
      </c>
      <c r="M113" s="95"/>
      <c r="N113" s="95"/>
      <c r="O113" s="95"/>
      <c r="P113" s="95"/>
      <c r="Q113" s="243">
        <f t="shared" si="89"/>
        <v>0</v>
      </c>
      <c r="R113" s="98">
        <f t="shared" si="90"/>
        <v>0</v>
      </c>
      <c r="S113" s="99"/>
      <c r="T113" s="99"/>
      <c r="U113" s="98">
        <f t="shared" si="91"/>
        <v>0</v>
      </c>
      <c r="V113" s="99"/>
      <c r="W113" s="99"/>
      <c r="X113" s="98">
        <f t="shared" si="92"/>
        <v>0</v>
      </c>
      <c r="Y113" s="99"/>
      <c r="Z113" s="99"/>
      <c r="AA113" s="98">
        <f t="shared" si="93"/>
        <v>0</v>
      </c>
      <c r="AB113" s="98">
        <f t="shared" si="94"/>
        <v>0</v>
      </c>
      <c r="AC113" s="244" t="e">
        <f t="shared" si="95"/>
        <v>#DIV/0!</v>
      </c>
      <c r="AD113" s="98">
        <f t="shared" si="96"/>
        <v>0</v>
      </c>
      <c r="AE113" s="99"/>
      <c r="AF113" s="244">
        <f t="shared" si="97"/>
        <v>0</v>
      </c>
      <c r="AG113" s="99"/>
      <c r="AH113" s="99"/>
      <c r="AI113" s="99"/>
      <c r="AJ113" s="99"/>
      <c r="AK113" s="99"/>
      <c r="AL113" s="128">
        <f t="shared" si="98"/>
        <v>0</v>
      </c>
      <c r="AM113" s="99"/>
      <c r="AN113" s="100">
        <f t="shared" si="99"/>
        <v>0</v>
      </c>
      <c r="AO113" s="101">
        <f t="shared" si="100"/>
        <v>0</v>
      </c>
      <c r="AP113" s="102"/>
      <c r="AQ113" s="103">
        <f t="shared" si="101"/>
        <v>0</v>
      </c>
      <c r="AR113" s="104">
        <f t="shared" si="102"/>
        <v>220</v>
      </c>
      <c r="AS113" s="104">
        <f t="shared" si="103"/>
        <v>0</v>
      </c>
      <c r="AT113" s="104">
        <f t="shared" si="104"/>
        <v>0</v>
      </c>
      <c r="AU113" s="104">
        <f t="shared" si="105"/>
        <v>0</v>
      </c>
      <c r="AV113" s="104">
        <f t="array" ref="AV113">_xlfn.IFS(U113=0,AO113,U113&lt;0,AO113/-U113,U113&gt;0,AO113/U113)</f>
        <v>0</v>
      </c>
      <c r="AW113" s="244">
        <f t="shared" si="106"/>
        <v>0</v>
      </c>
      <c r="AX113" s="244">
        <f t="shared" si="107"/>
        <v>0</v>
      </c>
      <c r="AY113" s="105"/>
      <c r="AZ113" s="100">
        <f t="shared" si="108"/>
        <v>0</v>
      </c>
    </row>
    <row r="114" spans="1:52" outlineLevel="1">
      <c r="A114" s="95" t="s">
        <v>222</v>
      </c>
      <c r="B114" s="96">
        <v>261546175</v>
      </c>
      <c r="C114" s="96" t="s">
        <v>234</v>
      </c>
      <c r="D114" s="97"/>
      <c r="E114" s="242">
        <f t="shared" si="109"/>
        <v>6</v>
      </c>
      <c r="F114" s="99"/>
      <c r="G114" s="99"/>
      <c r="H114" s="99">
        <v>0</v>
      </c>
      <c r="I114" s="99">
        <v>1</v>
      </c>
      <c r="J114" s="99">
        <v>5</v>
      </c>
      <c r="K114" s="98">
        <v>220</v>
      </c>
      <c r="L114" s="98">
        <f t="shared" si="88"/>
        <v>1320</v>
      </c>
      <c r="M114" s="95"/>
      <c r="N114" s="95"/>
      <c r="O114" s="95"/>
      <c r="P114" s="95"/>
      <c r="Q114" s="243">
        <f t="shared" si="89"/>
        <v>0</v>
      </c>
      <c r="R114" s="98">
        <f t="shared" si="90"/>
        <v>0</v>
      </c>
      <c r="S114" s="99"/>
      <c r="T114" s="99"/>
      <c r="U114" s="98">
        <f t="shared" si="91"/>
        <v>0</v>
      </c>
      <c r="V114" s="99"/>
      <c r="W114" s="99"/>
      <c r="X114" s="98">
        <f t="shared" si="92"/>
        <v>0</v>
      </c>
      <c r="Y114" s="99"/>
      <c r="Z114" s="99"/>
      <c r="AA114" s="98">
        <f t="shared" si="93"/>
        <v>0</v>
      </c>
      <c r="AB114" s="98">
        <f t="shared" si="94"/>
        <v>0</v>
      </c>
      <c r="AC114" s="244" t="e">
        <f t="shared" si="95"/>
        <v>#DIV/0!</v>
      </c>
      <c r="AD114" s="98">
        <f t="shared" si="96"/>
        <v>0</v>
      </c>
      <c r="AE114" s="99"/>
      <c r="AF114" s="244">
        <f t="shared" si="97"/>
        <v>0</v>
      </c>
      <c r="AG114" s="99"/>
      <c r="AH114" s="99"/>
      <c r="AI114" s="99"/>
      <c r="AJ114" s="99"/>
      <c r="AK114" s="99"/>
      <c r="AL114" s="128">
        <f t="shared" si="98"/>
        <v>0</v>
      </c>
      <c r="AM114" s="99"/>
      <c r="AN114" s="100">
        <f t="shared" si="99"/>
        <v>0</v>
      </c>
      <c r="AO114" s="101">
        <f t="shared" si="100"/>
        <v>0</v>
      </c>
      <c r="AP114" s="102"/>
      <c r="AQ114" s="103">
        <f t="shared" si="101"/>
        <v>0</v>
      </c>
      <c r="AR114" s="104">
        <f t="shared" si="102"/>
        <v>220</v>
      </c>
      <c r="AS114" s="104">
        <f t="shared" si="103"/>
        <v>0</v>
      </c>
      <c r="AT114" s="104">
        <f t="shared" si="104"/>
        <v>0</v>
      </c>
      <c r="AU114" s="104">
        <f t="shared" si="105"/>
        <v>0</v>
      </c>
      <c r="AV114" s="104">
        <f t="array" ref="AV114">_xlfn.IFS(U114=0,AO114,U114&lt;0,AO114/-U114,U114&gt;0,AO114/U114)</f>
        <v>0</v>
      </c>
      <c r="AW114" s="244">
        <f t="shared" si="106"/>
        <v>0</v>
      </c>
      <c r="AX114" s="244">
        <f t="shared" si="107"/>
        <v>0</v>
      </c>
      <c r="AY114" s="105"/>
      <c r="AZ114" s="100">
        <f t="shared" si="108"/>
        <v>0</v>
      </c>
    </row>
    <row r="115" spans="1:52" outlineLevel="1">
      <c r="A115" s="95" t="s">
        <v>222</v>
      </c>
      <c r="B115" s="96">
        <v>261548725</v>
      </c>
      <c r="C115" s="96" t="s">
        <v>235</v>
      </c>
      <c r="D115" s="97"/>
      <c r="E115" s="242">
        <f t="shared" si="109"/>
        <v>1</v>
      </c>
      <c r="F115" s="99"/>
      <c r="G115" s="99"/>
      <c r="H115" s="99">
        <v>0</v>
      </c>
      <c r="I115" s="99">
        <v>1</v>
      </c>
      <c r="J115" s="99"/>
      <c r="K115" s="98">
        <v>205</v>
      </c>
      <c r="L115" s="98">
        <f t="shared" si="88"/>
        <v>205</v>
      </c>
      <c r="M115" s="95"/>
      <c r="N115" s="95"/>
      <c r="O115" s="95"/>
      <c r="P115" s="95"/>
      <c r="Q115" s="243">
        <f t="shared" si="89"/>
        <v>0</v>
      </c>
      <c r="R115" s="98">
        <f t="shared" si="90"/>
        <v>0</v>
      </c>
      <c r="S115" s="99"/>
      <c r="T115" s="99"/>
      <c r="U115" s="98">
        <f t="shared" si="91"/>
        <v>0</v>
      </c>
      <c r="V115" s="99"/>
      <c r="W115" s="99"/>
      <c r="X115" s="98">
        <f t="shared" si="92"/>
        <v>0</v>
      </c>
      <c r="Y115" s="99"/>
      <c r="Z115" s="99"/>
      <c r="AA115" s="98">
        <f t="shared" si="93"/>
        <v>0</v>
      </c>
      <c r="AB115" s="98">
        <f t="shared" si="94"/>
        <v>0</v>
      </c>
      <c r="AC115" s="244" t="e">
        <f t="shared" si="95"/>
        <v>#DIV/0!</v>
      </c>
      <c r="AD115" s="98">
        <f t="shared" si="96"/>
        <v>0</v>
      </c>
      <c r="AE115" s="99"/>
      <c r="AF115" s="244">
        <f t="shared" si="97"/>
        <v>0</v>
      </c>
      <c r="AG115" s="99"/>
      <c r="AH115" s="99"/>
      <c r="AI115" s="99"/>
      <c r="AJ115" s="99"/>
      <c r="AK115" s="99"/>
      <c r="AL115" s="128">
        <f t="shared" si="98"/>
        <v>0</v>
      </c>
      <c r="AM115" s="99"/>
      <c r="AN115" s="100">
        <f t="shared" si="99"/>
        <v>0</v>
      </c>
      <c r="AO115" s="101">
        <f t="shared" si="100"/>
        <v>0</v>
      </c>
      <c r="AP115" s="102"/>
      <c r="AQ115" s="103">
        <f t="shared" si="101"/>
        <v>0</v>
      </c>
      <c r="AR115" s="104">
        <f t="shared" si="102"/>
        <v>205</v>
      </c>
      <c r="AS115" s="104">
        <f t="shared" si="103"/>
        <v>0</v>
      </c>
      <c r="AT115" s="104">
        <f t="shared" si="104"/>
        <v>0</v>
      </c>
      <c r="AU115" s="104">
        <f t="shared" si="105"/>
        <v>0</v>
      </c>
      <c r="AV115" s="104">
        <f t="array" ref="AV115">_xlfn.IFS(U115=0,AO115,U115&lt;0,AO115/-U115,U115&gt;0,AO115/U115)</f>
        <v>0</v>
      </c>
      <c r="AW115" s="244">
        <f t="shared" si="106"/>
        <v>0</v>
      </c>
      <c r="AX115" s="244">
        <f t="shared" si="107"/>
        <v>0</v>
      </c>
      <c r="AY115" s="105"/>
      <c r="AZ115" s="100">
        <f t="shared" si="108"/>
        <v>0</v>
      </c>
    </row>
    <row r="116" spans="1:52" outlineLevel="1">
      <c r="A116" s="95" t="s">
        <v>222</v>
      </c>
      <c r="B116" s="96">
        <v>261549082</v>
      </c>
      <c r="C116" s="96" t="s">
        <v>236</v>
      </c>
      <c r="D116" s="97"/>
      <c r="E116" s="242">
        <f t="shared" si="109"/>
        <v>1</v>
      </c>
      <c r="F116" s="99"/>
      <c r="G116" s="99"/>
      <c r="H116" s="99">
        <v>0</v>
      </c>
      <c r="I116" s="99">
        <v>1</v>
      </c>
      <c r="J116" s="99"/>
      <c r="K116" s="98">
        <v>205</v>
      </c>
      <c r="L116" s="98">
        <f t="shared" si="88"/>
        <v>205</v>
      </c>
      <c r="M116" s="95"/>
      <c r="N116" s="95"/>
      <c r="O116" s="95"/>
      <c r="P116" s="95"/>
      <c r="Q116" s="243">
        <f t="shared" si="89"/>
        <v>0</v>
      </c>
      <c r="R116" s="98">
        <f t="shared" si="90"/>
        <v>0</v>
      </c>
      <c r="S116" s="99"/>
      <c r="T116" s="99"/>
      <c r="U116" s="98">
        <f t="shared" si="91"/>
        <v>0</v>
      </c>
      <c r="V116" s="99"/>
      <c r="W116" s="99"/>
      <c r="X116" s="98">
        <f t="shared" si="92"/>
        <v>0</v>
      </c>
      <c r="Y116" s="99"/>
      <c r="Z116" s="99"/>
      <c r="AA116" s="98">
        <f t="shared" si="93"/>
        <v>0</v>
      </c>
      <c r="AB116" s="98">
        <f t="shared" si="94"/>
        <v>0</v>
      </c>
      <c r="AC116" s="244" t="e">
        <f t="shared" si="95"/>
        <v>#DIV/0!</v>
      </c>
      <c r="AD116" s="98">
        <f t="shared" si="96"/>
        <v>0</v>
      </c>
      <c r="AE116" s="99"/>
      <c r="AF116" s="244">
        <f t="shared" si="97"/>
        <v>0</v>
      </c>
      <c r="AG116" s="99"/>
      <c r="AH116" s="99"/>
      <c r="AI116" s="99"/>
      <c r="AJ116" s="99"/>
      <c r="AK116" s="99"/>
      <c r="AL116" s="128">
        <f t="shared" si="98"/>
        <v>0</v>
      </c>
      <c r="AM116" s="99"/>
      <c r="AN116" s="100">
        <f t="shared" si="99"/>
        <v>0</v>
      </c>
      <c r="AO116" s="101">
        <f t="shared" si="100"/>
        <v>0</v>
      </c>
      <c r="AP116" s="102"/>
      <c r="AQ116" s="103">
        <f t="shared" si="101"/>
        <v>0</v>
      </c>
      <c r="AR116" s="104">
        <f t="shared" si="102"/>
        <v>205</v>
      </c>
      <c r="AS116" s="104">
        <f t="shared" si="103"/>
        <v>0</v>
      </c>
      <c r="AT116" s="104">
        <f t="shared" si="104"/>
        <v>0</v>
      </c>
      <c r="AU116" s="104">
        <f t="shared" si="105"/>
        <v>0</v>
      </c>
      <c r="AV116" s="104">
        <f t="array" ref="AV116">_xlfn.IFS(U116=0,AO116,U116&lt;0,AO116/-U116,U116&gt;0,AO116/U116)</f>
        <v>0</v>
      </c>
      <c r="AW116" s="244">
        <f t="shared" si="106"/>
        <v>0</v>
      </c>
      <c r="AX116" s="244">
        <f t="shared" si="107"/>
        <v>0</v>
      </c>
      <c r="AY116" s="105"/>
      <c r="AZ116" s="100">
        <f t="shared" si="108"/>
        <v>0</v>
      </c>
    </row>
    <row r="117" spans="1:52" outlineLevel="1">
      <c r="A117" s="95" t="s">
        <v>222</v>
      </c>
      <c r="B117" s="96">
        <v>261561322</v>
      </c>
      <c r="C117" s="96" t="s">
        <v>237</v>
      </c>
      <c r="D117" s="127"/>
      <c r="E117" s="251">
        <f t="shared" si="109"/>
        <v>1</v>
      </c>
      <c r="F117" s="99"/>
      <c r="G117" s="99"/>
      <c r="H117" s="99">
        <v>0</v>
      </c>
      <c r="I117" s="99">
        <v>1</v>
      </c>
      <c r="J117" s="99"/>
      <c r="K117" s="98">
        <v>453</v>
      </c>
      <c r="L117" s="98">
        <f t="shared" si="88"/>
        <v>453</v>
      </c>
      <c r="M117" s="95"/>
      <c r="N117" s="95"/>
      <c r="O117" s="95"/>
      <c r="P117" s="95"/>
      <c r="Q117" s="243">
        <f t="shared" si="89"/>
        <v>0</v>
      </c>
      <c r="R117" s="98">
        <f t="shared" si="90"/>
        <v>0</v>
      </c>
      <c r="S117" s="99"/>
      <c r="T117" s="99"/>
      <c r="U117" s="98">
        <f t="shared" si="91"/>
        <v>0</v>
      </c>
      <c r="V117" s="99"/>
      <c r="W117" s="99"/>
      <c r="X117" s="98">
        <f t="shared" si="92"/>
        <v>0</v>
      </c>
      <c r="Y117" s="99"/>
      <c r="Z117" s="99"/>
      <c r="AA117" s="98">
        <f t="shared" si="93"/>
        <v>0</v>
      </c>
      <c r="AB117" s="98">
        <f t="shared" si="94"/>
        <v>0</v>
      </c>
      <c r="AC117" s="244" t="e">
        <f t="shared" si="95"/>
        <v>#DIV/0!</v>
      </c>
      <c r="AD117" s="98">
        <f t="shared" si="96"/>
        <v>0</v>
      </c>
      <c r="AE117" s="99"/>
      <c r="AF117" s="244">
        <f t="shared" si="97"/>
        <v>0</v>
      </c>
      <c r="AG117" s="99"/>
      <c r="AH117" s="99"/>
      <c r="AI117" s="99"/>
      <c r="AJ117" s="99"/>
      <c r="AK117" s="99"/>
      <c r="AL117" s="128">
        <f t="shared" si="98"/>
        <v>0</v>
      </c>
      <c r="AM117" s="99"/>
      <c r="AN117" s="100">
        <f t="shared" si="99"/>
        <v>0</v>
      </c>
      <c r="AO117" s="101">
        <f t="shared" si="100"/>
        <v>0</v>
      </c>
      <c r="AP117" s="102"/>
      <c r="AQ117" s="103">
        <f t="shared" si="101"/>
        <v>0</v>
      </c>
      <c r="AR117" s="104">
        <f t="shared" si="102"/>
        <v>453</v>
      </c>
      <c r="AS117" s="104">
        <f t="shared" si="103"/>
        <v>0</v>
      </c>
      <c r="AT117" s="104">
        <f t="shared" si="104"/>
        <v>0</v>
      </c>
      <c r="AU117" s="104">
        <f t="shared" si="105"/>
        <v>0</v>
      </c>
      <c r="AV117" s="104">
        <f t="array" ref="AV117">_xlfn.IFS(U117=0,AO117,U117&lt;0,AO117/-U117,U117&gt;0,AO117/U117)</f>
        <v>0</v>
      </c>
      <c r="AW117" s="244">
        <f t="shared" si="106"/>
        <v>0</v>
      </c>
      <c r="AX117" s="244">
        <f t="shared" si="107"/>
        <v>0</v>
      </c>
      <c r="AY117" s="105"/>
      <c r="AZ117" s="100">
        <f t="shared" si="108"/>
        <v>0</v>
      </c>
    </row>
    <row r="118" spans="1:52">
      <c r="A118" s="133"/>
      <c r="B118" s="106"/>
      <c r="C118" s="95"/>
      <c r="D118" s="133"/>
      <c r="E118" s="242"/>
      <c r="F118" s="98"/>
      <c r="G118" s="98"/>
      <c r="H118" s="99"/>
      <c r="I118" s="98"/>
      <c r="J118" s="99"/>
      <c r="K118" s="98"/>
      <c r="L118" s="98"/>
      <c r="M118" s="95"/>
      <c r="N118" s="135"/>
      <c r="O118" s="135"/>
      <c r="P118" s="135"/>
      <c r="Q118" s="243"/>
      <c r="R118" s="134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244"/>
      <c r="AD118" s="98"/>
      <c r="AE118" s="98"/>
      <c r="AF118" s="244"/>
      <c r="AG118" s="98"/>
      <c r="AH118" s="99"/>
      <c r="AI118" s="99"/>
      <c r="AJ118" s="99"/>
      <c r="AK118" s="99"/>
      <c r="AL118" s="128"/>
      <c r="AN118" s="100"/>
      <c r="AO118" s="101"/>
      <c r="AP118" s="102"/>
      <c r="AQ118" s="136">
        <f t="shared" ref="AQ118:AX118" si="110">AVERAGE(AQ110:AQ117)</f>
        <v>0</v>
      </c>
      <c r="AR118" s="136">
        <f t="shared" si="110"/>
        <v>227.125</v>
      </c>
      <c r="AS118" s="136">
        <f t="shared" si="110"/>
        <v>0</v>
      </c>
      <c r="AT118" s="136">
        <f t="shared" si="110"/>
        <v>0</v>
      </c>
      <c r="AU118" s="136">
        <f t="shared" si="110"/>
        <v>0</v>
      </c>
      <c r="AV118" s="136">
        <f t="shared" si="110"/>
        <v>0</v>
      </c>
      <c r="AW118" s="137">
        <f t="shared" si="110"/>
        <v>0</v>
      </c>
      <c r="AX118" s="137">
        <f t="shared" si="110"/>
        <v>0</v>
      </c>
      <c r="AY118" s="105"/>
      <c r="AZ118" s="100"/>
    </row>
    <row r="119" spans="1:52" s="145" customFormat="1" ht="15" customHeight="1">
      <c r="A119" s="138" t="s">
        <v>238</v>
      </c>
      <c r="B119" s="139"/>
      <c r="C119" s="140"/>
      <c r="D119" s="140"/>
      <c r="E119" s="274">
        <f t="shared" ref="E119:J119" si="111">SUM(E110:E117)</f>
        <v>14</v>
      </c>
      <c r="F119" s="140">
        <f t="shared" si="111"/>
        <v>0</v>
      </c>
      <c r="G119" s="140">
        <f t="shared" si="111"/>
        <v>0</v>
      </c>
      <c r="H119" s="140">
        <f t="shared" si="111"/>
        <v>0</v>
      </c>
      <c r="I119" s="140">
        <f t="shared" si="111"/>
        <v>8</v>
      </c>
      <c r="J119" s="140">
        <f t="shared" si="111"/>
        <v>6</v>
      </c>
      <c r="K119" s="140"/>
      <c r="L119" s="140">
        <f>SUM(L110:L117)</f>
        <v>3057</v>
      </c>
      <c r="M119" s="140"/>
      <c r="N119" s="140">
        <f>SUM(N110:N117)</f>
        <v>0</v>
      </c>
      <c r="O119" s="140"/>
      <c r="P119" s="140"/>
      <c r="Q119" s="222"/>
      <c r="R119" s="140"/>
      <c r="S119" s="140">
        <f t="shared" ref="S119:AE119" si="112">SUM(S110:S117)</f>
        <v>0</v>
      </c>
      <c r="T119" s="140">
        <f t="shared" si="112"/>
        <v>0</v>
      </c>
      <c r="U119" s="140">
        <f t="shared" si="112"/>
        <v>0</v>
      </c>
      <c r="V119" s="140">
        <f t="shared" si="112"/>
        <v>0</v>
      </c>
      <c r="W119" s="140">
        <f t="shared" si="112"/>
        <v>0</v>
      </c>
      <c r="X119" s="140">
        <f t="shared" si="112"/>
        <v>0</v>
      </c>
      <c r="Y119" s="140">
        <f t="shared" si="112"/>
        <v>0</v>
      </c>
      <c r="Z119" s="140">
        <f t="shared" si="112"/>
        <v>0</v>
      </c>
      <c r="AA119" s="140">
        <f t="shared" si="112"/>
        <v>0</v>
      </c>
      <c r="AB119" s="140">
        <f t="shared" si="112"/>
        <v>0</v>
      </c>
      <c r="AC119" s="275" t="e">
        <f t="shared" si="112"/>
        <v>#DIV/0!</v>
      </c>
      <c r="AD119" s="141">
        <f t="shared" si="112"/>
        <v>0</v>
      </c>
      <c r="AE119" s="140">
        <f t="shared" si="112"/>
        <v>0</v>
      </c>
      <c r="AF119" s="275" t="e">
        <f>AE119/AA119</f>
        <v>#DIV/0!</v>
      </c>
      <c r="AG119" s="140">
        <f t="shared" ref="AG119:AO119" si="113">SUM(AG110:AG117)</f>
        <v>0</v>
      </c>
      <c r="AH119" s="140">
        <f t="shared" si="113"/>
        <v>0</v>
      </c>
      <c r="AI119" s="140">
        <f t="shared" si="113"/>
        <v>0</v>
      </c>
      <c r="AJ119" s="140">
        <f t="shared" si="113"/>
        <v>0</v>
      </c>
      <c r="AK119" s="140">
        <f t="shared" si="113"/>
        <v>0</v>
      </c>
      <c r="AL119" s="142">
        <f t="shared" si="113"/>
        <v>0</v>
      </c>
      <c r="AM119" s="140">
        <f t="shared" si="113"/>
        <v>0</v>
      </c>
      <c r="AN119" s="140">
        <f t="shared" si="113"/>
        <v>0</v>
      </c>
      <c r="AO119" s="140">
        <f t="shared" si="113"/>
        <v>0</v>
      </c>
      <c r="AP119" s="143"/>
      <c r="AQ119" s="140"/>
      <c r="AR119" s="140"/>
      <c r="AS119" s="140"/>
      <c r="AT119" s="140"/>
      <c r="AU119" s="140" t="e">
        <f>(AH119+AI119+AJ119)/S119</f>
        <v>#DIV/0!</v>
      </c>
      <c r="AV119" s="140"/>
      <c r="AW119" s="140"/>
      <c r="AX119" s="140"/>
      <c r="AY119" s="144"/>
      <c r="AZ119" s="140">
        <f>SUM(AZ110:AZ117)</f>
        <v>0</v>
      </c>
    </row>
    <row r="120" spans="1:52" s="149" customFormat="1">
      <c r="A120" s="146"/>
      <c r="B120" s="147"/>
      <c r="C120" s="148"/>
      <c r="D120" s="148"/>
      <c r="E120" s="276"/>
      <c r="H120" s="150"/>
      <c r="N120" s="150"/>
      <c r="O120" s="150"/>
      <c r="P120" s="150"/>
      <c r="Q120" s="223"/>
      <c r="R120" s="151"/>
      <c r="S120" s="152"/>
      <c r="T120" s="152"/>
      <c r="U120" s="153"/>
      <c r="V120" s="153"/>
      <c r="W120" s="153"/>
      <c r="X120" s="153"/>
      <c r="Y120" s="152"/>
      <c r="Z120" s="153"/>
      <c r="AA120" s="153"/>
      <c r="AB120" s="153"/>
      <c r="AE120" s="154"/>
      <c r="AG120" s="152"/>
      <c r="AH120" s="353"/>
      <c r="AI120" s="353"/>
      <c r="AJ120" s="230"/>
      <c r="AK120" s="230"/>
      <c r="AL120" s="155"/>
      <c r="AM120" s="156"/>
      <c r="AP120" s="157"/>
      <c r="AQ120" s="150"/>
      <c r="AR120" s="150"/>
      <c r="AS120" s="150"/>
      <c r="AT120" s="150"/>
      <c r="AU120" s="150"/>
      <c r="AV120" s="150"/>
      <c r="AW120" s="150"/>
      <c r="AX120" s="150"/>
      <c r="AY120" s="158"/>
    </row>
    <row r="121" spans="1:52" s="164" customFormat="1">
      <c r="A121" s="159" t="s">
        <v>6</v>
      </c>
      <c r="B121" s="160"/>
      <c r="C121" s="161"/>
      <c r="D121" s="161"/>
      <c r="E121" s="277">
        <f t="shared" ref="E121:AE121" si="114">E100+E108+E119</f>
        <v>21</v>
      </c>
      <c r="F121" s="277">
        <f t="shared" si="114"/>
        <v>0</v>
      </c>
      <c r="G121" s="277">
        <f t="shared" si="114"/>
        <v>0</v>
      </c>
      <c r="H121" s="277">
        <f t="shared" si="114"/>
        <v>1</v>
      </c>
      <c r="I121" s="277">
        <f t="shared" si="114"/>
        <v>8</v>
      </c>
      <c r="J121" s="277">
        <f t="shared" si="114"/>
        <v>12</v>
      </c>
      <c r="K121" s="277">
        <f t="shared" si="114"/>
        <v>0</v>
      </c>
      <c r="L121" s="277">
        <f t="shared" si="114"/>
        <v>6961.2599999999993</v>
      </c>
      <c r="M121" s="277">
        <f t="shared" si="114"/>
        <v>0</v>
      </c>
      <c r="N121" s="277">
        <f t="shared" si="114"/>
        <v>0</v>
      </c>
      <c r="O121" s="277">
        <f t="shared" si="114"/>
        <v>0</v>
      </c>
      <c r="P121" s="277">
        <f t="shared" si="114"/>
        <v>0</v>
      </c>
      <c r="Q121" s="224">
        <f t="shared" si="114"/>
        <v>0</v>
      </c>
      <c r="R121" s="277">
        <f t="shared" si="114"/>
        <v>0</v>
      </c>
      <c r="S121" s="277">
        <f t="shared" si="114"/>
        <v>0</v>
      </c>
      <c r="T121" s="277">
        <f t="shared" si="114"/>
        <v>0</v>
      </c>
      <c r="U121" s="277">
        <f t="shared" si="114"/>
        <v>0</v>
      </c>
      <c r="V121" s="277">
        <f t="shared" si="114"/>
        <v>0</v>
      </c>
      <c r="W121" s="277">
        <f t="shared" si="114"/>
        <v>0</v>
      </c>
      <c r="X121" s="277">
        <f t="shared" si="114"/>
        <v>0</v>
      </c>
      <c r="Y121" s="277">
        <f t="shared" si="114"/>
        <v>0</v>
      </c>
      <c r="Z121" s="277">
        <f t="shared" si="114"/>
        <v>0</v>
      </c>
      <c r="AA121" s="277">
        <f t="shared" si="114"/>
        <v>0</v>
      </c>
      <c r="AB121" s="277">
        <f t="shared" si="114"/>
        <v>0</v>
      </c>
      <c r="AC121" s="277" t="e">
        <f t="shared" si="114"/>
        <v>#DIV/0!</v>
      </c>
      <c r="AD121" s="277">
        <f t="shared" si="114"/>
        <v>0</v>
      </c>
      <c r="AE121" s="277">
        <f t="shared" si="114"/>
        <v>0</v>
      </c>
      <c r="AF121" s="278" t="e">
        <f>AE121/AA121</f>
        <v>#DIV/0!</v>
      </c>
      <c r="AG121" s="277">
        <f>AG100+AG108+AG119</f>
        <v>0</v>
      </c>
      <c r="AH121" s="277">
        <f>AH100+AH108+AH119</f>
        <v>0</v>
      </c>
      <c r="AI121" s="277">
        <f>AI100+AI108+AI119</f>
        <v>0</v>
      </c>
      <c r="AJ121" s="277">
        <f>AJ100+AJ108+AJ119</f>
        <v>0</v>
      </c>
      <c r="AK121" s="277">
        <f>AK100+AK108+AK119</f>
        <v>0</v>
      </c>
      <c r="AL121" s="162"/>
      <c r="AM121" s="277">
        <f>AM100+AM108+AM119</f>
        <v>0</v>
      </c>
      <c r="AN121" s="277">
        <f>AN100+AN108+AN119</f>
        <v>0</v>
      </c>
      <c r="AO121" s="277">
        <f>AO100+AO108+AO119</f>
        <v>0</v>
      </c>
      <c r="AP121" s="161"/>
      <c r="AQ121" s="161"/>
      <c r="AR121" s="161"/>
      <c r="AS121" s="161"/>
      <c r="AT121" s="161"/>
      <c r="AU121" s="161" t="e">
        <f>(AH121+AI121)/S121</f>
        <v>#DIV/0!</v>
      </c>
      <c r="AV121" s="161"/>
      <c r="AW121" s="161"/>
      <c r="AX121" s="161"/>
      <c r="AY121" s="163"/>
      <c r="AZ121" s="161">
        <f>AZ100+AZ119</f>
        <v>0</v>
      </c>
    </row>
    <row r="122" spans="1:52" s="149" customFormat="1">
      <c r="A122" s="148"/>
      <c r="B122" s="147"/>
      <c r="C122" s="165"/>
      <c r="D122" s="148"/>
      <c r="E122" s="276"/>
      <c r="N122" s="150"/>
      <c r="O122" s="150"/>
      <c r="P122" s="150"/>
      <c r="R122" s="151"/>
      <c r="S122" s="152"/>
      <c r="T122" s="152"/>
      <c r="U122" s="153"/>
      <c r="V122" s="153"/>
      <c r="W122" s="153"/>
      <c r="X122" s="153"/>
      <c r="Y122" s="152"/>
      <c r="Z122" s="153"/>
      <c r="AA122" s="153"/>
      <c r="AB122" s="153"/>
      <c r="AE122" s="154"/>
      <c r="AG122" s="166"/>
      <c r="AH122" s="353">
        <f>AH101+AH109+AH120</f>
        <v>0</v>
      </c>
      <c r="AI122" s="353"/>
      <c r="AJ122" s="230"/>
      <c r="AK122" s="230"/>
      <c r="AL122" s="155"/>
      <c r="AM122" s="156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8"/>
    </row>
    <row r="123" spans="1:52">
      <c r="C123" s="168"/>
      <c r="D123" s="168"/>
    </row>
    <row r="124" spans="1:52">
      <c r="C124" s="168"/>
      <c r="D124" s="168"/>
    </row>
  </sheetData>
  <mergeCells count="12">
    <mergeCell ref="AH122:AI122"/>
    <mergeCell ref="F1:H1"/>
    <mergeCell ref="I1:J1"/>
    <mergeCell ref="N1:P1"/>
    <mergeCell ref="S1:T1"/>
    <mergeCell ref="V1:W1"/>
    <mergeCell ref="Y1:Z1"/>
    <mergeCell ref="AH1:AI1"/>
    <mergeCell ref="AQ1:AX1"/>
    <mergeCell ref="AH101:AI101"/>
    <mergeCell ref="AH109:AI109"/>
    <mergeCell ref="AH120:AI120"/>
  </mergeCells>
  <conditionalFormatting sqref="AC123:AC1048576">
    <cfRule type="cellIs" dxfId="23" priority="10" operator="greaterThan">
      <formula>0.23</formula>
    </cfRule>
  </conditionalFormatting>
  <conditionalFormatting sqref="M118:O118 M3:M99 M101:M107">
    <cfRule type="cellIs" dxfId="22" priority="22" operator="greaterThan">
      <formula>120</formula>
    </cfRule>
  </conditionalFormatting>
  <conditionalFormatting sqref="AC120 AC122">
    <cfRule type="cellIs" dxfId="21" priority="23" operator="greaterThan">
      <formula>0.23</formula>
    </cfRule>
  </conditionalFormatting>
  <conditionalFormatting sqref="AA118:AC118 AA101:AC101 AA107:AC107 AA3:AC9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07 AC101 AC3:AC99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20" priority="21" operator="greaterThan">
      <formula>0.23</formula>
    </cfRule>
  </conditionalFormatting>
  <conditionalFormatting sqref="AV102:AV106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2:AX106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2:AZ10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2:AZ10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18">
    <cfRule type="cellIs" dxfId="19" priority="16" operator="between">
      <formula>0.000001</formula>
      <formula>25</formula>
    </cfRule>
  </conditionalFormatting>
  <conditionalFormatting sqref="AV44:AV93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1 AZ118 AZ107 AZ94:AZ99 AZ26:AZ4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0:AZ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1 AV94:AV98 AV26:AV4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1:AX101 AW3:AX16 AW94:AX98 AW26:AX4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1 AZ107 AZ94:AZ99 AZ26:AZ4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0:AZ11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0:AV1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0:AX11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M110:M117">
    <cfRule type="cellIs" dxfId="18" priority="11" operator="greaterThan">
      <formula>120</formula>
    </cfRule>
  </conditionalFormatting>
  <conditionalFormatting sqref="AA102:AC10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{77EE4298-C0FF-461B-AF5C-E376EC59E6CC}</x14:id>
        </ext>
      </extLst>
    </cfRule>
  </conditionalFormatting>
  <conditionalFormatting sqref="AA110:AC11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{46AD701B-9EFE-44CF-B7D2-63DFD3306F5D}</x14:id>
        </ext>
      </extLst>
    </cfRule>
  </conditionalFormatting>
  <conditionalFormatting sqref="AC110:AC11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{F1DE3AC3-3726-4875-847C-52A15BBF3B50}</x14:id>
        </ext>
      </extLst>
    </cfRule>
  </conditionalFormatting>
  <conditionalFormatting sqref="AO101 AO118 AO107 AO3:AO9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1 AO107 AO3:AO9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 AC101 AC3:AC99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77EE4298-C0FF-461B-AF5C-E376EC59E6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6AD701B-9EFE-44CF-B7D2-63DFD3306F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F1DE3AC3-3726-4875-847C-52A15BBF3B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dimension ref="A1:AZ129"/>
  <sheetViews>
    <sheetView tabSelected="1" zoomScale="70" zoomScaleNormal="70" workbookViewId="0">
      <pane xSplit="3" ySplit="2" topLeftCell="D42" activePane="bottomRight" state="frozen"/>
      <selection pane="topRight" activeCell="D1" sqref="D1"/>
      <selection pane="bottomLeft" activeCell="A3" sqref="A3"/>
      <selection pane="bottomRight" activeCell="J42" sqref="J42"/>
    </sheetView>
  </sheetViews>
  <sheetFormatPr defaultColWidth="12.54296875" defaultRowHeight="14.5" outlineLevelRow="1"/>
  <cols>
    <col min="1" max="1" width="9.08984375" style="167" customWidth="1"/>
    <col min="2" max="2" width="12.54296875" style="172"/>
    <col min="3" max="3" width="19.90625" style="167" customWidth="1"/>
    <col min="4" max="4" width="16.6328125" style="167" customWidth="1"/>
    <col min="5" max="5" width="12.36328125" style="279" customWidth="1"/>
    <col min="6" max="6" width="10.90625" style="106" customWidth="1"/>
    <col min="7" max="9" width="12.36328125" style="106" customWidth="1"/>
    <col min="10" max="10" width="11.7265625" style="106" customWidth="1"/>
    <col min="11" max="11" width="13.36328125" style="106" customWidth="1"/>
    <col min="12" max="12" width="14.1796875" style="106" customWidth="1"/>
    <col min="13" max="13" width="14.26953125" style="106" customWidth="1"/>
    <col min="14" max="14" width="13.6328125" style="106" customWidth="1"/>
    <col min="15" max="15" width="15.08984375" style="106" customWidth="1"/>
    <col min="16" max="16" width="14.54296875" style="106" customWidth="1"/>
    <col min="17" max="18" width="11" style="106" customWidth="1"/>
    <col min="19" max="19" width="11.1796875" style="106" customWidth="1"/>
    <col min="20" max="20" width="12.08984375" style="106" customWidth="1"/>
    <col min="21" max="24" width="11.26953125" style="169" customWidth="1"/>
    <col min="25" max="25" width="13.1796875" style="169" customWidth="1"/>
    <col min="26" max="26" width="12.36328125" style="169" customWidth="1"/>
    <col min="27" max="27" width="20.7265625" style="169" customWidth="1"/>
    <col min="28" max="28" width="15.90625" style="169" customWidth="1"/>
    <col min="29" max="29" width="13.36328125" style="170" customWidth="1"/>
    <col min="30" max="30" width="14.453125" style="106" customWidth="1"/>
    <col min="31" max="31" width="17.81640625" style="106" customWidth="1"/>
    <col min="32" max="32" width="14.26953125" style="106" customWidth="1"/>
    <col min="33" max="33" width="19.08984375" style="106" customWidth="1"/>
    <col min="34" max="37" width="10.36328125" style="98" customWidth="1"/>
    <col min="38" max="38" width="18.08984375" style="171" customWidth="1"/>
    <col min="39" max="39" width="18" style="98" customWidth="1"/>
    <col min="40" max="40" width="12.54296875" style="106" customWidth="1"/>
    <col min="41" max="41" width="18.90625" style="106" customWidth="1"/>
    <col min="42" max="42" width="3.08984375" style="106" customWidth="1"/>
    <col min="43" max="43" width="19.90625" style="106" customWidth="1"/>
    <col min="44" max="44" width="14.26953125" style="106" customWidth="1"/>
    <col min="45" max="45" width="9.6328125" style="106" customWidth="1"/>
    <col min="46" max="46" width="11.1796875" style="106" customWidth="1"/>
    <col min="47" max="47" width="9.54296875" style="106" customWidth="1"/>
    <col min="48" max="48" width="10.1796875" style="106" customWidth="1"/>
    <col min="49" max="49" width="11.7265625" style="106" customWidth="1"/>
    <col min="50" max="50" width="12.54296875" style="106"/>
    <col min="51" max="51" width="3.36328125" style="119" customWidth="1"/>
    <col min="52" max="16384" width="12.54296875" style="106"/>
  </cols>
  <sheetData>
    <row r="1" spans="1:52" s="80" customFormat="1" ht="16" customHeight="1">
      <c r="A1" s="78" t="s">
        <v>258</v>
      </c>
      <c r="B1" s="79"/>
      <c r="C1" s="78"/>
      <c r="D1" s="78"/>
      <c r="E1" s="232"/>
      <c r="F1" s="354" t="s">
        <v>42</v>
      </c>
      <c r="G1" s="354"/>
      <c r="H1" s="354"/>
      <c r="I1" s="355" t="s">
        <v>118</v>
      </c>
      <c r="J1" s="356"/>
      <c r="M1" s="233" t="s">
        <v>43</v>
      </c>
      <c r="N1" s="354" t="s">
        <v>119</v>
      </c>
      <c r="O1" s="354"/>
      <c r="P1" s="354"/>
      <c r="R1" s="234"/>
      <c r="S1" s="357"/>
      <c r="T1" s="357"/>
      <c r="U1" s="234"/>
      <c r="V1" s="358"/>
      <c r="W1" s="359"/>
      <c r="X1" s="234"/>
      <c r="Y1" s="357"/>
      <c r="Z1" s="357"/>
      <c r="AA1" s="234"/>
      <c r="AB1" s="234"/>
      <c r="AC1" s="234"/>
      <c r="AD1" s="234"/>
      <c r="AE1" s="235"/>
      <c r="AF1" s="234"/>
      <c r="AG1" s="235"/>
      <c r="AH1" s="346"/>
      <c r="AI1" s="346"/>
      <c r="AJ1" s="293" t="s">
        <v>251</v>
      </c>
      <c r="AK1" s="228"/>
      <c r="AL1" s="236" t="s">
        <v>44</v>
      </c>
      <c r="AM1" s="235"/>
      <c r="AQ1" s="347" t="s">
        <v>45</v>
      </c>
      <c r="AR1" s="348"/>
      <c r="AS1" s="348"/>
      <c r="AT1" s="348"/>
      <c r="AU1" s="348"/>
      <c r="AV1" s="348"/>
      <c r="AW1" s="348"/>
      <c r="AX1" s="349"/>
      <c r="AY1" s="237"/>
    </row>
    <row r="2" spans="1:52" s="94" customFormat="1" ht="50.5" customHeight="1">
      <c r="A2" s="81" t="s">
        <v>46</v>
      </c>
      <c r="B2" s="82" t="s">
        <v>47</v>
      </c>
      <c r="C2" s="81" t="s">
        <v>48</v>
      </c>
      <c r="D2" s="81" t="s">
        <v>49</v>
      </c>
      <c r="E2" s="238" t="s">
        <v>50</v>
      </c>
      <c r="F2" s="83" t="s">
        <v>51</v>
      </c>
      <c r="G2" s="83" t="s">
        <v>52</v>
      </c>
      <c r="H2" s="83" t="s">
        <v>53</v>
      </c>
      <c r="I2" s="239" t="s">
        <v>120</v>
      </c>
      <c r="J2" s="239" t="s">
        <v>121</v>
      </c>
      <c r="K2" s="81" t="s">
        <v>54</v>
      </c>
      <c r="L2" s="81" t="s">
        <v>55</v>
      </c>
      <c r="M2" s="84" t="s">
        <v>56</v>
      </c>
      <c r="N2" s="84" t="s">
        <v>264</v>
      </c>
      <c r="O2" s="84" t="s">
        <v>57</v>
      </c>
      <c r="P2" s="84" t="s">
        <v>58</v>
      </c>
      <c r="Q2" s="85" t="s">
        <v>59</v>
      </c>
      <c r="R2" s="85" t="s">
        <v>60</v>
      </c>
      <c r="S2" s="86" t="s">
        <v>61</v>
      </c>
      <c r="T2" s="86" t="s">
        <v>62</v>
      </c>
      <c r="U2" s="81" t="s">
        <v>63</v>
      </c>
      <c r="V2" s="83" t="s">
        <v>64</v>
      </c>
      <c r="W2" s="83" t="s">
        <v>65</v>
      </c>
      <c r="X2" s="87" t="s">
        <v>66</v>
      </c>
      <c r="Y2" s="86" t="s">
        <v>67</v>
      </c>
      <c r="Z2" s="86" t="s">
        <v>68</v>
      </c>
      <c r="AA2" s="88" t="s">
        <v>69</v>
      </c>
      <c r="AB2" s="89" t="s">
        <v>70</v>
      </c>
      <c r="AC2" s="88" t="s">
        <v>71</v>
      </c>
      <c r="AD2" s="88" t="s">
        <v>17</v>
      </c>
      <c r="AE2" s="90" t="s">
        <v>72</v>
      </c>
      <c r="AF2" s="91" t="s">
        <v>73</v>
      </c>
      <c r="AG2" s="86" t="s">
        <v>7</v>
      </c>
      <c r="AH2" s="85" t="s">
        <v>24</v>
      </c>
      <c r="AI2" s="85" t="s">
        <v>25</v>
      </c>
      <c r="AJ2" s="292" t="s">
        <v>122</v>
      </c>
      <c r="AK2" s="85" t="s">
        <v>26</v>
      </c>
      <c r="AL2" s="86" t="s">
        <v>8</v>
      </c>
      <c r="AM2" s="86" t="s">
        <v>74</v>
      </c>
      <c r="AN2" s="240" t="s">
        <v>123</v>
      </c>
      <c r="AO2" s="81" t="s">
        <v>10</v>
      </c>
      <c r="AP2" s="92"/>
      <c r="AQ2" s="91" t="s">
        <v>75</v>
      </c>
      <c r="AR2" s="91" t="s">
        <v>76</v>
      </c>
      <c r="AS2" s="91" t="s">
        <v>77</v>
      </c>
      <c r="AT2" s="91" t="s">
        <v>78</v>
      </c>
      <c r="AU2" s="91" t="s">
        <v>79</v>
      </c>
      <c r="AV2" s="241" t="s">
        <v>80</v>
      </c>
      <c r="AW2" s="241" t="s">
        <v>81</v>
      </c>
      <c r="AX2" s="241" t="s">
        <v>82</v>
      </c>
      <c r="AY2" s="93"/>
      <c r="AZ2" s="81" t="s">
        <v>83</v>
      </c>
    </row>
    <row r="3" spans="1:52" outlineLevel="1">
      <c r="A3" s="95" t="s">
        <v>124</v>
      </c>
      <c r="B3" s="96">
        <v>170499929</v>
      </c>
      <c r="C3" s="96" t="s">
        <v>125</v>
      </c>
      <c r="D3" s="97" t="s">
        <v>84</v>
      </c>
      <c r="E3" s="242">
        <f>SUM(F3:J3)</f>
        <v>4341</v>
      </c>
      <c r="F3" s="99">
        <v>118</v>
      </c>
      <c r="G3" s="99">
        <v>35</v>
      </c>
      <c r="H3" s="99">
        <v>827</v>
      </c>
      <c r="I3" s="99">
        <v>1</v>
      </c>
      <c r="J3" s="99">
        <v>3360</v>
      </c>
      <c r="K3" s="98">
        <v>142.97999999999999</v>
      </c>
      <c r="L3" s="98">
        <f t="shared" ref="L3" si="0">E3*K3</f>
        <v>620676.17999999993</v>
      </c>
      <c r="M3" s="95">
        <v>76</v>
      </c>
      <c r="N3" s="95">
        <v>162</v>
      </c>
      <c r="O3" s="95">
        <v>1410</v>
      </c>
      <c r="P3" s="95">
        <v>61</v>
      </c>
      <c r="Q3" s="243">
        <f>N3/7</f>
        <v>23.142857142857142</v>
      </c>
      <c r="R3" s="98">
        <f>U3/7</f>
        <v>10.571428571428571</v>
      </c>
      <c r="S3" s="99">
        <v>76</v>
      </c>
      <c r="T3" s="99">
        <v>-2</v>
      </c>
      <c r="U3" s="98">
        <f t="shared" ref="U3" si="1">S3+T3</f>
        <v>74</v>
      </c>
      <c r="V3" s="99">
        <v>65330.490000000013</v>
      </c>
      <c r="W3" s="99">
        <v>-1522</v>
      </c>
      <c r="X3" s="98">
        <f t="shared" ref="X3" si="2">V3+W3</f>
        <v>63808.490000000013</v>
      </c>
      <c r="Y3" s="99">
        <v>102856.37999999999</v>
      </c>
      <c r="Z3" s="99">
        <v>-2593</v>
      </c>
      <c r="AA3" s="98">
        <f t="shared" ref="AA3" si="3">Y3+Z3</f>
        <v>100263.37999999999</v>
      </c>
      <c r="AB3" s="98">
        <f>N3*O3*P3/100</f>
        <v>139336.20000000001</v>
      </c>
      <c r="AC3" s="244">
        <f>AA3/$AA$126</f>
        <v>4.0850271405171008E-2</v>
      </c>
      <c r="AD3" s="98">
        <f t="shared" ref="AD3" si="4">U3*K3</f>
        <v>10580.519999999999</v>
      </c>
      <c r="AE3" s="99">
        <v>37573.129999999983</v>
      </c>
      <c r="AF3" s="244">
        <f t="shared" ref="AF3" si="5">IF(AA3=0,0,AE3/AA3)</f>
        <v>0.37474429846669827</v>
      </c>
      <c r="AG3" s="99">
        <v>9341.3399999999947</v>
      </c>
      <c r="AH3" s="99">
        <v>8002</v>
      </c>
      <c r="AI3" s="99">
        <v>37195</v>
      </c>
      <c r="AJ3" s="99"/>
      <c r="AK3" s="99"/>
      <c r="AL3" s="128">
        <f>IFERROR($AL$126*H3/$H$126,0)</f>
        <v>717.21315133232781</v>
      </c>
      <c r="AM3" s="99">
        <v>0</v>
      </c>
      <c r="AN3" s="100">
        <f>X3*5.71%</f>
        <v>3643.4647790000004</v>
      </c>
      <c r="AO3" s="101">
        <f>AA3-AD3-AE3-AG3-AH3-AI3-AK3-AL3-AN3-AM3</f>
        <v>-6789.2879303323216</v>
      </c>
      <c r="AP3" s="102"/>
      <c r="AQ3" s="103">
        <f t="shared" ref="AQ3:AQ97" si="6">IF(U3=0,0,AA3/U3)</f>
        <v>1354.9105405405403</v>
      </c>
      <c r="AR3" s="104">
        <f t="shared" ref="AR3:AR19" si="7">K3</f>
        <v>142.97999999999999</v>
      </c>
      <c r="AS3" s="104">
        <f t="shared" ref="AS3:AS97" si="8">IF(U3=0,0,AE3/U3)</f>
        <v>507.74499999999978</v>
      </c>
      <c r="AT3" s="104">
        <f t="shared" ref="AT3:AT97" si="9">IF(S3=0,AG3/1,AG3/S3)</f>
        <v>122.91236842105256</v>
      </c>
      <c r="AU3" s="104">
        <f>IF(S3=0,0,(AH3+AI3+AJ3)/S3)</f>
        <v>594.6973684210526</v>
      </c>
      <c r="AV3" s="104">
        <f>_xlfn.IFS(U3=0,AO3,U3&lt;0,AO3/-U3,U3&gt;0,AO3/U3)</f>
        <v>-91.747134193680026</v>
      </c>
      <c r="AW3" s="244">
        <f t="shared" ref="AW3" si="10">IF(AQ3=0,0,AV3/AQ3)</f>
        <v>-6.7714532766921715E-2</v>
      </c>
      <c r="AX3" s="244">
        <f t="shared" ref="AX3" si="11">IF(AR3=0,0,AV3/AR3)</f>
        <v>-0.64167809619303418</v>
      </c>
      <c r="AY3" s="105"/>
      <c r="AZ3" s="100">
        <f t="shared" ref="AZ3:AZ97" si="12">AV3*E3</f>
        <v>-398274.30953476497</v>
      </c>
    </row>
    <row r="4" spans="1:52" outlineLevel="1">
      <c r="A4" s="95" t="s">
        <v>124</v>
      </c>
      <c r="B4" s="96">
        <v>170500631</v>
      </c>
      <c r="C4" s="96" t="s">
        <v>126</v>
      </c>
      <c r="D4" s="97" t="s">
        <v>84</v>
      </c>
      <c r="E4" s="242">
        <f>SUM(F4:J4)</f>
        <v>7753</v>
      </c>
      <c r="F4" s="99">
        <v>549</v>
      </c>
      <c r="G4" s="99">
        <v>90</v>
      </c>
      <c r="H4" s="99">
        <v>733</v>
      </c>
      <c r="I4" s="99">
        <v>0</v>
      </c>
      <c r="J4" s="99">
        <v>6381</v>
      </c>
      <c r="K4" s="98">
        <v>123.09</v>
      </c>
      <c r="L4" s="98">
        <f>E4*K4</f>
        <v>954316.77</v>
      </c>
      <c r="M4" s="95">
        <v>7</v>
      </c>
      <c r="N4" s="95">
        <v>916</v>
      </c>
      <c r="O4" s="95">
        <v>1030</v>
      </c>
      <c r="P4" s="95">
        <v>74</v>
      </c>
      <c r="Q4" s="243">
        <f t="shared" ref="Q4:Q67" si="13">N4/7</f>
        <v>130.85714285714286</v>
      </c>
      <c r="R4" s="98">
        <f t="shared" ref="R4:R67" si="14">U4/7</f>
        <v>79</v>
      </c>
      <c r="S4" s="99">
        <v>559</v>
      </c>
      <c r="T4" s="99">
        <v>-6</v>
      </c>
      <c r="U4" s="98">
        <f t="shared" ref="U4:U67" si="15">S4+T4</f>
        <v>553</v>
      </c>
      <c r="V4" s="99">
        <v>349412.4900000004</v>
      </c>
      <c r="W4" s="99">
        <v>-3386.63</v>
      </c>
      <c r="X4" s="98">
        <f t="shared" ref="X4:X67" si="16">V4+W4</f>
        <v>346025.86000000039</v>
      </c>
      <c r="Y4" s="99">
        <v>533455.7300000001</v>
      </c>
      <c r="Z4" s="99">
        <v>-5176.9799999999996</v>
      </c>
      <c r="AA4" s="98">
        <f t="shared" ref="AA4:AA67" si="17">Y4+Z4</f>
        <v>528278.75000000012</v>
      </c>
      <c r="AB4" s="98">
        <f t="shared" ref="AB4:AB67" si="18">N4*O4*P4/100</f>
        <v>698175.2</v>
      </c>
      <c r="AC4" s="244">
        <f t="shared" ref="AC4:AC67" si="19">AA4/$AA$126</f>
        <v>0.2152364134850081</v>
      </c>
      <c r="AD4" s="98">
        <f t="shared" ref="AD4:AD67" si="20">U4*K4</f>
        <v>68068.77</v>
      </c>
      <c r="AE4" s="99">
        <v>197906.79000000047</v>
      </c>
      <c r="AF4" s="244">
        <f t="shared" ref="AF4:AF67" si="21">IF(AA4=0,0,AE4/AA4)</f>
        <v>0.37462568766962601</v>
      </c>
      <c r="AG4" s="99">
        <v>50961.900000000176</v>
      </c>
      <c r="AH4" s="99">
        <v>2628</v>
      </c>
      <c r="AI4" s="99">
        <v>713</v>
      </c>
      <c r="AJ4" s="99"/>
      <c r="AK4" s="99"/>
      <c r="AL4" s="128">
        <f t="shared" ref="AL4:AL67" si="22">IFERROR($AL$126*H4/$H$126,0)</f>
        <v>635.69194670688785</v>
      </c>
      <c r="AM4" s="99">
        <v>20</v>
      </c>
      <c r="AN4" s="100">
        <f t="shared" ref="AN4:AN67" si="23">X4*5.71%</f>
        <v>19758.076606000021</v>
      </c>
      <c r="AO4" s="101">
        <f>AA4-AD4-AE4-AG4-AH4-AI4-AK4-AL4-AN4-AM4</f>
        <v>187586.52144729253</v>
      </c>
      <c r="AP4" s="102"/>
      <c r="AQ4" s="103">
        <f t="shared" si="6"/>
        <v>955.29611211573263</v>
      </c>
      <c r="AR4" s="104">
        <f t="shared" si="7"/>
        <v>123.09</v>
      </c>
      <c r="AS4" s="104">
        <f t="shared" si="8"/>
        <v>357.87846292947643</v>
      </c>
      <c r="AT4" s="104">
        <f t="shared" si="9"/>
        <v>91.166189624329476</v>
      </c>
      <c r="AU4" s="104">
        <f t="shared" ref="AU4:AU70" si="24">IF(S4=0,0,(AH4+AI4+AJ4)/S4)</f>
        <v>5.9767441860465116</v>
      </c>
      <c r="AV4" s="104">
        <f t="array" ref="AV4">_xlfn.IFS(U4=0,AO4,U4&lt;0,AO4/-U4,U4&gt;0,AO4/U4)</f>
        <v>339.21613281608052</v>
      </c>
      <c r="AW4" s="244">
        <f>IF(AQ4=0,0,AV4/AQ4)</f>
        <v>0.35509003806663142</v>
      </c>
      <c r="AX4" s="244">
        <f>IF(AR4=0,0,AV4/AR4)</f>
        <v>2.7558382713143268</v>
      </c>
      <c r="AY4" s="105"/>
      <c r="AZ4" s="100">
        <f t="shared" si="12"/>
        <v>2629942.6777230725</v>
      </c>
    </row>
    <row r="5" spans="1:52" outlineLevel="1">
      <c r="A5" s="95" t="s">
        <v>124</v>
      </c>
      <c r="B5" s="96">
        <v>170500399</v>
      </c>
      <c r="C5" s="96" t="s">
        <v>127</v>
      </c>
      <c r="D5" s="97" t="s">
        <v>84</v>
      </c>
      <c r="E5" s="242">
        <f>SUM(F5:J5)</f>
        <v>5573</v>
      </c>
      <c r="F5" s="99">
        <v>145</v>
      </c>
      <c r="G5" s="99">
        <v>29</v>
      </c>
      <c r="H5" s="99">
        <v>505</v>
      </c>
      <c r="I5" s="99">
        <v>0</v>
      </c>
      <c r="J5" s="99">
        <v>4894</v>
      </c>
      <c r="K5" s="98">
        <v>123.09</v>
      </c>
      <c r="L5" s="98">
        <f>E5*K5</f>
        <v>685980.57000000007</v>
      </c>
      <c r="M5" s="95">
        <v>38</v>
      </c>
      <c r="N5" s="95">
        <v>215</v>
      </c>
      <c r="O5" s="95">
        <v>1133</v>
      </c>
      <c r="P5" s="95">
        <v>70</v>
      </c>
      <c r="Q5" s="243">
        <f t="shared" si="13"/>
        <v>30.714285714285715</v>
      </c>
      <c r="R5" s="98">
        <f t="shared" si="14"/>
        <v>21.571428571428573</v>
      </c>
      <c r="S5" s="99">
        <v>151</v>
      </c>
      <c r="T5" s="99">
        <v>0</v>
      </c>
      <c r="U5" s="98">
        <f t="shared" si="15"/>
        <v>151</v>
      </c>
      <c r="V5" s="99">
        <v>102977.46</v>
      </c>
      <c r="W5" s="99">
        <v>0</v>
      </c>
      <c r="X5" s="98">
        <f t="shared" si="16"/>
        <v>102977.46</v>
      </c>
      <c r="Y5" s="99">
        <v>163663.61000000004</v>
      </c>
      <c r="Z5" s="99">
        <v>0</v>
      </c>
      <c r="AA5" s="98">
        <f t="shared" si="17"/>
        <v>163663.61000000004</v>
      </c>
      <c r="AB5" s="98">
        <f t="shared" si="18"/>
        <v>170516.5</v>
      </c>
      <c r="AC5" s="244">
        <f t="shared" si="19"/>
        <v>6.6681403396235614E-2</v>
      </c>
      <c r="AD5" s="98">
        <f t="shared" si="20"/>
        <v>18586.59</v>
      </c>
      <c r="AE5" s="99">
        <v>61148.340000000011</v>
      </c>
      <c r="AF5" s="244">
        <f t="shared" si="21"/>
        <v>0.37362208984636225</v>
      </c>
      <c r="AG5" s="99">
        <v>13912.50999999998</v>
      </c>
      <c r="AH5" s="99">
        <v>1962</v>
      </c>
      <c r="AI5" s="99">
        <v>20504</v>
      </c>
      <c r="AJ5" s="99"/>
      <c r="AK5" s="99"/>
      <c r="AL5" s="128">
        <f t="shared" si="22"/>
        <v>437.95966314731027</v>
      </c>
      <c r="AM5" s="99">
        <v>0</v>
      </c>
      <c r="AN5" s="100">
        <f t="shared" si="23"/>
        <v>5880.0129660000002</v>
      </c>
      <c r="AO5" s="101">
        <f t="shared" ref="AO5:AO67" si="25">AA5-AD5-AE5-AG5-AH5-AI5-AK5-AL5-AN5-AM5</f>
        <v>41232.197370852744</v>
      </c>
      <c r="AP5" s="102"/>
      <c r="AQ5" s="103">
        <f t="shared" si="6"/>
        <v>1083.8649668874175</v>
      </c>
      <c r="AR5" s="104">
        <f t="shared" si="7"/>
        <v>123.09</v>
      </c>
      <c r="AS5" s="104">
        <f t="shared" si="8"/>
        <v>404.9558940397352</v>
      </c>
      <c r="AT5" s="104">
        <f t="shared" si="9"/>
        <v>92.13582781456941</v>
      </c>
      <c r="AU5" s="104">
        <f t="shared" si="24"/>
        <v>148.78145695364239</v>
      </c>
      <c r="AV5" s="104">
        <f t="array" ref="AV5">_xlfn.IFS(U5=0,AO5,U5&lt;0,AO5/-U5,U5&gt;0,AO5/U5)</f>
        <v>273.06090974074664</v>
      </c>
      <c r="AW5" s="244">
        <f>IF(AQ5=0,0,AV5/AQ5)</f>
        <v>0.25193259131246543</v>
      </c>
      <c r="AX5" s="244">
        <f>IF(AR5=0,0,AV5/AR5)</f>
        <v>2.2183841883235571</v>
      </c>
      <c r="AY5" s="105"/>
      <c r="AZ5" s="100">
        <f t="shared" si="12"/>
        <v>1521768.449985181</v>
      </c>
    </row>
    <row r="6" spans="1:52" outlineLevel="1">
      <c r="A6" s="95" t="s">
        <v>124</v>
      </c>
      <c r="B6" s="96">
        <v>170500725</v>
      </c>
      <c r="C6" s="96" t="s">
        <v>128</v>
      </c>
      <c r="D6" s="97" t="s">
        <v>84</v>
      </c>
      <c r="E6" s="242">
        <f t="shared" ref="E6" si="26">SUM(F6:J6)</f>
        <v>589</v>
      </c>
      <c r="F6" s="99">
        <v>119</v>
      </c>
      <c r="G6" s="99">
        <v>25</v>
      </c>
      <c r="H6" s="99">
        <v>304</v>
      </c>
      <c r="I6" s="99">
        <v>0</v>
      </c>
      <c r="J6" s="99">
        <v>141</v>
      </c>
      <c r="K6" s="98">
        <v>123.09</v>
      </c>
      <c r="L6" s="98">
        <f t="shared" ref="L6" si="27">E6*K6</f>
        <v>72500.009999999995</v>
      </c>
      <c r="M6" s="95">
        <v>28</v>
      </c>
      <c r="N6" s="95">
        <v>173</v>
      </c>
      <c r="O6" s="95">
        <v>1041</v>
      </c>
      <c r="P6" s="95">
        <v>79</v>
      </c>
      <c r="Q6" s="243">
        <f t="shared" si="13"/>
        <v>24.714285714285715</v>
      </c>
      <c r="R6" s="98">
        <f t="shared" si="14"/>
        <v>18</v>
      </c>
      <c r="S6" s="99">
        <v>129</v>
      </c>
      <c r="T6" s="99">
        <v>-3</v>
      </c>
      <c r="U6" s="98">
        <f t="shared" si="15"/>
        <v>126</v>
      </c>
      <c r="V6" s="99">
        <v>83166.16</v>
      </c>
      <c r="W6" s="99">
        <v>-1926</v>
      </c>
      <c r="X6" s="98">
        <f t="shared" si="16"/>
        <v>81240.160000000003</v>
      </c>
      <c r="Y6" s="99">
        <v>128564.20999999998</v>
      </c>
      <c r="Z6" s="99">
        <v>-2998</v>
      </c>
      <c r="AA6" s="98">
        <f t="shared" si="17"/>
        <v>125566.20999999998</v>
      </c>
      <c r="AB6" s="98">
        <f t="shared" si="18"/>
        <v>142273.47</v>
      </c>
      <c r="AC6" s="244">
        <f t="shared" si="19"/>
        <v>5.115939396635838E-2</v>
      </c>
      <c r="AD6" s="98">
        <f t="shared" si="20"/>
        <v>15509.34</v>
      </c>
      <c r="AE6" s="99">
        <v>46929.659999999931</v>
      </c>
      <c r="AF6" s="244">
        <f t="shared" si="21"/>
        <v>0.37374433774818833</v>
      </c>
      <c r="AG6" s="99">
        <v>11100.729999999989</v>
      </c>
      <c r="AH6" s="99">
        <v>1985</v>
      </c>
      <c r="AI6" s="99">
        <v>9437</v>
      </c>
      <c r="AJ6" s="99"/>
      <c r="AK6" s="99"/>
      <c r="AL6" s="128">
        <f t="shared" si="22"/>
        <v>263.64304474610356</v>
      </c>
      <c r="AM6" s="99">
        <v>0</v>
      </c>
      <c r="AN6" s="100">
        <f t="shared" si="23"/>
        <v>4638.8131359999998</v>
      </c>
      <c r="AO6" s="101">
        <f t="shared" si="25"/>
        <v>35702.023819253962</v>
      </c>
      <c r="AP6" s="102"/>
      <c r="AQ6" s="103">
        <f t="shared" si="6"/>
        <v>996.55722222222209</v>
      </c>
      <c r="AR6" s="104">
        <f t="shared" si="7"/>
        <v>123.09</v>
      </c>
      <c r="AS6" s="104">
        <f t="shared" si="8"/>
        <v>372.45761904761849</v>
      </c>
      <c r="AT6" s="104">
        <f t="shared" si="9"/>
        <v>86.052170542635565</v>
      </c>
      <c r="AU6" s="104">
        <f t="shared" si="24"/>
        <v>88.542635658914733</v>
      </c>
      <c r="AV6" s="104">
        <f t="array" ref="AV6">_xlfn.IFS(U6=0,AO6,U6&lt;0,AO6/-U6,U6&gt;0,AO6/U6)</f>
        <v>283.34939539090448</v>
      </c>
      <c r="AW6" s="244">
        <f t="shared" ref="AW6" si="28">IF(AQ6=0,0,AV6/AQ6)</f>
        <v>0.28432827445579484</v>
      </c>
      <c r="AX6" s="244">
        <f t="shared" ref="AX6" si="29">IF(AR6=0,0,AV6/AR6)</f>
        <v>2.3019692533179339</v>
      </c>
      <c r="AY6" s="105"/>
      <c r="AZ6" s="100">
        <f t="shared" si="12"/>
        <v>166892.79388524275</v>
      </c>
    </row>
    <row r="7" spans="1:52" outlineLevel="1">
      <c r="A7" s="95" t="s">
        <v>124</v>
      </c>
      <c r="B7" s="96">
        <v>246275459</v>
      </c>
      <c r="C7" s="96" t="s">
        <v>129</v>
      </c>
      <c r="D7" s="97" t="s">
        <v>84</v>
      </c>
      <c r="E7" s="242">
        <f>SUM(F7:J7)</f>
        <v>5130</v>
      </c>
      <c r="F7" s="99">
        <v>201</v>
      </c>
      <c r="G7" s="99">
        <v>41</v>
      </c>
      <c r="H7" s="99">
        <v>268</v>
      </c>
      <c r="I7" s="99">
        <v>3</v>
      </c>
      <c r="J7" s="99">
        <v>4617</v>
      </c>
      <c r="K7" s="98">
        <v>117.24</v>
      </c>
      <c r="L7" s="98">
        <f>E7*K7</f>
        <v>601441.19999999995</v>
      </c>
      <c r="M7" s="95">
        <v>13</v>
      </c>
      <c r="N7" s="95">
        <v>337</v>
      </c>
      <c r="O7" s="95">
        <v>1206</v>
      </c>
      <c r="P7" s="95">
        <v>74</v>
      </c>
      <c r="Q7" s="243">
        <f t="shared" si="13"/>
        <v>48.142857142857146</v>
      </c>
      <c r="R7" s="98">
        <f t="shared" si="14"/>
        <v>29.428571428571427</v>
      </c>
      <c r="S7" s="99">
        <v>208</v>
      </c>
      <c r="T7" s="99">
        <v>-2</v>
      </c>
      <c r="U7" s="98">
        <f t="shared" si="15"/>
        <v>206</v>
      </c>
      <c r="V7" s="99">
        <v>145513.38</v>
      </c>
      <c r="W7" s="99">
        <v>-1222</v>
      </c>
      <c r="X7" s="98">
        <f t="shared" si="16"/>
        <v>144291.38</v>
      </c>
      <c r="Y7" s="99">
        <v>231388.07999999996</v>
      </c>
      <c r="Z7" s="99">
        <v>-2032.5900000000001</v>
      </c>
      <c r="AA7" s="98">
        <f t="shared" si="17"/>
        <v>229355.48999999996</v>
      </c>
      <c r="AB7" s="98">
        <f t="shared" si="18"/>
        <v>300752.28000000003</v>
      </c>
      <c r="AC7" s="244">
        <f t="shared" si="19"/>
        <v>9.3446221489500797E-2</v>
      </c>
      <c r="AD7" s="98">
        <f t="shared" si="20"/>
        <v>24151.439999999999</v>
      </c>
      <c r="AE7" s="99">
        <v>84938.300000000017</v>
      </c>
      <c r="AF7" s="244">
        <f t="shared" si="21"/>
        <v>0.37033471490043701</v>
      </c>
      <c r="AG7" s="99">
        <v>18514.779999999988</v>
      </c>
      <c r="AH7" s="99">
        <v>1931</v>
      </c>
      <c r="AI7" s="99">
        <v>24176</v>
      </c>
      <c r="AJ7" s="99"/>
      <c r="AK7" s="99"/>
      <c r="AL7" s="128">
        <f t="shared" si="22"/>
        <v>232.42215786827555</v>
      </c>
      <c r="AM7" s="99">
        <v>0</v>
      </c>
      <c r="AN7" s="100">
        <f t="shared" si="23"/>
        <v>8239.0377979999994</v>
      </c>
      <c r="AO7" s="101">
        <f t="shared" si="25"/>
        <v>67172.510044131675</v>
      </c>
      <c r="AP7" s="102"/>
      <c r="AQ7" s="103">
        <f t="shared" si="6"/>
        <v>1113.3761650485435</v>
      </c>
      <c r="AR7" s="104">
        <f t="shared" si="7"/>
        <v>117.24</v>
      </c>
      <c r="AS7" s="104">
        <f t="shared" si="8"/>
        <v>412.32184466019424</v>
      </c>
      <c r="AT7" s="104">
        <f t="shared" si="9"/>
        <v>89.013365384615327</v>
      </c>
      <c r="AU7" s="104">
        <f t="shared" si="24"/>
        <v>125.51442307692308</v>
      </c>
      <c r="AV7" s="104">
        <f t="array" ref="AV7">_xlfn.IFS(U7=0,AO7,U7&lt;0,AO7/-U7,U7&gt;0,AO7/U7)</f>
        <v>326.0801458452994</v>
      </c>
      <c r="AW7" s="244">
        <f>IF(AQ7=0,0,AV7/AQ7)</f>
        <v>0.29287509117018168</v>
      </c>
      <c r="AX7" s="244">
        <f>IF(AR7=0,0,AV7/AR7)</f>
        <v>2.7813045534399472</v>
      </c>
      <c r="AY7" s="105"/>
      <c r="AZ7" s="100">
        <f t="shared" si="12"/>
        <v>1672791.1481863859</v>
      </c>
    </row>
    <row r="8" spans="1:52" outlineLevel="1">
      <c r="A8" s="95" t="s">
        <v>124</v>
      </c>
      <c r="B8" s="96">
        <v>159900625</v>
      </c>
      <c r="C8" s="96" t="s">
        <v>130</v>
      </c>
      <c r="D8" s="97" t="s">
        <v>84</v>
      </c>
      <c r="E8" s="242">
        <f>SUM(F8:J8)</f>
        <v>470</v>
      </c>
      <c r="F8" s="99">
        <v>109</v>
      </c>
      <c r="G8" s="99">
        <v>32</v>
      </c>
      <c r="H8" s="99">
        <v>329</v>
      </c>
      <c r="I8" s="99">
        <v>0</v>
      </c>
      <c r="J8" s="99">
        <v>0</v>
      </c>
      <c r="K8" s="98">
        <v>169.89</v>
      </c>
      <c r="L8" s="98">
        <f>E8*K8</f>
        <v>79848.299999999988</v>
      </c>
      <c r="M8" s="95">
        <v>38</v>
      </c>
      <c r="N8" s="95">
        <v>140</v>
      </c>
      <c r="O8" s="95">
        <v>1371</v>
      </c>
      <c r="P8" s="95">
        <v>52</v>
      </c>
      <c r="Q8" s="243">
        <f t="shared" si="13"/>
        <v>20</v>
      </c>
      <c r="R8" s="98">
        <f t="shared" si="14"/>
        <v>9.7142857142857135</v>
      </c>
      <c r="S8" s="99">
        <v>69</v>
      </c>
      <c r="T8" s="99">
        <v>-1</v>
      </c>
      <c r="U8" s="98">
        <f t="shared" si="15"/>
        <v>68</v>
      </c>
      <c r="V8" s="99">
        <v>57136.180000000008</v>
      </c>
      <c r="W8" s="99">
        <v>-812</v>
      </c>
      <c r="X8" s="98">
        <f t="shared" si="16"/>
        <v>56324.180000000008</v>
      </c>
      <c r="Y8" s="99">
        <v>90536.1</v>
      </c>
      <c r="Z8" s="99">
        <v>-1325</v>
      </c>
      <c r="AA8" s="98">
        <f t="shared" si="17"/>
        <v>89211.1</v>
      </c>
      <c r="AB8" s="98">
        <f t="shared" si="18"/>
        <v>99808.8</v>
      </c>
      <c r="AC8" s="244">
        <f t="shared" si="19"/>
        <v>3.6347245099395728E-2</v>
      </c>
      <c r="AD8" s="98">
        <f t="shared" si="20"/>
        <v>11552.519999999999</v>
      </c>
      <c r="AE8" s="99">
        <v>33354.780000000021</v>
      </c>
      <c r="AF8" s="244">
        <f t="shared" si="21"/>
        <v>0.37388598503997844</v>
      </c>
      <c r="AG8" s="99">
        <v>9999.3399999999929</v>
      </c>
      <c r="AH8" s="99">
        <v>3721</v>
      </c>
      <c r="AI8" s="99">
        <v>11574</v>
      </c>
      <c r="AJ8" s="99"/>
      <c r="AK8" s="99"/>
      <c r="AL8" s="128">
        <f t="shared" si="22"/>
        <v>285.3242161890397</v>
      </c>
      <c r="AM8" s="99">
        <v>0</v>
      </c>
      <c r="AN8" s="100">
        <f t="shared" si="23"/>
        <v>3216.1106780000005</v>
      </c>
      <c r="AO8" s="101">
        <f t="shared" si="25"/>
        <v>15508.02510581095</v>
      </c>
      <c r="AP8" s="102"/>
      <c r="AQ8" s="103">
        <f t="shared" si="6"/>
        <v>1311.9279411764708</v>
      </c>
      <c r="AR8" s="104">
        <f t="shared" si="7"/>
        <v>169.89</v>
      </c>
      <c r="AS8" s="104">
        <f t="shared" si="8"/>
        <v>490.51147058823562</v>
      </c>
      <c r="AT8" s="104">
        <f t="shared" si="9"/>
        <v>144.91797101449265</v>
      </c>
      <c r="AU8" s="104">
        <f t="shared" si="24"/>
        <v>221.66666666666666</v>
      </c>
      <c r="AV8" s="104">
        <f t="array" ref="AV8">_xlfn.IFS(U8=0,AO8,U8&lt;0,AO8/-U8,U8&gt;0,AO8/U8)</f>
        <v>228.05919273251396</v>
      </c>
      <c r="AW8" s="244">
        <f>IF(AQ8=0,0,AV8/AQ8)</f>
        <v>0.17383515174469261</v>
      </c>
      <c r="AX8" s="244">
        <f>IF(AR8=0,0,AV8/AR8)</f>
        <v>1.3423932705427863</v>
      </c>
      <c r="AY8" s="105"/>
      <c r="AZ8" s="100">
        <f t="shared" si="12"/>
        <v>107187.82058428157</v>
      </c>
    </row>
    <row r="9" spans="1:52" outlineLevel="1">
      <c r="A9" s="95" t="s">
        <v>124</v>
      </c>
      <c r="B9" s="96">
        <v>251467353</v>
      </c>
      <c r="C9" s="96" t="s">
        <v>131</v>
      </c>
      <c r="D9" s="97" t="s">
        <v>84</v>
      </c>
      <c r="E9" s="242">
        <f>SUM(F9:J9)</f>
        <v>11403</v>
      </c>
      <c r="F9" s="99">
        <v>207</v>
      </c>
      <c r="G9" s="99">
        <v>60</v>
      </c>
      <c r="H9" s="99">
        <v>459</v>
      </c>
      <c r="I9" s="99">
        <v>0</v>
      </c>
      <c r="J9" s="99">
        <v>10677</v>
      </c>
      <c r="K9" s="98">
        <v>123.09</v>
      </c>
      <c r="L9" s="98">
        <f>E9*K9</f>
        <v>1403595.27</v>
      </c>
      <c r="M9" s="95">
        <v>23</v>
      </c>
      <c r="N9" s="95">
        <v>321</v>
      </c>
      <c r="O9" s="95">
        <v>1429</v>
      </c>
      <c r="P9" s="95">
        <v>56</v>
      </c>
      <c r="Q9" s="243">
        <f t="shared" si="13"/>
        <v>45.857142857142854</v>
      </c>
      <c r="R9" s="98">
        <f t="shared" si="14"/>
        <v>19.285714285714285</v>
      </c>
      <c r="S9" s="99">
        <v>137</v>
      </c>
      <c r="T9" s="99">
        <v>-2</v>
      </c>
      <c r="U9" s="98">
        <f t="shared" si="15"/>
        <v>135</v>
      </c>
      <c r="V9" s="99">
        <v>116367.83</v>
      </c>
      <c r="W9" s="99">
        <v>-1693</v>
      </c>
      <c r="X9" s="98">
        <f t="shared" si="16"/>
        <v>114674.83</v>
      </c>
      <c r="Y9" s="99">
        <v>186033.16</v>
      </c>
      <c r="Z9" s="99">
        <v>-2723</v>
      </c>
      <c r="AA9" s="98">
        <f t="shared" si="17"/>
        <v>183310.16</v>
      </c>
      <c r="AB9" s="98">
        <f t="shared" si="18"/>
        <v>256877.04</v>
      </c>
      <c r="AC9" s="244">
        <f t="shared" si="19"/>
        <v>7.468598991302032E-2</v>
      </c>
      <c r="AD9" s="98">
        <f t="shared" si="20"/>
        <v>16617.150000000001</v>
      </c>
      <c r="AE9" s="99">
        <v>68728.999999999971</v>
      </c>
      <c r="AF9" s="244">
        <f t="shared" si="21"/>
        <v>0.37493284605719601</v>
      </c>
      <c r="AG9" s="99">
        <v>19710.209999999977</v>
      </c>
      <c r="AH9" s="99">
        <v>5213</v>
      </c>
      <c r="AI9" s="99">
        <v>24000</v>
      </c>
      <c r="AJ9" s="99"/>
      <c r="AK9" s="99"/>
      <c r="AL9" s="128">
        <f t="shared" si="22"/>
        <v>398.0663076923077</v>
      </c>
      <c r="AM9" s="99">
        <v>10</v>
      </c>
      <c r="AN9" s="100">
        <f t="shared" si="23"/>
        <v>6547.9327929999999</v>
      </c>
      <c r="AO9" s="101">
        <f t="shared" si="25"/>
        <v>42084.800899307753</v>
      </c>
      <c r="AP9" s="102"/>
      <c r="AQ9" s="103">
        <f t="shared" si="6"/>
        <v>1357.853037037037</v>
      </c>
      <c r="AR9" s="104">
        <f t="shared" si="7"/>
        <v>123.09</v>
      </c>
      <c r="AS9" s="104">
        <f t="shared" si="8"/>
        <v>509.1037037037035</v>
      </c>
      <c r="AT9" s="104">
        <f t="shared" si="9"/>
        <v>143.87014598540131</v>
      </c>
      <c r="AU9" s="104">
        <f t="shared" si="24"/>
        <v>213.23357664233578</v>
      </c>
      <c r="AV9" s="104">
        <f t="array" ref="AV9">_xlfn.IFS(U9=0,AO9,U9&lt;0,AO9/-U9,U9&gt;0,AO9/U9)</f>
        <v>311.73926592079818</v>
      </c>
      <c r="AW9" s="244">
        <f>IF(AQ9=0,0,AV9/AQ9)</f>
        <v>0.22958247867607423</v>
      </c>
      <c r="AX9" s="244">
        <f>IF(AR9=0,0,AV9/AR9)</f>
        <v>2.5326124455341472</v>
      </c>
      <c r="AY9" s="105"/>
      <c r="AZ9" s="100">
        <f t="shared" si="12"/>
        <v>3554762.8492948618</v>
      </c>
    </row>
    <row r="10" spans="1:52" ht="13.75" customHeight="1" outlineLevel="1">
      <c r="A10" s="95" t="s">
        <v>124</v>
      </c>
      <c r="B10" s="96">
        <v>251467354</v>
      </c>
      <c r="C10" s="96" t="s">
        <v>132</v>
      </c>
      <c r="D10" s="97" t="s">
        <v>84</v>
      </c>
      <c r="E10" s="242">
        <f>SUM(F10:J10)</f>
        <v>10110</v>
      </c>
      <c r="F10" s="99">
        <v>155</v>
      </c>
      <c r="G10" s="99">
        <v>32</v>
      </c>
      <c r="H10" s="99">
        <v>426</v>
      </c>
      <c r="I10" s="99">
        <v>0</v>
      </c>
      <c r="J10" s="99">
        <v>9497</v>
      </c>
      <c r="K10" s="98">
        <v>123.09</v>
      </c>
      <c r="L10" s="98">
        <f>E10*K10</f>
        <v>1244439.9000000001</v>
      </c>
      <c r="M10" s="95">
        <v>18</v>
      </c>
      <c r="N10" s="95">
        <v>266</v>
      </c>
      <c r="O10" s="95">
        <v>1073</v>
      </c>
      <c r="P10" s="95">
        <v>77</v>
      </c>
      <c r="Q10" s="243">
        <f t="shared" si="13"/>
        <v>38</v>
      </c>
      <c r="R10" s="98">
        <f t="shared" si="14"/>
        <v>23.571428571428573</v>
      </c>
      <c r="S10" s="99">
        <v>167</v>
      </c>
      <c r="T10" s="99">
        <v>-2</v>
      </c>
      <c r="U10" s="98">
        <f t="shared" si="15"/>
        <v>165</v>
      </c>
      <c r="V10" s="99">
        <v>106430.20999999999</v>
      </c>
      <c r="W10" s="99">
        <v>-1175</v>
      </c>
      <c r="X10" s="98">
        <f t="shared" si="16"/>
        <v>105255.20999999999</v>
      </c>
      <c r="Y10" s="99">
        <v>166081.43000000005</v>
      </c>
      <c r="Z10" s="99">
        <v>-1930.3000000000002</v>
      </c>
      <c r="AA10" s="98">
        <f t="shared" si="17"/>
        <v>164151.13000000006</v>
      </c>
      <c r="AB10" s="98">
        <f t="shared" si="18"/>
        <v>219771.86</v>
      </c>
      <c r="AC10" s="244">
        <f t="shared" si="19"/>
        <v>6.6880033487455859E-2</v>
      </c>
      <c r="AD10" s="98">
        <f t="shared" si="20"/>
        <v>20309.850000000002</v>
      </c>
      <c r="AE10" s="99">
        <v>61590.900000000067</v>
      </c>
      <c r="AF10" s="244">
        <f t="shared" si="21"/>
        <v>0.3752085045043555</v>
      </c>
      <c r="AG10" s="99">
        <v>16452.939999999984</v>
      </c>
      <c r="AH10" s="99">
        <v>3974</v>
      </c>
      <c r="AI10" s="99">
        <v>19500</v>
      </c>
      <c r="AJ10" s="99"/>
      <c r="AK10" s="99"/>
      <c r="AL10" s="128">
        <f t="shared" si="22"/>
        <v>369.44716138763198</v>
      </c>
      <c r="AM10" s="99">
        <v>0</v>
      </c>
      <c r="AN10" s="100">
        <f t="shared" si="23"/>
        <v>6010.072490999999</v>
      </c>
      <c r="AO10" s="101">
        <f t="shared" si="25"/>
        <v>35943.920347612373</v>
      </c>
      <c r="AP10" s="102"/>
      <c r="AQ10" s="103">
        <f t="shared" si="6"/>
        <v>994.85533333333376</v>
      </c>
      <c r="AR10" s="104">
        <f t="shared" si="7"/>
        <v>123.09</v>
      </c>
      <c r="AS10" s="104">
        <f t="shared" si="8"/>
        <v>373.27818181818225</v>
      </c>
      <c r="AT10" s="104">
        <f t="shared" si="9"/>
        <v>98.520598802395114</v>
      </c>
      <c r="AU10" s="104">
        <f t="shared" si="24"/>
        <v>140.56287425149699</v>
      </c>
      <c r="AV10" s="104">
        <f t="array" ref="AV10">_xlfn.IFS(U10=0,AO10,U10&lt;0,AO10/-U10,U10&gt;0,AO10/U10)</f>
        <v>217.84194150068106</v>
      </c>
      <c r="AW10" s="244">
        <f>IF(AQ10=0,0,AV10/AQ10)</f>
        <v>0.21896846124429578</v>
      </c>
      <c r="AX10" s="244">
        <f>IF(AR10=0,0,AV10/AR10)</f>
        <v>1.769777735808604</v>
      </c>
      <c r="AY10" s="105"/>
      <c r="AZ10" s="100">
        <f t="shared" si="12"/>
        <v>2202382.0285718855</v>
      </c>
    </row>
    <row r="11" spans="1:52" outlineLevel="1">
      <c r="A11" s="95" t="s">
        <v>124</v>
      </c>
      <c r="B11" s="96">
        <v>251467355</v>
      </c>
      <c r="C11" s="96" t="s">
        <v>133</v>
      </c>
      <c r="D11" s="97" t="s">
        <v>84</v>
      </c>
      <c r="E11" s="242">
        <f t="shared" ref="E11:E27" si="30">SUM(F11:J11)</f>
        <v>2909</v>
      </c>
      <c r="F11" s="99">
        <v>64</v>
      </c>
      <c r="G11" s="99">
        <v>15</v>
      </c>
      <c r="H11" s="99">
        <v>468</v>
      </c>
      <c r="I11" s="99">
        <v>0</v>
      </c>
      <c r="J11" s="99">
        <v>2362</v>
      </c>
      <c r="K11" s="98">
        <v>123.09</v>
      </c>
      <c r="L11" s="98">
        <f t="shared" ref="L11" si="31">E11*K11</f>
        <v>358068.81</v>
      </c>
      <c r="M11" s="95">
        <v>77</v>
      </c>
      <c r="N11" s="95">
        <v>99</v>
      </c>
      <c r="O11" s="95">
        <v>1217</v>
      </c>
      <c r="P11" s="95">
        <v>53</v>
      </c>
      <c r="Q11" s="243">
        <f t="shared" si="13"/>
        <v>14.142857142857142</v>
      </c>
      <c r="R11" s="98">
        <f t="shared" si="14"/>
        <v>6</v>
      </c>
      <c r="S11" s="99">
        <v>44</v>
      </c>
      <c r="T11" s="99">
        <v>-2</v>
      </c>
      <c r="U11" s="98">
        <f t="shared" si="15"/>
        <v>42</v>
      </c>
      <c r="V11" s="99">
        <v>33417.96</v>
      </c>
      <c r="W11" s="99">
        <v>-1461</v>
      </c>
      <c r="X11" s="98">
        <f t="shared" si="16"/>
        <v>31956.959999999999</v>
      </c>
      <c r="Y11" s="99">
        <v>53524.979999999996</v>
      </c>
      <c r="Z11" s="99">
        <v>-2410</v>
      </c>
      <c r="AA11" s="98">
        <f t="shared" si="17"/>
        <v>51114.979999999996</v>
      </c>
      <c r="AB11" s="98">
        <f t="shared" si="18"/>
        <v>63855.99</v>
      </c>
      <c r="AC11" s="244">
        <f t="shared" si="19"/>
        <v>2.0825757179439672E-2</v>
      </c>
      <c r="AD11" s="98">
        <f t="shared" si="20"/>
        <v>5169.78</v>
      </c>
      <c r="AE11" s="99">
        <v>19142.39</v>
      </c>
      <c r="AF11" s="244">
        <f t="shared" si="21"/>
        <v>0.37449667396915742</v>
      </c>
      <c r="AG11" s="99">
        <v>5596.8799999999992</v>
      </c>
      <c r="AH11" s="99">
        <v>2306</v>
      </c>
      <c r="AI11" s="99">
        <v>4593</v>
      </c>
      <c r="AJ11" s="99"/>
      <c r="AK11" s="99"/>
      <c r="AL11" s="128">
        <f t="shared" si="22"/>
        <v>405.87152941176475</v>
      </c>
      <c r="AM11" s="99">
        <v>0</v>
      </c>
      <c r="AN11" s="100">
        <f t="shared" si="23"/>
        <v>1824.7424159999998</v>
      </c>
      <c r="AO11" s="101">
        <f t="shared" si="25"/>
        <v>12076.316054588237</v>
      </c>
      <c r="AP11" s="102"/>
      <c r="AQ11" s="103">
        <f t="shared" si="6"/>
        <v>1217.0233333333333</v>
      </c>
      <c r="AR11" s="104">
        <f t="shared" si="7"/>
        <v>123.09</v>
      </c>
      <c r="AS11" s="104">
        <f t="shared" si="8"/>
        <v>455.77119047619044</v>
      </c>
      <c r="AT11" s="104">
        <f t="shared" si="9"/>
        <v>127.20181818181817</v>
      </c>
      <c r="AU11" s="104">
        <f t="shared" si="24"/>
        <v>156.79545454545453</v>
      </c>
      <c r="AV11" s="104">
        <f t="array" ref="AV11">_xlfn.IFS(U11=0,AO11,U11&lt;0,AO11/-U11,U11&gt;0,AO11/U11)</f>
        <v>287.53133463305323</v>
      </c>
      <c r="AW11" s="244">
        <f t="shared" ref="AW11:AW28" si="32">IF(AQ11=0,0,AV11/AQ11)</f>
        <v>0.23625786520093006</v>
      </c>
      <c r="AX11" s="244">
        <f t="shared" ref="AX11:AX28" si="33">IF(AR11=0,0,AV11/AR11)</f>
        <v>2.3359438998541981</v>
      </c>
      <c r="AY11" s="105"/>
      <c r="AZ11" s="100">
        <f t="shared" si="12"/>
        <v>836428.65244755184</v>
      </c>
    </row>
    <row r="12" spans="1:52" outlineLevel="1">
      <c r="A12" s="95" t="s">
        <v>124</v>
      </c>
      <c r="B12" s="96">
        <v>303941289</v>
      </c>
      <c r="C12" s="96" t="s">
        <v>134</v>
      </c>
      <c r="D12" s="97" t="s">
        <v>84</v>
      </c>
      <c r="E12" s="242">
        <f t="shared" si="30"/>
        <v>3312</v>
      </c>
      <c r="F12" s="99">
        <v>117</v>
      </c>
      <c r="G12" s="99">
        <v>36</v>
      </c>
      <c r="H12" s="99">
        <v>472</v>
      </c>
      <c r="I12" s="99">
        <v>1</v>
      </c>
      <c r="J12" s="99">
        <v>2686</v>
      </c>
      <c r="K12" s="98">
        <v>117.24</v>
      </c>
      <c r="L12" s="98">
        <f>E12*K12</f>
        <v>388298.88</v>
      </c>
      <c r="M12" s="95">
        <v>55</v>
      </c>
      <c r="N12" s="95">
        <v>173</v>
      </c>
      <c r="O12" s="95">
        <v>1246</v>
      </c>
      <c r="P12" s="95">
        <v>53</v>
      </c>
      <c r="Q12" s="243">
        <f t="shared" si="13"/>
        <v>24.714285714285715</v>
      </c>
      <c r="R12" s="98">
        <f t="shared" si="14"/>
        <v>9.7142857142857135</v>
      </c>
      <c r="S12" s="99">
        <v>68</v>
      </c>
      <c r="T12" s="99">
        <v>0</v>
      </c>
      <c r="U12" s="98">
        <f t="shared" si="15"/>
        <v>68</v>
      </c>
      <c r="V12" s="99">
        <v>51141.799999999996</v>
      </c>
      <c r="W12" s="99">
        <v>0</v>
      </c>
      <c r="X12" s="98">
        <f t="shared" si="16"/>
        <v>51141.799999999996</v>
      </c>
      <c r="Y12" s="99">
        <v>81407.710000000006</v>
      </c>
      <c r="Z12" s="99">
        <v>0</v>
      </c>
      <c r="AA12" s="98">
        <f t="shared" si="17"/>
        <v>81407.710000000006</v>
      </c>
      <c r="AB12" s="98">
        <f t="shared" si="18"/>
        <v>114245.74</v>
      </c>
      <c r="AC12" s="244">
        <f t="shared" si="19"/>
        <v>3.3167912830920465E-2</v>
      </c>
      <c r="AD12" s="98">
        <f t="shared" si="20"/>
        <v>7972.32</v>
      </c>
      <c r="AE12" s="99">
        <v>30453.930000000008</v>
      </c>
      <c r="AF12" s="244">
        <f t="shared" si="21"/>
        <v>0.37409147118866265</v>
      </c>
      <c r="AG12" s="99">
        <v>9992.0599999999977</v>
      </c>
      <c r="AH12" s="99">
        <v>874</v>
      </c>
      <c r="AI12" s="99">
        <v>11863</v>
      </c>
      <c r="AJ12" s="99"/>
      <c r="AK12" s="99"/>
      <c r="AL12" s="128">
        <f t="shared" si="22"/>
        <v>409.34051684263454</v>
      </c>
      <c r="AM12" s="99">
        <v>0</v>
      </c>
      <c r="AN12" s="100">
        <f t="shared" si="23"/>
        <v>2920.1967799999998</v>
      </c>
      <c r="AO12" s="101">
        <f t="shared" si="25"/>
        <v>16922.862703157374</v>
      </c>
      <c r="AP12" s="102"/>
      <c r="AQ12" s="103">
        <f t="shared" si="6"/>
        <v>1197.172205882353</v>
      </c>
      <c r="AR12" s="104">
        <f t="shared" si="7"/>
        <v>117.24</v>
      </c>
      <c r="AS12" s="104">
        <f t="shared" si="8"/>
        <v>447.85191176470602</v>
      </c>
      <c r="AT12" s="104">
        <f t="shared" si="9"/>
        <v>146.94205882352938</v>
      </c>
      <c r="AU12" s="104">
        <f t="shared" si="24"/>
        <v>187.30882352941177</v>
      </c>
      <c r="AV12" s="104">
        <f t="array" ref="AV12">_xlfn.IFS(U12=0,AO12,U12&lt;0,AO12/-U12,U12&gt;0,AO12/U12)</f>
        <v>248.86562798760843</v>
      </c>
      <c r="AW12" s="244">
        <f t="shared" si="32"/>
        <v>0.20787788654363787</v>
      </c>
      <c r="AX12" s="244">
        <f t="shared" si="33"/>
        <v>2.1227023881576974</v>
      </c>
      <c r="AY12" s="105"/>
      <c r="AZ12" s="100">
        <f t="shared" si="12"/>
        <v>824242.95989495912</v>
      </c>
    </row>
    <row r="13" spans="1:52" outlineLevel="1">
      <c r="A13" s="95" t="s">
        <v>124</v>
      </c>
      <c r="B13" s="96">
        <v>274218038</v>
      </c>
      <c r="C13" s="96" t="s">
        <v>135</v>
      </c>
      <c r="D13" s="97" t="s">
        <v>84</v>
      </c>
      <c r="E13" s="242">
        <f t="shared" si="30"/>
        <v>4261</v>
      </c>
      <c r="F13" s="99">
        <v>158</v>
      </c>
      <c r="G13" s="99">
        <v>34</v>
      </c>
      <c r="H13" s="99">
        <v>433</v>
      </c>
      <c r="I13" s="99">
        <v>1</v>
      </c>
      <c r="J13" s="99">
        <v>3635</v>
      </c>
      <c r="K13" s="98">
        <v>123.09</v>
      </c>
      <c r="L13" s="98">
        <f t="shared" ref="L13:L28" si="34">E13*K13</f>
        <v>524486.49</v>
      </c>
      <c r="M13" s="95">
        <v>53</v>
      </c>
      <c r="N13" s="95">
        <v>242</v>
      </c>
      <c r="O13" s="95">
        <v>1408</v>
      </c>
      <c r="P13" s="95">
        <v>55</v>
      </c>
      <c r="Q13" s="243">
        <f t="shared" si="13"/>
        <v>34.571428571428569</v>
      </c>
      <c r="R13" s="98">
        <f t="shared" si="14"/>
        <v>13.142857142857142</v>
      </c>
      <c r="S13" s="99">
        <v>94</v>
      </c>
      <c r="T13" s="99">
        <v>-2</v>
      </c>
      <c r="U13" s="98">
        <f t="shared" si="15"/>
        <v>92</v>
      </c>
      <c r="V13" s="99">
        <v>79996.490000000005</v>
      </c>
      <c r="W13" s="99">
        <v>-1679</v>
      </c>
      <c r="X13" s="98">
        <f t="shared" si="16"/>
        <v>78317.490000000005</v>
      </c>
      <c r="Y13" s="99">
        <v>127841.48000000003</v>
      </c>
      <c r="Z13" s="99">
        <v>-2714.31</v>
      </c>
      <c r="AA13" s="98">
        <f t="shared" si="17"/>
        <v>125127.17000000003</v>
      </c>
      <c r="AB13" s="98">
        <f t="shared" si="18"/>
        <v>187404.79999999999</v>
      </c>
      <c r="AC13" s="244">
        <f t="shared" si="19"/>
        <v>5.0980516063401947E-2</v>
      </c>
      <c r="AD13" s="98">
        <f t="shared" si="20"/>
        <v>11324.28</v>
      </c>
      <c r="AE13" s="99">
        <v>47004.430000000037</v>
      </c>
      <c r="AF13" s="244">
        <f t="shared" si="21"/>
        <v>0.37565326539391908</v>
      </c>
      <c r="AG13" s="99">
        <v>12428.019999999991</v>
      </c>
      <c r="AH13" s="99">
        <v>5000</v>
      </c>
      <c r="AI13" s="99">
        <v>22289</v>
      </c>
      <c r="AJ13" s="99"/>
      <c r="AK13" s="99"/>
      <c r="AL13" s="128">
        <f t="shared" si="22"/>
        <v>375.51788939165414</v>
      </c>
      <c r="AM13" s="99">
        <v>0</v>
      </c>
      <c r="AN13" s="100">
        <f t="shared" si="23"/>
        <v>4471.9286790000006</v>
      </c>
      <c r="AO13" s="101">
        <f t="shared" si="25"/>
        <v>22233.993431608349</v>
      </c>
      <c r="AP13" s="102"/>
      <c r="AQ13" s="103">
        <f t="shared" si="6"/>
        <v>1360.077934782609</v>
      </c>
      <c r="AR13" s="104">
        <f t="shared" si="7"/>
        <v>123.09</v>
      </c>
      <c r="AS13" s="104">
        <f t="shared" si="8"/>
        <v>510.91771739130473</v>
      </c>
      <c r="AT13" s="104">
        <f t="shared" si="9"/>
        <v>132.21297872340418</v>
      </c>
      <c r="AU13" s="104">
        <f t="shared" si="24"/>
        <v>290.30851063829789</v>
      </c>
      <c r="AV13" s="104">
        <f t="array" ref="AV13">_xlfn.IFS(U13=0,AO13,U13&lt;0,AO13/-U13,U13&gt;0,AO13/U13)</f>
        <v>241.67384164791684</v>
      </c>
      <c r="AW13" s="244">
        <f t="shared" si="32"/>
        <v>0.17769117156256586</v>
      </c>
      <c r="AX13" s="244">
        <f t="shared" si="33"/>
        <v>1.9633913530580618</v>
      </c>
      <c r="AY13" s="105"/>
      <c r="AZ13" s="100">
        <f t="shared" si="12"/>
        <v>1029772.2392617736</v>
      </c>
    </row>
    <row r="14" spans="1:52" outlineLevel="1">
      <c r="A14" s="95" t="s">
        <v>124</v>
      </c>
      <c r="B14" s="96">
        <v>274219203</v>
      </c>
      <c r="C14" s="96" t="s">
        <v>136</v>
      </c>
      <c r="D14" s="97" t="s">
        <v>84</v>
      </c>
      <c r="E14" s="242">
        <f t="shared" si="30"/>
        <v>3029</v>
      </c>
      <c r="F14" s="99">
        <v>40</v>
      </c>
      <c r="G14" s="99">
        <v>12</v>
      </c>
      <c r="H14" s="99">
        <v>471</v>
      </c>
      <c r="I14" s="99">
        <v>2</v>
      </c>
      <c r="J14" s="99">
        <v>2504</v>
      </c>
      <c r="K14" s="98">
        <v>123.09</v>
      </c>
      <c r="L14" s="98">
        <f t="shared" si="34"/>
        <v>372839.61</v>
      </c>
      <c r="M14" s="95">
        <v>106</v>
      </c>
      <c r="N14" s="95">
        <v>69</v>
      </c>
      <c r="O14" s="95">
        <v>1075</v>
      </c>
      <c r="P14" s="95">
        <v>79</v>
      </c>
      <c r="Q14" s="243">
        <f t="shared" si="13"/>
        <v>9.8571428571428577</v>
      </c>
      <c r="R14" s="98">
        <f t="shared" si="14"/>
        <v>4.8571428571428568</v>
      </c>
      <c r="S14" s="99">
        <v>34</v>
      </c>
      <c r="T14" s="99">
        <v>0</v>
      </c>
      <c r="U14" s="98">
        <f t="shared" si="15"/>
        <v>34</v>
      </c>
      <c r="V14" s="99">
        <v>22521.780000000002</v>
      </c>
      <c r="W14" s="99">
        <v>0</v>
      </c>
      <c r="X14" s="98">
        <f t="shared" si="16"/>
        <v>22521.780000000002</v>
      </c>
      <c r="Y14" s="99">
        <v>35599.360000000001</v>
      </c>
      <c r="Z14" s="99">
        <v>0</v>
      </c>
      <c r="AA14" s="98">
        <f t="shared" si="17"/>
        <v>35599.360000000001</v>
      </c>
      <c r="AB14" s="98">
        <f t="shared" si="18"/>
        <v>58598.25</v>
      </c>
      <c r="AC14" s="244">
        <f t="shared" si="19"/>
        <v>1.4504233927186465E-2</v>
      </c>
      <c r="AD14" s="98">
        <f t="shared" si="20"/>
        <v>4185.0600000000004</v>
      </c>
      <c r="AE14" s="99">
        <v>13399.239999999998</v>
      </c>
      <c r="AF14" s="244">
        <f t="shared" si="21"/>
        <v>0.37638991262764265</v>
      </c>
      <c r="AG14" s="99">
        <v>3310.0899999999988</v>
      </c>
      <c r="AH14" s="99">
        <v>1236</v>
      </c>
      <c r="AI14" s="99">
        <v>2588</v>
      </c>
      <c r="AJ14" s="99"/>
      <c r="AK14" s="99"/>
      <c r="AL14" s="128">
        <f t="shared" si="22"/>
        <v>408.47326998491707</v>
      </c>
      <c r="AM14" s="99">
        <v>0</v>
      </c>
      <c r="AN14" s="100">
        <f t="shared" si="23"/>
        <v>1285.9936380000001</v>
      </c>
      <c r="AO14" s="101">
        <f t="shared" si="25"/>
        <v>9186.5030920150857</v>
      </c>
      <c r="AP14" s="102"/>
      <c r="AQ14" s="103">
        <f t="shared" si="6"/>
        <v>1047.04</v>
      </c>
      <c r="AR14" s="104">
        <f t="shared" si="7"/>
        <v>123.09</v>
      </c>
      <c r="AS14" s="104">
        <f t="shared" si="8"/>
        <v>394.09529411764697</v>
      </c>
      <c r="AT14" s="104">
        <f t="shared" si="9"/>
        <v>97.355588235294078</v>
      </c>
      <c r="AU14" s="104">
        <f t="shared" si="24"/>
        <v>112.47058823529412</v>
      </c>
      <c r="AV14" s="104">
        <f t="array" ref="AV14">_xlfn.IFS(U14=0,AO14,U14&lt;0,AO14/-U14,U14&gt;0,AO14/U14)</f>
        <v>270.19126741220839</v>
      </c>
      <c r="AW14" s="244">
        <f t="shared" si="32"/>
        <v>0.25805247880903154</v>
      </c>
      <c r="AX14" s="244">
        <f t="shared" si="33"/>
        <v>2.1950708214494141</v>
      </c>
      <c r="AY14" s="105"/>
      <c r="AZ14" s="100">
        <f t="shared" si="12"/>
        <v>818409.34899157926</v>
      </c>
    </row>
    <row r="15" spans="1:52" outlineLevel="1">
      <c r="A15" s="95" t="s">
        <v>124</v>
      </c>
      <c r="B15" s="96">
        <v>274190322</v>
      </c>
      <c r="C15" s="96" t="s">
        <v>137</v>
      </c>
      <c r="D15" s="97" t="s">
        <v>84</v>
      </c>
      <c r="E15" s="242">
        <f t="shared" si="30"/>
        <v>1020</v>
      </c>
      <c r="F15" s="99">
        <v>20</v>
      </c>
      <c r="G15" s="99">
        <v>10</v>
      </c>
      <c r="H15" s="99">
        <v>571</v>
      </c>
      <c r="I15" s="99">
        <v>0</v>
      </c>
      <c r="J15" s="99">
        <v>419</v>
      </c>
      <c r="K15" s="98">
        <v>123.09</v>
      </c>
      <c r="L15" s="98">
        <f t="shared" si="34"/>
        <v>125551.8</v>
      </c>
      <c r="M15" s="95">
        <v>153</v>
      </c>
      <c r="N15" s="95">
        <v>44</v>
      </c>
      <c r="O15" s="95">
        <v>1041</v>
      </c>
      <c r="P15" s="95">
        <v>77</v>
      </c>
      <c r="Q15" s="243">
        <f t="shared" si="13"/>
        <v>6.2857142857142856</v>
      </c>
      <c r="R15" s="98">
        <f t="shared" si="14"/>
        <v>4.5714285714285712</v>
      </c>
      <c r="S15" s="99">
        <v>32</v>
      </c>
      <c r="T15" s="99">
        <v>0</v>
      </c>
      <c r="U15" s="98">
        <f t="shared" si="15"/>
        <v>32</v>
      </c>
      <c r="V15" s="99">
        <v>20722.46</v>
      </c>
      <c r="W15" s="99">
        <v>0</v>
      </c>
      <c r="X15" s="98">
        <f t="shared" si="16"/>
        <v>20722.46</v>
      </c>
      <c r="Y15" s="99">
        <v>32094.22</v>
      </c>
      <c r="Z15" s="99">
        <v>0</v>
      </c>
      <c r="AA15" s="98">
        <f t="shared" si="17"/>
        <v>32094.22</v>
      </c>
      <c r="AB15" s="98">
        <f t="shared" si="18"/>
        <v>35269.08</v>
      </c>
      <c r="AC15" s="244">
        <f t="shared" si="19"/>
        <v>1.3076136048248799E-2</v>
      </c>
      <c r="AD15" s="98">
        <f t="shared" si="20"/>
        <v>3938.88</v>
      </c>
      <c r="AE15" s="99">
        <v>12018.510000000002</v>
      </c>
      <c r="AF15" s="244">
        <f t="shared" si="21"/>
        <v>0.374475840198017</v>
      </c>
      <c r="AG15" s="99">
        <v>3792.1800000000007</v>
      </c>
      <c r="AH15" s="99">
        <v>933</v>
      </c>
      <c r="AI15" s="99">
        <v>2901</v>
      </c>
      <c r="AJ15" s="99"/>
      <c r="AK15" s="99"/>
      <c r="AL15" s="128">
        <f t="shared" si="22"/>
        <v>495.19795575666166</v>
      </c>
      <c r="AM15" s="99">
        <v>0</v>
      </c>
      <c r="AN15" s="100">
        <f t="shared" si="23"/>
        <v>1183.2524659999999</v>
      </c>
      <c r="AO15" s="101">
        <f t="shared" si="25"/>
        <v>6832.199578243336</v>
      </c>
      <c r="AP15" s="102"/>
      <c r="AQ15" s="103">
        <f t="shared" si="6"/>
        <v>1002.944375</v>
      </c>
      <c r="AR15" s="104">
        <f t="shared" si="7"/>
        <v>123.09</v>
      </c>
      <c r="AS15" s="104">
        <f t="shared" si="8"/>
        <v>375.57843750000006</v>
      </c>
      <c r="AT15" s="104">
        <f t="shared" si="9"/>
        <v>118.50562500000002</v>
      </c>
      <c r="AU15" s="104">
        <f t="shared" si="24"/>
        <v>119.8125</v>
      </c>
      <c r="AV15" s="104">
        <f t="array" ref="AV15">_xlfn.IFS(U15=0,AO15,U15&lt;0,AO15/-U15,U15&gt;0,AO15/U15)</f>
        <v>213.50623682010425</v>
      </c>
      <c r="AW15" s="244">
        <f t="shared" si="32"/>
        <v>0.21287943991919217</v>
      </c>
      <c r="AX15" s="244">
        <f t="shared" si="33"/>
        <v>1.7345538778138292</v>
      </c>
      <c r="AY15" s="105"/>
      <c r="AZ15" s="100">
        <f t="shared" si="12"/>
        <v>217776.36155650634</v>
      </c>
    </row>
    <row r="16" spans="1:52" outlineLevel="1">
      <c r="A16" s="95" t="s">
        <v>124</v>
      </c>
      <c r="B16" s="96">
        <v>274215530</v>
      </c>
      <c r="C16" s="96" t="s">
        <v>138</v>
      </c>
      <c r="D16" s="97" t="s">
        <v>84</v>
      </c>
      <c r="E16" s="242">
        <f t="shared" si="30"/>
        <v>3570</v>
      </c>
      <c r="F16" s="99">
        <v>93</v>
      </c>
      <c r="G16" s="99">
        <v>21</v>
      </c>
      <c r="H16" s="99">
        <v>358</v>
      </c>
      <c r="I16" s="99">
        <v>2</v>
      </c>
      <c r="J16" s="99">
        <v>3096</v>
      </c>
      <c r="K16" s="98">
        <v>117.24</v>
      </c>
      <c r="L16" s="98">
        <f t="shared" si="34"/>
        <v>418546.8</v>
      </c>
      <c r="M16" s="95">
        <v>29</v>
      </c>
      <c r="N16" s="95">
        <v>149</v>
      </c>
      <c r="O16" s="95">
        <v>1015</v>
      </c>
      <c r="P16" s="95">
        <v>70</v>
      </c>
      <c r="Q16" s="243">
        <f t="shared" si="13"/>
        <v>21.285714285714285</v>
      </c>
      <c r="R16" s="98">
        <f t="shared" si="14"/>
        <v>12.142857142857142</v>
      </c>
      <c r="S16" s="99">
        <v>87</v>
      </c>
      <c r="T16" s="99">
        <v>-2</v>
      </c>
      <c r="U16" s="98">
        <f t="shared" si="15"/>
        <v>85</v>
      </c>
      <c r="V16" s="99">
        <v>54077.2</v>
      </c>
      <c r="W16" s="99">
        <v>-1147</v>
      </c>
      <c r="X16" s="98">
        <f t="shared" si="16"/>
        <v>52930.2</v>
      </c>
      <c r="Y16" s="99">
        <v>83880.409999999989</v>
      </c>
      <c r="Z16" s="99">
        <v>-1836</v>
      </c>
      <c r="AA16" s="98">
        <f t="shared" si="17"/>
        <v>82044.409999999989</v>
      </c>
      <c r="AB16" s="98">
        <f t="shared" si="18"/>
        <v>105864.5</v>
      </c>
      <c r="AC16" s="244">
        <f t="shared" si="19"/>
        <v>3.3427323273732906E-2</v>
      </c>
      <c r="AD16" s="98">
        <f t="shared" si="20"/>
        <v>9965.4</v>
      </c>
      <c r="AE16" s="99">
        <v>30661.180000000004</v>
      </c>
      <c r="AF16" s="244">
        <f t="shared" si="21"/>
        <v>0.37371443100145407</v>
      </c>
      <c r="AG16" s="99">
        <v>8552.7999999999956</v>
      </c>
      <c r="AH16" s="99">
        <v>1391</v>
      </c>
      <c r="AI16" s="99">
        <v>3500</v>
      </c>
      <c r="AJ16" s="99"/>
      <c r="AK16" s="99"/>
      <c r="AL16" s="128">
        <f t="shared" si="22"/>
        <v>310.47437506284564</v>
      </c>
      <c r="AM16" s="99">
        <v>0</v>
      </c>
      <c r="AN16" s="100">
        <f t="shared" si="23"/>
        <v>3022.3144199999997</v>
      </c>
      <c r="AO16" s="101">
        <f t="shared" si="25"/>
        <v>24641.241204937149</v>
      </c>
      <c r="AP16" s="102"/>
      <c r="AQ16" s="103">
        <f t="shared" si="6"/>
        <v>965.22835294117635</v>
      </c>
      <c r="AR16" s="104">
        <f t="shared" si="7"/>
        <v>117.24</v>
      </c>
      <c r="AS16" s="104">
        <f t="shared" si="8"/>
        <v>360.71976470588243</v>
      </c>
      <c r="AT16" s="104">
        <f t="shared" si="9"/>
        <v>98.308045977011446</v>
      </c>
      <c r="AU16" s="104">
        <f t="shared" si="24"/>
        <v>56.218390804597703</v>
      </c>
      <c r="AV16" s="104">
        <f t="array" ref="AV16">_xlfn.IFS(U16=0,AO16,U16&lt;0,AO16/-U16,U16&gt;0,AO16/U16)</f>
        <v>289.89695535220176</v>
      </c>
      <c r="AW16" s="244">
        <f t="shared" si="32"/>
        <v>0.30034028162232079</v>
      </c>
      <c r="AX16" s="244">
        <f t="shared" si="33"/>
        <v>2.4726795918816253</v>
      </c>
      <c r="AY16" s="105"/>
      <c r="AZ16" s="100">
        <f t="shared" si="12"/>
        <v>1034932.1306073603</v>
      </c>
    </row>
    <row r="17" spans="1:52" outlineLevel="1">
      <c r="A17" s="95" t="s">
        <v>124</v>
      </c>
      <c r="B17" s="96">
        <v>276819546</v>
      </c>
      <c r="C17" s="96" t="s">
        <v>139</v>
      </c>
      <c r="D17" s="97" t="s">
        <v>84</v>
      </c>
      <c r="E17" s="242">
        <f t="shared" si="30"/>
        <v>2226</v>
      </c>
      <c r="F17" s="99">
        <v>37</v>
      </c>
      <c r="G17" s="99">
        <v>13</v>
      </c>
      <c r="H17" s="99">
        <v>38</v>
      </c>
      <c r="I17" s="99">
        <v>1</v>
      </c>
      <c r="J17" s="99">
        <v>2137</v>
      </c>
      <c r="K17" s="99">
        <v>123.09</v>
      </c>
      <c r="L17" s="98">
        <f t="shared" si="34"/>
        <v>273998.34000000003</v>
      </c>
      <c r="M17" s="95">
        <v>22</v>
      </c>
      <c r="N17" s="95">
        <v>52</v>
      </c>
      <c r="O17" s="95">
        <v>1354</v>
      </c>
      <c r="P17" s="95">
        <v>54</v>
      </c>
      <c r="Q17" s="243">
        <f t="shared" si="13"/>
        <v>7.4285714285714288</v>
      </c>
      <c r="R17" s="98">
        <f t="shared" si="14"/>
        <v>4.2857142857142856</v>
      </c>
      <c r="S17" s="99">
        <v>30</v>
      </c>
      <c r="T17" s="99">
        <v>0</v>
      </c>
      <c r="U17" s="98">
        <f t="shared" si="15"/>
        <v>30</v>
      </c>
      <c r="V17" s="99">
        <v>24506.68</v>
      </c>
      <c r="W17" s="99">
        <v>0</v>
      </c>
      <c r="X17" s="98">
        <f t="shared" si="16"/>
        <v>24506.68</v>
      </c>
      <c r="Y17" s="99">
        <v>38318.499999999993</v>
      </c>
      <c r="Z17" s="99">
        <v>0</v>
      </c>
      <c r="AA17" s="98">
        <f t="shared" si="17"/>
        <v>38318.499999999993</v>
      </c>
      <c r="AB17" s="98">
        <f t="shared" si="18"/>
        <v>38020.32</v>
      </c>
      <c r="AC17" s="244">
        <f t="shared" si="19"/>
        <v>1.5612092120164362E-2</v>
      </c>
      <c r="AD17" s="98">
        <f t="shared" si="20"/>
        <v>3692.7000000000003</v>
      </c>
      <c r="AE17" s="99">
        <v>14367.689999999988</v>
      </c>
      <c r="AF17" s="244">
        <f t="shared" si="21"/>
        <v>0.37495439539647923</v>
      </c>
      <c r="AG17" s="99">
        <v>4424.3099999999995</v>
      </c>
      <c r="AH17" s="99">
        <v>406</v>
      </c>
      <c r="AI17" s="99">
        <v>4694</v>
      </c>
      <c r="AJ17" s="99"/>
      <c r="AK17" s="99"/>
      <c r="AL17" s="128">
        <f t="shared" si="22"/>
        <v>32.955380593262944</v>
      </c>
      <c r="AM17" s="99">
        <v>0</v>
      </c>
      <c r="AN17" s="100">
        <f t="shared" si="23"/>
        <v>1399.331428</v>
      </c>
      <c r="AO17" s="101">
        <f t="shared" si="25"/>
        <v>9301.513191406746</v>
      </c>
      <c r="AP17" s="102"/>
      <c r="AQ17" s="103">
        <f t="shared" si="6"/>
        <v>1277.2833333333331</v>
      </c>
      <c r="AR17" s="104">
        <f t="shared" si="7"/>
        <v>123.09</v>
      </c>
      <c r="AS17" s="104">
        <f t="shared" si="8"/>
        <v>478.9229999999996</v>
      </c>
      <c r="AT17" s="104">
        <f t="shared" si="9"/>
        <v>147.47699999999998</v>
      </c>
      <c r="AU17" s="104">
        <f t="shared" si="24"/>
        <v>170</v>
      </c>
      <c r="AV17" s="104">
        <f t="array" ref="AV17">_xlfn.IFS(U17=0,AO17,U17&lt;0,AO17/-U17,U17&gt;0,AO17/U17)</f>
        <v>310.05043971355821</v>
      </c>
      <c r="AW17" s="244">
        <f t="shared" si="32"/>
        <v>0.24274210084963524</v>
      </c>
      <c r="AX17" s="244">
        <f t="shared" si="33"/>
        <v>2.5188921903774326</v>
      </c>
      <c r="AY17" s="105"/>
      <c r="AZ17" s="100">
        <f t="shared" si="12"/>
        <v>690172.27880238055</v>
      </c>
    </row>
    <row r="18" spans="1:52" outlineLevel="1">
      <c r="A18" s="95" t="s">
        <v>124</v>
      </c>
      <c r="B18" s="96">
        <v>276815909</v>
      </c>
      <c r="C18" s="96" t="s">
        <v>140</v>
      </c>
      <c r="D18" s="97" t="s">
        <v>84</v>
      </c>
      <c r="E18" s="242">
        <f t="shared" si="30"/>
        <v>2151</v>
      </c>
      <c r="F18" s="99">
        <v>77</v>
      </c>
      <c r="G18" s="99">
        <v>22</v>
      </c>
      <c r="H18" s="99">
        <v>201</v>
      </c>
      <c r="I18" s="99">
        <v>2</v>
      </c>
      <c r="J18" s="99">
        <v>1849</v>
      </c>
      <c r="K18" s="99">
        <v>123.09</v>
      </c>
      <c r="L18" s="98">
        <f t="shared" si="34"/>
        <v>264766.59000000003</v>
      </c>
      <c r="M18" s="95">
        <v>49</v>
      </c>
      <c r="N18" s="95">
        <v>126</v>
      </c>
      <c r="O18" s="95">
        <v>1336</v>
      </c>
      <c r="P18" s="95">
        <v>47</v>
      </c>
      <c r="Q18" s="243">
        <f t="shared" si="13"/>
        <v>18</v>
      </c>
      <c r="R18" s="98">
        <f t="shared" si="14"/>
        <v>5.8571428571428568</v>
      </c>
      <c r="S18" s="99">
        <v>45</v>
      </c>
      <c r="T18" s="99">
        <v>-4</v>
      </c>
      <c r="U18" s="98">
        <f t="shared" si="15"/>
        <v>41</v>
      </c>
      <c r="V18" s="99">
        <v>35555.57</v>
      </c>
      <c r="W18" s="99">
        <v>-3157</v>
      </c>
      <c r="X18" s="98">
        <f t="shared" si="16"/>
        <v>32398.57</v>
      </c>
      <c r="Y18" s="99">
        <v>57216.55</v>
      </c>
      <c r="Z18" s="99">
        <v>-5162</v>
      </c>
      <c r="AA18" s="98">
        <f t="shared" si="17"/>
        <v>52054.55</v>
      </c>
      <c r="AB18" s="98">
        <f t="shared" si="18"/>
        <v>79117.919999999998</v>
      </c>
      <c r="AC18" s="244">
        <f t="shared" si="19"/>
        <v>2.1208565833049364E-2</v>
      </c>
      <c r="AD18" s="98">
        <f t="shared" si="20"/>
        <v>5046.6900000000005</v>
      </c>
      <c r="AE18" s="99">
        <v>19524.510000000006</v>
      </c>
      <c r="AF18" s="244">
        <f t="shared" si="21"/>
        <v>0.37507787503686046</v>
      </c>
      <c r="AG18" s="99">
        <v>6757.0799999999963</v>
      </c>
      <c r="AH18" s="99">
        <v>1382</v>
      </c>
      <c r="AI18" s="99">
        <v>9972</v>
      </c>
      <c r="AJ18" s="99"/>
      <c r="AK18" s="99"/>
      <c r="AL18" s="128">
        <f t="shared" si="22"/>
        <v>174.31661840120663</v>
      </c>
      <c r="AM18" s="99">
        <v>0</v>
      </c>
      <c r="AN18" s="100">
        <f t="shared" si="23"/>
        <v>1849.958347</v>
      </c>
      <c r="AO18" s="101">
        <f t="shared" si="25"/>
        <v>7347.9950345987909</v>
      </c>
      <c r="AP18" s="102"/>
      <c r="AQ18" s="103">
        <f t="shared" si="6"/>
        <v>1269.6231707317074</v>
      </c>
      <c r="AR18" s="104">
        <f t="shared" si="7"/>
        <v>123.09</v>
      </c>
      <c r="AS18" s="104">
        <f t="shared" si="8"/>
        <v>476.20756097560991</v>
      </c>
      <c r="AT18" s="104">
        <f t="shared" si="9"/>
        <v>150.15733333333324</v>
      </c>
      <c r="AU18" s="104">
        <f t="shared" si="24"/>
        <v>252.3111111111111</v>
      </c>
      <c r="AV18" s="104">
        <f t="array" ref="AV18">_xlfn.IFS(U18=0,AO18,U18&lt;0,AO18/-U18,U18&gt;0,AO18/U18)</f>
        <v>179.21939108777539</v>
      </c>
      <c r="AW18" s="244">
        <f t="shared" si="32"/>
        <v>0.14115951505869881</v>
      </c>
      <c r="AX18" s="244">
        <f t="shared" si="33"/>
        <v>1.4560028522851198</v>
      </c>
      <c r="AY18" s="105"/>
      <c r="AZ18" s="100">
        <f t="shared" si="12"/>
        <v>385500.91022980487</v>
      </c>
    </row>
    <row r="19" spans="1:52" outlineLevel="1">
      <c r="A19" s="95" t="s">
        <v>124</v>
      </c>
      <c r="B19" s="96">
        <v>276817565</v>
      </c>
      <c r="C19" s="96" t="s">
        <v>141</v>
      </c>
      <c r="D19" s="97" t="s">
        <v>84</v>
      </c>
      <c r="E19" s="242">
        <f t="shared" si="30"/>
        <v>1</v>
      </c>
      <c r="F19" s="99">
        <v>0</v>
      </c>
      <c r="G19" s="99">
        <v>0</v>
      </c>
      <c r="H19" s="99">
        <v>0</v>
      </c>
      <c r="I19" s="99">
        <v>1</v>
      </c>
      <c r="J19" s="99">
        <v>0</v>
      </c>
      <c r="K19" s="99">
        <v>123.09</v>
      </c>
      <c r="L19" s="98">
        <f t="shared" si="34"/>
        <v>123.09</v>
      </c>
      <c r="M19" s="95">
        <v>0</v>
      </c>
      <c r="N19" s="95">
        <v>0</v>
      </c>
      <c r="O19" s="95">
        <v>0</v>
      </c>
      <c r="P19" s="95">
        <v>0</v>
      </c>
      <c r="Q19" s="243">
        <f t="shared" si="13"/>
        <v>0</v>
      </c>
      <c r="R19" s="98">
        <f t="shared" si="14"/>
        <v>0</v>
      </c>
      <c r="S19" s="99">
        <v>0</v>
      </c>
      <c r="T19" s="99">
        <v>0</v>
      </c>
      <c r="U19" s="98">
        <f t="shared" si="15"/>
        <v>0</v>
      </c>
      <c r="V19" s="99">
        <v>0</v>
      </c>
      <c r="W19" s="99">
        <v>0</v>
      </c>
      <c r="X19" s="98">
        <f t="shared" si="16"/>
        <v>0</v>
      </c>
      <c r="Y19" s="99">
        <v>0</v>
      </c>
      <c r="Z19" s="99">
        <v>0</v>
      </c>
      <c r="AA19" s="98">
        <f t="shared" si="17"/>
        <v>0</v>
      </c>
      <c r="AB19" s="98">
        <f t="shared" si="18"/>
        <v>0</v>
      </c>
      <c r="AC19" s="244">
        <f t="shared" si="19"/>
        <v>0</v>
      </c>
      <c r="AD19" s="98">
        <f t="shared" si="20"/>
        <v>0</v>
      </c>
      <c r="AE19" s="99">
        <v>0</v>
      </c>
      <c r="AF19" s="244">
        <f t="shared" si="21"/>
        <v>0</v>
      </c>
      <c r="AG19" s="99">
        <v>0</v>
      </c>
      <c r="AH19" s="99"/>
      <c r="AI19" s="99"/>
      <c r="AJ19" s="99"/>
      <c r="AK19" s="99"/>
      <c r="AL19" s="128">
        <f t="shared" si="22"/>
        <v>0</v>
      </c>
      <c r="AM19" s="99">
        <v>0</v>
      </c>
      <c r="AN19" s="100">
        <f t="shared" si="23"/>
        <v>0</v>
      </c>
      <c r="AO19" s="101">
        <f t="shared" si="25"/>
        <v>0</v>
      </c>
      <c r="AP19" s="102"/>
      <c r="AQ19" s="103">
        <f t="shared" si="6"/>
        <v>0</v>
      </c>
      <c r="AR19" s="104">
        <f t="shared" si="7"/>
        <v>123.09</v>
      </c>
      <c r="AS19" s="104">
        <f t="shared" si="8"/>
        <v>0</v>
      </c>
      <c r="AT19" s="104">
        <f t="shared" si="9"/>
        <v>0</v>
      </c>
      <c r="AU19" s="104">
        <f t="shared" si="24"/>
        <v>0</v>
      </c>
      <c r="AV19" s="104">
        <f t="array" ref="AV19">_xlfn.IFS(U19=0,AO19,U19&lt;0,AO19/-U19,U19&gt;0,AO19/U19)</f>
        <v>0</v>
      </c>
      <c r="AW19" s="244">
        <f t="shared" si="32"/>
        <v>0</v>
      </c>
      <c r="AX19" s="244">
        <f t="shared" si="33"/>
        <v>0</v>
      </c>
      <c r="AY19" s="105"/>
      <c r="AZ19" s="100">
        <f t="shared" si="12"/>
        <v>0</v>
      </c>
    </row>
    <row r="20" spans="1:52" outlineLevel="1">
      <c r="A20" s="95" t="s">
        <v>124</v>
      </c>
      <c r="B20" s="96">
        <v>335387679</v>
      </c>
      <c r="C20" s="96" t="s">
        <v>142</v>
      </c>
      <c r="D20" s="97" t="s">
        <v>84</v>
      </c>
      <c r="E20" s="242">
        <f t="shared" si="30"/>
        <v>321</v>
      </c>
      <c r="F20" s="99">
        <v>0</v>
      </c>
      <c r="G20" s="99">
        <v>0</v>
      </c>
      <c r="H20" s="99">
        <v>0</v>
      </c>
      <c r="I20" s="99">
        <v>1</v>
      </c>
      <c r="J20" s="99">
        <v>320</v>
      </c>
      <c r="K20" s="99">
        <v>117.24</v>
      </c>
      <c r="L20" s="98">
        <f t="shared" si="34"/>
        <v>37634.04</v>
      </c>
      <c r="M20" s="95">
        <v>1</v>
      </c>
      <c r="N20" s="95">
        <v>0</v>
      </c>
      <c r="O20" s="95">
        <v>0</v>
      </c>
      <c r="P20" s="95">
        <v>0</v>
      </c>
      <c r="Q20" s="243">
        <f t="shared" si="13"/>
        <v>0</v>
      </c>
      <c r="R20" s="98">
        <f t="shared" si="14"/>
        <v>0</v>
      </c>
      <c r="S20" s="99">
        <v>0</v>
      </c>
      <c r="T20" s="99">
        <v>0</v>
      </c>
      <c r="U20" s="98">
        <f t="shared" si="15"/>
        <v>0</v>
      </c>
      <c r="V20" s="99">
        <v>0</v>
      </c>
      <c r="W20" s="99">
        <v>0</v>
      </c>
      <c r="X20" s="98">
        <f t="shared" si="16"/>
        <v>0</v>
      </c>
      <c r="Y20" s="99">
        <v>0</v>
      </c>
      <c r="Z20" s="99">
        <v>0</v>
      </c>
      <c r="AA20" s="98">
        <f t="shared" si="17"/>
        <v>0</v>
      </c>
      <c r="AB20" s="98">
        <f t="shared" si="18"/>
        <v>0</v>
      </c>
      <c r="AC20" s="244">
        <f t="shared" si="19"/>
        <v>0</v>
      </c>
      <c r="AD20" s="98">
        <f t="shared" si="20"/>
        <v>0</v>
      </c>
      <c r="AE20" s="99">
        <v>0</v>
      </c>
      <c r="AF20" s="244">
        <f t="shared" si="21"/>
        <v>0</v>
      </c>
      <c r="AG20" s="99">
        <v>0</v>
      </c>
      <c r="AH20" s="99"/>
      <c r="AI20" s="99"/>
      <c r="AJ20" s="99"/>
      <c r="AK20" s="99"/>
      <c r="AL20" s="128">
        <f t="shared" si="22"/>
        <v>0</v>
      </c>
      <c r="AM20" s="99">
        <v>0</v>
      </c>
      <c r="AN20" s="100">
        <f t="shared" si="23"/>
        <v>0</v>
      </c>
      <c r="AO20" s="101">
        <f t="shared" si="25"/>
        <v>0</v>
      </c>
      <c r="AP20" s="102"/>
      <c r="AQ20" s="103">
        <f t="shared" si="6"/>
        <v>0</v>
      </c>
      <c r="AR20" s="104">
        <f>K20</f>
        <v>117.24</v>
      </c>
      <c r="AS20" s="104">
        <f t="shared" si="8"/>
        <v>0</v>
      </c>
      <c r="AT20" s="104">
        <f t="shared" si="9"/>
        <v>0</v>
      </c>
      <c r="AU20" s="104">
        <f t="shared" si="24"/>
        <v>0</v>
      </c>
      <c r="AV20" s="104">
        <f t="array" ref="AV20">_xlfn.IFS(U20=0,AO20,U20&lt;0,AO20/-U20,U20&gt;0,AO20/U20)</f>
        <v>0</v>
      </c>
      <c r="AW20" s="244">
        <f t="shared" si="32"/>
        <v>0</v>
      </c>
      <c r="AX20" s="244">
        <f t="shared" si="33"/>
        <v>0</v>
      </c>
      <c r="AY20" s="105"/>
      <c r="AZ20" s="100">
        <f t="shared" si="12"/>
        <v>0</v>
      </c>
    </row>
    <row r="21" spans="1:52" outlineLevel="1">
      <c r="A21" s="95" t="s">
        <v>124</v>
      </c>
      <c r="B21" s="96">
        <v>335388183</v>
      </c>
      <c r="C21" s="96" t="s">
        <v>143</v>
      </c>
      <c r="D21" s="97" t="s">
        <v>84</v>
      </c>
      <c r="E21" s="242">
        <f t="shared" si="30"/>
        <v>322</v>
      </c>
      <c r="F21" s="99" t="s">
        <v>100</v>
      </c>
      <c r="G21" s="99" t="s">
        <v>100</v>
      </c>
      <c r="H21" s="99">
        <v>1</v>
      </c>
      <c r="I21" s="99">
        <v>1</v>
      </c>
      <c r="J21" s="99">
        <v>320</v>
      </c>
      <c r="K21" s="99">
        <v>117.24</v>
      </c>
      <c r="L21" s="98">
        <f t="shared" si="34"/>
        <v>37751.279999999999</v>
      </c>
      <c r="M21" s="95">
        <v>999</v>
      </c>
      <c r="N21" s="95">
        <v>0</v>
      </c>
      <c r="O21" s="95">
        <v>0</v>
      </c>
      <c r="P21" s="95">
        <v>0</v>
      </c>
      <c r="Q21" s="243">
        <f t="shared" si="13"/>
        <v>0</v>
      </c>
      <c r="R21" s="98">
        <f t="shared" si="14"/>
        <v>0</v>
      </c>
      <c r="S21" s="99">
        <v>0</v>
      </c>
      <c r="T21" s="99">
        <v>0</v>
      </c>
      <c r="U21" s="98">
        <f t="shared" si="15"/>
        <v>0</v>
      </c>
      <c r="V21" s="99">
        <v>0</v>
      </c>
      <c r="W21" s="99">
        <v>0</v>
      </c>
      <c r="X21" s="98">
        <f t="shared" si="16"/>
        <v>0</v>
      </c>
      <c r="Y21" s="99">
        <v>0</v>
      </c>
      <c r="Z21" s="99">
        <v>0</v>
      </c>
      <c r="AA21" s="98">
        <f t="shared" si="17"/>
        <v>0</v>
      </c>
      <c r="AB21" s="98">
        <f t="shared" si="18"/>
        <v>0</v>
      </c>
      <c r="AC21" s="244">
        <f t="shared" si="19"/>
        <v>0</v>
      </c>
      <c r="AD21" s="98">
        <f t="shared" si="20"/>
        <v>0</v>
      </c>
      <c r="AE21" s="99">
        <v>0</v>
      </c>
      <c r="AF21" s="244">
        <f t="shared" si="21"/>
        <v>0</v>
      </c>
      <c r="AG21" s="99">
        <v>0</v>
      </c>
      <c r="AH21" s="99"/>
      <c r="AI21" s="99"/>
      <c r="AJ21" s="99"/>
      <c r="AK21" s="99"/>
      <c r="AL21" s="128">
        <f t="shared" si="22"/>
        <v>0.86724685771744603</v>
      </c>
      <c r="AM21" s="99">
        <v>0</v>
      </c>
      <c r="AN21" s="100">
        <f t="shared" si="23"/>
        <v>0</v>
      </c>
      <c r="AO21" s="101">
        <f t="shared" si="25"/>
        <v>-0.86724685771744603</v>
      </c>
      <c r="AP21" s="102"/>
      <c r="AQ21" s="103">
        <f t="shared" si="6"/>
        <v>0</v>
      </c>
      <c r="AR21" s="104">
        <f t="shared" ref="AR21:AR98" si="35">K21</f>
        <v>117.24</v>
      </c>
      <c r="AS21" s="104">
        <f t="shared" si="8"/>
        <v>0</v>
      </c>
      <c r="AT21" s="104">
        <f t="shared" si="9"/>
        <v>0</v>
      </c>
      <c r="AU21" s="104">
        <f t="shared" si="24"/>
        <v>0</v>
      </c>
      <c r="AV21" s="104">
        <f t="array" ref="AV21">_xlfn.IFS(U21=0,AO21,U21&lt;0,AO21/-U21,U21&gt;0,AO21/U21)</f>
        <v>-0.86724685771744603</v>
      </c>
      <c r="AW21" s="244">
        <f t="shared" si="32"/>
        <v>0</v>
      </c>
      <c r="AX21" s="244">
        <f t="shared" si="33"/>
        <v>-7.397192576914415E-3</v>
      </c>
      <c r="AY21" s="105"/>
      <c r="AZ21" s="100">
        <f t="shared" si="12"/>
        <v>-279.2534881850176</v>
      </c>
    </row>
    <row r="22" spans="1:52" outlineLevel="1">
      <c r="A22" s="95" t="s">
        <v>124</v>
      </c>
      <c r="B22" s="96">
        <v>335388404</v>
      </c>
      <c r="C22" s="96" t="s">
        <v>144</v>
      </c>
      <c r="D22" s="97" t="s">
        <v>84</v>
      </c>
      <c r="E22" s="242">
        <f t="shared" si="30"/>
        <v>322</v>
      </c>
      <c r="F22" s="99" t="s">
        <v>100</v>
      </c>
      <c r="G22" s="99" t="s">
        <v>100</v>
      </c>
      <c r="H22" s="99">
        <v>1</v>
      </c>
      <c r="I22" s="99">
        <v>1</v>
      </c>
      <c r="J22" s="99">
        <v>320</v>
      </c>
      <c r="K22" s="99">
        <v>117.24</v>
      </c>
      <c r="L22" s="98">
        <f t="shared" si="34"/>
        <v>37751.279999999999</v>
      </c>
      <c r="M22" s="95">
        <v>19</v>
      </c>
      <c r="N22" s="95">
        <v>0</v>
      </c>
      <c r="O22" s="95">
        <v>0</v>
      </c>
      <c r="P22" s="95">
        <v>0</v>
      </c>
      <c r="Q22" s="243">
        <f t="shared" si="13"/>
        <v>0</v>
      </c>
      <c r="R22" s="98">
        <f t="shared" si="14"/>
        <v>0.14285714285714285</v>
      </c>
      <c r="S22" s="99">
        <v>1</v>
      </c>
      <c r="T22" s="99">
        <v>0</v>
      </c>
      <c r="U22" s="98">
        <f t="shared" si="15"/>
        <v>1</v>
      </c>
      <c r="V22" s="99">
        <v>538</v>
      </c>
      <c r="W22" s="99">
        <v>0</v>
      </c>
      <c r="X22" s="98">
        <f t="shared" si="16"/>
        <v>538</v>
      </c>
      <c r="Y22" s="99">
        <v>838</v>
      </c>
      <c r="Z22" s="99">
        <v>0</v>
      </c>
      <c r="AA22" s="98">
        <f t="shared" si="17"/>
        <v>838</v>
      </c>
      <c r="AB22" s="98">
        <f t="shared" si="18"/>
        <v>0</v>
      </c>
      <c r="AC22" s="244">
        <f t="shared" si="19"/>
        <v>3.414260265067197E-4</v>
      </c>
      <c r="AD22" s="98">
        <f t="shared" si="20"/>
        <v>117.24</v>
      </c>
      <c r="AE22" s="99">
        <v>312.88</v>
      </c>
      <c r="AF22" s="244">
        <f t="shared" si="21"/>
        <v>0.37336515513126489</v>
      </c>
      <c r="AG22" s="99">
        <v>57.11</v>
      </c>
      <c r="AH22" s="99"/>
      <c r="AI22" s="99"/>
      <c r="AJ22" s="99"/>
      <c r="AK22" s="99"/>
      <c r="AL22" s="128">
        <f t="shared" si="22"/>
        <v>0.86724685771744603</v>
      </c>
      <c r="AM22" s="99">
        <v>0</v>
      </c>
      <c r="AN22" s="100">
        <f t="shared" si="23"/>
        <v>30.719799999999999</v>
      </c>
      <c r="AO22" s="101">
        <f t="shared" si="25"/>
        <v>319.18295314228254</v>
      </c>
      <c r="AP22" s="102"/>
      <c r="AQ22" s="103">
        <f t="shared" si="6"/>
        <v>838</v>
      </c>
      <c r="AR22" s="104">
        <f t="shared" si="35"/>
        <v>117.24</v>
      </c>
      <c r="AS22" s="104">
        <f t="shared" si="8"/>
        <v>312.88</v>
      </c>
      <c r="AT22" s="104">
        <f t="shared" si="9"/>
        <v>57.11</v>
      </c>
      <c r="AU22" s="104">
        <f t="shared" si="24"/>
        <v>0</v>
      </c>
      <c r="AV22" s="104">
        <f t="array" ref="AV22">_xlfn.IFS(U22=0,AO22,U22&lt;0,AO22/-U22,U22&gt;0,AO22/U22)</f>
        <v>319.18295314228254</v>
      </c>
      <c r="AW22" s="244">
        <f t="shared" si="32"/>
        <v>0.38088657892873812</v>
      </c>
      <c r="AX22" s="244">
        <f t="shared" si="33"/>
        <v>2.722474864741407</v>
      </c>
      <c r="AY22" s="105"/>
      <c r="AZ22" s="100">
        <f t="shared" si="12"/>
        <v>102776.91091181498</v>
      </c>
    </row>
    <row r="23" spans="1:52" outlineLevel="1">
      <c r="A23" s="95" t="s">
        <v>124</v>
      </c>
      <c r="B23" s="96">
        <v>335389672</v>
      </c>
      <c r="C23" s="96" t="s">
        <v>145</v>
      </c>
      <c r="D23" s="97" t="s">
        <v>84</v>
      </c>
      <c r="E23" s="242">
        <f t="shared" si="30"/>
        <v>1</v>
      </c>
      <c r="F23" s="99">
        <v>0</v>
      </c>
      <c r="G23" s="99">
        <v>0</v>
      </c>
      <c r="H23" s="99">
        <v>0</v>
      </c>
      <c r="I23" s="99">
        <v>1</v>
      </c>
      <c r="J23" s="99">
        <v>0</v>
      </c>
      <c r="K23" s="99">
        <v>117.24</v>
      </c>
      <c r="L23" s="98">
        <f t="shared" si="34"/>
        <v>117.24</v>
      </c>
      <c r="M23" s="95">
        <v>999</v>
      </c>
      <c r="N23" s="95">
        <v>0</v>
      </c>
      <c r="O23" s="95">
        <v>0</v>
      </c>
      <c r="P23" s="95">
        <v>0</v>
      </c>
      <c r="Q23" s="243">
        <f t="shared" si="13"/>
        <v>0</v>
      </c>
      <c r="R23" s="98">
        <f t="shared" si="14"/>
        <v>0</v>
      </c>
      <c r="S23" s="99">
        <v>0</v>
      </c>
      <c r="T23" s="99">
        <v>0</v>
      </c>
      <c r="U23" s="98">
        <f t="shared" si="15"/>
        <v>0</v>
      </c>
      <c r="V23" s="99">
        <v>0</v>
      </c>
      <c r="W23" s="99">
        <v>0</v>
      </c>
      <c r="X23" s="98">
        <f t="shared" si="16"/>
        <v>0</v>
      </c>
      <c r="Y23" s="99">
        <v>0</v>
      </c>
      <c r="Z23" s="99">
        <v>0</v>
      </c>
      <c r="AA23" s="98">
        <f t="shared" si="17"/>
        <v>0</v>
      </c>
      <c r="AB23" s="98">
        <f t="shared" si="18"/>
        <v>0</v>
      </c>
      <c r="AC23" s="244">
        <f t="shared" si="19"/>
        <v>0</v>
      </c>
      <c r="AD23" s="98">
        <f t="shared" si="20"/>
        <v>0</v>
      </c>
      <c r="AE23" s="99">
        <v>0</v>
      </c>
      <c r="AF23" s="244">
        <f t="shared" si="21"/>
        <v>0</v>
      </c>
      <c r="AG23" s="99">
        <v>0</v>
      </c>
      <c r="AH23" s="99"/>
      <c r="AI23" s="99"/>
      <c r="AJ23" s="99"/>
      <c r="AK23" s="99"/>
      <c r="AL23" s="128">
        <f t="shared" si="22"/>
        <v>0</v>
      </c>
      <c r="AM23" s="99">
        <v>0</v>
      </c>
      <c r="AN23" s="100">
        <f t="shared" si="23"/>
        <v>0</v>
      </c>
      <c r="AO23" s="101">
        <f t="shared" si="25"/>
        <v>0</v>
      </c>
      <c r="AP23" s="102"/>
      <c r="AQ23" s="103">
        <f t="shared" si="6"/>
        <v>0</v>
      </c>
      <c r="AR23" s="104">
        <f t="shared" si="35"/>
        <v>117.24</v>
      </c>
      <c r="AS23" s="104">
        <f t="shared" si="8"/>
        <v>0</v>
      </c>
      <c r="AT23" s="104">
        <f t="shared" si="9"/>
        <v>0</v>
      </c>
      <c r="AU23" s="104">
        <f t="shared" si="24"/>
        <v>0</v>
      </c>
      <c r="AV23" s="104">
        <f t="array" ref="AV23">_xlfn.IFS(U23=0,AO23,U23&lt;0,AO23/-U23,U23&gt;0,AO23/U23)</f>
        <v>0</v>
      </c>
      <c r="AW23" s="244">
        <f t="shared" si="32"/>
        <v>0</v>
      </c>
      <c r="AX23" s="244">
        <f t="shared" si="33"/>
        <v>0</v>
      </c>
      <c r="AY23" s="105"/>
      <c r="AZ23" s="100">
        <f t="shared" si="12"/>
        <v>0</v>
      </c>
    </row>
    <row r="24" spans="1:52" outlineLevel="1">
      <c r="A24" s="95" t="s">
        <v>124</v>
      </c>
      <c r="B24" s="96">
        <v>335389846</v>
      </c>
      <c r="C24" s="96" t="s">
        <v>146</v>
      </c>
      <c r="D24" s="97" t="s">
        <v>84</v>
      </c>
      <c r="E24" s="242">
        <f t="shared" si="30"/>
        <v>2</v>
      </c>
      <c r="F24" s="99" t="s">
        <v>100</v>
      </c>
      <c r="G24" s="99">
        <v>1</v>
      </c>
      <c r="H24" s="99" t="s">
        <v>100</v>
      </c>
      <c r="I24" s="99">
        <v>1</v>
      </c>
      <c r="J24" s="99">
        <v>0</v>
      </c>
      <c r="K24" s="99">
        <v>117.24</v>
      </c>
      <c r="L24" s="98">
        <f t="shared" si="34"/>
        <v>234.48</v>
      </c>
      <c r="M24" s="95">
        <v>1</v>
      </c>
      <c r="N24" s="95">
        <v>0</v>
      </c>
      <c r="O24" s="95">
        <v>0</v>
      </c>
      <c r="P24" s="95">
        <v>0</v>
      </c>
      <c r="Q24" s="243">
        <f t="shared" si="13"/>
        <v>0</v>
      </c>
      <c r="R24" s="98">
        <f t="shared" si="14"/>
        <v>0</v>
      </c>
      <c r="S24" s="99">
        <v>0</v>
      </c>
      <c r="T24" s="99">
        <v>0</v>
      </c>
      <c r="U24" s="98">
        <f t="shared" si="15"/>
        <v>0</v>
      </c>
      <c r="V24" s="99">
        <v>0</v>
      </c>
      <c r="W24" s="99">
        <v>0</v>
      </c>
      <c r="X24" s="98">
        <f t="shared" si="16"/>
        <v>0</v>
      </c>
      <c r="Y24" s="99">
        <v>0</v>
      </c>
      <c r="Z24" s="99">
        <v>0</v>
      </c>
      <c r="AA24" s="98">
        <f t="shared" si="17"/>
        <v>0</v>
      </c>
      <c r="AB24" s="98">
        <f t="shared" si="18"/>
        <v>0</v>
      </c>
      <c r="AC24" s="244">
        <f t="shared" si="19"/>
        <v>0</v>
      </c>
      <c r="AD24" s="98">
        <f t="shared" si="20"/>
        <v>0</v>
      </c>
      <c r="AE24" s="99">
        <v>0</v>
      </c>
      <c r="AF24" s="244">
        <f t="shared" si="21"/>
        <v>0</v>
      </c>
      <c r="AG24" s="99">
        <v>0</v>
      </c>
      <c r="AH24" s="99"/>
      <c r="AI24" s="99"/>
      <c r="AJ24" s="99"/>
      <c r="AK24" s="99"/>
      <c r="AL24" s="128">
        <f t="shared" si="22"/>
        <v>0</v>
      </c>
      <c r="AM24" s="99">
        <v>0</v>
      </c>
      <c r="AN24" s="100">
        <f t="shared" si="23"/>
        <v>0</v>
      </c>
      <c r="AO24" s="101">
        <f t="shared" si="25"/>
        <v>0</v>
      </c>
      <c r="AP24" s="102"/>
      <c r="AQ24" s="103">
        <f t="shared" si="6"/>
        <v>0</v>
      </c>
      <c r="AR24" s="104">
        <f t="shared" si="35"/>
        <v>117.24</v>
      </c>
      <c r="AS24" s="104">
        <f t="shared" si="8"/>
        <v>0</v>
      </c>
      <c r="AT24" s="104">
        <f t="shared" si="9"/>
        <v>0</v>
      </c>
      <c r="AU24" s="104">
        <f t="shared" si="24"/>
        <v>0</v>
      </c>
      <c r="AV24" s="104">
        <f t="array" ref="AV24">_xlfn.IFS(U24=0,AO24,U24&lt;0,AO24/-U24,U24&gt;0,AO24/U24)</f>
        <v>0</v>
      </c>
      <c r="AW24" s="244">
        <f t="shared" si="32"/>
        <v>0</v>
      </c>
      <c r="AX24" s="244">
        <f t="shared" si="33"/>
        <v>0</v>
      </c>
      <c r="AY24" s="105"/>
      <c r="AZ24" s="100">
        <f t="shared" si="12"/>
        <v>0</v>
      </c>
    </row>
    <row r="25" spans="1:52" outlineLevel="1">
      <c r="A25" s="95" t="s">
        <v>124</v>
      </c>
      <c r="B25" s="96">
        <v>335390038</v>
      </c>
      <c r="C25" s="96" t="s">
        <v>147</v>
      </c>
      <c r="D25" s="97" t="s">
        <v>84</v>
      </c>
      <c r="E25" s="242">
        <f t="shared" si="30"/>
        <v>1</v>
      </c>
      <c r="F25" s="99">
        <v>0</v>
      </c>
      <c r="G25" s="99">
        <v>0</v>
      </c>
      <c r="H25" s="99">
        <v>0</v>
      </c>
      <c r="I25" s="99">
        <v>1</v>
      </c>
      <c r="J25" s="99">
        <v>0</v>
      </c>
      <c r="K25" s="99">
        <v>117.24</v>
      </c>
      <c r="L25" s="98">
        <f t="shared" si="34"/>
        <v>117.24</v>
      </c>
      <c r="M25" s="95">
        <v>9</v>
      </c>
      <c r="N25" s="95">
        <v>2</v>
      </c>
      <c r="O25" s="95">
        <v>918</v>
      </c>
      <c r="P25" s="95">
        <v>100</v>
      </c>
      <c r="Q25" s="243">
        <f t="shared" si="13"/>
        <v>0.2857142857142857</v>
      </c>
      <c r="R25" s="98">
        <f t="shared" si="14"/>
        <v>0.2857142857142857</v>
      </c>
      <c r="S25" s="99">
        <v>2</v>
      </c>
      <c r="T25" s="99">
        <v>0</v>
      </c>
      <c r="U25" s="98">
        <f t="shared" si="15"/>
        <v>2</v>
      </c>
      <c r="V25" s="99">
        <v>1239</v>
      </c>
      <c r="W25" s="99">
        <v>0</v>
      </c>
      <c r="X25" s="98">
        <f t="shared" si="16"/>
        <v>1239</v>
      </c>
      <c r="Y25" s="99">
        <v>1836</v>
      </c>
      <c r="Z25" s="99">
        <v>0</v>
      </c>
      <c r="AA25" s="98">
        <f t="shared" si="17"/>
        <v>1836</v>
      </c>
      <c r="AB25" s="98">
        <f t="shared" si="18"/>
        <v>1836</v>
      </c>
      <c r="AC25" s="244">
        <f t="shared" si="19"/>
        <v>7.4804079315792047E-4</v>
      </c>
      <c r="AD25" s="98">
        <f t="shared" si="20"/>
        <v>234.48</v>
      </c>
      <c r="AE25" s="99">
        <v>671.57000000000016</v>
      </c>
      <c r="AF25" s="244">
        <f t="shared" si="21"/>
        <v>0.3657788671023966</v>
      </c>
      <c r="AG25" s="99">
        <v>109.44</v>
      </c>
      <c r="AH25" s="99"/>
      <c r="AI25" s="99"/>
      <c r="AJ25" s="99"/>
      <c r="AK25" s="99"/>
      <c r="AL25" s="128">
        <f t="shared" si="22"/>
        <v>0</v>
      </c>
      <c r="AM25" s="99">
        <v>0</v>
      </c>
      <c r="AN25" s="100">
        <f t="shared" si="23"/>
        <v>70.746899999999997</v>
      </c>
      <c r="AO25" s="101">
        <f t="shared" si="25"/>
        <v>749.76309999999978</v>
      </c>
      <c r="AP25" s="102"/>
      <c r="AQ25" s="103">
        <f t="shared" si="6"/>
        <v>918</v>
      </c>
      <c r="AR25" s="104">
        <f t="shared" si="35"/>
        <v>117.24</v>
      </c>
      <c r="AS25" s="104">
        <f t="shared" si="8"/>
        <v>335.78500000000008</v>
      </c>
      <c r="AT25" s="104">
        <f t="shared" si="9"/>
        <v>54.72</v>
      </c>
      <c r="AU25" s="104">
        <f t="shared" si="24"/>
        <v>0</v>
      </c>
      <c r="AV25" s="104">
        <f t="array" ref="AV25">_xlfn.IFS(U25=0,AO25,U25&lt;0,AO25/-U25,U25&gt;0,AO25/U25)</f>
        <v>374.88154999999989</v>
      </c>
      <c r="AW25" s="244">
        <f t="shared" si="32"/>
        <v>0.40836770152505436</v>
      </c>
      <c r="AX25" s="244">
        <f t="shared" si="33"/>
        <v>3.1975567212555434</v>
      </c>
      <c r="AY25" s="105"/>
      <c r="AZ25" s="100">
        <f t="shared" si="12"/>
        <v>374.88154999999989</v>
      </c>
    </row>
    <row r="26" spans="1:52" outlineLevel="1">
      <c r="A26" s="95" t="s">
        <v>124</v>
      </c>
      <c r="B26" s="96">
        <v>207984026</v>
      </c>
      <c r="C26" s="96" t="s">
        <v>148</v>
      </c>
      <c r="D26" s="97" t="s">
        <v>84</v>
      </c>
      <c r="E26" s="242">
        <f t="shared" si="30"/>
        <v>851</v>
      </c>
      <c r="F26" s="99">
        <v>86</v>
      </c>
      <c r="G26" s="99">
        <v>30</v>
      </c>
      <c r="H26" s="99">
        <v>209</v>
      </c>
      <c r="I26" s="99">
        <v>526</v>
      </c>
      <c r="J26" s="99">
        <v>0</v>
      </c>
      <c r="K26" s="99">
        <v>123.09</v>
      </c>
      <c r="L26" s="98">
        <f t="shared" si="34"/>
        <v>104749.59</v>
      </c>
      <c r="M26" s="95">
        <v>51</v>
      </c>
      <c r="N26" s="95">
        <v>102</v>
      </c>
      <c r="O26" s="95">
        <v>699</v>
      </c>
      <c r="P26" s="95">
        <v>26</v>
      </c>
      <c r="Q26" s="243">
        <f t="shared" si="13"/>
        <v>14.571428571428571</v>
      </c>
      <c r="R26" s="98">
        <f t="shared" si="14"/>
        <v>3.7142857142857144</v>
      </c>
      <c r="S26" s="99">
        <v>27</v>
      </c>
      <c r="T26" s="99">
        <v>-1</v>
      </c>
      <c r="U26" s="98">
        <f t="shared" si="15"/>
        <v>26</v>
      </c>
      <c r="V26" s="99">
        <v>12240.48</v>
      </c>
      <c r="W26" s="99">
        <v>-476</v>
      </c>
      <c r="X26" s="98">
        <f t="shared" si="16"/>
        <v>11764.48</v>
      </c>
      <c r="Y26" s="99">
        <v>18873.14</v>
      </c>
      <c r="Z26" s="99">
        <v>-699</v>
      </c>
      <c r="AA26" s="98">
        <f t="shared" si="17"/>
        <v>18174.14</v>
      </c>
      <c r="AB26" s="98">
        <f t="shared" si="18"/>
        <v>18537.48</v>
      </c>
      <c r="AC26" s="244">
        <f t="shared" si="19"/>
        <v>7.4046830613088716E-3</v>
      </c>
      <c r="AD26" s="98">
        <f t="shared" si="20"/>
        <v>3200.34</v>
      </c>
      <c r="AE26" s="99">
        <v>6802.3999999999987</v>
      </c>
      <c r="AF26" s="244">
        <f t="shared" si="21"/>
        <v>0.37429006269347542</v>
      </c>
      <c r="AG26" s="99">
        <v>8619.1699999999964</v>
      </c>
      <c r="AH26" s="99">
        <v>1175</v>
      </c>
      <c r="AI26" s="99">
        <v>5873</v>
      </c>
      <c r="AJ26" s="99"/>
      <c r="AK26" s="99"/>
      <c r="AL26" s="128">
        <f t="shared" si="22"/>
        <v>181.25459326294623</v>
      </c>
      <c r="AM26" s="99">
        <v>10</v>
      </c>
      <c r="AN26" s="100">
        <f t="shared" si="23"/>
        <v>671.75180799999998</v>
      </c>
      <c r="AO26" s="101">
        <f t="shared" si="25"/>
        <v>-8358.7764012629414</v>
      </c>
      <c r="AP26" s="102"/>
      <c r="AQ26" s="103">
        <f t="shared" si="6"/>
        <v>699.00538461538463</v>
      </c>
      <c r="AR26" s="104">
        <f t="shared" si="35"/>
        <v>123.09</v>
      </c>
      <c r="AS26" s="104">
        <f t="shared" si="8"/>
        <v>261.6307692307692</v>
      </c>
      <c r="AT26" s="104">
        <f t="shared" si="9"/>
        <v>319.2285185185184</v>
      </c>
      <c r="AU26" s="104">
        <f t="shared" si="24"/>
        <v>261.03703703703701</v>
      </c>
      <c r="AV26" s="104">
        <f t="array" ref="AV26">_xlfn.IFS(U26=0,AO26,U26&lt;0,AO26/-U26,U26&gt;0,AO26/U26)</f>
        <v>-321.49140004857469</v>
      </c>
      <c r="AW26" s="244">
        <f t="shared" si="32"/>
        <v>-0.45992692921166789</v>
      </c>
      <c r="AX26" s="244">
        <f t="shared" si="33"/>
        <v>-2.6118401173821972</v>
      </c>
      <c r="AY26" s="105"/>
      <c r="AZ26" s="100">
        <f t="shared" si="12"/>
        <v>-273589.18144133704</v>
      </c>
    </row>
    <row r="27" spans="1:52" outlineLevel="1">
      <c r="A27" s="95" t="s">
        <v>124</v>
      </c>
      <c r="B27" s="96">
        <v>207984027</v>
      </c>
      <c r="C27" s="96" t="s">
        <v>149</v>
      </c>
      <c r="D27" s="97" t="s">
        <v>84</v>
      </c>
      <c r="E27" s="242">
        <f t="shared" si="30"/>
        <v>378</v>
      </c>
      <c r="F27" s="99">
        <v>6</v>
      </c>
      <c r="G27" s="99">
        <v>4</v>
      </c>
      <c r="H27" s="99">
        <v>48</v>
      </c>
      <c r="I27" s="99">
        <v>320</v>
      </c>
      <c r="J27" s="99">
        <v>0</v>
      </c>
      <c r="K27" s="99">
        <v>181.59</v>
      </c>
      <c r="L27" s="98">
        <f t="shared" si="34"/>
        <v>68641.02</v>
      </c>
      <c r="M27" s="95">
        <v>68</v>
      </c>
      <c r="N27" s="95">
        <v>11</v>
      </c>
      <c r="O27" s="95">
        <v>478</v>
      </c>
      <c r="P27" s="95">
        <v>67</v>
      </c>
      <c r="Q27" s="243">
        <f t="shared" si="13"/>
        <v>1.5714285714285714</v>
      </c>
      <c r="R27" s="98">
        <f t="shared" si="14"/>
        <v>0.8571428571428571</v>
      </c>
      <c r="S27" s="99">
        <v>6</v>
      </c>
      <c r="T27" s="99">
        <v>0</v>
      </c>
      <c r="U27" s="98">
        <f t="shared" si="15"/>
        <v>6</v>
      </c>
      <c r="V27" s="99">
        <v>1749.91</v>
      </c>
      <c r="W27" s="99">
        <v>0</v>
      </c>
      <c r="X27" s="98">
        <f t="shared" si="16"/>
        <v>1749.91</v>
      </c>
      <c r="Y27" s="99">
        <v>2868.52</v>
      </c>
      <c r="Z27" s="99">
        <v>0</v>
      </c>
      <c r="AA27" s="98">
        <f t="shared" si="17"/>
        <v>2868.52</v>
      </c>
      <c r="AB27" s="98">
        <f t="shared" si="18"/>
        <v>3522.86</v>
      </c>
      <c r="AC27" s="244">
        <f t="shared" si="19"/>
        <v>1.168720030495293E-3</v>
      </c>
      <c r="AD27" s="98">
        <f t="shared" si="20"/>
        <v>1089.54</v>
      </c>
      <c r="AE27" s="99">
        <v>1067.6200000000001</v>
      </c>
      <c r="AF27" s="244">
        <f t="shared" si="21"/>
        <v>0.37218495949130564</v>
      </c>
      <c r="AG27" s="99">
        <v>1049.0500000000002</v>
      </c>
      <c r="AH27" s="99"/>
      <c r="AI27" s="99"/>
      <c r="AJ27" s="99"/>
      <c r="AK27" s="99"/>
      <c r="AL27" s="128">
        <f t="shared" si="22"/>
        <v>41.627849170437408</v>
      </c>
      <c r="AM27" s="99">
        <v>0</v>
      </c>
      <c r="AN27" s="100">
        <f t="shared" si="23"/>
        <v>99.919860999999997</v>
      </c>
      <c r="AO27" s="101">
        <f t="shared" si="25"/>
        <v>-479.23771017043771</v>
      </c>
      <c r="AP27" s="102"/>
      <c r="AQ27" s="103">
        <f t="shared" si="6"/>
        <v>478.08666666666664</v>
      </c>
      <c r="AR27" s="104">
        <f t="shared" si="35"/>
        <v>181.59</v>
      </c>
      <c r="AS27" s="104">
        <f t="shared" si="8"/>
        <v>177.9366666666667</v>
      </c>
      <c r="AT27" s="104">
        <f t="shared" si="9"/>
        <v>174.8416666666667</v>
      </c>
      <c r="AU27" s="104">
        <f t="shared" si="24"/>
        <v>0</v>
      </c>
      <c r="AV27" s="104">
        <f t="array" ref="AV27">_xlfn.IFS(U27=0,AO27,U27&lt;0,AO27/-U27,U27&gt;0,AO27/U27)</f>
        <v>-79.872951695072956</v>
      </c>
      <c r="AW27" s="244">
        <f t="shared" si="32"/>
        <v>-0.16706793404628092</v>
      </c>
      <c r="AX27" s="244">
        <f t="shared" si="33"/>
        <v>-0.43985325015184179</v>
      </c>
      <c r="AY27" s="105"/>
      <c r="AZ27" s="100">
        <f t="shared" si="12"/>
        <v>-30191.975740737576</v>
      </c>
    </row>
    <row r="28" spans="1:52" outlineLevel="1">
      <c r="A28" s="95" t="s">
        <v>124</v>
      </c>
      <c r="B28" s="96">
        <v>207984028</v>
      </c>
      <c r="C28" s="96" t="s">
        <v>150</v>
      </c>
      <c r="D28" s="97" t="s">
        <v>84</v>
      </c>
      <c r="E28" s="242">
        <f t="shared" ref="E28" si="36">SUM(F28:J28)</f>
        <v>1384</v>
      </c>
      <c r="F28" s="99">
        <v>173</v>
      </c>
      <c r="G28" s="99">
        <v>64</v>
      </c>
      <c r="H28" s="99">
        <v>492</v>
      </c>
      <c r="I28" s="99">
        <v>0</v>
      </c>
      <c r="J28" s="99">
        <v>655</v>
      </c>
      <c r="K28" s="99">
        <v>133.62</v>
      </c>
      <c r="L28" s="98">
        <f t="shared" si="34"/>
        <v>184930.08000000002</v>
      </c>
      <c r="M28" s="95">
        <v>45</v>
      </c>
      <c r="N28" s="95">
        <v>236</v>
      </c>
      <c r="O28" s="95">
        <v>1196</v>
      </c>
      <c r="P28" s="95">
        <v>44</v>
      </c>
      <c r="Q28" s="243">
        <f t="shared" si="13"/>
        <v>33.714285714285715</v>
      </c>
      <c r="R28" s="98">
        <f t="shared" si="14"/>
        <v>13.714285714285714</v>
      </c>
      <c r="S28" s="99">
        <v>101</v>
      </c>
      <c r="T28" s="99">
        <v>-5</v>
      </c>
      <c r="U28" s="98">
        <f t="shared" si="15"/>
        <v>96</v>
      </c>
      <c r="V28" s="99">
        <v>71392.75</v>
      </c>
      <c r="W28" s="99">
        <v>-3481</v>
      </c>
      <c r="X28" s="98">
        <f t="shared" si="16"/>
        <v>67911.75</v>
      </c>
      <c r="Y28" s="99">
        <v>114776.56</v>
      </c>
      <c r="Z28" s="99">
        <v>-5681</v>
      </c>
      <c r="AA28" s="98">
        <f t="shared" si="17"/>
        <v>109095.56</v>
      </c>
      <c r="AB28" s="98">
        <f t="shared" si="18"/>
        <v>124192.64</v>
      </c>
      <c r="AC28" s="244">
        <f t="shared" si="19"/>
        <v>4.4448763198479027E-2</v>
      </c>
      <c r="AD28" s="98">
        <f t="shared" si="20"/>
        <v>12827.52</v>
      </c>
      <c r="AE28" s="99">
        <v>40744.490000000034</v>
      </c>
      <c r="AF28" s="244">
        <f t="shared" si="21"/>
        <v>0.37347523583911241</v>
      </c>
      <c r="AG28" s="99">
        <v>16137.569999999983</v>
      </c>
      <c r="AH28" s="99">
        <v>1802</v>
      </c>
      <c r="AI28" s="99">
        <v>12000</v>
      </c>
      <c r="AJ28" s="99"/>
      <c r="AK28" s="99"/>
      <c r="AL28" s="128">
        <f t="shared" si="22"/>
        <v>426.68545399698337</v>
      </c>
      <c r="AM28" s="99">
        <v>50</v>
      </c>
      <c r="AN28" s="100">
        <f t="shared" si="23"/>
        <v>3877.760925</v>
      </c>
      <c r="AO28" s="101">
        <f t="shared" si="25"/>
        <v>21229.533621002993</v>
      </c>
      <c r="AP28" s="102"/>
      <c r="AQ28" s="103">
        <f t="shared" si="6"/>
        <v>1136.4120833333334</v>
      </c>
      <c r="AR28" s="104">
        <f t="shared" si="35"/>
        <v>133.62</v>
      </c>
      <c r="AS28" s="104">
        <f t="shared" si="8"/>
        <v>424.42177083333371</v>
      </c>
      <c r="AT28" s="104">
        <f t="shared" si="9"/>
        <v>159.77792079207904</v>
      </c>
      <c r="AU28" s="104">
        <f t="shared" si="24"/>
        <v>136.65346534653466</v>
      </c>
      <c r="AV28" s="104">
        <f>_xlfn.IFS(U28=0,AO28,U28&lt;0,AO28/-U28,U28&gt;0,AO28/U28)</f>
        <v>221.14097521878116</v>
      </c>
      <c r="AW28" s="244">
        <f t="shared" si="32"/>
        <v>0.19459576192654396</v>
      </c>
      <c r="AX28" s="244">
        <f t="shared" si="33"/>
        <v>1.6549990661486391</v>
      </c>
      <c r="AY28" s="105"/>
      <c r="AZ28" s="100">
        <f t="shared" si="12"/>
        <v>306059.10970279312</v>
      </c>
    </row>
    <row r="29" spans="1:52" outlineLevel="1">
      <c r="A29" s="95" t="s">
        <v>124</v>
      </c>
      <c r="B29" s="96">
        <v>207984029</v>
      </c>
      <c r="C29" s="96" t="s">
        <v>151</v>
      </c>
      <c r="D29" s="97" t="s">
        <v>84</v>
      </c>
      <c r="E29" s="242">
        <f>SUM(F29:J29)</f>
        <v>640</v>
      </c>
      <c r="F29" s="99">
        <v>0</v>
      </c>
      <c r="G29" s="99">
        <v>0</v>
      </c>
      <c r="H29" s="99">
        <v>0</v>
      </c>
      <c r="I29" s="99">
        <v>640</v>
      </c>
      <c r="J29" s="99">
        <v>0</v>
      </c>
      <c r="K29" s="99">
        <v>111.39</v>
      </c>
      <c r="L29" s="98">
        <f>E29*K29</f>
        <v>71289.600000000006</v>
      </c>
      <c r="M29" s="95">
        <v>3</v>
      </c>
      <c r="N29" s="95">
        <v>1</v>
      </c>
      <c r="O29" s="95">
        <v>478</v>
      </c>
      <c r="P29" s="95">
        <v>100</v>
      </c>
      <c r="Q29" s="243">
        <f t="shared" si="13"/>
        <v>0.14285714285714285</v>
      </c>
      <c r="R29" s="98">
        <f t="shared" si="14"/>
        <v>0.14285714285714285</v>
      </c>
      <c r="S29" s="99">
        <v>1</v>
      </c>
      <c r="T29" s="99">
        <v>0</v>
      </c>
      <c r="U29" s="98">
        <f t="shared" si="15"/>
        <v>1</v>
      </c>
      <c r="V29" s="99">
        <v>287</v>
      </c>
      <c r="W29" s="99">
        <v>0</v>
      </c>
      <c r="X29" s="98">
        <f t="shared" si="16"/>
        <v>287</v>
      </c>
      <c r="Y29" s="99">
        <v>478</v>
      </c>
      <c r="Z29" s="99">
        <v>0</v>
      </c>
      <c r="AA29" s="98">
        <f t="shared" si="17"/>
        <v>478</v>
      </c>
      <c r="AB29" s="98">
        <f t="shared" si="18"/>
        <v>478</v>
      </c>
      <c r="AC29" s="244">
        <f t="shared" si="19"/>
        <v>1.9475136118163726E-4</v>
      </c>
      <c r="AD29" s="98">
        <f t="shared" si="20"/>
        <v>111.39</v>
      </c>
      <c r="AE29" s="99">
        <v>179.98000000000002</v>
      </c>
      <c r="AF29" s="244">
        <f t="shared" si="21"/>
        <v>0.37652719665271972</v>
      </c>
      <c r="AG29" s="99">
        <v>47.32</v>
      </c>
      <c r="AH29" s="99"/>
      <c r="AI29" s="99"/>
      <c r="AJ29" s="99"/>
      <c r="AK29" s="99"/>
      <c r="AL29" s="128">
        <f t="shared" si="22"/>
        <v>0</v>
      </c>
      <c r="AM29" s="99">
        <v>0</v>
      </c>
      <c r="AN29" s="100">
        <f t="shared" si="23"/>
        <v>16.387699999999999</v>
      </c>
      <c r="AO29" s="101">
        <f t="shared" si="25"/>
        <v>122.92230000000001</v>
      </c>
      <c r="AP29" s="102"/>
      <c r="AQ29" s="103">
        <f t="shared" si="6"/>
        <v>478</v>
      </c>
      <c r="AR29" s="104">
        <f t="shared" si="35"/>
        <v>111.39</v>
      </c>
      <c r="AS29" s="104">
        <f t="shared" si="8"/>
        <v>179.98000000000002</v>
      </c>
      <c r="AT29" s="104">
        <f t="shared" si="9"/>
        <v>47.32</v>
      </c>
      <c r="AU29" s="104">
        <f t="shared" si="24"/>
        <v>0</v>
      </c>
      <c r="AV29" s="104">
        <f t="array" ref="AV29">_xlfn.IFS(U29=0,AO29,U29&lt;0,AO29/-U29,U29&gt;0,AO29/U29)</f>
        <v>122.92230000000001</v>
      </c>
      <c r="AW29" s="244">
        <f>IF(AQ29=0,0,AV29/AQ29)</f>
        <v>0.25715962343096238</v>
      </c>
      <c r="AX29" s="244">
        <f>IF(AR29=0,0,AV29/AR29)</f>
        <v>1.10353083759763</v>
      </c>
      <c r="AY29" s="105"/>
      <c r="AZ29" s="100">
        <f t="shared" si="12"/>
        <v>78670.271999999997</v>
      </c>
    </row>
    <row r="30" spans="1:52" outlineLevel="1">
      <c r="A30" s="95" t="s">
        <v>124</v>
      </c>
      <c r="B30" s="96">
        <v>233496972</v>
      </c>
      <c r="C30" s="96" t="s">
        <v>152</v>
      </c>
      <c r="D30" s="97" t="s">
        <v>84</v>
      </c>
      <c r="E30" s="242">
        <f>SUM(F30:J30)</f>
        <v>1</v>
      </c>
      <c r="F30" s="99" t="s">
        <v>100</v>
      </c>
      <c r="G30" s="99">
        <v>1</v>
      </c>
      <c r="H30" s="99" t="s">
        <v>100</v>
      </c>
      <c r="I30" s="99">
        <v>0</v>
      </c>
      <c r="J30" s="99">
        <v>0</v>
      </c>
      <c r="K30" s="99">
        <v>111.39</v>
      </c>
      <c r="L30" s="98">
        <f>E30*K30</f>
        <v>111.39</v>
      </c>
      <c r="M30" s="95">
        <v>999</v>
      </c>
      <c r="N30" s="95">
        <v>1</v>
      </c>
      <c r="O30" s="95">
        <v>558</v>
      </c>
      <c r="P30" s="95">
        <v>0</v>
      </c>
      <c r="Q30" s="243">
        <f t="shared" si="13"/>
        <v>0.14285714285714285</v>
      </c>
      <c r="R30" s="98">
        <f t="shared" si="14"/>
        <v>0.14285714285714285</v>
      </c>
      <c r="S30" s="99">
        <v>1</v>
      </c>
      <c r="T30" s="99">
        <v>0</v>
      </c>
      <c r="U30" s="98">
        <f t="shared" si="15"/>
        <v>1</v>
      </c>
      <c r="V30" s="99">
        <v>384</v>
      </c>
      <c r="W30" s="99">
        <v>0</v>
      </c>
      <c r="X30" s="98">
        <f t="shared" si="16"/>
        <v>384</v>
      </c>
      <c r="Y30" s="99">
        <v>558</v>
      </c>
      <c r="Z30" s="99">
        <v>0</v>
      </c>
      <c r="AA30" s="98">
        <f t="shared" si="17"/>
        <v>558</v>
      </c>
      <c r="AB30" s="98">
        <f t="shared" si="18"/>
        <v>0</v>
      </c>
      <c r="AC30" s="244">
        <f t="shared" si="19"/>
        <v>2.2734573125387779E-4</v>
      </c>
      <c r="AD30" s="98">
        <f t="shared" si="20"/>
        <v>111.39</v>
      </c>
      <c r="AE30" s="99">
        <v>211.93</v>
      </c>
      <c r="AF30" s="244">
        <f t="shared" si="21"/>
        <v>0.37980286738351254</v>
      </c>
      <c r="AG30" s="99">
        <v>139.88999999999999</v>
      </c>
      <c r="AH30" s="99"/>
      <c r="AI30" s="99"/>
      <c r="AJ30" s="99"/>
      <c r="AK30" s="99"/>
      <c r="AL30" s="128">
        <f t="shared" si="22"/>
        <v>0</v>
      </c>
      <c r="AM30" s="99">
        <v>0</v>
      </c>
      <c r="AN30" s="100">
        <f t="shared" si="23"/>
        <v>21.926400000000001</v>
      </c>
      <c r="AO30" s="101">
        <f t="shared" si="25"/>
        <v>72.863600000000019</v>
      </c>
      <c r="AP30" s="102"/>
      <c r="AQ30" s="103">
        <f t="shared" si="6"/>
        <v>558</v>
      </c>
      <c r="AR30" s="104">
        <f t="shared" si="35"/>
        <v>111.39</v>
      </c>
      <c r="AS30" s="104">
        <f t="shared" si="8"/>
        <v>211.93</v>
      </c>
      <c r="AT30" s="104">
        <f t="shared" si="9"/>
        <v>139.88999999999999</v>
      </c>
      <c r="AU30" s="104">
        <f t="shared" si="24"/>
        <v>0</v>
      </c>
      <c r="AV30" s="104">
        <f t="array" ref="AV30">_xlfn.IFS(U30=0,AO30,U30&lt;0,AO30/-U30,U30&gt;0,AO30/U30)</f>
        <v>72.863600000000019</v>
      </c>
      <c r="AW30" s="244">
        <f>IF(AQ30=0,0,AV30/AQ30)</f>
        <v>0.13057992831541221</v>
      </c>
      <c r="AX30" s="244">
        <f>IF(AR30=0,0,AV30/AR30)</f>
        <v>0.65413053236376717</v>
      </c>
      <c r="AY30" s="105"/>
      <c r="AZ30" s="100">
        <f t="shared" si="12"/>
        <v>72.863600000000019</v>
      </c>
    </row>
    <row r="31" spans="1:52" outlineLevel="1">
      <c r="A31" s="95" t="s">
        <v>124</v>
      </c>
      <c r="B31" s="96">
        <v>233497520</v>
      </c>
      <c r="C31" s="96" t="s">
        <v>153</v>
      </c>
      <c r="D31" s="97" t="s">
        <v>84</v>
      </c>
      <c r="E31" s="242">
        <f>SUM(F31:J31)</f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105.54</v>
      </c>
      <c r="L31" s="98">
        <f>E31*K31</f>
        <v>0</v>
      </c>
      <c r="M31" s="95">
        <v>999</v>
      </c>
      <c r="N31" s="95">
        <v>1</v>
      </c>
      <c r="O31" s="95">
        <v>499</v>
      </c>
      <c r="P31" s="95">
        <v>100</v>
      </c>
      <c r="Q31" s="243">
        <f t="shared" si="13"/>
        <v>0.14285714285714285</v>
      </c>
      <c r="R31" s="98">
        <f t="shared" si="14"/>
        <v>0.2857142857142857</v>
      </c>
      <c r="S31" s="99">
        <v>2</v>
      </c>
      <c r="T31" s="99">
        <v>0</v>
      </c>
      <c r="U31" s="98">
        <f t="shared" si="15"/>
        <v>2</v>
      </c>
      <c r="V31" s="99">
        <v>593</v>
      </c>
      <c r="W31" s="99">
        <v>0</v>
      </c>
      <c r="X31" s="98">
        <f t="shared" si="16"/>
        <v>593</v>
      </c>
      <c r="Y31" s="99">
        <v>998</v>
      </c>
      <c r="Z31" s="99">
        <v>0</v>
      </c>
      <c r="AA31" s="98">
        <f t="shared" si="17"/>
        <v>998</v>
      </c>
      <c r="AB31" s="98">
        <f t="shared" si="18"/>
        <v>499</v>
      </c>
      <c r="AC31" s="244">
        <f t="shared" si="19"/>
        <v>4.0661476665120077E-4</v>
      </c>
      <c r="AD31" s="98">
        <f t="shared" si="20"/>
        <v>211.08</v>
      </c>
      <c r="AE31" s="99">
        <v>375.40000000000009</v>
      </c>
      <c r="AF31" s="244">
        <f t="shared" si="21"/>
        <v>0.3761523046092185</v>
      </c>
      <c r="AG31" s="99">
        <v>94.18</v>
      </c>
      <c r="AH31" s="99"/>
      <c r="AI31" s="99">
        <v>20</v>
      </c>
      <c r="AJ31" s="99"/>
      <c r="AK31" s="99"/>
      <c r="AL31" s="128">
        <f t="shared" si="22"/>
        <v>0</v>
      </c>
      <c r="AM31" s="99">
        <v>0</v>
      </c>
      <c r="AN31" s="100">
        <f t="shared" si="23"/>
        <v>33.860300000000002</v>
      </c>
      <c r="AO31" s="101">
        <f t="shared" si="25"/>
        <v>263.47969999999987</v>
      </c>
      <c r="AP31" s="102"/>
      <c r="AQ31" s="103">
        <f t="shared" si="6"/>
        <v>499</v>
      </c>
      <c r="AR31" s="104">
        <f t="shared" si="35"/>
        <v>105.54</v>
      </c>
      <c r="AS31" s="104">
        <f t="shared" si="8"/>
        <v>187.70000000000005</v>
      </c>
      <c r="AT31" s="104">
        <f t="shared" si="9"/>
        <v>47.09</v>
      </c>
      <c r="AU31" s="104">
        <f t="shared" si="24"/>
        <v>10</v>
      </c>
      <c r="AV31" s="104">
        <f t="array" ref="AV31">_xlfn.IFS(U31=0,AO31,U31&lt;0,AO31/-U31,U31&gt;0,AO31/U31)</f>
        <v>131.73984999999993</v>
      </c>
      <c r="AW31" s="244">
        <f>IF(AQ31=0,0,AV31/AQ31)</f>
        <v>0.2640077154308616</v>
      </c>
      <c r="AX31" s="244">
        <f>IF(AR31=0,0,AV31/AR31)</f>
        <v>1.2482456888383544</v>
      </c>
      <c r="AY31" s="105"/>
      <c r="AZ31" s="100">
        <f t="shared" si="12"/>
        <v>0</v>
      </c>
    </row>
    <row r="32" spans="1:52" outlineLevel="1">
      <c r="A32" s="95" t="s">
        <v>124</v>
      </c>
      <c r="B32" s="96">
        <v>233498313</v>
      </c>
      <c r="C32" s="96" t="s">
        <v>154</v>
      </c>
      <c r="D32" s="97" t="s">
        <v>84</v>
      </c>
      <c r="E32" s="242">
        <f t="shared" ref="E32" si="37">SUM(F32:J32)</f>
        <v>84</v>
      </c>
      <c r="F32" s="99">
        <v>0</v>
      </c>
      <c r="G32" s="99">
        <v>0</v>
      </c>
      <c r="H32" s="99">
        <v>0</v>
      </c>
      <c r="I32" s="99">
        <v>84</v>
      </c>
      <c r="J32" s="99">
        <v>0</v>
      </c>
      <c r="K32" s="99">
        <v>140.63999999999999</v>
      </c>
      <c r="L32" s="98">
        <f t="shared" ref="L32" si="38">E32*K32</f>
        <v>11813.759999999998</v>
      </c>
      <c r="M32" s="95">
        <v>999</v>
      </c>
      <c r="N32" s="95">
        <v>0</v>
      </c>
      <c r="O32" s="95">
        <v>0</v>
      </c>
      <c r="P32" s="95">
        <v>0</v>
      </c>
      <c r="Q32" s="243">
        <f t="shared" si="13"/>
        <v>0</v>
      </c>
      <c r="R32" s="98">
        <f t="shared" si="14"/>
        <v>0</v>
      </c>
      <c r="S32" s="99">
        <v>0</v>
      </c>
      <c r="T32" s="99">
        <v>0</v>
      </c>
      <c r="U32" s="98">
        <f t="shared" si="15"/>
        <v>0</v>
      </c>
      <c r="V32" s="99">
        <v>0</v>
      </c>
      <c r="W32" s="99">
        <v>0</v>
      </c>
      <c r="X32" s="98">
        <f t="shared" si="16"/>
        <v>0</v>
      </c>
      <c r="Y32" s="99">
        <v>0</v>
      </c>
      <c r="Z32" s="99">
        <v>0</v>
      </c>
      <c r="AA32" s="98">
        <f t="shared" si="17"/>
        <v>0</v>
      </c>
      <c r="AB32" s="98">
        <f t="shared" si="18"/>
        <v>0</v>
      </c>
      <c r="AC32" s="244">
        <f t="shared" si="19"/>
        <v>0</v>
      </c>
      <c r="AD32" s="98">
        <f t="shared" si="20"/>
        <v>0</v>
      </c>
      <c r="AE32" s="99">
        <v>0</v>
      </c>
      <c r="AF32" s="244">
        <f t="shared" si="21"/>
        <v>0</v>
      </c>
      <c r="AG32" s="99">
        <v>0</v>
      </c>
      <c r="AH32" s="99"/>
      <c r="AI32" s="99"/>
      <c r="AJ32" s="99"/>
      <c r="AK32" s="99"/>
      <c r="AL32" s="128">
        <f t="shared" si="22"/>
        <v>0</v>
      </c>
      <c r="AM32" s="99">
        <v>0</v>
      </c>
      <c r="AN32" s="100">
        <f t="shared" si="23"/>
        <v>0</v>
      </c>
      <c r="AO32" s="101">
        <f t="shared" si="25"/>
        <v>0</v>
      </c>
      <c r="AP32" s="102"/>
      <c r="AQ32" s="103">
        <f t="shared" si="6"/>
        <v>0</v>
      </c>
      <c r="AR32" s="104">
        <f t="shared" si="35"/>
        <v>140.63999999999999</v>
      </c>
      <c r="AS32" s="104">
        <f t="shared" si="8"/>
        <v>0</v>
      </c>
      <c r="AT32" s="104">
        <f t="shared" si="9"/>
        <v>0</v>
      </c>
      <c r="AU32" s="104">
        <f t="shared" si="24"/>
        <v>0</v>
      </c>
      <c r="AV32" s="104">
        <f t="array" ref="AV32">_xlfn.IFS(U32=0,AO32,U32&lt;0,AO32/-U32,U32&gt;0,AO32/U32)</f>
        <v>0</v>
      </c>
      <c r="AW32" s="244">
        <f t="shared" ref="AW32" si="39">IF(AQ32=0,0,AV32/AQ32)</f>
        <v>0</v>
      </c>
      <c r="AX32" s="244">
        <f t="shared" ref="AX32" si="40">IF(AR32=0,0,AV32/AR32)</f>
        <v>0</v>
      </c>
      <c r="AY32" s="105"/>
      <c r="AZ32" s="100">
        <f t="shared" si="12"/>
        <v>0</v>
      </c>
    </row>
    <row r="33" spans="1:52" outlineLevel="1">
      <c r="A33" s="95" t="s">
        <v>124</v>
      </c>
      <c r="B33" s="96">
        <v>233499847</v>
      </c>
      <c r="C33" s="96" t="s">
        <v>155</v>
      </c>
      <c r="D33" s="97" t="s">
        <v>84</v>
      </c>
      <c r="E33" s="242">
        <f>SUM(F33:J33)</f>
        <v>162</v>
      </c>
      <c r="F33" s="99">
        <v>3</v>
      </c>
      <c r="G33" s="99">
        <v>1</v>
      </c>
      <c r="H33" s="99">
        <v>138</v>
      </c>
      <c r="I33" s="99">
        <v>20</v>
      </c>
      <c r="J33" s="99">
        <v>0</v>
      </c>
      <c r="K33" s="99">
        <v>123.09</v>
      </c>
      <c r="L33" s="98">
        <f>E33*K33</f>
        <v>19940.580000000002</v>
      </c>
      <c r="M33" s="95">
        <v>235</v>
      </c>
      <c r="N33" s="95">
        <v>6</v>
      </c>
      <c r="O33" s="95">
        <v>1388</v>
      </c>
      <c r="P33" s="95">
        <v>100</v>
      </c>
      <c r="Q33" s="243">
        <f t="shared" si="13"/>
        <v>0.8571428571428571</v>
      </c>
      <c r="R33" s="98">
        <f t="shared" si="14"/>
        <v>1.1428571428571428</v>
      </c>
      <c r="S33" s="99">
        <v>8</v>
      </c>
      <c r="T33" s="99">
        <v>0</v>
      </c>
      <c r="U33" s="98">
        <f t="shared" si="15"/>
        <v>8</v>
      </c>
      <c r="V33" s="99">
        <v>2032.63</v>
      </c>
      <c r="W33" s="99">
        <v>0</v>
      </c>
      <c r="X33" s="98">
        <f t="shared" si="16"/>
        <v>2032.63</v>
      </c>
      <c r="Y33" s="99">
        <v>3335.83</v>
      </c>
      <c r="Z33" s="99">
        <v>0</v>
      </c>
      <c r="AA33" s="98">
        <f t="shared" si="17"/>
        <v>3335.83</v>
      </c>
      <c r="AB33" s="98">
        <f t="shared" si="18"/>
        <v>8328</v>
      </c>
      <c r="AC33" s="244">
        <f t="shared" si="19"/>
        <v>1.3591159689760272E-3</v>
      </c>
      <c r="AD33" s="98">
        <f t="shared" si="20"/>
        <v>984.72</v>
      </c>
      <c r="AE33" s="99">
        <v>1244.1599999999999</v>
      </c>
      <c r="AF33" s="244">
        <f t="shared" si="21"/>
        <v>0.37296864648378358</v>
      </c>
      <c r="AG33" s="99">
        <v>434.42</v>
      </c>
      <c r="AH33" s="99"/>
      <c r="AI33" s="99"/>
      <c r="AJ33" s="99"/>
      <c r="AK33" s="99"/>
      <c r="AL33" s="128">
        <f t="shared" si="22"/>
        <v>119.68006636500755</v>
      </c>
      <c r="AM33" s="99">
        <v>0</v>
      </c>
      <c r="AN33" s="100">
        <f t="shared" si="23"/>
        <v>116.06317300000001</v>
      </c>
      <c r="AO33" s="101">
        <f t="shared" si="25"/>
        <v>436.78676063499222</v>
      </c>
      <c r="AP33" s="102"/>
      <c r="AQ33" s="103">
        <f t="shared" si="6"/>
        <v>416.97874999999999</v>
      </c>
      <c r="AR33" s="104">
        <f t="shared" si="35"/>
        <v>123.09</v>
      </c>
      <c r="AS33" s="104">
        <f t="shared" si="8"/>
        <v>155.51999999999998</v>
      </c>
      <c r="AT33" s="104">
        <f t="shared" si="9"/>
        <v>54.302500000000002</v>
      </c>
      <c r="AU33" s="104">
        <f t="shared" si="24"/>
        <v>0</v>
      </c>
      <c r="AV33" s="104">
        <f t="array" ref="AV33">_xlfn.IFS(U33=0,AO33,U33&lt;0,AO33/-U33,U33&gt;0,AO33/U33)</f>
        <v>54.598345079374027</v>
      </c>
      <c r="AW33" s="244">
        <f>IF(AQ33=0,0,AV33/AQ33)</f>
        <v>0.13093795566170705</v>
      </c>
      <c r="AX33" s="244">
        <f>IF(AR33=0,0,AV33/AR33)</f>
        <v>0.44356442504975241</v>
      </c>
      <c r="AY33" s="105"/>
      <c r="AZ33" s="100">
        <f t="shared" si="12"/>
        <v>8844.9319028585924</v>
      </c>
    </row>
    <row r="34" spans="1:52" outlineLevel="1">
      <c r="A34" s="95" t="s">
        <v>124</v>
      </c>
      <c r="B34" s="96">
        <v>233500274</v>
      </c>
      <c r="C34" s="96" t="s">
        <v>156</v>
      </c>
      <c r="D34" s="97" t="s">
        <v>84</v>
      </c>
      <c r="E34" s="242">
        <f>SUM(F34:J34)</f>
        <v>5</v>
      </c>
      <c r="F34" s="99">
        <v>4</v>
      </c>
      <c r="G34" s="99" t="s">
        <v>100</v>
      </c>
      <c r="H34" s="99" t="s">
        <v>100</v>
      </c>
      <c r="I34" s="99">
        <v>1</v>
      </c>
      <c r="J34" s="99">
        <v>0</v>
      </c>
      <c r="K34" s="99">
        <v>117.24</v>
      </c>
      <c r="L34" s="98">
        <f>E34*K34</f>
        <v>586.19999999999993</v>
      </c>
      <c r="M34" s="95">
        <v>16</v>
      </c>
      <c r="N34" s="95">
        <v>3</v>
      </c>
      <c r="O34" s="95">
        <v>439</v>
      </c>
      <c r="P34" s="95">
        <v>0</v>
      </c>
      <c r="Q34" s="243">
        <f t="shared" si="13"/>
        <v>0.42857142857142855</v>
      </c>
      <c r="R34" s="98">
        <f t="shared" si="14"/>
        <v>0.7142857142857143</v>
      </c>
      <c r="S34" s="99">
        <v>5</v>
      </c>
      <c r="T34" s="99">
        <v>0</v>
      </c>
      <c r="U34" s="98">
        <f t="shared" si="15"/>
        <v>5</v>
      </c>
      <c r="V34" s="99">
        <v>1344.55</v>
      </c>
      <c r="W34" s="99">
        <v>0</v>
      </c>
      <c r="X34" s="98">
        <f t="shared" si="16"/>
        <v>1344.55</v>
      </c>
      <c r="Y34" s="99">
        <v>2194.52</v>
      </c>
      <c r="Z34" s="99">
        <v>0</v>
      </c>
      <c r="AA34" s="98">
        <f t="shared" si="17"/>
        <v>2194.52</v>
      </c>
      <c r="AB34" s="98">
        <f t="shared" si="18"/>
        <v>0</v>
      </c>
      <c r="AC34" s="244">
        <f t="shared" si="19"/>
        <v>8.9411246263666646E-4</v>
      </c>
      <c r="AD34" s="98">
        <f t="shared" si="20"/>
        <v>586.19999999999993</v>
      </c>
      <c r="AE34" s="99">
        <v>815.8599999999999</v>
      </c>
      <c r="AF34" s="244">
        <f t="shared" si="21"/>
        <v>0.37177150356342159</v>
      </c>
      <c r="AG34" s="99">
        <v>345.38</v>
      </c>
      <c r="AH34" s="99"/>
      <c r="AI34" s="99"/>
      <c r="AJ34" s="99"/>
      <c r="AK34" s="99"/>
      <c r="AL34" s="128">
        <f t="shared" si="22"/>
        <v>0</v>
      </c>
      <c r="AM34" s="99">
        <v>0</v>
      </c>
      <c r="AN34" s="100">
        <f t="shared" si="23"/>
        <v>76.773804999999996</v>
      </c>
      <c r="AO34" s="101">
        <f t="shared" si="25"/>
        <v>370.30619500000029</v>
      </c>
      <c r="AP34" s="102"/>
      <c r="AQ34" s="103">
        <f t="shared" si="6"/>
        <v>438.904</v>
      </c>
      <c r="AR34" s="104">
        <f t="shared" si="35"/>
        <v>117.24</v>
      </c>
      <c r="AS34" s="104">
        <f t="shared" si="8"/>
        <v>163.17199999999997</v>
      </c>
      <c r="AT34" s="104">
        <f t="shared" si="9"/>
        <v>69.075999999999993</v>
      </c>
      <c r="AU34" s="104">
        <f t="shared" si="24"/>
        <v>0</v>
      </c>
      <c r="AV34" s="104">
        <f t="array" ref="AV34">_xlfn.IFS(U34=0,AO34,U34&lt;0,AO34/-U34,U34&gt;0,AO34/U34)</f>
        <v>74.061239000000057</v>
      </c>
      <c r="AW34" s="244">
        <f>IF(AQ34=0,0,AV34/AQ34)</f>
        <v>0.16874131700781961</v>
      </c>
      <c r="AX34" s="244">
        <f>IF(AR34=0,0,AV34/AR34)</f>
        <v>0.63170623507335433</v>
      </c>
      <c r="AY34" s="105"/>
      <c r="AZ34" s="100">
        <f t="shared" si="12"/>
        <v>370.30619500000029</v>
      </c>
    </row>
    <row r="35" spans="1:52" outlineLevel="1">
      <c r="A35" s="95" t="s">
        <v>124</v>
      </c>
      <c r="B35" s="96">
        <v>471878869</v>
      </c>
      <c r="C35" s="96" t="s">
        <v>157</v>
      </c>
      <c r="D35" s="97" t="s">
        <v>84</v>
      </c>
      <c r="E35" s="242">
        <f t="shared" ref="E35:E53" si="41">SUM(F35:J35)</f>
        <v>1</v>
      </c>
      <c r="F35" s="99">
        <v>0</v>
      </c>
      <c r="G35" s="99">
        <v>0</v>
      </c>
      <c r="H35" s="99">
        <v>0</v>
      </c>
      <c r="I35" s="99">
        <v>0</v>
      </c>
      <c r="J35" s="99">
        <v>1</v>
      </c>
      <c r="K35" s="99">
        <v>128.94</v>
      </c>
      <c r="L35" s="98">
        <f t="shared" ref="L35:L99" si="42">E35*K35</f>
        <v>128.94</v>
      </c>
      <c r="M35" s="95">
        <v>0</v>
      </c>
      <c r="N35" s="95">
        <v>0</v>
      </c>
      <c r="O35" s="95">
        <v>0</v>
      </c>
      <c r="P35" s="95">
        <v>0</v>
      </c>
      <c r="Q35" s="243">
        <f t="shared" si="13"/>
        <v>0</v>
      </c>
      <c r="R35" s="98">
        <f t="shared" si="14"/>
        <v>0</v>
      </c>
      <c r="S35" s="99">
        <v>0</v>
      </c>
      <c r="T35" s="99">
        <v>0</v>
      </c>
      <c r="U35" s="98">
        <f t="shared" si="15"/>
        <v>0</v>
      </c>
      <c r="V35" s="99">
        <v>0</v>
      </c>
      <c r="W35" s="99">
        <v>0</v>
      </c>
      <c r="X35" s="98">
        <f t="shared" si="16"/>
        <v>0</v>
      </c>
      <c r="Y35" s="99">
        <v>0</v>
      </c>
      <c r="Z35" s="99">
        <v>0</v>
      </c>
      <c r="AA35" s="98">
        <f t="shared" si="17"/>
        <v>0</v>
      </c>
      <c r="AB35" s="98">
        <f t="shared" si="18"/>
        <v>0</v>
      </c>
      <c r="AC35" s="244">
        <f t="shared" si="19"/>
        <v>0</v>
      </c>
      <c r="AD35" s="98">
        <f t="shared" si="20"/>
        <v>0</v>
      </c>
      <c r="AE35" s="99">
        <v>0</v>
      </c>
      <c r="AF35" s="244">
        <f t="shared" si="21"/>
        <v>0</v>
      </c>
      <c r="AG35" s="99">
        <v>0</v>
      </c>
      <c r="AH35" s="99"/>
      <c r="AI35" s="99"/>
      <c r="AJ35" s="99"/>
      <c r="AK35" s="99"/>
      <c r="AL35" s="128">
        <f t="shared" si="22"/>
        <v>0</v>
      </c>
      <c r="AM35" s="99">
        <v>0</v>
      </c>
      <c r="AN35" s="100">
        <f t="shared" si="23"/>
        <v>0</v>
      </c>
      <c r="AO35" s="101">
        <f t="shared" si="25"/>
        <v>0</v>
      </c>
      <c r="AP35" s="102"/>
      <c r="AQ35" s="103">
        <f t="shared" si="6"/>
        <v>0</v>
      </c>
      <c r="AR35" s="104">
        <f t="shared" si="35"/>
        <v>128.94</v>
      </c>
      <c r="AS35" s="104">
        <f t="shared" si="8"/>
        <v>0</v>
      </c>
      <c r="AT35" s="104">
        <f t="shared" si="9"/>
        <v>0</v>
      </c>
      <c r="AU35" s="104">
        <f t="shared" si="24"/>
        <v>0</v>
      </c>
      <c r="AV35" s="104">
        <f t="array" ref="AV35">_xlfn.IFS(U35=0,AO35,U35&lt;0,AO35/-U35,U35&gt;0,AO35/U35)</f>
        <v>0</v>
      </c>
      <c r="AW35" s="244">
        <f t="shared" ref="AW35:AW98" si="43">IF(AQ35=0,0,AV35/AQ35)</f>
        <v>0</v>
      </c>
      <c r="AX35" s="244">
        <f t="shared" ref="AX35:AX98" si="44">IF(AR35=0,0,AV35/AR35)</f>
        <v>0</v>
      </c>
      <c r="AY35" s="105"/>
      <c r="AZ35" s="100">
        <f t="shared" si="12"/>
        <v>0</v>
      </c>
    </row>
    <row r="36" spans="1:52" outlineLevel="1">
      <c r="A36" s="95" t="s">
        <v>124</v>
      </c>
      <c r="B36" s="96">
        <v>471878989</v>
      </c>
      <c r="C36" s="96" t="s">
        <v>158</v>
      </c>
      <c r="D36" s="97" t="s">
        <v>84</v>
      </c>
      <c r="E36" s="242">
        <f t="shared" si="41"/>
        <v>1</v>
      </c>
      <c r="F36" s="99">
        <v>0</v>
      </c>
      <c r="G36" s="99">
        <v>0</v>
      </c>
      <c r="H36" s="99">
        <v>0</v>
      </c>
      <c r="I36" s="99">
        <v>0</v>
      </c>
      <c r="J36" s="99">
        <v>1</v>
      </c>
      <c r="K36" s="99">
        <v>169.89</v>
      </c>
      <c r="L36" s="98">
        <f t="shared" si="42"/>
        <v>169.89</v>
      </c>
      <c r="M36" s="95">
        <v>0</v>
      </c>
      <c r="N36" s="95">
        <v>0</v>
      </c>
      <c r="O36" s="95">
        <v>0</v>
      </c>
      <c r="P36" s="95">
        <v>0</v>
      </c>
      <c r="Q36" s="243">
        <f t="shared" si="13"/>
        <v>0</v>
      </c>
      <c r="R36" s="98">
        <f t="shared" si="14"/>
        <v>0</v>
      </c>
      <c r="S36" s="99">
        <v>0</v>
      </c>
      <c r="T36" s="99">
        <v>0</v>
      </c>
      <c r="U36" s="98">
        <f t="shared" si="15"/>
        <v>0</v>
      </c>
      <c r="V36" s="99">
        <v>0</v>
      </c>
      <c r="W36" s="99">
        <v>0</v>
      </c>
      <c r="X36" s="98">
        <f t="shared" si="16"/>
        <v>0</v>
      </c>
      <c r="Y36" s="99">
        <v>0</v>
      </c>
      <c r="Z36" s="99">
        <v>0</v>
      </c>
      <c r="AA36" s="98">
        <f t="shared" si="17"/>
        <v>0</v>
      </c>
      <c r="AB36" s="98">
        <f t="shared" si="18"/>
        <v>0</v>
      </c>
      <c r="AC36" s="244">
        <f t="shared" si="19"/>
        <v>0</v>
      </c>
      <c r="AD36" s="98">
        <f t="shared" si="20"/>
        <v>0</v>
      </c>
      <c r="AE36" s="99">
        <v>0</v>
      </c>
      <c r="AF36" s="244">
        <f t="shared" si="21"/>
        <v>0</v>
      </c>
      <c r="AG36" s="99">
        <v>0</v>
      </c>
      <c r="AH36" s="99"/>
      <c r="AI36" s="99"/>
      <c r="AJ36" s="99"/>
      <c r="AK36" s="99"/>
      <c r="AL36" s="128">
        <f t="shared" si="22"/>
        <v>0</v>
      </c>
      <c r="AM36" s="99">
        <v>0</v>
      </c>
      <c r="AN36" s="100">
        <f t="shared" si="23"/>
        <v>0</v>
      </c>
      <c r="AO36" s="101">
        <f t="shared" si="25"/>
        <v>0</v>
      </c>
      <c r="AP36" s="102"/>
      <c r="AQ36" s="103">
        <f t="shared" si="6"/>
        <v>0</v>
      </c>
      <c r="AR36" s="104">
        <f t="shared" si="35"/>
        <v>169.89</v>
      </c>
      <c r="AS36" s="104">
        <f t="shared" si="8"/>
        <v>0</v>
      </c>
      <c r="AT36" s="104">
        <f t="shared" si="9"/>
        <v>0</v>
      </c>
      <c r="AU36" s="104">
        <f t="shared" si="24"/>
        <v>0</v>
      </c>
      <c r="AV36" s="104">
        <f t="array" ref="AV36">_xlfn.IFS(U36=0,AO36,U36&lt;0,AO36/-U36,U36&gt;0,AO36/U36)</f>
        <v>0</v>
      </c>
      <c r="AW36" s="244">
        <f t="shared" si="43"/>
        <v>0</v>
      </c>
      <c r="AX36" s="244">
        <f t="shared" si="44"/>
        <v>0</v>
      </c>
      <c r="AY36" s="105"/>
      <c r="AZ36" s="100">
        <f t="shared" si="12"/>
        <v>0</v>
      </c>
    </row>
    <row r="37" spans="1:52" outlineLevel="1">
      <c r="A37" s="95" t="s">
        <v>124</v>
      </c>
      <c r="B37" s="96">
        <v>471879283</v>
      </c>
      <c r="C37" s="96" t="s">
        <v>159</v>
      </c>
      <c r="D37" s="97" t="s">
        <v>84</v>
      </c>
      <c r="E37" s="242">
        <f t="shared" si="41"/>
        <v>12</v>
      </c>
      <c r="F37" s="99">
        <v>4</v>
      </c>
      <c r="G37" s="99">
        <v>2</v>
      </c>
      <c r="H37" s="99">
        <v>5</v>
      </c>
      <c r="I37" s="99">
        <v>0</v>
      </c>
      <c r="J37" s="99">
        <v>1</v>
      </c>
      <c r="K37" s="99">
        <v>169.89</v>
      </c>
      <c r="L37" s="98">
        <f t="shared" si="42"/>
        <v>2038.6799999999998</v>
      </c>
      <c r="M37" s="95">
        <v>28</v>
      </c>
      <c r="N37" s="95">
        <v>5</v>
      </c>
      <c r="O37" s="95">
        <v>998</v>
      </c>
      <c r="P37" s="95">
        <v>0</v>
      </c>
      <c r="Q37" s="243">
        <f t="shared" si="13"/>
        <v>0.7142857142857143</v>
      </c>
      <c r="R37" s="98">
        <f t="shared" si="14"/>
        <v>0.14285714285714285</v>
      </c>
      <c r="S37" s="99">
        <v>1</v>
      </c>
      <c r="T37" s="99">
        <v>0</v>
      </c>
      <c r="U37" s="98">
        <f t="shared" si="15"/>
        <v>1</v>
      </c>
      <c r="V37" s="99">
        <v>655</v>
      </c>
      <c r="W37" s="99">
        <v>0</v>
      </c>
      <c r="X37" s="98">
        <f t="shared" si="16"/>
        <v>655</v>
      </c>
      <c r="Y37" s="99">
        <v>998</v>
      </c>
      <c r="Z37" s="99">
        <v>0</v>
      </c>
      <c r="AA37" s="98">
        <f t="shared" si="17"/>
        <v>998</v>
      </c>
      <c r="AB37" s="98">
        <f t="shared" si="18"/>
        <v>0</v>
      </c>
      <c r="AC37" s="244">
        <f t="shared" si="19"/>
        <v>4.0661476665120077E-4</v>
      </c>
      <c r="AD37" s="98">
        <f t="shared" si="20"/>
        <v>169.89</v>
      </c>
      <c r="AE37" s="99">
        <v>373.09000000000003</v>
      </c>
      <c r="AF37" s="244">
        <f t="shared" si="21"/>
        <v>0.37383767535070145</v>
      </c>
      <c r="AG37" s="99">
        <v>325.73</v>
      </c>
      <c r="AH37" s="99"/>
      <c r="AI37" s="99"/>
      <c r="AJ37" s="99"/>
      <c r="AK37" s="99"/>
      <c r="AL37" s="128">
        <f t="shared" si="22"/>
        <v>4.3362342885872307</v>
      </c>
      <c r="AM37" s="99">
        <v>0</v>
      </c>
      <c r="AN37" s="100">
        <f t="shared" si="23"/>
        <v>37.400500000000001</v>
      </c>
      <c r="AO37" s="101">
        <f t="shared" si="25"/>
        <v>87.553265711412735</v>
      </c>
      <c r="AP37" s="102"/>
      <c r="AQ37" s="103">
        <f t="shared" si="6"/>
        <v>998</v>
      </c>
      <c r="AR37" s="104">
        <f t="shared" si="35"/>
        <v>169.89</v>
      </c>
      <c r="AS37" s="104">
        <f t="shared" si="8"/>
        <v>373.09000000000003</v>
      </c>
      <c r="AT37" s="104">
        <f t="shared" si="9"/>
        <v>325.73</v>
      </c>
      <c r="AU37" s="104">
        <f t="shared" si="24"/>
        <v>0</v>
      </c>
      <c r="AV37" s="104">
        <f t="array" ref="AV37">_xlfn.IFS(U37=0,AO37,U37&lt;0,AO37/-U37,U37&gt;0,AO37/U37)</f>
        <v>87.553265711412735</v>
      </c>
      <c r="AW37" s="244">
        <f t="shared" si="43"/>
        <v>8.7728723157728186E-2</v>
      </c>
      <c r="AX37" s="244">
        <f t="shared" si="44"/>
        <v>0.51535267356179137</v>
      </c>
      <c r="AY37" s="105"/>
      <c r="AZ37" s="100">
        <f t="shared" si="12"/>
        <v>1050.6391885369528</v>
      </c>
    </row>
    <row r="38" spans="1:52" outlineLevel="1">
      <c r="A38" s="95" t="s">
        <v>124</v>
      </c>
      <c r="B38" s="96">
        <v>507117329</v>
      </c>
      <c r="C38" s="96" t="s">
        <v>160</v>
      </c>
      <c r="D38" s="97" t="s">
        <v>84</v>
      </c>
      <c r="E38" s="242">
        <f t="shared" si="41"/>
        <v>48</v>
      </c>
      <c r="F38" s="99" t="s">
        <v>100</v>
      </c>
      <c r="G38" s="99">
        <v>1</v>
      </c>
      <c r="H38" s="99">
        <v>46</v>
      </c>
      <c r="I38" s="99">
        <v>0</v>
      </c>
      <c r="J38" s="99">
        <v>1</v>
      </c>
      <c r="K38" s="98">
        <v>105.54</v>
      </c>
      <c r="L38" s="98">
        <f t="shared" si="42"/>
        <v>5065.92</v>
      </c>
      <c r="M38" s="95">
        <v>459</v>
      </c>
      <c r="N38" s="95">
        <v>2</v>
      </c>
      <c r="O38" s="95">
        <v>1197</v>
      </c>
      <c r="P38" s="95">
        <v>0</v>
      </c>
      <c r="Q38" s="243">
        <f t="shared" si="13"/>
        <v>0.2857142857142857</v>
      </c>
      <c r="R38" s="98">
        <f t="shared" si="14"/>
        <v>0</v>
      </c>
      <c r="S38" s="99">
        <v>0</v>
      </c>
      <c r="T38" s="99">
        <v>0</v>
      </c>
      <c r="U38" s="98">
        <f t="shared" si="15"/>
        <v>0</v>
      </c>
      <c r="V38" s="99">
        <v>0</v>
      </c>
      <c r="W38" s="99">
        <v>0</v>
      </c>
      <c r="X38" s="98">
        <f t="shared" si="16"/>
        <v>0</v>
      </c>
      <c r="Y38" s="99">
        <v>0</v>
      </c>
      <c r="Z38" s="99">
        <v>0</v>
      </c>
      <c r="AA38" s="98">
        <f t="shared" si="17"/>
        <v>0</v>
      </c>
      <c r="AB38" s="98">
        <f t="shared" si="18"/>
        <v>0</v>
      </c>
      <c r="AC38" s="244">
        <f t="shared" si="19"/>
        <v>0</v>
      </c>
      <c r="AD38" s="98">
        <f t="shared" si="20"/>
        <v>0</v>
      </c>
      <c r="AE38" s="99">
        <v>0</v>
      </c>
      <c r="AF38" s="244">
        <f t="shared" si="21"/>
        <v>0</v>
      </c>
      <c r="AG38" s="99">
        <v>320.63</v>
      </c>
      <c r="AH38" s="99"/>
      <c r="AI38" s="99"/>
      <c r="AJ38" s="99"/>
      <c r="AK38" s="99"/>
      <c r="AL38" s="128">
        <f t="shared" si="22"/>
        <v>39.893355455002521</v>
      </c>
      <c r="AM38" s="99">
        <v>0</v>
      </c>
      <c r="AN38" s="100">
        <f t="shared" si="23"/>
        <v>0</v>
      </c>
      <c r="AO38" s="101">
        <f t="shared" si="25"/>
        <v>-360.5233554550025</v>
      </c>
      <c r="AP38" s="102"/>
      <c r="AQ38" s="103">
        <f t="shared" si="6"/>
        <v>0</v>
      </c>
      <c r="AR38" s="104">
        <f t="shared" si="35"/>
        <v>105.54</v>
      </c>
      <c r="AS38" s="104">
        <f t="shared" si="8"/>
        <v>0</v>
      </c>
      <c r="AT38" s="104">
        <f t="shared" si="9"/>
        <v>320.63</v>
      </c>
      <c r="AU38" s="104">
        <f t="shared" si="24"/>
        <v>0</v>
      </c>
      <c r="AV38" s="104">
        <f t="array" ref="AV38">_xlfn.IFS(U38=0,AO38,U38&lt;0,AO38/-U38,U38&gt;0,AO38/U38)</f>
        <v>-360.5233554550025</v>
      </c>
      <c r="AW38" s="244">
        <f t="shared" si="43"/>
        <v>0</v>
      </c>
      <c r="AX38" s="244">
        <f t="shared" si="44"/>
        <v>-3.4159878288326935</v>
      </c>
      <c r="AY38" s="105"/>
      <c r="AZ38" s="100">
        <f t="shared" si="12"/>
        <v>-17305.12106184012</v>
      </c>
    </row>
    <row r="39" spans="1:52" outlineLevel="1">
      <c r="A39" s="95" t="s">
        <v>124</v>
      </c>
      <c r="B39" s="96">
        <v>507117646</v>
      </c>
      <c r="C39" s="96" t="s">
        <v>161</v>
      </c>
      <c r="D39" s="97" t="s">
        <v>84</v>
      </c>
      <c r="E39" s="242">
        <f t="shared" si="41"/>
        <v>40</v>
      </c>
      <c r="F39" s="99">
        <v>7</v>
      </c>
      <c r="G39" s="99">
        <v>1</v>
      </c>
      <c r="H39" s="99">
        <v>31</v>
      </c>
      <c r="I39" s="99">
        <v>0</v>
      </c>
      <c r="J39" s="99">
        <v>1</v>
      </c>
      <c r="K39" s="98">
        <v>105.54</v>
      </c>
      <c r="L39" s="98">
        <f t="shared" si="42"/>
        <v>4221.6000000000004</v>
      </c>
      <c r="M39" s="95">
        <v>69</v>
      </c>
      <c r="N39" s="95">
        <v>6</v>
      </c>
      <c r="O39" s="95">
        <v>1077</v>
      </c>
      <c r="P39" s="95">
        <v>0</v>
      </c>
      <c r="Q39" s="243">
        <f t="shared" si="13"/>
        <v>0.8571428571428571</v>
      </c>
      <c r="R39" s="98">
        <f t="shared" si="14"/>
        <v>0.2857142857142857</v>
      </c>
      <c r="S39" s="99">
        <v>2</v>
      </c>
      <c r="T39" s="99">
        <v>0</v>
      </c>
      <c r="U39" s="98">
        <f t="shared" si="15"/>
        <v>2</v>
      </c>
      <c r="V39" s="99">
        <v>1500.8400000000001</v>
      </c>
      <c r="W39" s="99">
        <v>0</v>
      </c>
      <c r="X39" s="98">
        <f t="shared" si="16"/>
        <v>1500.8400000000001</v>
      </c>
      <c r="Y39" s="99">
        <v>2154.2399999999998</v>
      </c>
      <c r="Z39" s="99">
        <v>0</v>
      </c>
      <c r="AA39" s="98">
        <f t="shared" si="17"/>
        <v>2154.2399999999998</v>
      </c>
      <c r="AB39" s="98">
        <f t="shared" si="18"/>
        <v>0</v>
      </c>
      <c r="AC39" s="244">
        <f t="shared" si="19"/>
        <v>8.7770119730529324E-4</v>
      </c>
      <c r="AD39" s="98">
        <f t="shared" si="20"/>
        <v>211.08</v>
      </c>
      <c r="AE39" s="99">
        <v>800.02</v>
      </c>
      <c r="AF39" s="244">
        <f t="shared" si="21"/>
        <v>0.3713699494949495</v>
      </c>
      <c r="AG39" s="99">
        <v>523.36999999999989</v>
      </c>
      <c r="AH39" s="99">
        <v>1</v>
      </c>
      <c r="AI39" s="99"/>
      <c r="AJ39" s="99"/>
      <c r="AK39" s="99"/>
      <c r="AL39" s="128">
        <f t="shared" si="22"/>
        <v>26.884652589240822</v>
      </c>
      <c r="AM39" s="99">
        <v>0</v>
      </c>
      <c r="AN39" s="100">
        <f t="shared" si="23"/>
        <v>85.697963999999999</v>
      </c>
      <c r="AO39" s="101">
        <f t="shared" si="25"/>
        <v>506.1873834107592</v>
      </c>
      <c r="AP39" s="102"/>
      <c r="AQ39" s="103">
        <f t="shared" si="6"/>
        <v>1077.1199999999999</v>
      </c>
      <c r="AR39" s="104">
        <f t="shared" si="35"/>
        <v>105.54</v>
      </c>
      <c r="AS39" s="104">
        <f t="shared" si="8"/>
        <v>400.01</v>
      </c>
      <c r="AT39" s="104">
        <f t="shared" si="9"/>
        <v>261.68499999999995</v>
      </c>
      <c r="AU39" s="104">
        <f t="shared" si="24"/>
        <v>0.5</v>
      </c>
      <c r="AV39" s="104">
        <f t="array" ref="AV39">_xlfn.IFS(U39=0,AO39,U39&lt;0,AO39/-U39,U39&gt;0,AO39/U39)</f>
        <v>253.0936917053796</v>
      </c>
      <c r="AW39" s="244">
        <f t="shared" si="43"/>
        <v>0.23497260445018162</v>
      </c>
      <c r="AX39" s="244">
        <f t="shared" si="44"/>
        <v>2.3980831126149287</v>
      </c>
      <c r="AY39" s="105"/>
      <c r="AZ39" s="100">
        <f t="shared" si="12"/>
        <v>10123.747668215185</v>
      </c>
    </row>
    <row r="40" spans="1:52" outlineLevel="1">
      <c r="A40" s="95" t="s">
        <v>124</v>
      </c>
      <c r="B40" s="96">
        <v>507118076</v>
      </c>
      <c r="C40" s="96" t="s">
        <v>162</v>
      </c>
      <c r="D40" s="97" t="s">
        <v>84</v>
      </c>
      <c r="E40" s="242">
        <f t="shared" si="41"/>
        <v>47</v>
      </c>
      <c r="F40" s="99">
        <v>2</v>
      </c>
      <c r="G40" s="99">
        <v>3</v>
      </c>
      <c r="H40" s="99">
        <v>41</v>
      </c>
      <c r="I40" s="99">
        <v>0</v>
      </c>
      <c r="J40" s="99">
        <v>1</v>
      </c>
      <c r="K40" s="98">
        <v>105.54</v>
      </c>
      <c r="L40" s="98">
        <f t="shared" si="42"/>
        <v>4960.38</v>
      </c>
      <c r="M40" s="95">
        <v>259</v>
      </c>
      <c r="N40" s="95">
        <v>2</v>
      </c>
      <c r="O40" s="95">
        <v>1197</v>
      </c>
      <c r="P40" s="95">
        <v>0</v>
      </c>
      <c r="Q40" s="243">
        <f t="shared" si="13"/>
        <v>0.2857142857142857</v>
      </c>
      <c r="R40" s="98">
        <f t="shared" si="14"/>
        <v>0</v>
      </c>
      <c r="S40" s="99">
        <v>0</v>
      </c>
      <c r="T40" s="99">
        <v>0</v>
      </c>
      <c r="U40" s="98">
        <f t="shared" si="15"/>
        <v>0</v>
      </c>
      <c r="V40" s="99">
        <v>0</v>
      </c>
      <c r="W40" s="99">
        <v>0</v>
      </c>
      <c r="X40" s="98">
        <f t="shared" si="16"/>
        <v>0</v>
      </c>
      <c r="Y40" s="99">
        <v>0</v>
      </c>
      <c r="Z40" s="99">
        <v>0</v>
      </c>
      <c r="AA40" s="98">
        <f t="shared" si="17"/>
        <v>0</v>
      </c>
      <c r="AB40" s="98">
        <f t="shared" si="18"/>
        <v>0</v>
      </c>
      <c r="AC40" s="244">
        <f t="shared" si="19"/>
        <v>0</v>
      </c>
      <c r="AD40" s="98">
        <f t="shared" si="20"/>
        <v>0</v>
      </c>
      <c r="AE40" s="99">
        <v>0</v>
      </c>
      <c r="AF40" s="244">
        <f t="shared" si="21"/>
        <v>0</v>
      </c>
      <c r="AG40" s="99">
        <v>432.27</v>
      </c>
      <c r="AH40" s="99"/>
      <c r="AI40" s="99"/>
      <c r="AJ40" s="99"/>
      <c r="AK40" s="99"/>
      <c r="AL40" s="128">
        <f t="shared" si="22"/>
        <v>35.557121166415286</v>
      </c>
      <c r="AM40" s="99">
        <v>0</v>
      </c>
      <c r="AN40" s="100">
        <f t="shared" si="23"/>
        <v>0</v>
      </c>
      <c r="AO40" s="101">
        <f t="shared" si="25"/>
        <v>-467.82712116641528</v>
      </c>
      <c r="AP40" s="102"/>
      <c r="AQ40" s="103">
        <f t="shared" si="6"/>
        <v>0</v>
      </c>
      <c r="AR40" s="104">
        <f t="shared" si="35"/>
        <v>105.54</v>
      </c>
      <c r="AS40" s="104">
        <f t="shared" si="8"/>
        <v>0</v>
      </c>
      <c r="AT40" s="104">
        <f t="shared" si="9"/>
        <v>432.27</v>
      </c>
      <c r="AU40" s="104">
        <f t="shared" si="24"/>
        <v>0</v>
      </c>
      <c r="AV40" s="104">
        <f t="array" ref="AV40">_xlfn.IFS(U40=0,AO40,U40&lt;0,AO40/-U40,U40&gt;0,AO40/U40)</f>
        <v>-467.82712116641528</v>
      </c>
      <c r="AW40" s="244">
        <f t="shared" si="43"/>
        <v>0</v>
      </c>
      <c r="AX40" s="244">
        <f t="shared" si="44"/>
        <v>-4.4326996509988179</v>
      </c>
      <c r="AY40" s="105"/>
      <c r="AZ40" s="100">
        <f t="shared" si="12"/>
        <v>-21987.874694821519</v>
      </c>
    </row>
    <row r="41" spans="1:52" outlineLevel="1">
      <c r="A41" s="95" t="s">
        <v>124</v>
      </c>
      <c r="B41" s="96">
        <v>507118377</v>
      </c>
      <c r="C41" s="96" t="s">
        <v>163</v>
      </c>
      <c r="D41" s="97" t="s">
        <v>84</v>
      </c>
      <c r="E41" s="242">
        <f t="shared" si="41"/>
        <v>47</v>
      </c>
      <c r="F41" s="99" t="s">
        <v>100</v>
      </c>
      <c r="G41" s="99" t="s">
        <v>100</v>
      </c>
      <c r="H41" s="99">
        <v>46</v>
      </c>
      <c r="I41" s="99">
        <v>0</v>
      </c>
      <c r="J41" s="99">
        <v>1</v>
      </c>
      <c r="K41" s="98">
        <v>123.09</v>
      </c>
      <c r="L41" s="98">
        <f t="shared" si="42"/>
        <v>5785.2300000000005</v>
      </c>
      <c r="M41" s="95">
        <v>999</v>
      </c>
      <c r="N41" s="95">
        <v>0</v>
      </c>
      <c r="O41" s="95">
        <v>0</v>
      </c>
      <c r="P41" s="95">
        <v>0</v>
      </c>
      <c r="Q41" s="243">
        <f t="shared" si="13"/>
        <v>0</v>
      </c>
      <c r="R41" s="98">
        <f t="shared" si="14"/>
        <v>0</v>
      </c>
      <c r="S41" s="99">
        <v>0</v>
      </c>
      <c r="T41" s="99">
        <v>0</v>
      </c>
      <c r="U41" s="98">
        <f t="shared" si="15"/>
        <v>0</v>
      </c>
      <c r="V41" s="99">
        <v>0</v>
      </c>
      <c r="W41" s="99">
        <v>0</v>
      </c>
      <c r="X41" s="98">
        <f t="shared" si="16"/>
        <v>0</v>
      </c>
      <c r="Y41" s="99">
        <v>0</v>
      </c>
      <c r="Z41" s="99">
        <v>0</v>
      </c>
      <c r="AA41" s="98">
        <f t="shared" si="17"/>
        <v>0</v>
      </c>
      <c r="AB41" s="98">
        <f t="shared" si="18"/>
        <v>0</v>
      </c>
      <c r="AC41" s="244">
        <f t="shared" si="19"/>
        <v>0</v>
      </c>
      <c r="AD41" s="98">
        <f t="shared" si="20"/>
        <v>0</v>
      </c>
      <c r="AE41" s="99">
        <v>0</v>
      </c>
      <c r="AF41" s="244">
        <f t="shared" si="21"/>
        <v>0</v>
      </c>
      <c r="AG41" s="99">
        <v>0</v>
      </c>
      <c r="AH41" s="99"/>
      <c r="AI41" s="99"/>
      <c r="AJ41" s="99"/>
      <c r="AK41" s="99"/>
      <c r="AL41" s="128">
        <f t="shared" si="22"/>
        <v>39.893355455002521</v>
      </c>
      <c r="AM41" s="99">
        <v>0</v>
      </c>
      <c r="AN41" s="100">
        <f t="shared" si="23"/>
        <v>0</v>
      </c>
      <c r="AO41" s="101">
        <f t="shared" si="25"/>
        <v>-39.893355455002521</v>
      </c>
      <c r="AP41" s="102"/>
      <c r="AQ41" s="103">
        <f t="shared" si="6"/>
        <v>0</v>
      </c>
      <c r="AR41" s="104">
        <f t="shared" si="35"/>
        <v>123.09</v>
      </c>
      <c r="AS41" s="104">
        <f t="shared" si="8"/>
        <v>0</v>
      </c>
      <c r="AT41" s="104">
        <f t="shared" si="9"/>
        <v>0</v>
      </c>
      <c r="AU41" s="104">
        <f t="shared" si="24"/>
        <v>0</v>
      </c>
      <c r="AV41" s="104">
        <f t="array" ref="AV41">_xlfn.IFS(U41=0,AO41,U41&lt;0,AO41/-U41,U41&gt;0,AO41/U41)</f>
        <v>-39.893355455002521</v>
      </c>
      <c r="AW41" s="244">
        <f t="shared" si="43"/>
        <v>0</v>
      </c>
      <c r="AX41" s="244">
        <f t="shared" si="44"/>
        <v>-0.3240990775449063</v>
      </c>
      <c r="AY41" s="105"/>
      <c r="AZ41" s="100">
        <f t="shared" si="12"/>
        <v>-1874.9877063851184</v>
      </c>
    </row>
    <row r="42" spans="1:52" outlineLevel="1">
      <c r="A42" s="95" t="s">
        <v>124</v>
      </c>
      <c r="B42" s="96">
        <v>507119317</v>
      </c>
      <c r="C42" s="96" t="s">
        <v>164</v>
      </c>
      <c r="D42" s="97" t="s">
        <v>84</v>
      </c>
      <c r="E42" s="242">
        <f t="shared" si="41"/>
        <v>47</v>
      </c>
      <c r="F42" s="99">
        <v>3</v>
      </c>
      <c r="G42" s="99" t="s">
        <v>100</v>
      </c>
      <c r="H42" s="99">
        <v>43</v>
      </c>
      <c r="I42" s="99">
        <v>0</v>
      </c>
      <c r="J42" s="99">
        <v>1</v>
      </c>
      <c r="K42" s="98">
        <v>123.09</v>
      </c>
      <c r="L42" s="98">
        <f t="shared" si="42"/>
        <v>5785.2300000000005</v>
      </c>
      <c r="M42" s="95">
        <v>344</v>
      </c>
      <c r="N42" s="95">
        <v>3</v>
      </c>
      <c r="O42" s="95">
        <v>1176</v>
      </c>
      <c r="P42" s="95">
        <v>0</v>
      </c>
      <c r="Q42" s="243">
        <f t="shared" si="13"/>
        <v>0.42857142857142855</v>
      </c>
      <c r="R42" s="98">
        <f t="shared" si="14"/>
        <v>0</v>
      </c>
      <c r="S42" s="99">
        <v>0</v>
      </c>
      <c r="T42" s="99">
        <v>0</v>
      </c>
      <c r="U42" s="98">
        <f t="shared" si="15"/>
        <v>0</v>
      </c>
      <c r="V42" s="99">
        <v>0</v>
      </c>
      <c r="W42" s="99">
        <v>0</v>
      </c>
      <c r="X42" s="98">
        <f t="shared" si="16"/>
        <v>0</v>
      </c>
      <c r="Y42" s="99">
        <v>0</v>
      </c>
      <c r="Z42" s="99">
        <v>0</v>
      </c>
      <c r="AA42" s="98">
        <f t="shared" si="17"/>
        <v>0</v>
      </c>
      <c r="AB42" s="98">
        <f t="shared" si="18"/>
        <v>0</v>
      </c>
      <c r="AC42" s="244">
        <f t="shared" si="19"/>
        <v>0</v>
      </c>
      <c r="AD42" s="98">
        <f t="shared" si="20"/>
        <v>0</v>
      </c>
      <c r="AE42" s="99">
        <v>0</v>
      </c>
      <c r="AF42" s="244">
        <f t="shared" si="21"/>
        <v>0</v>
      </c>
      <c r="AG42" s="99">
        <v>84.8</v>
      </c>
      <c r="AH42" s="99"/>
      <c r="AI42" s="99"/>
      <c r="AJ42" s="99"/>
      <c r="AK42" s="99"/>
      <c r="AL42" s="128">
        <f t="shared" si="22"/>
        <v>37.29161488185018</v>
      </c>
      <c r="AM42" s="99">
        <v>0</v>
      </c>
      <c r="AN42" s="100">
        <f t="shared" si="23"/>
        <v>0</v>
      </c>
      <c r="AO42" s="101">
        <f t="shared" si="25"/>
        <v>-122.09161488185018</v>
      </c>
      <c r="AP42" s="102"/>
      <c r="AQ42" s="103">
        <f t="shared" si="6"/>
        <v>0</v>
      </c>
      <c r="AR42" s="104">
        <f t="shared" si="35"/>
        <v>123.09</v>
      </c>
      <c r="AS42" s="104">
        <f t="shared" si="8"/>
        <v>0</v>
      </c>
      <c r="AT42" s="104">
        <f t="shared" si="9"/>
        <v>84.8</v>
      </c>
      <c r="AU42" s="104">
        <f t="shared" si="24"/>
        <v>0</v>
      </c>
      <c r="AV42" s="104">
        <f t="array" ref="AV42">_xlfn.IFS(U42=0,AO42,U42&lt;0,AO42/-U42,U42&gt;0,AO42/U42)</f>
        <v>-122.09161488185018</v>
      </c>
      <c r="AW42" s="244">
        <f t="shared" si="43"/>
        <v>0</v>
      </c>
      <c r="AX42" s="244">
        <f t="shared" si="44"/>
        <v>-0.99188898271061965</v>
      </c>
      <c r="AY42" s="105"/>
      <c r="AZ42" s="100">
        <f t="shared" si="12"/>
        <v>-5738.3058994469584</v>
      </c>
    </row>
    <row r="43" spans="1:52" outlineLevel="1">
      <c r="A43" s="95" t="s">
        <v>124</v>
      </c>
      <c r="B43" s="96">
        <v>507119522</v>
      </c>
      <c r="C43" s="96" t="s">
        <v>165</v>
      </c>
      <c r="D43" s="97" t="s">
        <v>84</v>
      </c>
      <c r="E43" s="242">
        <f t="shared" si="41"/>
        <v>45</v>
      </c>
      <c r="F43" s="99">
        <v>5</v>
      </c>
      <c r="G43" s="99">
        <v>3</v>
      </c>
      <c r="H43" s="99">
        <v>36</v>
      </c>
      <c r="I43" s="99">
        <v>0</v>
      </c>
      <c r="J43" s="99">
        <v>1</v>
      </c>
      <c r="K43" s="98">
        <v>123.09</v>
      </c>
      <c r="L43" s="98">
        <f t="shared" si="42"/>
        <v>5539.05</v>
      </c>
      <c r="M43" s="95">
        <v>102</v>
      </c>
      <c r="N43" s="95">
        <v>8</v>
      </c>
      <c r="O43" s="95">
        <v>1102</v>
      </c>
      <c r="P43" s="95">
        <v>0</v>
      </c>
      <c r="Q43" s="243">
        <f t="shared" si="13"/>
        <v>1.1428571428571428</v>
      </c>
      <c r="R43" s="98">
        <f t="shared" si="14"/>
        <v>0.2857142857142857</v>
      </c>
      <c r="S43" s="99">
        <v>2</v>
      </c>
      <c r="T43" s="99">
        <v>0</v>
      </c>
      <c r="U43" s="98">
        <f t="shared" si="15"/>
        <v>2</v>
      </c>
      <c r="V43" s="99">
        <v>1371</v>
      </c>
      <c r="W43" s="99">
        <v>0</v>
      </c>
      <c r="X43" s="98">
        <f t="shared" si="16"/>
        <v>1371</v>
      </c>
      <c r="Y43" s="99">
        <v>2204</v>
      </c>
      <c r="Z43" s="99">
        <v>0</v>
      </c>
      <c r="AA43" s="98">
        <f t="shared" si="17"/>
        <v>2204</v>
      </c>
      <c r="AB43" s="98">
        <f t="shared" si="18"/>
        <v>0</v>
      </c>
      <c r="AC43" s="244">
        <f t="shared" si="19"/>
        <v>8.9797489549022695E-4</v>
      </c>
      <c r="AD43" s="98">
        <f t="shared" si="20"/>
        <v>246.18</v>
      </c>
      <c r="AE43" s="99">
        <v>821.48</v>
      </c>
      <c r="AF43" s="244">
        <f t="shared" si="21"/>
        <v>0.37272232304900182</v>
      </c>
      <c r="AG43" s="99">
        <v>649.95999999999992</v>
      </c>
      <c r="AH43" s="99"/>
      <c r="AI43" s="99"/>
      <c r="AJ43" s="99"/>
      <c r="AK43" s="99"/>
      <c r="AL43" s="128">
        <f t="shared" si="22"/>
        <v>31.220886877828057</v>
      </c>
      <c r="AM43" s="99">
        <v>0</v>
      </c>
      <c r="AN43" s="100">
        <f t="shared" si="23"/>
        <v>78.284099999999995</v>
      </c>
      <c r="AO43" s="101">
        <f t="shared" si="25"/>
        <v>376.87501312217194</v>
      </c>
      <c r="AP43" s="102"/>
      <c r="AQ43" s="103">
        <f t="shared" si="6"/>
        <v>1102</v>
      </c>
      <c r="AR43" s="104">
        <f t="shared" si="35"/>
        <v>123.09</v>
      </c>
      <c r="AS43" s="104">
        <f t="shared" si="8"/>
        <v>410.74</v>
      </c>
      <c r="AT43" s="104">
        <f t="shared" si="9"/>
        <v>324.97999999999996</v>
      </c>
      <c r="AU43" s="104">
        <f t="shared" si="24"/>
        <v>0</v>
      </c>
      <c r="AV43" s="104">
        <f t="array" ref="AV43">_xlfn.IFS(U43=0,AO43,U43&lt;0,AO43/-U43,U43&gt;0,AO43/U43)</f>
        <v>188.43750656108597</v>
      </c>
      <c r="AW43" s="244">
        <f t="shared" si="43"/>
        <v>0.17099592246922501</v>
      </c>
      <c r="AX43" s="244">
        <f t="shared" si="44"/>
        <v>1.5308920835249489</v>
      </c>
      <c r="AY43" s="105"/>
      <c r="AZ43" s="100">
        <f t="shared" si="12"/>
        <v>8479.6877952488685</v>
      </c>
    </row>
    <row r="44" spans="1:52" outlineLevel="1">
      <c r="A44" s="95" t="s">
        <v>124</v>
      </c>
      <c r="B44" s="96">
        <v>386597215</v>
      </c>
      <c r="C44" s="96" t="s">
        <v>166</v>
      </c>
      <c r="D44" s="97" t="s">
        <v>84</v>
      </c>
      <c r="E44" s="242">
        <f t="shared" si="41"/>
        <v>1759</v>
      </c>
      <c r="F44" s="99">
        <v>18</v>
      </c>
      <c r="G44" s="99">
        <v>2</v>
      </c>
      <c r="H44" s="99">
        <v>178</v>
      </c>
      <c r="I44" s="99">
        <v>0</v>
      </c>
      <c r="J44" s="99">
        <v>1561</v>
      </c>
      <c r="K44" s="98">
        <v>111.39</v>
      </c>
      <c r="L44" s="98">
        <f t="shared" si="42"/>
        <v>195935.01</v>
      </c>
      <c r="M44" s="95">
        <v>148</v>
      </c>
      <c r="N44" s="95">
        <v>26</v>
      </c>
      <c r="O44" s="95">
        <v>995</v>
      </c>
      <c r="P44" s="95">
        <v>50</v>
      </c>
      <c r="Q44" s="243">
        <f t="shared" si="13"/>
        <v>3.7142857142857144</v>
      </c>
      <c r="R44" s="98">
        <f t="shared" si="14"/>
        <v>1.2857142857142858</v>
      </c>
      <c r="S44" s="99">
        <v>9</v>
      </c>
      <c r="T44" s="99">
        <v>0</v>
      </c>
      <c r="U44" s="98">
        <f t="shared" si="15"/>
        <v>9</v>
      </c>
      <c r="V44" s="99">
        <v>5693</v>
      </c>
      <c r="W44" s="99">
        <v>0</v>
      </c>
      <c r="X44" s="98">
        <f t="shared" si="16"/>
        <v>5693</v>
      </c>
      <c r="Y44" s="99">
        <v>9009.15</v>
      </c>
      <c r="Z44" s="99">
        <v>0</v>
      </c>
      <c r="AA44" s="98">
        <f t="shared" si="17"/>
        <v>9009.15</v>
      </c>
      <c r="AB44" s="98">
        <f t="shared" si="18"/>
        <v>12935</v>
      </c>
      <c r="AC44" s="244">
        <f t="shared" si="19"/>
        <v>3.6705946142040736E-3</v>
      </c>
      <c r="AD44" s="98">
        <f t="shared" si="20"/>
        <v>1002.51</v>
      </c>
      <c r="AE44" s="99">
        <v>3389.91</v>
      </c>
      <c r="AF44" s="244">
        <f t="shared" si="21"/>
        <v>0.37627412131000149</v>
      </c>
      <c r="AG44" s="99">
        <v>1403.0899999999997</v>
      </c>
      <c r="AH44" s="99">
        <v>482</v>
      </c>
      <c r="AI44" s="99">
        <v>1967</v>
      </c>
      <c r="AJ44" s="99"/>
      <c r="AK44" s="99"/>
      <c r="AL44" s="128">
        <f t="shared" si="22"/>
        <v>154.36994067370537</v>
      </c>
      <c r="AM44" s="99">
        <v>0</v>
      </c>
      <c r="AN44" s="100">
        <f t="shared" si="23"/>
        <v>325.07029999999997</v>
      </c>
      <c r="AO44" s="101">
        <f t="shared" si="25"/>
        <v>285.1997593262945</v>
      </c>
      <c r="AP44" s="102"/>
      <c r="AQ44" s="103">
        <f t="shared" si="6"/>
        <v>1001.0166666666667</v>
      </c>
      <c r="AR44" s="104">
        <f t="shared" si="35"/>
        <v>111.39</v>
      </c>
      <c r="AS44" s="104">
        <f t="shared" si="8"/>
        <v>376.65666666666664</v>
      </c>
      <c r="AT44" s="104">
        <f t="shared" si="9"/>
        <v>155.89888888888885</v>
      </c>
      <c r="AU44" s="104">
        <f t="shared" si="24"/>
        <v>272.11111111111109</v>
      </c>
      <c r="AV44" s="104">
        <f t="array" ref="AV44">_xlfn.IFS(U44=0,AO44,U44&lt;0,AO44/-U44,U44&gt;0,AO44/U44)</f>
        <v>31.688862147366056</v>
      </c>
      <c r="AW44" s="244">
        <f t="shared" si="43"/>
        <v>3.1656677858210212E-2</v>
      </c>
      <c r="AX44" s="244">
        <f t="shared" si="44"/>
        <v>0.28448570021874547</v>
      </c>
      <c r="AY44" s="105"/>
      <c r="AZ44" s="100">
        <f t="shared" si="12"/>
        <v>55740.708517216895</v>
      </c>
    </row>
    <row r="45" spans="1:52" outlineLevel="1">
      <c r="A45" s="95" t="s">
        <v>124</v>
      </c>
      <c r="B45" s="96">
        <v>386777272</v>
      </c>
      <c r="C45" s="96" t="s">
        <v>167</v>
      </c>
      <c r="D45" s="97" t="s">
        <v>84</v>
      </c>
      <c r="E45" s="242">
        <f t="shared" si="41"/>
        <v>330</v>
      </c>
      <c r="F45" s="99">
        <v>117</v>
      </c>
      <c r="G45" s="99">
        <v>32</v>
      </c>
      <c r="H45" s="99">
        <v>66</v>
      </c>
      <c r="I45" s="99">
        <v>0</v>
      </c>
      <c r="J45" s="99">
        <v>115</v>
      </c>
      <c r="K45" s="98">
        <v>107.88</v>
      </c>
      <c r="L45" s="98">
        <f t="shared" si="42"/>
        <v>35600.400000000001</v>
      </c>
      <c r="M45" s="95">
        <v>27</v>
      </c>
      <c r="N45" s="95">
        <v>182</v>
      </c>
      <c r="O45" s="95">
        <v>1232</v>
      </c>
      <c r="P45" s="95">
        <v>47</v>
      </c>
      <c r="Q45" s="243">
        <f t="shared" si="13"/>
        <v>26</v>
      </c>
      <c r="R45" s="98">
        <f t="shared" si="14"/>
        <v>9.5714285714285712</v>
      </c>
      <c r="S45" s="99">
        <v>71</v>
      </c>
      <c r="T45" s="99">
        <v>-4</v>
      </c>
      <c r="U45" s="98">
        <f t="shared" si="15"/>
        <v>67</v>
      </c>
      <c r="V45" s="99">
        <v>50655.839999999997</v>
      </c>
      <c r="W45" s="99">
        <v>-2842</v>
      </c>
      <c r="X45" s="98">
        <f t="shared" si="16"/>
        <v>47813.84</v>
      </c>
      <c r="Y45" s="99">
        <v>80302.010000000009</v>
      </c>
      <c r="Z45" s="99">
        <v>-4464</v>
      </c>
      <c r="AA45" s="98">
        <f t="shared" si="17"/>
        <v>75838.010000000009</v>
      </c>
      <c r="AB45" s="98">
        <f t="shared" si="18"/>
        <v>105385.28</v>
      </c>
      <c r="AC45" s="244">
        <f t="shared" si="19"/>
        <v>3.0898652043528492E-2</v>
      </c>
      <c r="AD45" s="98">
        <f t="shared" si="20"/>
        <v>7227.96</v>
      </c>
      <c r="AE45" s="99">
        <v>28397.790000000015</v>
      </c>
      <c r="AF45" s="244">
        <f t="shared" si="21"/>
        <v>0.3744532589924236</v>
      </c>
      <c r="AG45" s="99">
        <v>9687.3999999999978</v>
      </c>
      <c r="AH45" s="99">
        <v>2142</v>
      </c>
      <c r="AI45" s="99">
        <v>17000</v>
      </c>
      <c r="AJ45" s="99"/>
      <c r="AK45" s="99"/>
      <c r="AL45" s="128">
        <f t="shared" si="22"/>
        <v>57.23829260935144</v>
      </c>
      <c r="AM45" s="99">
        <v>0</v>
      </c>
      <c r="AN45" s="100">
        <f t="shared" si="23"/>
        <v>2730.1702639999999</v>
      </c>
      <c r="AO45" s="101">
        <f t="shared" si="25"/>
        <v>8595.4514433906388</v>
      </c>
      <c r="AP45" s="102"/>
      <c r="AQ45" s="103">
        <f t="shared" si="6"/>
        <v>1131.9105970149255</v>
      </c>
      <c r="AR45" s="104">
        <f t="shared" si="35"/>
        <v>107.88</v>
      </c>
      <c r="AS45" s="104">
        <f t="shared" si="8"/>
        <v>423.84761194029875</v>
      </c>
      <c r="AT45" s="104">
        <f t="shared" si="9"/>
        <v>136.44225352112673</v>
      </c>
      <c r="AU45" s="104">
        <f t="shared" si="24"/>
        <v>269.6056338028169</v>
      </c>
      <c r="AV45" s="104">
        <f t="array" ref="AV45">_xlfn.IFS(U45=0,AO45,U45&lt;0,AO45/-U45,U45&gt;0,AO45/U45)</f>
        <v>128.29032005060654</v>
      </c>
      <c r="AW45" s="244">
        <f t="shared" si="43"/>
        <v>0.11333962274841648</v>
      </c>
      <c r="AX45" s="244">
        <f t="shared" si="44"/>
        <v>1.1891946612032493</v>
      </c>
      <c r="AY45" s="105"/>
      <c r="AZ45" s="100">
        <f t="shared" si="12"/>
        <v>42335.805616700156</v>
      </c>
    </row>
    <row r="46" spans="1:52" outlineLevel="1">
      <c r="A46" s="95" t="s">
        <v>124</v>
      </c>
      <c r="B46" s="96">
        <v>386777270</v>
      </c>
      <c r="C46" s="96" t="s">
        <v>168</v>
      </c>
      <c r="D46" s="97" t="s">
        <v>84</v>
      </c>
      <c r="E46" s="242">
        <f t="shared" si="41"/>
        <v>1</v>
      </c>
      <c r="F46" s="99">
        <v>0</v>
      </c>
      <c r="G46" s="99">
        <v>0</v>
      </c>
      <c r="H46" s="99">
        <v>0</v>
      </c>
      <c r="I46" s="99">
        <v>0</v>
      </c>
      <c r="J46" s="99">
        <v>1</v>
      </c>
      <c r="K46" s="98">
        <v>107.88</v>
      </c>
      <c r="L46" s="98">
        <f t="shared" si="42"/>
        <v>107.88</v>
      </c>
      <c r="M46" s="95">
        <v>0</v>
      </c>
      <c r="N46" s="95">
        <v>0</v>
      </c>
      <c r="O46" s="95">
        <v>0</v>
      </c>
      <c r="P46" s="95">
        <v>0</v>
      </c>
      <c r="Q46" s="243">
        <f t="shared" si="13"/>
        <v>0</v>
      </c>
      <c r="R46" s="98">
        <f t="shared" si="14"/>
        <v>0</v>
      </c>
      <c r="S46" s="99">
        <v>0</v>
      </c>
      <c r="T46" s="99">
        <v>0</v>
      </c>
      <c r="U46" s="98">
        <f t="shared" si="15"/>
        <v>0</v>
      </c>
      <c r="V46" s="99">
        <v>0</v>
      </c>
      <c r="W46" s="99">
        <v>0</v>
      </c>
      <c r="X46" s="98">
        <f t="shared" si="16"/>
        <v>0</v>
      </c>
      <c r="Y46" s="99">
        <v>0</v>
      </c>
      <c r="Z46" s="99">
        <v>0</v>
      </c>
      <c r="AA46" s="98">
        <f t="shared" si="17"/>
        <v>0</v>
      </c>
      <c r="AB46" s="98">
        <f t="shared" si="18"/>
        <v>0</v>
      </c>
      <c r="AC46" s="244">
        <f t="shared" si="19"/>
        <v>0</v>
      </c>
      <c r="AD46" s="98">
        <f t="shared" si="20"/>
        <v>0</v>
      </c>
      <c r="AE46" s="99">
        <v>0</v>
      </c>
      <c r="AF46" s="244">
        <f t="shared" si="21"/>
        <v>0</v>
      </c>
      <c r="AG46" s="99">
        <v>0</v>
      </c>
      <c r="AH46" s="99"/>
      <c r="AI46" s="99"/>
      <c r="AJ46" s="99"/>
      <c r="AK46" s="99"/>
      <c r="AL46" s="128">
        <f t="shared" si="22"/>
        <v>0</v>
      </c>
      <c r="AM46" s="99">
        <v>0</v>
      </c>
      <c r="AN46" s="100">
        <f t="shared" si="23"/>
        <v>0</v>
      </c>
      <c r="AO46" s="101">
        <f t="shared" si="25"/>
        <v>0</v>
      </c>
      <c r="AP46" s="102"/>
      <c r="AQ46" s="103">
        <f t="shared" si="6"/>
        <v>0</v>
      </c>
      <c r="AR46" s="104">
        <f t="shared" si="35"/>
        <v>107.88</v>
      </c>
      <c r="AS46" s="104">
        <f t="shared" si="8"/>
        <v>0</v>
      </c>
      <c r="AT46" s="104">
        <f t="shared" si="9"/>
        <v>0</v>
      </c>
      <c r="AU46" s="104">
        <f t="shared" si="24"/>
        <v>0</v>
      </c>
      <c r="AV46" s="104">
        <f t="array" ref="AV46">_xlfn.IFS(U46=0,AO46,U46&lt;0,AO46/-U46,U46&gt;0,AO46/U46)</f>
        <v>0</v>
      </c>
      <c r="AW46" s="244">
        <f t="shared" si="43"/>
        <v>0</v>
      </c>
      <c r="AX46" s="244">
        <f t="shared" si="44"/>
        <v>0</v>
      </c>
      <c r="AY46" s="105"/>
      <c r="AZ46" s="100">
        <f t="shared" si="12"/>
        <v>0</v>
      </c>
    </row>
    <row r="47" spans="1:52" outlineLevel="1">
      <c r="A47" s="95" t="s">
        <v>124</v>
      </c>
      <c r="B47" s="96">
        <v>386777273</v>
      </c>
      <c r="C47" s="96" t="s">
        <v>169</v>
      </c>
      <c r="D47" s="97" t="s">
        <v>84</v>
      </c>
      <c r="E47" s="242">
        <f t="shared" si="41"/>
        <v>321</v>
      </c>
      <c r="F47" s="99">
        <v>15</v>
      </c>
      <c r="G47" s="99">
        <v>16</v>
      </c>
      <c r="H47" s="99">
        <v>110</v>
      </c>
      <c r="I47" s="99">
        <v>0</v>
      </c>
      <c r="J47" s="99">
        <v>180</v>
      </c>
      <c r="K47" s="98">
        <v>123.09</v>
      </c>
      <c r="L47" s="98">
        <f t="shared" si="42"/>
        <v>39511.89</v>
      </c>
      <c r="M47" s="95">
        <v>109</v>
      </c>
      <c r="N47" s="95">
        <v>20</v>
      </c>
      <c r="O47" s="95">
        <v>1044</v>
      </c>
      <c r="P47" s="95">
        <v>71</v>
      </c>
      <c r="Q47" s="243">
        <f t="shared" si="13"/>
        <v>2.8571428571428572</v>
      </c>
      <c r="R47" s="98">
        <f t="shared" si="14"/>
        <v>1.8571428571428572</v>
      </c>
      <c r="S47" s="99">
        <v>13</v>
      </c>
      <c r="T47" s="99">
        <v>0</v>
      </c>
      <c r="U47" s="98">
        <f t="shared" si="15"/>
        <v>13</v>
      </c>
      <c r="V47" s="99">
        <v>8111</v>
      </c>
      <c r="W47" s="99">
        <v>0</v>
      </c>
      <c r="X47" s="98">
        <f t="shared" si="16"/>
        <v>8111</v>
      </c>
      <c r="Y47" s="99">
        <v>13347.380000000001</v>
      </c>
      <c r="Z47" s="99">
        <v>0</v>
      </c>
      <c r="AA47" s="98">
        <f t="shared" si="17"/>
        <v>13347.380000000001</v>
      </c>
      <c r="AB47" s="98">
        <f t="shared" si="18"/>
        <v>14824.8</v>
      </c>
      <c r="AC47" s="244">
        <f t="shared" si="19"/>
        <v>5.4381180401852748E-3</v>
      </c>
      <c r="AD47" s="98">
        <f t="shared" si="20"/>
        <v>1600.17</v>
      </c>
      <c r="AE47" s="99">
        <v>4995.3000000000011</v>
      </c>
      <c r="AF47" s="244">
        <f t="shared" si="21"/>
        <v>0.37425322422827556</v>
      </c>
      <c r="AG47" s="99">
        <v>1198.1999999999998</v>
      </c>
      <c r="AH47" s="99">
        <v>425</v>
      </c>
      <c r="AI47" s="99"/>
      <c r="AJ47" s="99"/>
      <c r="AK47" s="99"/>
      <c r="AL47" s="128">
        <f t="shared" si="22"/>
        <v>95.397154348919059</v>
      </c>
      <c r="AM47" s="99">
        <v>0</v>
      </c>
      <c r="AN47" s="100">
        <f t="shared" si="23"/>
        <v>463.13810000000001</v>
      </c>
      <c r="AO47" s="101">
        <f t="shared" si="25"/>
        <v>4570.1747456510811</v>
      </c>
      <c r="AP47" s="102"/>
      <c r="AQ47" s="103">
        <f t="shared" si="6"/>
        <v>1026.7215384615386</v>
      </c>
      <c r="AR47" s="104">
        <f t="shared" si="35"/>
        <v>123.09</v>
      </c>
      <c r="AS47" s="104">
        <f t="shared" si="8"/>
        <v>384.25384615384621</v>
      </c>
      <c r="AT47" s="104">
        <f t="shared" si="9"/>
        <v>92.169230769230751</v>
      </c>
      <c r="AU47" s="104">
        <f t="shared" si="24"/>
        <v>32.692307692307693</v>
      </c>
      <c r="AV47" s="104">
        <f t="array" ref="AV47">_xlfn.IFS(U47=0,AO47,U47&lt;0,AO47/-U47,U47&gt;0,AO47/U47)</f>
        <v>351.55190351162162</v>
      </c>
      <c r="AW47" s="244">
        <f t="shared" si="43"/>
        <v>0.34240238501122172</v>
      </c>
      <c r="AX47" s="244">
        <f t="shared" si="44"/>
        <v>2.8560557601074144</v>
      </c>
      <c r="AY47" s="105"/>
      <c r="AZ47" s="100">
        <f t="shared" si="12"/>
        <v>112848.16102723054</v>
      </c>
    </row>
    <row r="48" spans="1:52" outlineLevel="1">
      <c r="A48" s="95" t="s">
        <v>124</v>
      </c>
      <c r="B48" s="96">
        <v>386777271</v>
      </c>
      <c r="C48" s="96" t="s">
        <v>170</v>
      </c>
      <c r="D48" s="97" t="s">
        <v>84</v>
      </c>
      <c r="E48" s="242">
        <f t="shared" si="41"/>
        <v>349</v>
      </c>
      <c r="F48" s="99">
        <v>58</v>
      </c>
      <c r="G48" s="99">
        <v>9</v>
      </c>
      <c r="H48" s="99">
        <v>271</v>
      </c>
      <c r="I48" s="99">
        <v>0</v>
      </c>
      <c r="J48" s="99">
        <v>11</v>
      </c>
      <c r="K48" s="98">
        <v>107.88</v>
      </c>
      <c r="L48" s="98">
        <f t="shared" si="42"/>
        <v>37650.119999999995</v>
      </c>
      <c r="M48" s="95">
        <v>82</v>
      </c>
      <c r="N48" s="95">
        <v>75</v>
      </c>
      <c r="O48" s="95">
        <v>1261</v>
      </c>
      <c r="P48" s="95">
        <v>68</v>
      </c>
      <c r="Q48" s="243">
        <f t="shared" si="13"/>
        <v>10.714285714285714</v>
      </c>
      <c r="R48" s="98">
        <f t="shared" si="14"/>
        <v>4.4285714285714288</v>
      </c>
      <c r="S48" s="99">
        <v>31</v>
      </c>
      <c r="T48" s="99">
        <v>0</v>
      </c>
      <c r="U48" s="98">
        <f t="shared" si="15"/>
        <v>31</v>
      </c>
      <c r="V48" s="99">
        <v>23548.18</v>
      </c>
      <c r="W48" s="99">
        <v>0</v>
      </c>
      <c r="X48" s="98">
        <f t="shared" si="16"/>
        <v>23548.18</v>
      </c>
      <c r="Y48" s="99">
        <v>37348.71</v>
      </c>
      <c r="Z48" s="99">
        <v>0</v>
      </c>
      <c r="AA48" s="98">
        <f t="shared" si="17"/>
        <v>37348.71</v>
      </c>
      <c r="AB48" s="98">
        <f t="shared" si="18"/>
        <v>64311</v>
      </c>
      <c r="AC48" s="244">
        <f t="shared" si="19"/>
        <v>1.5216970943259888E-2</v>
      </c>
      <c r="AD48" s="98">
        <f t="shared" si="20"/>
        <v>3344.2799999999997</v>
      </c>
      <c r="AE48" s="99">
        <v>13925.389999999996</v>
      </c>
      <c r="AF48" s="244">
        <f t="shared" si="21"/>
        <v>0.37284795110728042</v>
      </c>
      <c r="AG48" s="99">
        <v>3312.2900000000004</v>
      </c>
      <c r="AH48" s="99">
        <v>562</v>
      </c>
      <c r="AI48" s="99">
        <v>5500</v>
      </c>
      <c r="AJ48" s="99"/>
      <c r="AK48" s="99"/>
      <c r="AL48" s="128">
        <f t="shared" si="22"/>
        <v>235.02389844142783</v>
      </c>
      <c r="AM48" s="99">
        <v>0</v>
      </c>
      <c r="AN48" s="100">
        <f t="shared" si="23"/>
        <v>1344.6010779999999</v>
      </c>
      <c r="AO48" s="101">
        <f t="shared" si="25"/>
        <v>9125.1250235585758</v>
      </c>
      <c r="AP48" s="102"/>
      <c r="AQ48" s="103">
        <f t="shared" si="6"/>
        <v>1204.7970967741935</v>
      </c>
      <c r="AR48" s="104">
        <f t="shared" si="35"/>
        <v>107.88</v>
      </c>
      <c r="AS48" s="104">
        <f t="shared" si="8"/>
        <v>449.20612903225793</v>
      </c>
      <c r="AT48" s="104">
        <f t="shared" si="9"/>
        <v>106.84806451612904</v>
      </c>
      <c r="AU48" s="104">
        <f t="shared" si="24"/>
        <v>195.54838709677421</v>
      </c>
      <c r="AV48" s="104">
        <f t="array" ref="AV48">_xlfn.IFS(U48=0,AO48,U48&lt;0,AO48/-U48,U48&gt;0,AO48/U48)</f>
        <v>294.358871727696</v>
      </c>
      <c r="AW48" s="244">
        <f t="shared" si="43"/>
        <v>0.24432236142984795</v>
      </c>
      <c r="AX48" s="244">
        <f t="shared" si="44"/>
        <v>2.7285768606571748</v>
      </c>
      <c r="AY48" s="105"/>
      <c r="AZ48" s="100">
        <f t="shared" si="12"/>
        <v>102731.2462329659</v>
      </c>
    </row>
    <row r="49" spans="1:52" outlineLevel="1">
      <c r="A49" s="95" t="s">
        <v>124</v>
      </c>
      <c r="B49" s="96">
        <v>386753444</v>
      </c>
      <c r="C49" s="96" t="s">
        <v>171</v>
      </c>
      <c r="D49" s="97" t="s">
        <v>84</v>
      </c>
      <c r="E49" s="242">
        <f t="shared" si="41"/>
        <v>130</v>
      </c>
      <c r="F49" s="99">
        <v>65</v>
      </c>
      <c r="G49" s="99">
        <v>25</v>
      </c>
      <c r="H49" s="99">
        <v>38</v>
      </c>
      <c r="I49" s="99">
        <v>0</v>
      </c>
      <c r="J49" s="99">
        <v>2</v>
      </c>
      <c r="K49" s="98">
        <v>123.09</v>
      </c>
      <c r="L49" s="98">
        <f t="shared" si="42"/>
        <v>16001.7</v>
      </c>
      <c r="M49" s="95">
        <v>28</v>
      </c>
      <c r="N49" s="95">
        <v>95</v>
      </c>
      <c r="O49" s="95">
        <v>1354</v>
      </c>
      <c r="P49" s="95">
        <v>40</v>
      </c>
      <c r="Q49" s="243">
        <f t="shared" si="13"/>
        <v>13.571428571428571</v>
      </c>
      <c r="R49" s="98">
        <f t="shared" si="14"/>
        <v>4.1428571428571432</v>
      </c>
      <c r="S49" s="99">
        <v>29</v>
      </c>
      <c r="T49" s="99">
        <v>0</v>
      </c>
      <c r="U49" s="98">
        <f t="shared" si="15"/>
        <v>29</v>
      </c>
      <c r="V49" s="99">
        <v>24497.099999999995</v>
      </c>
      <c r="W49" s="99">
        <v>0</v>
      </c>
      <c r="X49" s="98">
        <f t="shared" si="16"/>
        <v>24497.099999999995</v>
      </c>
      <c r="Y49" s="99">
        <v>38717.150000000009</v>
      </c>
      <c r="Z49" s="99">
        <v>0</v>
      </c>
      <c r="AA49" s="98">
        <f t="shared" si="17"/>
        <v>38717.150000000009</v>
      </c>
      <c r="AB49" s="98">
        <f t="shared" si="18"/>
        <v>51452</v>
      </c>
      <c r="AC49" s="244">
        <f t="shared" si="19"/>
        <v>1.5774513940530602E-2</v>
      </c>
      <c r="AD49" s="98">
        <f t="shared" si="20"/>
        <v>3569.61</v>
      </c>
      <c r="AE49" s="99">
        <v>14517.980000000007</v>
      </c>
      <c r="AF49" s="244">
        <f t="shared" si="21"/>
        <v>0.37497543078454904</v>
      </c>
      <c r="AG49" s="99">
        <v>5081.1499999999987</v>
      </c>
      <c r="AH49" s="99">
        <v>115</v>
      </c>
      <c r="AI49" s="99">
        <v>7915</v>
      </c>
      <c r="AJ49" s="99"/>
      <c r="AK49" s="99"/>
      <c r="AL49" s="128">
        <f t="shared" si="22"/>
        <v>32.955380593262944</v>
      </c>
      <c r="AM49" s="99">
        <v>0</v>
      </c>
      <c r="AN49" s="100">
        <f t="shared" si="23"/>
        <v>1398.7844099999998</v>
      </c>
      <c r="AO49" s="101">
        <f t="shared" si="25"/>
        <v>6086.6702094067405</v>
      </c>
      <c r="AP49" s="102"/>
      <c r="AQ49" s="103">
        <f t="shared" si="6"/>
        <v>1335.0741379310348</v>
      </c>
      <c r="AR49" s="104">
        <f t="shared" si="35"/>
        <v>123.09</v>
      </c>
      <c r="AS49" s="104">
        <f t="shared" si="8"/>
        <v>500.62000000000023</v>
      </c>
      <c r="AT49" s="104">
        <f t="shared" si="9"/>
        <v>175.2120689655172</v>
      </c>
      <c r="AU49" s="104">
        <f t="shared" si="24"/>
        <v>276.89655172413791</v>
      </c>
      <c r="AV49" s="104">
        <f t="array" ref="AV49">_xlfn.IFS(U49=0,AO49,U49&lt;0,AO49/-U49,U49&gt;0,AO49/U49)</f>
        <v>209.8851796347152</v>
      </c>
      <c r="AW49" s="244">
        <f t="shared" si="43"/>
        <v>0.15720863259322393</v>
      </c>
      <c r="AX49" s="244">
        <f t="shared" si="44"/>
        <v>1.7051359138412154</v>
      </c>
      <c r="AY49" s="105"/>
      <c r="AZ49" s="100">
        <f t="shared" si="12"/>
        <v>27285.073352512976</v>
      </c>
    </row>
    <row r="50" spans="1:52" outlineLevel="1">
      <c r="A50" s="95" t="s">
        <v>124</v>
      </c>
      <c r="B50" s="96">
        <v>386733628</v>
      </c>
      <c r="C50" s="96" t="s">
        <v>172</v>
      </c>
      <c r="D50" s="97" t="s">
        <v>84</v>
      </c>
      <c r="E50" s="242">
        <f t="shared" si="41"/>
        <v>207</v>
      </c>
      <c r="F50" s="99">
        <v>18</v>
      </c>
      <c r="G50" s="99">
        <v>8</v>
      </c>
      <c r="H50" s="99">
        <v>180</v>
      </c>
      <c r="I50" s="99">
        <v>0</v>
      </c>
      <c r="J50" s="99">
        <v>1</v>
      </c>
      <c r="K50" s="98">
        <v>134.79</v>
      </c>
      <c r="L50" s="98">
        <f t="shared" si="42"/>
        <v>27901.53</v>
      </c>
      <c r="M50" s="95">
        <v>121</v>
      </c>
      <c r="N50" s="95">
        <v>26</v>
      </c>
      <c r="O50" s="95">
        <v>1218</v>
      </c>
      <c r="P50" s="95">
        <v>30</v>
      </c>
      <c r="Q50" s="243">
        <f t="shared" si="13"/>
        <v>3.7142857142857144</v>
      </c>
      <c r="R50" s="98">
        <f t="shared" si="14"/>
        <v>1</v>
      </c>
      <c r="S50" s="99">
        <v>8</v>
      </c>
      <c r="T50" s="99">
        <v>-1</v>
      </c>
      <c r="U50" s="98">
        <f t="shared" si="15"/>
        <v>7</v>
      </c>
      <c r="V50" s="99">
        <v>6098</v>
      </c>
      <c r="W50" s="99">
        <v>-753</v>
      </c>
      <c r="X50" s="98">
        <f t="shared" si="16"/>
        <v>5345</v>
      </c>
      <c r="Y50" s="99">
        <v>9744</v>
      </c>
      <c r="Z50" s="99">
        <v>-1218</v>
      </c>
      <c r="AA50" s="98">
        <f t="shared" si="17"/>
        <v>8526</v>
      </c>
      <c r="AB50" s="98">
        <f t="shared" si="18"/>
        <v>9500.4</v>
      </c>
      <c r="AC50" s="244">
        <f t="shared" si="19"/>
        <v>3.4737449904490357E-3</v>
      </c>
      <c r="AD50" s="98">
        <f t="shared" si="20"/>
        <v>943.53</v>
      </c>
      <c r="AE50" s="99">
        <v>3203.1700000000005</v>
      </c>
      <c r="AF50" s="244">
        <f t="shared" si="21"/>
        <v>0.37569434670419899</v>
      </c>
      <c r="AG50" s="99">
        <v>1839.0099999999998</v>
      </c>
      <c r="AH50" s="99">
        <v>394</v>
      </c>
      <c r="AI50" s="99">
        <v>1905</v>
      </c>
      <c r="AJ50" s="99"/>
      <c r="AK50" s="99"/>
      <c r="AL50" s="128">
        <f t="shared" si="22"/>
        <v>156.10443438914029</v>
      </c>
      <c r="AM50" s="99">
        <v>20</v>
      </c>
      <c r="AN50" s="100">
        <f t="shared" si="23"/>
        <v>305.1995</v>
      </c>
      <c r="AO50" s="101">
        <f t="shared" si="25"/>
        <v>-240.01393438914079</v>
      </c>
      <c r="AP50" s="102"/>
      <c r="AQ50" s="103">
        <f t="shared" si="6"/>
        <v>1218</v>
      </c>
      <c r="AR50" s="104">
        <f t="shared" si="35"/>
        <v>134.79</v>
      </c>
      <c r="AS50" s="104">
        <f t="shared" si="8"/>
        <v>457.59571428571434</v>
      </c>
      <c r="AT50" s="104">
        <f t="shared" si="9"/>
        <v>229.87624999999997</v>
      </c>
      <c r="AU50" s="104">
        <f t="shared" si="24"/>
        <v>287.375</v>
      </c>
      <c r="AV50" s="104">
        <f t="array" ref="AV50">_xlfn.IFS(U50=0,AO50,U50&lt;0,AO50/-U50,U50&gt;0,AO50/U50)</f>
        <v>-34.287704912734398</v>
      </c>
      <c r="AW50" s="244">
        <f t="shared" si="43"/>
        <v>-2.8150825051506075E-2</v>
      </c>
      <c r="AX50" s="244">
        <f t="shared" si="44"/>
        <v>-0.25437869955289266</v>
      </c>
      <c r="AY50" s="105"/>
      <c r="AZ50" s="100">
        <f t="shared" si="12"/>
        <v>-7097.5549169360202</v>
      </c>
    </row>
    <row r="51" spans="1:52" outlineLevel="1">
      <c r="A51" s="95" t="s">
        <v>124</v>
      </c>
      <c r="B51" s="96">
        <v>386787535</v>
      </c>
      <c r="C51" s="96" t="s">
        <v>173</v>
      </c>
      <c r="D51" s="97" t="s">
        <v>84</v>
      </c>
      <c r="E51" s="242">
        <f t="shared" si="41"/>
        <v>8</v>
      </c>
      <c r="F51" s="99">
        <v>3</v>
      </c>
      <c r="G51" s="99">
        <v>2</v>
      </c>
      <c r="H51" s="99">
        <v>2</v>
      </c>
      <c r="I51" s="99">
        <v>0</v>
      </c>
      <c r="J51" s="99">
        <v>1</v>
      </c>
      <c r="K51" s="98">
        <v>144.15</v>
      </c>
      <c r="L51" s="98">
        <f t="shared" si="42"/>
        <v>1153.2</v>
      </c>
      <c r="M51" s="95">
        <v>5</v>
      </c>
      <c r="N51" s="95">
        <v>3</v>
      </c>
      <c r="O51" s="95">
        <v>1119</v>
      </c>
      <c r="P51" s="95">
        <v>50</v>
      </c>
      <c r="Q51" s="243">
        <f t="shared" si="13"/>
        <v>0.42857142857142855</v>
      </c>
      <c r="R51" s="98">
        <f t="shared" si="14"/>
        <v>0.2857142857142857</v>
      </c>
      <c r="S51" s="99">
        <v>2</v>
      </c>
      <c r="T51" s="99">
        <v>0</v>
      </c>
      <c r="U51" s="98">
        <f t="shared" si="15"/>
        <v>2</v>
      </c>
      <c r="V51" s="99">
        <v>1432</v>
      </c>
      <c r="W51" s="99">
        <v>0</v>
      </c>
      <c r="X51" s="98">
        <f t="shared" si="16"/>
        <v>1432</v>
      </c>
      <c r="Y51" s="99">
        <v>2238</v>
      </c>
      <c r="Z51" s="99">
        <v>0</v>
      </c>
      <c r="AA51" s="98">
        <f t="shared" si="17"/>
        <v>2238</v>
      </c>
      <c r="AB51" s="98">
        <f t="shared" si="18"/>
        <v>1678.5</v>
      </c>
      <c r="AC51" s="244">
        <f t="shared" si="19"/>
        <v>9.118275027709292E-4</v>
      </c>
      <c r="AD51" s="98">
        <f t="shared" si="20"/>
        <v>288.3</v>
      </c>
      <c r="AE51" s="99">
        <v>847.42000000000007</v>
      </c>
      <c r="AF51" s="244">
        <f t="shared" si="21"/>
        <v>0.37865058087578196</v>
      </c>
      <c r="AG51" s="99">
        <v>512.42000000000007</v>
      </c>
      <c r="AH51" s="99"/>
      <c r="AI51" s="99"/>
      <c r="AJ51" s="99"/>
      <c r="AK51" s="99"/>
      <c r="AL51" s="128">
        <f t="shared" si="22"/>
        <v>1.7344937154348921</v>
      </c>
      <c r="AM51" s="99">
        <v>0</v>
      </c>
      <c r="AN51" s="100">
        <f t="shared" si="23"/>
        <v>81.767200000000003</v>
      </c>
      <c r="AO51" s="101">
        <f t="shared" si="25"/>
        <v>506.35830628456506</v>
      </c>
      <c r="AP51" s="102"/>
      <c r="AQ51" s="103">
        <f t="shared" si="6"/>
        <v>1119</v>
      </c>
      <c r="AR51" s="104">
        <f t="shared" si="35"/>
        <v>144.15</v>
      </c>
      <c r="AS51" s="104">
        <f t="shared" si="8"/>
        <v>423.71000000000004</v>
      </c>
      <c r="AT51" s="104">
        <f t="shared" si="9"/>
        <v>256.21000000000004</v>
      </c>
      <c r="AU51" s="104">
        <f t="shared" si="24"/>
        <v>0</v>
      </c>
      <c r="AV51" s="104">
        <f t="array" ref="AV51">_xlfn.IFS(U51=0,AO51,U51&lt;0,AO51/-U51,U51&gt;0,AO51/U51)</f>
        <v>253.17915314228253</v>
      </c>
      <c r="AW51" s="244">
        <f t="shared" si="43"/>
        <v>0.22625482854538206</v>
      </c>
      <c r="AX51" s="244">
        <f t="shared" si="44"/>
        <v>1.7563590228392822</v>
      </c>
      <c r="AY51" s="105"/>
      <c r="AZ51" s="100">
        <f t="shared" si="12"/>
        <v>2025.4332251382602</v>
      </c>
    </row>
    <row r="52" spans="1:52" outlineLevel="1">
      <c r="A52" s="95" t="s">
        <v>124</v>
      </c>
      <c r="B52" s="96">
        <v>507114655</v>
      </c>
      <c r="C52" s="96" t="s">
        <v>174</v>
      </c>
      <c r="D52" s="97" t="s">
        <v>84</v>
      </c>
      <c r="E52" s="242">
        <f t="shared" si="41"/>
        <v>51</v>
      </c>
      <c r="F52" s="99">
        <v>2</v>
      </c>
      <c r="G52" s="99">
        <v>2</v>
      </c>
      <c r="H52" s="99">
        <v>46</v>
      </c>
      <c r="I52" s="99">
        <v>0</v>
      </c>
      <c r="J52" s="99">
        <v>1</v>
      </c>
      <c r="K52" s="98">
        <v>96.18</v>
      </c>
      <c r="L52" s="98">
        <f t="shared" si="42"/>
        <v>4905.18</v>
      </c>
      <c r="M52" s="95">
        <v>485</v>
      </c>
      <c r="N52" s="95">
        <v>2</v>
      </c>
      <c r="O52" s="95">
        <v>1106</v>
      </c>
      <c r="P52" s="95">
        <v>0</v>
      </c>
      <c r="Q52" s="243">
        <f t="shared" si="13"/>
        <v>0.2857142857142857</v>
      </c>
      <c r="R52" s="98">
        <f t="shared" si="14"/>
        <v>0</v>
      </c>
      <c r="S52" s="99">
        <v>0</v>
      </c>
      <c r="T52" s="99">
        <v>0</v>
      </c>
      <c r="U52" s="98">
        <f t="shared" si="15"/>
        <v>0</v>
      </c>
      <c r="V52" s="99">
        <v>0</v>
      </c>
      <c r="W52" s="99">
        <v>0</v>
      </c>
      <c r="X52" s="98">
        <f t="shared" si="16"/>
        <v>0</v>
      </c>
      <c r="Y52" s="99">
        <v>0</v>
      </c>
      <c r="Z52" s="99">
        <v>0</v>
      </c>
      <c r="AA52" s="98">
        <f t="shared" si="17"/>
        <v>0</v>
      </c>
      <c r="AB52" s="98">
        <f t="shared" si="18"/>
        <v>0</v>
      </c>
      <c r="AC52" s="244">
        <f t="shared" si="19"/>
        <v>0</v>
      </c>
      <c r="AD52" s="98">
        <f t="shared" si="20"/>
        <v>0</v>
      </c>
      <c r="AE52" s="99">
        <v>0</v>
      </c>
      <c r="AF52" s="244">
        <f t="shared" si="21"/>
        <v>0</v>
      </c>
      <c r="AG52" s="99">
        <v>419.82</v>
      </c>
      <c r="AH52" s="99"/>
      <c r="AI52" s="99"/>
      <c r="AJ52" s="99"/>
      <c r="AK52" s="99"/>
      <c r="AL52" s="128">
        <f t="shared" si="22"/>
        <v>39.893355455002521</v>
      </c>
      <c r="AM52" s="99">
        <v>0</v>
      </c>
      <c r="AN52" s="100">
        <f t="shared" si="23"/>
        <v>0</v>
      </c>
      <c r="AO52" s="101">
        <f t="shared" si="25"/>
        <v>-459.7133554550025</v>
      </c>
      <c r="AP52" s="102"/>
      <c r="AQ52" s="103">
        <f t="shared" si="6"/>
        <v>0</v>
      </c>
      <c r="AR52" s="104">
        <f t="shared" si="35"/>
        <v>96.18</v>
      </c>
      <c r="AS52" s="104">
        <f t="shared" si="8"/>
        <v>0</v>
      </c>
      <c r="AT52" s="104">
        <f t="shared" si="9"/>
        <v>419.82</v>
      </c>
      <c r="AU52" s="104">
        <f t="shared" si="24"/>
        <v>0</v>
      </c>
      <c r="AV52" s="104">
        <f t="array" ref="AV52">_xlfn.IFS(U52=0,AO52,U52&lt;0,AO52/-U52,U52&gt;0,AO52/U52)</f>
        <v>-459.7133554550025</v>
      </c>
      <c r="AW52" s="244">
        <f t="shared" si="43"/>
        <v>0</v>
      </c>
      <c r="AX52" s="244">
        <f t="shared" si="44"/>
        <v>-4.7797188132148314</v>
      </c>
      <c r="AY52" s="105"/>
      <c r="AZ52" s="100">
        <f t="shared" si="12"/>
        <v>-23445.381128205128</v>
      </c>
    </row>
    <row r="53" spans="1:52" outlineLevel="1">
      <c r="A53" s="95" t="s">
        <v>124</v>
      </c>
      <c r="B53" s="96">
        <v>507115073</v>
      </c>
      <c r="C53" s="96" t="s">
        <v>175</v>
      </c>
      <c r="D53" s="97" t="s">
        <v>84</v>
      </c>
      <c r="E53" s="242">
        <f t="shared" si="41"/>
        <v>48</v>
      </c>
      <c r="F53" s="99" t="s">
        <v>100</v>
      </c>
      <c r="G53" s="99" t="s">
        <v>100</v>
      </c>
      <c r="H53" s="99">
        <v>47</v>
      </c>
      <c r="I53" s="99">
        <v>0</v>
      </c>
      <c r="J53" s="99">
        <v>1</v>
      </c>
      <c r="K53" s="98">
        <v>96.18</v>
      </c>
      <c r="L53" s="98">
        <f t="shared" si="42"/>
        <v>4616.6400000000003</v>
      </c>
      <c r="M53" s="95">
        <v>999</v>
      </c>
      <c r="N53" s="95">
        <v>2</v>
      </c>
      <c r="O53" s="95">
        <v>1106</v>
      </c>
      <c r="P53" s="95">
        <v>50</v>
      </c>
      <c r="Q53" s="243">
        <f t="shared" si="13"/>
        <v>0.2857142857142857</v>
      </c>
      <c r="R53" s="98">
        <f t="shared" si="14"/>
        <v>0.14285714285714285</v>
      </c>
      <c r="S53" s="99">
        <v>1</v>
      </c>
      <c r="T53" s="99">
        <v>0</v>
      </c>
      <c r="U53" s="98">
        <f t="shared" si="15"/>
        <v>1</v>
      </c>
      <c r="V53" s="99">
        <v>616</v>
      </c>
      <c r="W53" s="99">
        <v>0</v>
      </c>
      <c r="X53" s="98">
        <f t="shared" si="16"/>
        <v>616</v>
      </c>
      <c r="Y53" s="99">
        <v>1072.82</v>
      </c>
      <c r="Z53" s="99">
        <v>0</v>
      </c>
      <c r="AA53" s="98">
        <f t="shared" si="17"/>
        <v>1072.82</v>
      </c>
      <c r="AB53" s="98">
        <f t="shared" si="18"/>
        <v>1106</v>
      </c>
      <c r="AC53" s="244">
        <f t="shared" si="19"/>
        <v>4.3709865126126374E-4</v>
      </c>
      <c r="AD53" s="98">
        <f t="shared" si="20"/>
        <v>96.18</v>
      </c>
      <c r="AE53" s="99">
        <v>398.18999999999994</v>
      </c>
      <c r="AF53" s="244">
        <f t="shared" si="21"/>
        <v>0.37116198430305175</v>
      </c>
      <c r="AG53" s="99">
        <v>250.53</v>
      </c>
      <c r="AH53" s="99"/>
      <c r="AI53" s="99"/>
      <c r="AJ53" s="99"/>
      <c r="AK53" s="99"/>
      <c r="AL53" s="128">
        <f t="shared" si="22"/>
        <v>40.760602312719961</v>
      </c>
      <c r="AM53" s="99">
        <v>0</v>
      </c>
      <c r="AN53" s="100">
        <f t="shared" si="23"/>
        <v>35.1736</v>
      </c>
      <c r="AO53" s="101">
        <f t="shared" si="25"/>
        <v>251.98579768727998</v>
      </c>
      <c r="AP53" s="102"/>
      <c r="AQ53" s="103">
        <f t="shared" si="6"/>
        <v>1072.82</v>
      </c>
      <c r="AR53" s="104">
        <f t="shared" si="35"/>
        <v>96.18</v>
      </c>
      <c r="AS53" s="104">
        <f t="shared" si="8"/>
        <v>398.18999999999994</v>
      </c>
      <c r="AT53" s="104">
        <f t="shared" si="9"/>
        <v>250.53</v>
      </c>
      <c r="AU53" s="104">
        <f t="shared" si="24"/>
        <v>0</v>
      </c>
      <c r="AV53" s="104">
        <f t="array" ref="AV53">_xlfn.IFS(U53=0,AO53,U53&lt;0,AO53/-U53,U53&gt;0,AO53/U53)</f>
        <v>251.98579768727998</v>
      </c>
      <c r="AW53" s="244">
        <f t="shared" si="43"/>
        <v>0.23488171145884679</v>
      </c>
      <c r="AX53" s="244">
        <f t="shared" si="44"/>
        <v>2.6199396723568307</v>
      </c>
      <c r="AY53" s="105"/>
      <c r="AZ53" s="100">
        <f t="shared" si="12"/>
        <v>12095.31828898944</v>
      </c>
    </row>
    <row r="54" spans="1:52" outlineLevel="1">
      <c r="A54" s="95" t="s">
        <v>124</v>
      </c>
      <c r="B54" s="96">
        <v>431398576</v>
      </c>
      <c r="C54" s="96" t="s">
        <v>176</v>
      </c>
      <c r="D54" s="97" t="s">
        <v>84</v>
      </c>
      <c r="E54" s="242">
        <f t="shared" ref="E54:E103" si="45">SUM(F54:J54)</f>
        <v>51</v>
      </c>
      <c r="F54" s="99">
        <v>4</v>
      </c>
      <c r="G54" s="99">
        <v>2</v>
      </c>
      <c r="H54" s="99">
        <v>44</v>
      </c>
      <c r="I54" s="99">
        <v>0</v>
      </c>
      <c r="J54" s="99">
        <v>1</v>
      </c>
      <c r="K54" s="99">
        <v>123.09</v>
      </c>
      <c r="L54" s="98">
        <f t="shared" si="42"/>
        <v>6277.59</v>
      </c>
      <c r="M54" s="95">
        <v>171</v>
      </c>
      <c r="N54" s="95">
        <v>7</v>
      </c>
      <c r="O54" s="95">
        <v>998</v>
      </c>
      <c r="P54" s="95">
        <v>33</v>
      </c>
      <c r="Q54" s="243">
        <f t="shared" si="13"/>
        <v>1</v>
      </c>
      <c r="R54" s="98">
        <f t="shared" si="14"/>
        <v>0.14285714285714285</v>
      </c>
      <c r="S54" s="99">
        <v>1</v>
      </c>
      <c r="T54" s="99">
        <v>0</v>
      </c>
      <c r="U54" s="98">
        <f t="shared" si="15"/>
        <v>1</v>
      </c>
      <c r="V54" s="99">
        <v>655</v>
      </c>
      <c r="W54" s="99">
        <v>0</v>
      </c>
      <c r="X54" s="98">
        <f t="shared" si="16"/>
        <v>655</v>
      </c>
      <c r="Y54" s="99">
        <v>998</v>
      </c>
      <c r="Z54" s="99">
        <v>0</v>
      </c>
      <c r="AA54" s="98">
        <f t="shared" si="17"/>
        <v>998</v>
      </c>
      <c r="AB54" s="98">
        <f t="shared" si="18"/>
        <v>2305.38</v>
      </c>
      <c r="AC54" s="244">
        <f t="shared" si="19"/>
        <v>4.0661476665120077E-4</v>
      </c>
      <c r="AD54" s="98">
        <f t="shared" si="20"/>
        <v>123.09</v>
      </c>
      <c r="AE54" s="99">
        <v>378</v>
      </c>
      <c r="AF54" s="244">
        <f t="shared" si="21"/>
        <v>0.37875751503006011</v>
      </c>
      <c r="AG54" s="99">
        <v>472.52</v>
      </c>
      <c r="AH54" s="99"/>
      <c r="AI54" s="99"/>
      <c r="AJ54" s="99"/>
      <c r="AK54" s="99"/>
      <c r="AL54" s="128">
        <f t="shared" si="22"/>
        <v>38.15886173956762</v>
      </c>
      <c r="AM54" s="99">
        <v>0</v>
      </c>
      <c r="AN54" s="100">
        <f t="shared" si="23"/>
        <v>37.400500000000001</v>
      </c>
      <c r="AO54" s="101">
        <f t="shared" si="25"/>
        <v>-51.169361739567634</v>
      </c>
      <c r="AP54" s="102"/>
      <c r="AQ54" s="103">
        <f t="shared" si="6"/>
        <v>998</v>
      </c>
      <c r="AR54" s="104">
        <f t="shared" si="35"/>
        <v>123.09</v>
      </c>
      <c r="AS54" s="104">
        <f t="shared" si="8"/>
        <v>378</v>
      </c>
      <c r="AT54" s="104">
        <f t="shared" si="9"/>
        <v>472.52</v>
      </c>
      <c r="AU54" s="104">
        <f t="shared" si="24"/>
        <v>0</v>
      </c>
      <c r="AV54" s="104">
        <f t="array" ref="AV54">_xlfn.IFS(U54=0,AO54,U54&lt;0,AO54/-U54,U54&gt;0,AO54/U54)</f>
        <v>-51.169361739567634</v>
      </c>
      <c r="AW54" s="244">
        <f t="shared" si="43"/>
        <v>-5.1271905550668975E-2</v>
      </c>
      <c r="AX54" s="244">
        <f t="shared" si="44"/>
        <v>-0.4157068952763639</v>
      </c>
      <c r="AY54" s="105"/>
      <c r="AZ54" s="100">
        <f t="shared" si="12"/>
        <v>-2609.6374487179492</v>
      </c>
    </row>
    <row r="55" spans="1:52" outlineLevel="1">
      <c r="A55" s="95" t="s">
        <v>124</v>
      </c>
      <c r="B55" s="96">
        <v>431391163</v>
      </c>
      <c r="C55" s="96" t="s">
        <v>177</v>
      </c>
      <c r="D55" s="97" t="s">
        <v>84</v>
      </c>
      <c r="E55" s="242">
        <f t="shared" si="45"/>
        <v>2</v>
      </c>
      <c r="F55" s="99" t="s">
        <v>100</v>
      </c>
      <c r="G55" s="99" t="s">
        <v>100</v>
      </c>
      <c r="H55" s="99">
        <v>1</v>
      </c>
      <c r="I55" s="99">
        <v>0</v>
      </c>
      <c r="J55" s="99">
        <v>1</v>
      </c>
      <c r="K55" s="99">
        <v>158.19</v>
      </c>
      <c r="L55" s="98">
        <f t="shared" si="42"/>
        <v>316.38</v>
      </c>
      <c r="M55" s="95">
        <v>999</v>
      </c>
      <c r="N55" s="95">
        <v>0</v>
      </c>
      <c r="O55" s="95">
        <v>0</v>
      </c>
      <c r="P55" s="95">
        <v>0</v>
      </c>
      <c r="Q55" s="243">
        <f t="shared" si="13"/>
        <v>0</v>
      </c>
      <c r="R55" s="98">
        <f t="shared" si="14"/>
        <v>0</v>
      </c>
      <c r="S55" s="99">
        <v>0</v>
      </c>
      <c r="T55" s="99">
        <v>0</v>
      </c>
      <c r="U55" s="98">
        <f t="shared" si="15"/>
        <v>0</v>
      </c>
      <c r="V55" s="99">
        <v>0</v>
      </c>
      <c r="W55" s="99">
        <v>0</v>
      </c>
      <c r="X55" s="98">
        <f t="shared" si="16"/>
        <v>0</v>
      </c>
      <c r="Y55" s="99">
        <v>0</v>
      </c>
      <c r="Z55" s="99">
        <v>0</v>
      </c>
      <c r="AA55" s="98">
        <f t="shared" si="17"/>
        <v>0</v>
      </c>
      <c r="AB55" s="98">
        <f t="shared" si="18"/>
        <v>0</v>
      </c>
      <c r="AC55" s="244">
        <f t="shared" si="19"/>
        <v>0</v>
      </c>
      <c r="AD55" s="98">
        <f t="shared" si="20"/>
        <v>0</v>
      </c>
      <c r="AE55" s="99">
        <v>0</v>
      </c>
      <c r="AF55" s="244">
        <f t="shared" si="21"/>
        <v>0</v>
      </c>
      <c r="AG55" s="99">
        <v>0</v>
      </c>
      <c r="AH55" s="99"/>
      <c r="AI55" s="99"/>
      <c r="AJ55" s="99"/>
      <c r="AK55" s="99"/>
      <c r="AL55" s="128">
        <f t="shared" si="22"/>
        <v>0.86724685771744603</v>
      </c>
      <c r="AM55" s="99">
        <v>0</v>
      </c>
      <c r="AN55" s="100">
        <f t="shared" si="23"/>
        <v>0</v>
      </c>
      <c r="AO55" s="101">
        <f t="shared" si="25"/>
        <v>-0.86724685771744603</v>
      </c>
      <c r="AP55" s="102"/>
      <c r="AQ55" s="103">
        <f t="shared" si="6"/>
        <v>0</v>
      </c>
      <c r="AR55" s="104">
        <f t="shared" si="35"/>
        <v>158.19</v>
      </c>
      <c r="AS55" s="104">
        <f t="shared" si="8"/>
        <v>0</v>
      </c>
      <c r="AT55" s="104">
        <f t="shared" si="9"/>
        <v>0</v>
      </c>
      <c r="AU55" s="104">
        <f t="shared" si="24"/>
        <v>0</v>
      </c>
      <c r="AV55" s="104">
        <f t="array" ref="AV55">_xlfn.IFS(U55=0,AO55,U55&lt;0,AO55/-U55,U55&gt;0,AO55/U55)</f>
        <v>-0.86724685771744603</v>
      </c>
      <c r="AW55" s="244">
        <f t="shared" si="43"/>
        <v>0</v>
      </c>
      <c r="AX55" s="244">
        <f t="shared" si="44"/>
        <v>-5.4823115096873766E-3</v>
      </c>
      <c r="AY55" s="105"/>
      <c r="AZ55" s="100">
        <f t="shared" si="12"/>
        <v>-1.7344937154348921</v>
      </c>
    </row>
    <row r="56" spans="1:52" outlineLevel="1">
      <c r="A56" s="95" t="s">
        <v>124</v>
      </c>
      <c r="B56" s="96">
        <v>431392656</v>
      </c>
      <c r="C56" s="96" t="s">
        <v>178</v>
      </c>
      <c r="D56" s="97" t="s">
        <v>84</v>
      </c>
      <c r="E56" s="242">
        <f t="shared" si="45"/>
        <v>2</v>
      </c>
      <c r="F56" s="99" t="s">
        <v>100</v>
      </c>
      <c r="G56" s="99">
        <v>1</v>
      </c>
      <c r="H56" s="99" t="s">
        <v>100</v>
      </c>
      <c r="I56" s="99">
        <v>0</v>
      </c>
      <c r="J56" s="99">
        <v>1</v>
      </c>
      <c r="K56" s="99">
        <v>152.34</v>
      </c>
      <c r="L56" s="98">
        <f t="shared" si="42"/>
        <v>304.68</v>
      </c>
      <c r="M56" s="95">
        <v>8</v>
      </c>
      <c r="N56" s="95">
        <v>0</v>
      </c>
      <c r="O56" s="95">
        <v>0</v>
      </c>
      <c r="P56" s="95">
        <v>0</v>
      </c>
      <c r="Q56" s="243">
        <f t="shared" si="13"/>
        <v>0</v>
      </c>
      <c r="R56" s="98">
        <f t="shared" si="14"/>
        <v>0.14285714285714285</v>
      </c>
      <c r="S56" s="99">
        <v>1</v>
      </c>
      <c r="T56" s="99">
        <v>0</v>
      </c>
      <c r="U56" s="98">
        <f t="shared" si="15"/>
        <v>1</v>
      </c>
      <c r="V56" s="99">
        <v>637</v>
      </c>
      <c r="W56" s="99">
        <v>0</v>
      </c>
      <c r="X56" s="98">
        <f t="shared" si="16"/>
        <v>637</v>
      </c>
      <c r="Y56" s="99">
        <v>1049</v>
      </c>
      <c r="Z56" s="99">
        <v>0</v>
      </c>
      <c r="AA56" s="98">
        <f t="shared" si="17"/>
        <v>1049</v>
      </c>
      <c r="AB56" s="98">
        <f t="shared" si="18"/>
        <v>0</v>
      </c>
      <c r="AC56" s="244">
        <f t="shared" si="19"/>
        <v>4.2739367757225414E-4</v>
      </c>
      <c r="AD56" s="98">
        <f t="shared" si="20"/>
        <v>152.34</v>
      </c>
      <c r="AE56" s="99">
        <v>390.47</v>
      </c>
      <c r="AF56" s="244">
        <f t="shared" si="21"/>
        <v>0.372230695900858</v>
      </c>
      <c r="AG56" s="99">
        <v>325.44</v>
      </c>
      <c r="AH56" s="99"/>
      <c r="AI56" s="99"/>
      <c r="AJ56" s="99"/>
      <c r="AK56" s="99"/>
      <c r="AL56" s="128">
        <f t="shared" si="22"/>
        <v>0</v>
      </c>
      <c r="AM56" s="99">
        <v>20</v>
      </c>
      <c r="AN56" s="100">
        <f t="shared" si="23"/>
        <v>36.372700000000002</v>
      </c>
      <c r="AO56" s="101">
        <f t="shared" si="25"/>
        <v>124.37729999999993</v>
      </c>
      <c r="AP56" s="102"/>
      <c r="AQ56" s="103">
        <f t="shared" si="6"/>
        <v>1049</v>
      </c>
      <c r="AR56" s="104">
        <f t="shared" si="35"/>
        <v>152.34</v>
      </c>
      <c r="AS56" s="104">
        <f t="shared" si="8"/>
        <v>390.47</v>
      </c>
      <c r="AT56" s="104">
        <f t="shared" si="9"/>
        <v>325.44</v>
      </c>
      <c r="AU56" s="104">
        <f t="shared" si="24"/>
        <v>0</v>
      </c>
      <c r="AV56" s="104">
        <f t="array" ref="AV56">_xlfn.IFS(U56=0,AO56,U56&lt;0,AO56/-U56,U56&gt;0,AO56/U56)</f>
        <v>124.37729999999993</v>
      </c>
      <c r="AW56" s="244">
        <f t="shared" si="43"/>
        <v>0.11856749285033359</v>
      </c>
      <c r="AX56" s="244">
        <f t="shared" si="44"/>
        <v>0.81644545096494636</v>
      </c>
      <c r="AY56" s="105"/>
      <c r="AZ56" s="100">
        <f t="shared" si="12"/>
        <v>248.75459999999987</v>
      </c>
    </row>
    <row r="57" spans="1:52" outlineLevel="1">
      <c r="A57" s="95" t="s">
        <v>124</v>
      </c>
      <c r="B57" s="96">
        <v>431394484</v>
      </c>
      <c r="C57" s="96" t="s">
        <v>179</v>
      </c>
      <c r="D57" s="97" t="s">
        <v>84</v>
      </c>
      <c r="E57" s="242">
        <f t="shared" si="45"/>
        <v>41</v>
      </c>
      <c r="F57" s="99">
        <v>0</v>
      </c>
      <c r="G57" s="99">
        <v>0</v>
      </c>
      <c r="H57" s="99">
        <v>0</v>
      </c>
      <c r="I57" s="99">
        <v>0</v>
      </c>
      <c r="J57" s="99">
        <v>41</v>
      </c>
      <c r="K57" s="99">
        <v>93.84</v>
      </c>
      <c r="L57" s="98">
        <f t="shared" si="42"/>
        <v>3847.44</v>
      </c>
      <c r="M57" s="95">
        <v>0</v>
      </c>
      <c r="N57" s="95">
        <v>0</v>
      </c>
      <c r="O57" s="95">
        <v>0</v>
      </c>
      <c r="P57" s="95">
        <v>0</v>
      </c>
      <c r="Q57" s="243">
        <f t="shared" si="13"/>
        <v>0</v>
      </c>
      <c r="R57" s="98">
        <f t="shared" si="14"/>
        <v>0</v>
      </c>
      <c r="S57" s="99">
        <v>0</v>
      </c>
      <c r="T57" s="99">
        <v>0</v>
      </c>
      <c r="U57" s="98">
        <f t="shared" si="15"/>
        <v>0</v>
      </c>
      <c r="V57" s="99">
        <v>0</v>
      </c>
      <c r="W57" s="99">
        <v>0</v>
      </c>
      <c r="X57" s="98">
        <f t="shared" si="16"/>
        <v>0</v>
      </c>
      <c r="Y57" s="99">
        <v>0</v>
      </c>
      <c r="Z57" s="99">
        <v>0</v>
      </c>
      <c r="AA57" s="98">
        <f t="shared" si="17"/>
        <v>0</v>
      </c>
      <c r="AB57" s="98">
        <f t="shared" si="18"/>
        <v>0</v>
      </c>
      <c r="AC57" s="244">
        <f t="shared" si="19"/>
        <v>0</v>
      </c>
      <c r="AD57" s="98">
        <f t="shared" si="20"/>
        <v>0</v>
      </c>
      <c r="AE57" s="99">
        <v>0</v>
      </c>
      <c r="AF57" s="244">
        <f t="shared" si="21"/>
        <v>0</v>
      </c>
      <c r="AG57" s="99">
        <v>0</v>
      </c>
      <c r="AH57" s="99"/>
      <c r="AI57" s="99"/>
      <c r="AJ57" s="99"/>
      <c r="AK57" s="99"/>
      <c r="AL57" s="128">
        <f t="shared" si="22"/>
        <v>0</v>
      </c>
      <c r="AM57" s="99">
        <v>0</v>
      </c>
      <c r="AN57" s="100">
        <f t="shared" si="23"/>
        <v>0</v>
      </c>
      <c r="AO57" s="101">
        <f t="shared" si="25"/>
        <v>0</v>
      </c>
      <c r="AP57" s="102"/>
      <c r="AQ57" s="103">
        <f t="shared" si="6"/>
        <v>0</v>
      </c>
      <c r="AR57" s="104">
        <f t="shared" si="35"/>
        <v>93.84</v>
      </c>
      <c r="AS57" s="104">
        <f t="shared" si="8"/>
        <v>0</v>
      </c>
      <c r="AT57" s="104">
        <f t="shared" si="9"/>
        <v>0</v>
      </c>
      <c r="AU57" s="104">
        <f t="shared" si="24"/>
        <v>0</v>
      </c>
      <c r="AV57" s="104">
        <f t="array" ref="AV57">_xlfn.IFS(U57=0,AO57,U57&lt;0,AO57/-U57,U57&gt;0,AO57/U57)</f>
        <v>0</v>
      </c>
      <c r="AW57" s="244">
        <f t="shared" si="43"/>
        <v>0</v>
      </c>
      <c r="AX57" s="244">
        <f t="shared" si="44"/>
        <v>0</v>
      </c>
      <c r="AY57" s="105"/>
      <c r="AZ57" s="100">
        <f t="shared" si="12"/>
        <v>0</v>
      </c>
    </row>
    <row r="58" spans="1:52" outlineLevel="1">
      <c r="A58" s="95" t="s">
        <v>124</v>
      </c>
      <c r="B58" s="96">
        <v>431397787</v>
      </c>
      <c r="C58" s="96" t="s">
        <v>180</v>
      </c>
      <c r="D58" s="97" t="s">
        <v>84</v>
      </c>
      <c r="E58" s="242">
        <f t="shared" si="45"/>
        <v>41</v>
      </c>
      <c r="F58" s="99">
        <v>7</v>
      </c>
      <c r="G58" s="99">
        <v>4</v>
      </c>
      <c r="H58" s="99">
        <v>29</v>
      </c>
      <c r="I58" s="99">
        <v>0</v>
      </c>
      <c r="J58" s="99">
        <v>1</v>
      </c>
      <c r="K58" s="99">
        <v>169.89</v>
      </c>
      <c r="L58" s="98">
        <f t="shared" si="42"/>
        <v>6965.49</v>
      </c>
      <c r="M58" s="95">
        <v>60</v>
      </c>
      <c r="N58" s="95">
        <v>8</v>
      </c>
      <c r="O58" s="95">
        <v>1039</v>
      </c>
      <c r="P58" s="95">
        <v>25</v>
      </c>
      <c r="Q58" s="243">
        <f t="shared" si="13"/>
        <v>1.1428571428571428</v>
      </c>
      <c r="R58" s="98">
        <f t="shared" si="14"/>
        <v>0.2857142857142857</v>
      </c>
      <c r="S58" s="99">
        <v>3</v>
      </c>
      <c r="T58" s="99">
        <v>-1</v>
      </c>
      <c r="U58" s="98">
        <f t="shared" si="15"/>
        <v>2</v>
      </c>
      <c r="V58" s="99">
        <v>1931</v>
      </c>
      <c r="W58" s="99">
        <v>-616</v>
      </c>
      <c r="X58" s="98">
        <f t="shared" si="16"/>
        <v>1315</v>
      </c>
      <c r="Y58" s="99">
        <v>3117</v>
      </c>
      <c r="Z58" s="99">
        <v>-1039</v>
      </c>
      <c r="AA58" s="98">
        <f t="shared" si="17"/>
        <v>2078</v>
      </c>
      <c r="AB58" s="98">
        <f t="shared" si="18"/>
        <v>2078</v>
      </c>
      <c r="AC58" s="244">
        <f t="shared" si="19"/>
        <v>8.4663876262644814E-4</v>
      </c>
      <c r="AD58" s="98">
        <f t="shared" si="20"/>
        <v>339.78</v>
      </c>
      <c r="AE58" s="99">
        <v>775.21000000000026</v>
      </c>
      <c r="AF58" s="244">
        <f t="shared" si="21"/>
        <v>0.37305582290664113</v>
      </c>
      <c r="AG58" s="99">
        <v>1005.5200000000001</v>
      </c>
      <c r="AH58" s="99">
        <v>460</v>
      </c>
      <c r="AI58" s="99">
        <v>1447</v>
      </c>
      <c r="AJ58" s="99"/>
      <c r="AK58" s="99"/>
      <c r="AL58" s="128">
        <f t="shared" si="22"/>
        <v>25.150158873805935</v>
      </c>
      <c r="AM58" s="99">
        <v>0</v>
      </c>
      <c r="AN58" s="100">
        <f t="shared" si="23"/>
        <v>75.086500000000001</v>
      </c>
      <c r="AO58" s="101">
        <f t="shared" si="25"/>
        <v>-2049.7466588738062</v>
      </c>
      <c r="AP58" s="102"/>
      <c r="AQ58" s="103">
        <f t="shared" si="6"/>
        <v>1039</v>
      </c>
      <c r="AR58" s="104">
        <f t="shared" si="35"/>
        <v>169.89</v>
      </c>
      <c r="AS58" s="104">
        <f t="shared" si="8"/>
        <v>387.60500000000013</v>
      </c>
      <c r="AT58" s="104">
        <f t="shared" si="9"/>
        <v>335.17333333333335</v>
      </c>
      <c r="AU58" s="104">
        <f t="shared" si="24"/>
        <v>635.66666666666663</v>
      </c>
      <c r="AV58" s="104">
        <f t="array" ref="AV58">_xlfn.IFS(U58=0,AO58,U58&lt;0,AO58/-U58,U58&gt;0,AO58/U58)</f>
        <v>-1024.8733294369031</v>
      </c>
      <c r="AW58" s="244">
        <f t="shared" si="43"/>
        <v>-0.98640358944841489</v>
      </c>
      <c r="AX58" s="244">
        <f t="shared" si="44"/>
        <v>-6.0325700714397739</v>
      </c>
      <c r="AY58" s="105"/>
      <c r="AZ58" s="100">
        <f t="shared" si="12"/>
        <v>-42019.806506913024</v>
      </c>
    </row>
    <row r="59" spans="1:52" outlineLevel="1">
      <c r="A59" s="95" t="s">
        <v>124</v>
      </c>
      <c r="B59" s="96">
        <v>431399167</v>
      </c>
      <c r="C59" s="96" t="s">
        <v>181</v>
      </c>
      <c r="D59" s="97" t="s">
        <v>84</v>
      </c>
      <c r="E59" s="242">
        <f t="shared" si="45"/>
        <v>1</v>
      </c>
      <c r="F59" s="99">
        <v>0</v>
      </c>
      <c r="G59" s="99">
        <v>0</v>
      </c>
      <c r="H59" s="99">
        <v>0</v>
      </c>
      <c r="I59" s="99">
        <v>0</v>
      </c>
      <c r="J59" s="99">
        <v>1</v>
      </c>
      <c r="K59" s="99">
        <v>158.19</v>
      </c>
      <c r="L59" s="98">
        <f t="shared" si="42"/>
        <v>158.19</v>
      </c>
      <c r="M59" s="95">
        <v>0</v>
      </c>
      <c r="N59" s="95">
        <v>0</v>
      </c>
      <c r="O59" s="95">
        <v>0</v>
      </c>
      <c r="P59" s="95">
        <v>0</v>
      </c>
      <c r="Q59" s="243">
        <f t="shared" si="13"/>
        <v>0</v>
      </c>
      <c r="R59" s="98">
        <f t="shared" si="14"/>
        <v>0</v>
      </c>
      <c r="S59" s="99">
        <v>0</v>
      </c>
      <c r="T59" s="99">
        <v>0</v>
      </c>
      <c r="U59" s="98">
        <f t="shared" si="15"/>
        <v>0</v>
      </c>
      <c r="V59" s="99">
        <v>0</v>
      </c>
      <c r="W59" s="99">
        <v>0</v>
      </c>
      <c r="X59" s="98">
        <f t="shared" si="16"/>
        <v>0</v>
      </c>
      <c r="Y59" s="99">
        <v>0</v>
      </c>
      <c r="Z59" s="99">
        <v>0</v>
      </c>
      <c r="AA59" s="98">
        <f t="shared" si="17"/>
        <v>0</v>
      </c>
      <c r="AB59" s="98">
        <f t="shared" si="18"/>
        <v>0</v>
      </c>
      <c r="AC59" s="244">
        <f t="shared" si="19"/>
        <v>0</v>
      </c>
      <c r="AD59" s="98">
        <f t="shared" si="20"/>
        <v>0</v>
      </c>
      <c r="AE59" s="99">
        <v>0</v>
      </c>
      <c r="AF59" s="244">
        <f t="shared" si="21"/>
        <v>0</v>
      </c>
      <c r="AG59" s="99">
        <v>0</v>
      </c>
      <c r="AH59" s="99"/>
      <c r="AI59" s="99"/>
      <c r="AJ59" s="99"/>
      <c r="AK59" s="99"/>
      <c r="AL59" s="128">
        <f t="shared" si="22"/>
        <v>0</v>
      </c>
      <c r="AM59" s="99">
        <v>0</v>
      </c>
      <c r="AN59" s="100">
        <f t="shared" si="23"/>
        <v>0</v>
      </c>
      <c r="AO59" s="101">
        <f t="shared" si="25"/>
        <v>0</v>
      </c>
      <c r="AP59" s="102"/>
      <c r="AQ59" s="103">
        <f t="shared" si="6"/>
        <v>0</v>
      </c>
      <c r="AR59" s="104">
        <f t="shared" si="35"/>
        <v>158.19</v>
      </c>
      <c r="AS59" s="104">
        <f t="shared" si="8"/>
        <v>0</v>
      </c>
      <c r="AT59" s="104">
        <f t="shared" si="9"/>
        <v>0</v>
      </c>
      <c r="AU59" s="104">
        <f t="shared" si="24"/>
        <v>0</v>
      </c>
      <c r="AV59" s="104">
        <f t="array" ref="AV59">_xlfn.IFS(U59=0,AO59,U59&lt;0,AO59/-U59,U59&gt;0,AO59/U59)</f>
        <v>0</v>
      </c>
      <c r="AW59" s="244">
        <f t="shared" si="43"/>
        <v>0</v>
      </c>
      <c r="AX59" s="244">
        <f t="shared" si="44"/>
        <v>0</v>
      </c>
      <c r="AY59" s="105"/>
      <c r="AZ59" s="100">
        <f t="shared" si="12"/>
        <v>0</v>
      </c>
    </row>
    <row r="60" spans="1:52" outlineLevel="1">
      <c r="A60" s="95" t="s">
        <v>124</v>
      </c>
      <c r="B60" s="96">
        <v>431399543</v>
      </c>
      <c r="C60" s="96" t="s">
        <v>182</v>
      </c>
      <c r="D60" s="97" t="s">
        <v>84</v>
      </c>
      <c r="E60" s="242">
        <f t="shared" si="45"/>
        <v>69</v>
      </c>
      <c r="F60" s="99" t="s">
        <v>100</v>
      </c>
      <c r="G60" s="99">
        <v>5</v>
      </c>
      <c r="H60" s="99">
        <v>23</v>
      </c>
      <c r="I60" s="99">
        <v>0</v>
      </c>
      <c r="J60" s="99">
        <v>41</v>
      </c>
      <c r="K60" s="99">
        <v>158.19</v>
      </c>
      <c r="L60" s="98">
        <f t="shared" si="42"/>
        <v>10915.11</v>
      </c>
      <c r="M60" s="95">
        <v>156</v>
      </c>
      <c r="N60" s="95">
        <v>3</v>
      </c>
      <c r="O60" s="95">
        <v>1049</v>
      </c>
      <c r="P60" s="95">
        <v>67</v>
      </c>
      <c r="Q60" s="243">
        <f t="shared" si="13"/>
        <v>0.42857142857142855</v>
      </c>
      <c r="R60" s="98">
        <f t="shared" si="14"/>
        <v>0.2857142857142857</v>
      </c>
      <c r="S60" s="99">
        <v>2</v>
      </c>
      <c r="T60" s="99">
        <v>0</v>
      </c>
      <c r="U60" s="98">
        <f t="shared" si="15"/>
        <v>2</v>
      </c>
      <c r="V60" s="99">
        <v>1270</v>
      </c>
      <c r="W60" s="99">
        <v>0</v>
      </c>
      <c r="X60" s="98">
        <f t="shared" si="16"/>
        <v>1270</v>
      </c>
      <c r="Y60" s="99">
        <v>2066.5299999999997</v>
      </c>
      <c r="Z60" s="99">
        <v>0</v>
      </c>
      <c r="AA60" s="98">
        <f t="shared" si="17"/>
        <v>2066.5299999999997</v>
      </c>
      <c r="AB60" s="98">
        <f t="shared" si="18"/>
        <v>2108.4899999999998</v>
      </c>
      <c r="AC60" s="244">
        <f t="shared" si="19"/>
        <v>8.4196554481734051E-4</v>
      </c>
      <c r="AD60" s="98">
        <f t="shared" si="20"/>
        <v>316.38</v>
      </c>
      <c r="AE60" s="99">
        <v>756.66999999999962</v>
      </c>
      <c r="AF60" s="244">
        <f t="shared" si="21"/>
        <v>0.36615485862774783</v>
      </c>
      <c r="AG60" s="99">
        <v>313.86</v>
      </c>
      <c r="AH60" s="99"/>
      <c r="AI60" s="99"/>
      <c r="AJ60" s="99"/>
      <c r="AK60" s="99"/>
      <c r="AL60" s="128">
        <f t="shared" si="22"/>
        <v>19.94667772750126</v>
      </c>
      <c r="AM60" s="99">
        <v>0</v>
      </c>
      <c r="AN60" s="100">
        <f t="shared" si="23"/>
        <v>72.516999999999996</v>
      </c>
      <c r="AO60" s="101">
        <f t="shared" si="25"/>
        <v>587.15632227249876</v>
      </c>
      <c r="AP60" s="102"/>
      <c r="AQ60" s="103">
        <f t="shared" si="6"/>
        <v>1033.2649999999999</v>
      </c>
      <c r="AR60" s="104">
        <f t="shared" si="35"/>
        <v>158.19</v>
      </c>
      <c r="AS60" s="104">
        <f t="shared" si="8"/>
        <v>378.33499999999981</v>
      </c>
      <c r="AT60" s="104">
        <f t="shared" si="9"/>
        <v>156.93</v>
      </c>
      <c r="AU60" s="104">
        <f t="shared" si="24"/>
        <v>0</v>
      </c>
      <c r="AV60" s="104">
        <f t="array" ref="AV60">_xlfn.IFS(U60=0,AO60,U60&lt;0,AO60/-U60,U60&gt;0,AO60/U60)</f>
        <v>293.57816113624938</v>
      </c>
      <c r="AW60" s="244">
        <f t="shared" si="43"/>
        <v>0.2841266868966329</v>
      </c>
      <c r="AX60" s="244">
        <f t="shared" si="44"/>
        <v>1.8558578995906783</v>
      </c>
      <c r="AY60" s="105"/>
      <c r="AZ60" s="100">
        <f t="shared" si="12"/>
        <v>20256.893118401207</v>
      </c>
    </row>
    <row r="61" spans="1:52" outlineLevel="1">
      <c r="A61" s="95" t="s">
        <v>124</v>
      </c>
      <c r="B61" s="96">
        <v>431399941</v>
      </c>
      <c r="C61" s="96" t="s">
        <v>183</v>
      </c>
      <c r="D61" s="97" t="s">
        <v>84</v>
      </c>
      <c r="E61" s="242">
        <f t="shared" si="45"/>
        <v>484</v>
      </c>
      <c r="F61" s="99" t="s">
        <v>100</v>
      </c>
      <c r="G61" s="99" t="s">
        <v>100</v>
      </c>
      <c r="H61" s="99">
        <v>163</v>
      </c>
      <c r="I61" s="99">
        <v>0</v>
      </c>
      <c r="J61" s="99">
        <v>321</v>
      </c>
      <c r="K61" s="99">
        <v>128.94</v>
      </c>
      <c r="L61" s="98">
        <f t="shared" si="42"/>
        <v>62406.96</v>
      </c>
      <c r="M61" s="95">
        <v>999</v>
      </c>
      <c r="N61" s="95">
        <v>0</v>
      </c>
      <c r="O61" s="95">
        <v>0</v>
      </c>
      <c r="P61" s="95">
        <v>0</v>
      </c>
      <c r="Q61" s="243">
        <f t="shared" si="13"/>
        <v>0</v>
      </c>
      <c r="R61" s="98">
        <f t="shared" si="14"/>
        <v>0</v>
      </c>
      <c r="S61" s="99">
        <v>0</v>
      </c>
      <c r="T61" s="99">
        <v>0</v>
      </c>
      <c r="U61" s="98">
        <f t="shared" si="15"/>
        <v>0</v>
      </c>
      <c r="V61" s="99">
        <v>0</v>
      </c>
      <c r="W61" s="99">
        <v>0</v>
      </c>
      <c r="X61" s="98">
        <f t="shared" si="16"/>
        <v>0</v>
      </c>
      <c r="Y61" s="99">
        <v>0</v>
      </c>
      <c r="Z61" s="99">
        <v>0</v>
      </c>
      <c r="AA61" s="98">
        <f t="shared" si="17"/>
        <v>0</v>
      </c>
      <c r="AB61" s="98">
        <f t="shared" si="18"/>
        <v>0</v>
      </c>
      <c r="AC61" s="244">
        <f t="shared" si="19"/>
        <v>0</v>
      </c>
      <c r="AD61" s="98">
        <f t="shared" si="20"/>
        <v>0</v>
      </c>
      <c r="AE61" s="99">
        <v>0</v>
      </c>
      <c r="AF61" s="244">
        <f t="shared" si="21"/>
        <v>0</v>
      </c>
      <c r="AG61" s="99">
        <v>93.93</v>
      </c>
      <c r="AH61" s="99"/>
      <c r="AI61" s="99"/>
      <c r="AJ61" s="99"/>
      <c r="AK61" s="99"/>
      <c r="AL61" s="128">
        <f t="shared" si="22"/>
        <v>141.3612378079437</v>
      </c>
      <c r="AM61" s="99">
        <v>0</v>
      </c>
      <c r="AN61" s="100">
        <f t="shared" si="23"/>
        <v>0</v>
      </c>
      <c r="AO61" s="101">
        <f t="shared" si="25"/>
        <v>-235.2912378079437</v>
      </c>
      <c r="AP61" s="102"/>
      <c r="AQ61" s="103">
        <f t="shared" si="6"/>
        <v>0</v>
      </c>
      <c r="AR61" s="104">
        <f t="shared" si="35"/>
        <v>128.94</v>
      </c>
      <c r="AS61" s="104">
        <f t="shared" si="8"/>
        <v>0</v>
      </c>
      <c r="AT61" s="104">
        <f t="shared" si="9"/>
        <v>93.93</v>
      </c>
      <c r="AU61" s="104">
        <f t="shared" si="24"/>
        <v>0</v>
      </c>
      <c r="AV61" s="104">
        <f t="array" ref="AV61">_xlfn.IFS(U61=0,AO61,U61&lt;0,AO61/-U61,U61&gt;0,AO61/U61)</f>
        <v>-235.2912378079437</v>
      </c>
      <c r="AW61" s="244">
        <f t="shared" si="43"/>
        <v>0</v>
      </c>
      <c r="AX61" s="244">
        <f t="shared" si="44"/>
        <v>-1.8248118334724965</v>
      </c>
      <c r="AY61" s="105"/>
      <c r="AZ61" s="100">
        <f t="shared" si="12"/>
        <v>-113880.95909904475</v>
      </c>
    </row>
    <row r="62" spans="1:52" outlineLevel="1">
      <c r="A62" s="95" t="s">
        <v>124</v>
      </c>
      <c r="B62" s="96">
        <v>431401135</v>
      </c>
      <c r="C62" s="96" t="s">
        <v>184</v>
      </c>
      <c r="D62" s="97" t="s">
        <v>84</v>
      </c>
      <c r="E62" s="242">
        <f t="shared" si="45"/>
        <v>1</v>
      </c>
      <c r="F62" s="99">
        <v>0</v>
      </c>
      <c r="G62" s="99">
        <v>0</v>
      </c>
      <c r="H62" s="99">
        <v>0</v>
      </c>
      <c r="I62" s="99">
        <v>0</v>
      </c>
      <c r="J62" s="99">
        <v>1</v>
      </c>
      <c r="K62" s="99">
        <v>175.74</v>
      </c>
      <c r="L62" s="98">
        <f t="shared" si="42"/>
        <v>175.74</v>
      </c>
      <c r="M62" s="95">
        <v>0</v>
      </c>
      <c r="N62" s="95">
        <v>0</v>
      </c>
      <c r="O62" s="95">
        <v>0</v>
      </c>
      <c r="P62" s="95">
        <v>0</v>
      </c>
      <c r="Q62" s="243">
        <f t="shared" si="13"/>
        <v>0</v>
      </c>
      <c r="R62" s="98">
        <f t="shared" si="14"/>
        <v>0</v>
      </c>
      <c r="S62" s="99">
        <v>0</v>
      </c>
      <c r="T62" s="99">
        <v>0</v>
      </c>
      <c r="U62" s="98">
        <f t="shared" si="15"/>
        <v>0</v>
      </c>
      <c r="V62" s="99">
        <v>0</v>
      </c>
      <c r="W62" s="99">
        <v>0</v>
      </c>
      <c r="X62" s="98">
        <f t="shared" si="16"/>
        <v>0</v>
      </c>
      <c r="Y62" s="99">
        <v>0</v>
      </c>
      <c r="Z62" s="99">
        <v>0</v>
      </c>
      <c r="AA62" s="98">
        <f t="shared" si="17"/>
        <v>0</v>
      </c>
      <c r="AB62" s="98">
        <f t="shared" si="18"/>
        <v>0</v>
      </c>
      <c r="AC62" s="244">
        <f t="shared" si="19"/>
        <v>0</v>
      </c>
      <c r="AD62" s="98">
        <f t="shared" si="20"/>
        <v>0</v>
      </c>
      <c r="AE62" s="99">
        <v>0</v>
      </c>
      <c r="AF62" s="244">
        <f t="shared" si="21"/>
        <v>0</v>
      </c>
      <c r="AG62" s="99">
        <v>0</v>
      </c>
      <c r="AH62" s="99"/>
      <c r="AI62" s="99"/>
      <c r="AJ62" s="99"/>
      <c r="AK62" s="99"/>
      <c r="AL62" s="128">
        <f t="shared" si="22"/>
        <v>0</v>
      </c>
      <c r="AM62" s="99">
        <v>0</v>
      </c>
      <c r="AN62" s="100">
        <f t="shared" si="23"/>
        <v>0</v>
      </c>
      <c r="AO62" s="101">
        <f t="shared" si="25"/>
        <v>0</v>
      </c>
      <c r="AP62" s="102"/>
      <c r="AQ62" s="103">
        <f t="shared" si="6"/>
        <v>0</v>
      </c>
      <c r="AR62" s="104">
        <f t="shared" si="35"/>
        <v>175.74</v>
      </c>
      <c r="AS62" s="104">
        <f t="shared" si="8"/>
        <v>0</v>
      </c>
      <c r="AT62" s="104">
        <f t="shared" si="9"/>
        <v>0</v>
      </c>
      <c r="AU62" s="104">
        <f t="shared" si="24"/>
        <v>0</v>
      </c>
      <c r="AV62" s="104">
        <f t="array" ref="AV62">_xlfn.IFS(U62=0,AO62,U62&lt;0,AO62/-U62,U62&gt;0,AO62/U62)</f>
        <v>0</v>
      </c>
      <c r="AW62" s="244">
        <f t="shared" si="43"/>
        <v>0</v>
      </c>
      <c r="AX62" s="244">
        <f t="shared" si="44"/>
        <v>0</v>
      </c>
      <c r="AY62" s="105"/>
      <c r="AZ62" s="100">
        <f t="shared" si="12"/>
        <v>0</v>
      </c>
    </row>
    <row r="63" spans="1:52" outlineLevel="1">
      <c r="A63" s="95" t="s">
        <v>124</v>
      </c>
      <c r="B63" s="96">
        <v>431401715</v>
      </c>
      <c r="C63" s="96" t="s">
        <v>185</v>
      </c>
      <c r="D63" s="97" t="s">
        <v>84</v>
      </c>
      <c r="E63" s="242">
        <f t="shared" si="45"/>
        <v>3</v>
      </c>
      <c r="F63" s="99">
        <v>0</v>
      </c>
      <c r="G63" s="99">
        <v>0</v>
      </c>
      <c r="H63" s="99">
        <v>0</v>
      </c>
      <c r="I63" s="99">
        <v>0</v>
      </c>
      <c r="J63" s="99">
        <v>3</v>
      </c>
      <c r="K63" s="99">
        <v>140.63999999999999</v>
      </c>
      <c r="L63" s="98">
        <f t="shared" si="42"/>
        <v>421.91999999999996</v>
      </c>
      <c r="M63" s="95">
        <v>0</v>
      </c>
      <c r="N63" s="95">
        <v>0</v>
      </c>
      <c r="O63" s="95">
        <v>0</v>
      </c>
      <c r="P63" s="95">
        <v>0</v>
      </c>
      <c r="Q63" s="243">
        <f t="shared" si="13"/>
        <v>0</v>
      </c>
      <c r="R63" s="98">
        <f t="shared" si="14"/>
        <v>0</v>
      </c>
      <c r="S63" s="99">
        <v>0</v>
      </c>
      <c r="T63" s="99">
        <v>0</v>
      </c>
      <c r="U63" s="98">
        <f t="shared" si="15"/>
        <v>0</v>
      </c>
      <c r="V63" s="99">
        <v>0</v>
      </c>
      <c r="W63" s="99">
        <v>0</v>
      </c>
      <c r="X63" s="98">
        <f t="shared" si="16"/>
        <v>0</v>
      </c>
      <c r="Y63" s="99">
        <v>0</v>
      </c>
      <c r="Z63" s="99">
        <v>0</v>
      </c>
      <c r="AA63" s="98">
        <f t="shared" si="17"/>
        <v>0</v>
      </c>
      <c r="AB63" s="98">
        <f t="shared" si="18"/>
        <v>0</v>
      </c>
      <c r="AC63" s="244">
        <f t="shared" si="19"/>
        <v>0</v>
      </c>
      <c r="AD63" s="98">
        <f t="shared" si="20"/>
        <v>0</v>
      </c>
      <c r="AE63" s="99">
        <v>0</v>
      </c>
      <c r="AF63" s="244">
        <f t="shared" si="21"/>
        <v>0</v>
      </c>
      <c r="AG63" s="99">
        <v>0</v>
      </c>
      <c r="AH63" s="99"/>
      <c r="AI63" s="99"/>
      <c r="AJ63" s="99"/>
      <c r="AK63" s="99"/>
      <c r="AL63" s="128">
        <f t="shared" si="22"/>
        <v>0</v>
      </c>
      <c r="AM63" s="99">
        <v>0</v>
      </c>
      <c r="AN63" s="100">
        <f t="shared" si="23"/>
        <v>0</v>
      </c>
      <c r="AO63" s="101">
        <f t="shared" si="25"/>
        <v>0</v>
      </c>
      <c r="AP63" s="102"/>
      <c r="AQ63" s="103">
        <f t="shared" si="6"/>
        <v>0</v>
      </c>
      <c r="AR63" s="104">
        <f t="shared" si="35"/>
        <v>140.63999999999999</v>
      </c>
      <c r="AS63" s="104">
        <f t="shared" si="8"/>
        <v>0</v>
      </c>
      <c r="AT63" s="104">
        <f t="shared" si="9"/>
        <v>0</v>
      </c>
      <c r="AU63" s="104">
        <f t="shared" si="24"/>
        <v>0</v>
      </c>
      <c r="AV63" s="104">
        <f t="array" ref="AV63">_xlfn.IFS(U63=0,AO63,U63&lt;0,AO63/-U63,U63&gt;0,AO63/U63)</f>
        <v>0</v>
      </c>
      <c r="AW63" s="244">
        <f t="shared" si="43"/>
        <v>0</v>
      </c>
      <c r="AX63" s="244">
        <f t="shared" si="44"/>
        <v>0</v>
      </c>
      <c r="AY63" s="105"/>
      <c r="AZ63" s="100">
        <f t="shared" si="12"/>
        <v>0</v>
      </c>
    </row>
    <row r="64" spans="1:52" outlineLevel="1">
      <c r="A64" s="95" t="s">
        <v>124</v>
      </c>
      <c r="B64" s="96">
        <v>431402918</v>
      </c>
      <c r="C64" s="96" t="s">
        <v>186</v>
      </c>
      <c r="D64" s="97" t="s">
        <v>84</v>
      </c>
      <c r="E64" s="242">
        <f t="shared" si="45"/>
        <v>1</v>
      </c>
      <c r="F64" s="99">
        <v>0</v>
      </c>
      <c r="G64" s="99">
        <v>0</v>
      </c>
      <c r="H64" s="99">
        <v>0</v>
      </c>
      <c r="I64" s="99">
        <v>0</v>
      </c>
      <c r="J64" s="99">
        <v>1</v>
      </c>
      <c r="K64" s="99">
        <v>99.69</v>
      </c>
      <c r="L64" s="98">
        <f t="shared" si="42"/>
        <v>99.69</v>
      </c>
      <c r="M64" s="95">
        <v>0</v>
      </c>
      <c r="N64" s="95">
        <v>0</v>
      </c>
      <c r="O64" s="95">
        <v>0</v>
      </c>
      <c r="P64" s="95">
        <v>0</v>
      </c>
      <c r="Q64" s="243">
        <f t="shared" si="13"/>
        <v>0</v>
      </c>
      <c r="R64" s="98">
        <f t="shared" si="14"/>
        <v>0</v>
      </c>
      <c r="S64" s="99">
        <v>0</v>
      </c>
      <c r="T64" s="99">
        <v>0</v>
      </c>
      <c r="U64" s="98">
        <f t="shared" si="15"/>
        <v>0</v>
      </c>
      <c r="V64" s="99">
        <v>0</v>
      </c>
      <c r="W64" s="99">
        <v>0</v>
      </c>
      <c r="X64" s="98">
        <f t="shared" si="16"/>
        <v>0</v>
      </c>
      <c r="Y64" s="99">
        <v>0</v>
      </c>
      <c r="Z64" s="99">
        <v>0</v>
      </c>
      <c r="AA64" s="98">
        <f t="shared" si="17"/>
        <v>0</v>
      </c>
      <c r="AB64" s="98">
        <f t="shared" si="18"/>
        <v>0</v>
      </c>
      <c r="AC64" s="244">
        <f t="shared" si="19"/>
        <v>0</v>
      </c>
      <c r="AD64" s="98">
        <f t="shared" si="20"/>
        <v>0</v>
      </c>
      <c r="AE64" s="99">
        <v>0</v>
      </c>
      <c r="AF64" s="244">
        <f t="shared" si="21"/>
        <v>0</v>
      </c>
      <c r="AG64" s="99">
        <v>0</v>
      </c>
      <c r="AH64" s="99"/>
      <c r="AI64" s="99"/>
      <c r="AJ64" s="99"/>
      <c r="AK64" s="99"/>
      <c r="AL64" s="128">
        <f t="shared" si="22"/>
        <v>0</v>
      </c>
      <c r="AM64" s="99">
        <v>0</v>
      </c>
      <c r="AN64" s="100">
        <f t="shared" si="23"/>
        <v>0</v>
      </c>
      <c r="AO64" s="101">
        <f t="shared" si="25"/>
        <v>0</v>
      </c>
      <c r="AP64" s="102"/>
      <c r="AQ64" s="103">
        <f t="shared" si="6"/>
        <v>0</v>
      </c>
      <c r="AR64" s="104">
        <f t="shared" si="35"/>
        <v>99.69</v>
      </c>
      <c r="AS64" s="104">
        <f t="shared" si="8"/>
        <v>0</v>
      </c>
      <c r="AT64" s="104">
        <f t="shared" si="9"/>
        <v>0</v>
      </c>
      <c r="AU64" s="104">
        <f t="shared" si="24"/>
        <v>0</v>
      </c>
      <c r="AV64" s="104">
        <f t="array" ref="AV64">_xlfn.IFS(U64=0,AO64,U64&lt;0,AO64/-U64,U64&gt;0,AO64/U64)</f>
        <v>0</v>
      </c>
      <c r="AW64" s="244">
        <f t="shared" si="43"/>
        <v>0</v>
      </c>
      <c r="AX64" s="244">
        <f t="shared" si="44"/>
        <v>0</v>
      </c>
      <c r="AY64" s="105"/>
      <c r="AZ64" s="100">
        <f t="shared" si="12"/>
        <v>0</v>
      </c>
    </row>
    <row r="65" spans="1:52" outlineLevel="1">
      <c r="A65" s="95" t="s">
        <v>124</v>
      </c>
      <c r="B65" s="96">
        <v>431405619</v>
      </c>
      <c r="C65" s="96" t="s">
        <v>187</v>
      </c>
      <c r="D65" s="97" t="s">
        <v>84</v>
      </c>
      <c r="E65" s="242">
        <f t="shared" si="45"/>
        <v>2</v>
      </c>
      <c r="F65" s="99" t="s">
        <v>100</v>
      </c>
      <c r="G65" s="99" t="s">
        <v>100</v>
      </c>
      <c r="H65" s="99">
        <v>1</v>
      </c>
      <c r="I65" s="99">
        <v>0</v>
      </c>
      <c r="J65" s="99">
        <v>1</v>
      </c>
      <c r="K65" s="99">
        <v>99.69</v>
      </c>
      <c r="L65" s="98">
        <f t="shared" si="42"/>
        <v>199.38</v>
      </c>
      <c r="M65" s="95">
        <v>999</v>
      </c>
      <c r="N65" s="95">
        <v>0</v>
      </c>
      <c r="O65" s="95">
        <v>0</v>
      </c>
      <c r="P65" s="95">
        <v>0</v>
      </c>
      <c r="Q65" s="243">
        <f t="shared" si="13"/>
        <v>0</v>
      </c>
      <c r="R65" s="98">
        <f t="shared" si="14"/>
        <v>0</v>
      </c>
      <c r="S65" s="99">
        <v>0</v>
      </c>
      <c r="T65" s="99">
        <v>0</v>
      </c>
      <c r="U65" s="98">
        <f t="shared" si="15"/>
        <v>0</v>
      </c>
      <c r="V65" s="99">
        <v>0</v>
      </c>
      <c r="W65" s="99">
        <v>0</v>
      </c>
      <c r="X65" s="98">
        <f t="shared" si="16"/>
        <v>0</v>
      </c>
      <c r="Y65" s="99">
        <v>0</v>
      </c>
      <c r="Z65" s="99">
        <v>0</v>
      </c>
      <c r="AA65" s="98">
        <f t="shared" si="17"/>
        <v>0</v>
      </c>
      <c r="AB65" s="98">
        <f t="shared" si="18"/>
        <v>0</v>
      </c>
      <c r="AC65" s="244">
        <f t="shared" si="19"/>
        <v>0</v>
      </c>
      <c r="AD65" s="98">
        <f t="shared" si="20"/>
        <v>0</v>
      </c>
      <c r="AE65" s="99">
        <v>0</v>
      </c>
      <c r="AF65" s="244">
        <f t="shared" si="21"/>
        <v>0</v>
      </c>
      <c r="AG65" s="99">
        <v>96.4</v>
      </c>
      <c r="AH65" s="99"/>
      <c r="AI65" s="99"/>
      <c r="AJ65" s="99"/>
      <c r="AK65" s="99"/>
      <c r="AL65" s="128">
        <f t="shared" si="22"/>
        <v>0.86724685771744603</v>
      </c>
      <c r="AM65" s="99">
        <v>0</v>
      </c>
      <c r="AN65" s="100">
        <f t="shared" si="23"/>
        <v>0</v>
      </c>
      <c r="AO65" s="101">
        <f t="shared" si="25"/>
        <v>-97.267246857717453</v>
      </c>
      <c r="AP65" s="102"/>
      <c r="AQ65" s="103">
        <f t="shared" si="6"/>
        <v>0</v>
      </c>
      <c r="AR65" s="104">
        <f t="shared" si="35"/>
        <v>99.69</v>
      </c>
      <c r="AS65" s="104">
        <f t="shared" si="8"/>
        <v>0</v>
      </c>
      <c r="AT65" s="104">
        <f t="shared" si="9"/>
        <v>96.4</v>
      </c>
      <c r="AU65" s="104">
        <f t="shared" si="24"/>
        <v>0</v>
      </c>
      <c r="AV65" s="104">
        <f t="array" ref="AV65">_xlfn.IFS(U65=0,AO65,U65&lt;0,AO65/-U65,U65&gt;0,AO65/U65)</f>
        <v>-97.267246857717453</v>
      </c>
      <c r="AW65" s="244">
        <f t="shared" si="43"/>
        <v>0</v>
      </c>
      <c r="AX65" s="244">
        <f t="shared" si="44"/>
        <v>-0.97569712967917999</v>
      </c>
      <c r="AY65" s="105"/>
      <c r="AZ65" s="100">
        <f t="shared" si="12"/>
        <v>-194.53449371543491</v>
      </c>
    </row>
    <row r="66" spans="1:52" outlineLevel="1">
      <c r="A66" s="95" t="s">
        <v>124</v>
      </c>
      <c r="B66" s="96">
        <v>431408292</v>
      </c>
      <c r="C66" s="96" t="s">
        <v>188</v>
      </c>
      <c r="D66" s="97" t="s">
        <v>84</v>
      </c>
      <c r="E66" s="242">
        <f t="shared" si="45"/>
        <v>2</v>
      </c>
      <c r="F66" s="99" t="s">
        <v>100</v>
      </c>
      <c r="G66" s="99" t="s">
        <v>100</v>
      </c>
      <c r="H66" s="99">
        <v>1</v>
      </c>
      <c r="I66" s="99">
        <v>0</v>
      </c>
      <c r="J66" s="99">
        <v>1</v>
      </c>
      <c r="K66" s="99">
        <v>97.35</v>
      </c>
      <c r="L66" s="98">
        <f t="shared" si="42"/>
        <v>194.7</v>
      </c>
      <c r="M66" s="95">
        <v>47</v>
      </c>
      <c r="N66" s="95">
        <v>0</v>
      </c>
      <c r="O66" s="95">
        <v>0</v>
      </c>
      <c r="P66" s="95">
        <v>0</v>
      </c>
      <c r="Q66" s="243">
        <f t="shared" si="13"/>
        <v>0</v>
      </c>
      <c r="R66" s="98">
        <f t="shared" si="14"/>
        <v>0</v>
      </c>
      <c r="S66" s="99">
        <v>0</v>
      </c>
      <c r="T66" s="99">
        <v>0</v>
      </c>
      <c r="U66" s="98">
        <f t="shared" si="15"/>
        <v>0</v>
      </c>
      <c r="V66" s="99">
        <v>0</v>
      </c>
      <c r="W66" s="99">
        <v>0</v>
      </c>
      <c r="X66" s="98">
        <f t="shared" si="16"/>
        <v>0</v>
      </c>
      <c r="Y66" s="99">
        <v>0</v>
      </c>
      <c r="Z66" s="99">
        <v>0</v>
      </c>
      <c r="AA66" s="98">
        <f t="shared" si="17"/>
        <v>0</v>
      </c>
      <c r="AB66" s="98">
        <f t="shared" si="18"/>
        <v>0</v>
      </c>
      <c r="AC66" s="244">
        <f t="shared" si="19"/>
        <v>0</v>
      </c>
      <c r="AD66" s="98">
        <f t="shared" si="20"/>
        <v>0</v>
      </c>
      <c r="AE66" s="99">
        <v>0</v>
      </c>
      <c r="AF66" s="244">
        <f t="shared" si="21"/>
        <v>0</v>
      </c>
      <c r="AG66" s="99">
        <v>0</v>
      </c>
      <c r="AH66" s="99"/>
      <c r="AI66" s="99"/>
      <c r="AJ66" s="99"/>
      <c r="AK66" s="99"/>
      <c r="AL66" s="128">
        <f t="shared" si="22"/>
        <v>0.86724685771744603</v>
      </c>
      <c r="AM66" s="99">
        <v>0</v>
      </c>
      <c r="AN66" s="100">
        <f t="shared" si="23"/>
        <v>0</v>
      </c>
      <c r="AO66" s="101">
        <f t="shared" si="25"/>
        <v>-0.86724685771744603</v>
      </c>
      <c r="AP66" s="102"/>
      <c r="AQ66" s="103">
        <f t="shared" si="6"/>
        <v>0</v>
      </c>
      <c r="AR66" s="104">
        <f t="shared" si="35"/>
        <v>97.35</v>
      </c>
      <c r="AS66" s="104">
        <f t="shared" si="8"/>
        <v>0</v>
      </c>
      <c r="AT66" s="104">
        <f t="shared" si="9"/>
        <v>0</v>
      </c>
      <c r="AU66" s="104">
        <f t="shared" si="24"/>
        <v>0</v>
      </c>
      <c r="AV66" s="104">
        <f t="array" ref="AV66">_xlfn.IFS(U66=0,AO66,U66&lt;0,AO66/-U66,U66&gt;0,AO66/U66)</f>
        <v>-0.86724685771744603</v>
      </c>
      <c r="AW66" s="244">
        <f t="shared" si="43"/>
        <v>0</v>
      </c>
      <c r="AX66" s="244">
        <f t="shared" si="44"/>
        <v>-8.9085450202100267E-3</v>
      </c>
      <c r="AY66" s="105"/>
      <c r="AZ66" s="100">
        <f t="shared" si="12"/>
        <v>-1.7344937154348921</v>
      </c>
    </row>
    <row r="67" spans="1:52" outlineLevel="1">
      <c r="A67" s="95" t="s">
        <v>124</v>
      </c>
      <c r="B67" s="96">
        <v>431411210</v>
      </c>
      <c r="C67" s="96" t="s">
        <v>189</v>
      </c>
      <c r="D67" s="97" t="s">
        <v>84</v>
      </c>
      <c r="E67" s="242">
        <f t="shared" si="45"/>
        <v>3</v>
      </c>
      <c r="F67" s="99">
        <v>2</v>
      </c>
      <c r="G67" s="99" t="s">
        <v>100</v>
      </c>
      <c r="H67" s="99" t="s">
        <v>100</v>
      </c>
      <c r="I67" s="99">
        <v>0</v>
      </c>
      <c r="J67" s="99">
        <v>1</v>
      </c>
      <c r="K67" s="99">
        <v>161.69999999999999</v>
      </c>
      <c r="L67" s="98">
        <f t="shared" si="42"/>
        <v>485.09999999999997</v>
      </c>
      <c r="M67" s="95">
        <v>12</v>
      </c>
      <c r="N67" s="95">
        <v>1</v>
      </c>
      <c r="O67" s="95">
        <v>1049</v>
      </c>
      <c r="P67" s="95">
        <v>0</v>
      </c>
      <c r="Q67" s="243">
        <f t="shared" si="13"/>
        <v>0.14285714285714285</v>
      </c>
      <c r="R67" s="98">
        <f t="shared" si="14"/>
        <v>0.2857142857142857</v>
      </c>
      <c r="S67" s="99">
        <v>2</v>
      </c>
      <c r="T67" s="99">
        <v>0</v>
      </c>
      <c r="U67" s="98">
        <f t="shared" si="15"/>
        <v>2</v>
      </c>
      <c r="V67" s="99">
        <v>1305</v>
      </c>
      <c r="W67" s="99">
        <v>0</v>
      </c>
      <c r="X67" s="98">
        <f t="shared" si="16"/>
        <v>1305</v>
      </c>
      <c r="Y67" s="99">
        <v>2098</v>
      </c>
      <c r="Z67" s="99">
        <v>0</v>
      </c>
      <c r="AA67" s="98">
        <f t="shared" si="17"/>
        <v>2098</v>
      </c>
      <c r="AB67" s="98">
        <f t="shared" si="18"/>
        <v>0</v>
      </c>
      <c r="AC67" s="244">
        <f t="shared" si="19"/>
        <v>8.5478735514450828E-4</v>
      </c>
      <c r="AD67" s="98">
        <f t="shared" si="20"/>
        <v>323.39999999999998</v>
      </c>
      <c r="AE67" s="99">
        <v>781.94999999999982</v>
      </c>
      <c r="AF67" s="244">
        <f t="shared" si="21"/>
        <v>0.3727121067683507</v>
      </c>
      <c r="AG67" s="99">
        <v>216.94000000000003</v>
      </c>
      <c r="AH67" s="99"/>
      <c r="AI67" s="99"/>
      <c r="AJ67" s="99"/>
      <c r="AK67" s="99"/>
      <c r="AL67" s="128">
        <f t="shared" si="22"/>
        <v>0</v>
      </c>
      <c r="AM67" s="99">
        <v>0</v>
      </c>
      <c r="AN67" s="100">
        <f t="shared" si="23"/>
        <v>74.515500000000003</v>
      </c>
      <c r="AO67" s="101">
        <f t="shared" si="25"/>
        <v>701.19450000000006</v>
      </c>
      <c r="AP67" s="102"/>
      <c r="AQ67" s="103">
        <f t="shared" si="6"/>
        <v>1049</v>
      </c>
      <c r="AR67" s="104">
        <f t="shared" si="35"/>
        <v>161.69999999999999</v>
      </c>
      <c r="AS67" s="104">
        <f t="shared" si="8"/>
        <v>390.97499999999991</v>
      </c>
      <c r="AT67" s="104">
        <f t="shared" si="9"/>
        <v>108.47000000000001</v>
      </c>
      <c r="AU67" s="104">
        <f t="shared" si="24"/>
        <v>0</v>
      </c>
      <c r="AV67" s="104">
        <f t="array" ref="AV67">_xlfn.IFS(U67=0,AO67,U67&lt;0,AO67/-U67,U67&gt;0,AO67/U67)</f>
        <v>350.59725000000003</v>
      </c>
      <c r="AW67" s="244">
        <f t="shared" si="43"/>
        <v>0.3342204480457579</v>
      </c>
      <c r="AX67" s="244">
        <f t="shared" si="44"/>
        <v>2.1681957328385901</v>
      </c>
      <c r="AY67" s="105"/>
      <c r="AZ67" s="100">
        <f t="shared" si="12"/>
        <v>1051.7917500000001</v>
      </c>
    </row>
    <row r="68" spans="1:52" outlineLevel="1">
      <c r="A68" s="95" t="s">
        <v>124</v>
      </c>
      <c r="B68" s="96">
        <v>431412693</v>
      </c>
      <c r="C68" s="96" t="s">
        <v>190</v>
      </c>
      <c r="D68" s="97" t="s">
        <v>84</v>
      </c>
      <c r="E68" s="242">
        <f t="shared" si="45"/>
        <v>1</v>
      </c>
      <c r="F68" s="99">
        <v>0</v>
      </c>
      <c r="G68" s="99">
        <v>0</v>
      </c>
      <c r="H68" s="99">
        <v>0</v>
      </c>
      <c r="I68" s="99">
        <v>0</v>
      </c>
      <c r="J68" s="99">
        <v>1</v>
      </c>
      <c r="K68" s="99">
        <v>161.69999999999999</v>
      </c>
      <c r="L68" s="98">
        <f t="shared" si="42"/>
        <v>161.69999999999999</v>
      </c>
      <c r="M68" s="95">
        <v>0</v>
      </c>
      <c r="N68" s="95">
        <v>0</v>
      </c>
      <c r="O68" s="95">
        <v>0</v>
      </c>
      <c r="P68" s="95">
        <v>0</v>
      </c>
      <c r="Q68" s="243">
        <f t="shared" ref="Q68:Q103" si="46">N68/7</f>
        <v>0</v>
      </c>
      <c r="R68" s="98">
        <f t="shared" ref="R68:R103" si="47">U68/7</f>
        <v>0</v>
      </c>
      <c r="S68" s="99">
        <v>0</v>
      </c>
      <c r="T68" s="99">
        <v>0</v>
      </c>
      <c r="U68" s="98">
        <f t="shared" ref="U68:U98" si="48">S68+T68</f>
        <v>0</v>
      </c>
      <c r="V68" s="99">
        <v>0</v>
      </c>
      <c r="W68" s="99">
        <v>0</v>
      </c>
      <c r="X68" s="98">
        <f t="shared" ref="X68:X98" si="49">V68+W68</f>
        <v>0</v>
      </c>
      <c r="Y68" s="99">
        <v>0</v>
      </c>
      <c r="Z68" s="99">
        <v>0</v>
      </c>
      <c r="AA68" s="98">
        <f t="shared" ref="AA68:AA98" si="50">Y68+Z68</f>
        <v>0</v>
      </c>
      <c r="AB68" s="98">
        <f t="shared" ref="AB68:AB98" si="51">N68*O68*P68/100</f>
        <v>0</v>
      </c>
      <c r="AC68" s="244">
        <f t="shared" ref="AC68:AC98" si="52">AA68/$AA$126</f>
        <v>0</v>
      </c>
      <c r="AD68" s="98">
        <f t="shared" ref="AD68:AD98" si="53">U68*K68</f>
        <v>0</v>
      </c>
      <c r="AE68" s="99">
        <v>0</v>
      </c>
      <c r="AF68" s="244">
        <f t="shared" ref="AF68:AF98" si="54">IF(AA68=0,0,AE68/AA68)</f>
        <v>0</v>
      </c>
      <c r="AG68" s="99">
        <v>0</v>
      </c>
      <c r="AH68" s="99"/>
      <c r="AI68" s="99"/>
      <c r="AJ68" s="99"/>
      <c r="AK68" s="99"/>
      <c r="AL68" s="128">
        <f t="shared" ref="AL68:AL98" si="55">IFERROR($AL$126*H68/$H$126,0)</f>
        <v>0</v>
      </c>
      <c r="AM68" s="99">
        <v>0</v>
      </c>
      <c r="AN68" s="100">
        <f t="shared" ref="AN68:AN98" si="56">X68*5.71%</f>
        <v>0</v>
      </c>
      <c r="AO68" s="101">
        <f t="shared" ref="AO68:AO98" si="57">AA68-AD68-AE68-AG68-AH68-AI68-AK68-AL68-AN68-AM68</f>
        <v>0</v>
      </c>
      <c r="AP68" s="102"/>
      <c r="AQ68" s="103">
        <f t="shared" si="6"/>
        <v>0</v>
      </c>
      <c r="AR68" s="104">
        <f t="shared" si="35"/>
        <v>161.69999999999999</v>
      </c>
      <c r="AS68" s="104">
        <f t="shared" si="8"/>
        <v>0</v>
      </c>
      <c r="AT68" s="104">
        <f t="shared" si="9"/>
        <v>0</v>
      </c>
      <c r="AU68" s="104">
        <f t="shared" si="24"/>
        <v>0</v>
      </c>
      <c r="AV68" s="104">
        <f t="array" ref="AV68">_xlfn.IFS(U68=0,AO68,U68&lt;0,AO68/-U68,U68&gt;0,AO68/U68)</f>
        <v>0</v>
      </c>
      <c r="AW68" s="244">
        <f t="shared" si="43"/>
        <v>0</v>
      </c>
      <c r="AX68" s="244">
        <f t="shared" si="44"/>
        <v>0</v>
      </c>
      <c r="AY68" s="105"/>
      <c r="AZ68" s="100">
        <f t="shared" si="12"/>
        <v>0</v>
      </c>
    </row>
    <row r="69" spans="1:52" outlineLevel="1">
      <c r="A69" s="95" t="s">
        <v>124</v>
      </c>
      <c r="B69" s="96">
        <v>431417660</v>
      </c>
      <c r="C69" s="96" t="s">
        <v>191</v>
      </c>
      <c r="D69" s="97" t="s">
        <v>84</v>
      </c>
      <c r="E69" s="242">
        <f t="shared" si="45"/>
        <v>13</v>
      </c>
      <c r="F69" s="99" t="s">
        <v>100</v>
      </c>
      <c r="G69" s="99" t="s">
        <v>100</v>
      </c>
      <c r="H69" s="99">
        <v>12</v>
      </c>
      <c r="I69" s="99">
        <v>0</v>
      </c>
      <c r="J69" s="99">
        <v>1</v>
      </c>
      <c r="K69" s="99">
        <v>140.63999999999999</v>
      </c>
      <c r="L69" s="98">
        <f t="shared" si="42"/>
        <v>1828.3199999999997</v>
      </c>
      <c r="M69" s="95">
        <v>999</v>
      </c>
      <c r="N69" s="95">
        <v>0</v>
      </c>
      <c r="O69" s="95">
        <v>0</v>
      </c>
      <c r="P69" s="95">
        <v>0</v>
      </c>
      <c r="Q69" s="243">
        <f t="shared" si="46"/>
        <v>0</v>
      </c>
      <c r="R69" s="98">
        <f t="shared" si="47"/>
        <v>0</v>
      </c>
      <c r="S69" s="99">
        <v>0</v>
      </c>
      <c r="T69" s="99">
        <v>0</v>
      </c>
      <c r="U69" s="98">
        <f t="shared" si="48"/>
        <v>0</v>
      </c>
      <c r="V69" s="99">
        <v>0</v>
      </c>
      <c r="W69" s="99">
        <v>0</v>
      </c>
      <c r="X69" s="98">
        <f t="shared" si="49"/>
        <v>0</v>
      </c>
      <c r="Y69" s="99">
        <v>0</v>
      </c>
      <c r="Z69" s="99">
        <v>0</v>
      </c>
      <c r="AA69" s="98">
        <f t="shared" si="50"/>
        <v>0</v>
      </c>
      <c r="AB69" s="98">
        <f t="shared" si="51"/>
        <v>0</v>
      </c>
      <c r="AC69" s="244">
        <f t="shared" si="52"/>
        <v>0</v>
      </c>
      <c r="AD69" s="98">
        <f t="shared" si="53"/>
        <v>0</v>
      </c>
      <c r="AE69" s="99">
        <v>0</v>
      </c>
      <c r="AF69" s="244">
        <f t="shared" si="54"/>
        <v>0</v>
      </c>
      <c r="AG69" s="99">
        <v>0</v>
      </c>
      <c r="AH69" s="99"/>
      <c r="AI69" s="99"/>
      <c r="AJ69" s="99"/>
      <c r="AK69" s="99"/>
      <c r="AL69" s="128">
        <f t="shared" si="55"/>
        <v>10.406962292609352</v>
      </c>
      <c r="AM69" s="99">
        <v>0</v>
      </c>
      <c r="AN69" s="100">
        <f t="shared" si="56"/>
        <v>0</v>
      </c>
      <c r="AO69" s="101">
        <f t="shared" si="57"/>
        <v>-10.406962292609352</v>
      </c>
      <c r="AP69" s="102"/>
      <c r="AQ69" s="103">
        <f t="shared" si="6"/>
        <v>0</v>
      </c>
      <c r="AR69" s="104">
        <f t="shared" si="35"/>
        <v>140.63999999999999</v>
      </c>
      <c r="AS69" s="104">
        <f t="shared" si="8"/>
        <v>0</v>
      </c>
      <c r="AT69" s="104">
        <f t="shared" si="9"/>
        <v>0</v>
      </c>
      <c r="AU69" s="104">
        <f t="shared" si="24"/>
        <v>0</v>
      </c>
      <c r="AV69" s="104">
        <f t="array" ref="AV69">_xlfn.IFS(U69=0,AO69,U69&lt;0,AO69/-U69,U69&gt;0,AO69/U69)</f>
        <v>-10.406962292609352</v>
      </c>
      <c r="AW69" s="244">
        <f t="shared" si="43"/>
        <v>0</v>
      </c>
      <c r="AX69" s="244">
        <f t="shared" si="44"/>
        <v>-7.3997172160191652E-2</v>
      </c>
      <c r="AY69" s="105"/>
      <c r="AZ69" s="100">
        <f t="shared" si="12"/>
        <v>-135.29050980392157</v>
      </c>
    </row>
    <row r="70" spans="1:52" outlineLevel="1">
      <c r="A70" s="95" t="s">
        <v>124</v>
      </c>
      <c r="B70" s="96">
        <v>431421164</v>
      </c>
      <c r="C70" s="96" t="s">
        <v>192</v>
      </c>
      <c r="D70" s="97" t="s">
        <v>84</v>
      </c>
      <c r="E70" s="242">
        <f t="shared" si="45"/>
        <v>8</v>
      </c>
      <c r="F70" s="99">
        <v>2</v>
      </c>
      <c r="G70" s="99" t="s">
        <v>100</v>
      </c>
      <c r="H70" s="99">
        <v>5</v>
      </c>
      <c r="I70" s="99">
        <v>0</v>
      </c>
      <c r="J70" s="99">
        <v>1</v>
      </c>
      <c r="K70" s="99">
        <v>117.24</v>
      </c>
      <c r="L70" s="98">
        <f t="shared" si="42"/>
        <v>937.92</v>
      </c>
      <c r="M70" s="95">
        <v>51</v>
      </c>
      <c r="N70" s="95">
        <v>2</v>
      </c>
      <c r="O70" s="95">
        <v>1048</v>
      </c>
      <c r="P70" s="95">
        <v>0</v>
      </c>
      <c r="Q70" s="243">
        <f t="shared" si="46"/>
        <v>0.2857142857142857</v>
      </c>
      <c r="R70" s="98">
        <f t="shared" si="47"/>
        <v>0</v>
      </c>
      <c r="S70" s="99">
        <v>0</v>
      </c>
      <c r="T70" s="99">
        <v>0</v>
      </c>
      <c r="U70" s="98">
        <f t="shared" si="48"/>
        <v>0</v>
      </c>
      <c r="V70" s="99">
        <v>0</v>
      </c>
      <c r="W70" s="99">
        <v>0</v>
      </c>
      <c r="X70" s="98">
        <f t="shared" si="49"/>
        <v>0</v>
      </c>
      <c r="Y70" s="99">
        <v>0</v>
      </c>
      <c r="Z70" s="99">
        <v>0</v>
      </c>
      <c r="AA70" s="98">
        <f t="shared" si="50"/>
        <v>0</v>
      </c>
      <c r="AB70" s="98">
        <f t="shared" si="51"/>
        <v>0</v>
      </c>
      <c r="AC70" s="244">
        <f t="shared" si="52"/>
        <v>0</v>
      </c>
      <c r="AD70" s="98">
        <f t="shared" si="53"/>
        <v>0</v>
      </c>
      <c r="AE70" s="99">
        <v>0</v>
      </c>
      <c r="AF70" s="244">
        <f t="shared" si="54"/>
        <v>0</v>
      </c>
      <c r="AG70" s="99">
        <v>96.86</v>
      </c>
      <c r="AH70" s="99"/>
      <c r="AI70" s="99"/>
      <c r="AJ70" s="99"/>
      <c r="AK70" s="99"/>
      <c r="AL70" s="128">
        <f t="shared" si="55"/>
        <v>4.3362342885872307</v>
      </c>
      <c r="AM70" s="99">
        <v>0</v>
      </c>
      <c r="AN70" s="100">
        <f t="shared" si="56"/>
        <v>0</v>
      </c>
      <c r="AO70" s="101">
        <f t="shared" si="57"/>
        <v>-101.19623428858723</v>
      </c>
      <c r="AP70" s="102"/>
      <c r="AQ70" s="103">
        <f t="shared" si="6"/>
        <v>0</v>
      </c>
      <c r="AR70" s="104">
        <f t="shared" si="35"/>
        <v>117.24</v>
      </c>
      <c r="AS70" s="104">
        <f t="shared" si="8"/>
        <v>0</v>
      </c>
      <c r="AT70" s="104">
        <f t="shared" si="9"/>
        <v>96.86</v>
      </c>
      <c r="AU70" s="104">
        <f t="shared" si="24"/>
        <v>0</v>
      </c>
      <c r="AV70" s="104">
        <f t="array" ref="AV70">_xlfn.IFS(U70=0,AO70,U70&lt;0,AO70/-U70,U70&gt;0,AO70/U70)</f>
        <v>-101.19623428858723</v>
      </c>
      <c r="AW70" s="244">
        <f t="shared" si="43"/>
        <v>0</v>
      </c>
      <c r="AX70" s="244">
        <f t="shared" si="44"/>
        <v>-0.86315450604390342</v>
      </c>
      <c r="AY70" s="105"/>
      <c r="AZ70" s="100">
        <f t="shared" si="12"/>
        <v>-809.56987430869788</v>
      </c>
    </row>
    <row r="71" spans="1:52" outlineLevel="1">
      <c r="A71" s="95" t="s">
        <v>124</v>
      </c>
      <c r="B71" s="96">
        <v>471621229</v>
      </c>
      <c r="C71" s="96" t="s">
        <v>193</v>
      </c>
      <c r="D71" s="97" t="s">
        <v>84</v>
      </c>
      <c r="E71" s="242">
        <f t="shared" si="45"/>
        <v>20</v>
      </c>
      <c r="F71" s="99">
        <v>6</v>
      </c>
      <c r="G71" s="99">
        <v>2</v>
      </c>
      <c r="H71" s="99">
        <v>11</v>
      </c>
      <c r="I71" s="99">
        <v>0</v>
      </c>
      <c r="J71" s="99">
        <v>1</v>
      </c>
      <c r="K71" s="99">
        <v>123.09</v>
      </c>
      <c r="L71" s="98">
        <f t="shared" si="42"/>
        <v>2461.8000000000002</v>
      </c>
      <c r="M71" s="95">
        <v>58</v>
      </c>
      <c r="N71" s="95">
        <v>9</v>
      </c>
      <c r="O71" s="95">
        <v>702</v>
      </c>
      <c r="P71" s="95">
        <v>25</v>
      </c>
      <c r="Q71" s="243">
        <f t="shared" si="46"/>
        <v>1.2857142857142858</v>
      </c>
      <c r="R71" s="98">
        <f t="shared" si="47"/>
        <v>0.14285714285714285</v>
      </c>
      <c r="S71" s="99">
        <v>1</v>
      </c>
      <c r="T71" s="99">
        <v>0</v>
      </c>
      <c r="U71" s="98">
        <f t="shared" si="48"/>
        <v>1</v>
      </c>
      <c r="V71" s="99">
        <v>482</v>
      </c>
      <c r="W71" s="99">
        <v>0</v>
      </c>
      <c r="X71" s="98">
        <f t="shared" si="49"/>
        <v>482</v>
      </c>
      <c r="Y71" s="99">
        <v>702</v>
      </c>
      <c r="Z71" s="99">
        <v>0</v>
      </c>
      <c r="AA71" s="98">
        <f t="shared" si="50"/>
        <v>702</v>
      </c>
      <c r="AB71" s="98">
        <f t="shared" si="51"/>
        <v>1579.5</v>
      </c>
      <c r="AC71" s="244">
        <f t="shared" si="52"/>
        <v>2.8601559738391076E-4</v>
      </c>
      <c r="AD71" s="98">
        <f t="shared" si="53"/>
        <v>123.09</v>
      </c>
      <c r="AE71" s="99">
        <v>257.99</v>
      </c>
      <c r="AF71" s="244">
        <f t="shared" si="54"/>
        <v>0.36750712250712253</v>
      </c>
      <c r="AG71" s="99">
        <v>736.4</v>
      </c>
      <c r="AH71" s="99"/>
      <c r="AI71" s="99"/>
      <c r="AJ71" s="99"/>
      <c r="AK71" s="99"/>
      <c r="AL71" s="128">
        <f t="shared" si="55"/>
        <v>9.5397154348919049</v>
      </c>
      <c r="AM71" s="99">
        <v>0</v>
      </c>
      <c r="AN71" s="100">
        <f t="shared" si="56"/>
        <v>27.522199999999998</v>
      </c>
      <c r="AO71" s="101">
        <f t="shared" si="57"/>
        <v>-452.54191543489191</v>
      </c>
      <c r="AP71" s="102"/>
      <c r="AQ71" s="103">
        <f t="shared" si="6"/>
        <v>702</v>
      </c>
      <c r="AR71" s="104">
        <f t="shared" si="35"/>
        <v>123.09</v>
      </c>
      <c r="AS71" s="104">
        <f t="shared" si="8"/>
        <v>257.99</v>
      </c>
      <c r="AT71" s="104">
        <f t="shared" si="9"/>
        <v>736.4</v>
      </c>
      <c r="AU71" s="104">
        <f t="shared" ref="AU71:AU98" si="58">IF(S71=0,0,(AH71+AI71+AJ71)/S71)</f>
        <v>0</v>
      </c>
      <c r="AV71" s="104">
        <f t="array" ref="AV71">_xlfn.IFS(U71=0,AO71,U71&lt;0,AO71/-U71,U71&gt;0,AO71/U71)</f>
        <v>-452.54191543489191</v>
      </c>
      <c r="AW71" s="244">
        <f t="shared" si="43"/>
        <v>-0.64464660318360667</v>
      </c>
      <c r="AX71" s="244">
        <f t="shared" si="44"/>
        <v>-3.6765124334624413</v>
      </c>
      <c r="AY71" s="105"/>
      <c r="AZ71" s="100">
        <f t="shared" si="12"/>
        <v>-9050.8383086978374</v>
      </c>
    </row>
    <row r="72" spans="1:52" outlineLevel="1">
      <c r="A72" s="95" t="s">
        <v>124</v>
      </c>
      <c r="B72" s="96">
        <v>471653850</v>
      </c>
      <c r="C72" s="96" t="s">
        <v>194</v>
      </c>
      <c r="D72" s="97" t="s">
        <v>84</v>
      </c>
      <c r="E72" s="242">
        <f t="shared" si="45"/>
        <v>8</v>
      </c>
      <c r="F72" s="99">
        <v>6</v>
      </c>
      <c r="G72" s="99">
        <v>1</v>
      </c>
      <c r="H72" s="99" t="s">
        <v>100</v>
      </c>
      <c r="I72" s="99">
        <v>0</v>
      </c>
      <c r="J72" s="99">
        <v>1</v>
      </c>
      <c r="K72" s="99">
        <v>123.09</v>
      </c>
      <c r="L72" s="98">
        <f t="shared" si="42"/>
        <v>984.72</v>
      </c>
      <c r="M72" s="95">
        <v>20</v>
      </c>
      <c r="N72" s="95">
        <v>10</v>
      </c>
      <c r="O72" s="95">
        <v>837</v>
      </c>
      <c r="P72" s="95">
        <v>40</v>
      </c>
      <c r="Q72" s="243">
        <f t="shared" si="46"/>
        <v>1.4285714285714286</v>
      </c>
      <c r="R72" s="98">
        <f t="shared" si="47"/>
        <v>0.42857142857142855</v>
      </c>
      <c r="S72" s="99">
        <v>3</v>
      </c>
      <c r="T72" s="99">
        <v>0</v>
      </c>
      <c r="U72" s="98">
        <f t="shared" si="48"/>
        <v>3</v>
      </c>
      <c r="V72" s="99">
        <v>1622</v>
      </c>
      <c r="W72" s="99">
        <v>0</v>
      </c>
      <c r="X72" s="98">
        <f t="shared" si="49"/>
        <v>1622</v>
      </c>
      <c r="Y72" s="99">
        <v>2511</v>
      </c>
      <c r="Z72" s="99">
        <v>0</v>
      </c>
      <c r="AA72" s="98">
        <f t="shared" si="50"/>
        <v>2511</v>
      </c>
      <c r="AB72" s="98">
        <f t="shared" si="51"/>
        <v>3348</v>
      </c>
      <c r="AC72" s="244">
        <f t="shared" si="52"/>
        <v>1.0230557906424501E-3</v>
      </c>
      <c r="AD72" s="98">
        <f t="shared" si="53"/>
        <v>369.27</v>
      </c>
      <c r="AE72" s="99">
        <v>945.87999999999988</v>
      </c>
      <c r="AF72" s="244">
        <f t="shared" si="54"/>
        <v>0.37669454400637192</v>
      </c>
      <c r="AG72" s="99">
        <v>644.16</v>
      </c>
      <c r="AH72" s="99"/>
      <c r="AI72" s="99"/>
      <c r="AJ72" s="99"/>
      <c r="AK72" s="99"/>
      <c r="AL72" s="128">
        <f t="shared" si="55"/>
        <v>0</v>
      </c>
      <c r="AM72" s="99">
        <v>0</v>
      </c>
      <c r="AN72" s="100">
        <f t="shared" si="56"/>
        <v>92.616199999999992</v>
      </c>
      <c r="AO72" s="101">
        <f t="shared" si="57"/>
        <v>459.07380000000018</v>
      </c>
      <c r="AP72" s="102"/>
      <c r="AQ72" s="103">
        <f t="shared" si="6"/>
        <v>837</v>
      </c>
      <c r="AR72" s="104">
        <f t="shared" si="35"/>
        <v>123.09</v>
      </c>
      <c r="AS72" s="104">
        <f t="shared" si="8"/>
        <v>315.29333333333329</v>
      </c>
      <c r="AT72" s="104">
        <f t="shared" si="9"/>
        <v>214.72</v>
      </c>
      <c r="AU72" s="104">
        <f t="shared" si="58"/>
        <v>0</v>
      </c>
      <c r="AV72" s="104">
        <f t="array" ref="AV72">_xlfn.IFS(U72=0,AO72,U72&lt;0,AO72/-U72,U72&gt;0,AO72/U72)</f>
        <v>153.02460000000005</v>
      </c>
      <c r="AW72" s="244">
        <f t="shared" si="43"/>
        <v>0.18282508960573482</v>
      </c>
      <c r="AX72" s="244">
        <f t="shared" si="44"/>
        <v>1.2431927857665126</v>
      </c>
      <c r="AY72" s="105"/>
      <c r="AZ72" s="100">
        <f t="shared" si="12"/>
        <v>1224.1968000000004</v>
      </c>
    </row>
    <row r="73" spans="1:52" outlineLevel="1">
      <c r="A73" s="95" t="s">
        <v>124</v>
      </c>
      <c r="B73" s="96">
        <v>471686887</v>
      </c>
      <c r="C73" s="96" t="s">
        <v>195</v>
      </c>
      <c r="D73" s="97" t="s">
        <v>84</v>
      </c>
      <c r="E73" s="242">
        <f t="shared" si="45"/>
        <v>9</v>
      </c>
      <c r="F73" s="99">
        <v>7</v>
      </c>
      <c r="G73" s="99">
        <v>1</v>
      </c>
      <c r="H73" s="99" t="s">
        <v>100</v>
      </c>
      <c r="I73" s="99">
        <v>0</v>
      </c>
      <c r="J73" s="99">
        <v>1</v>
      </c>
      <c r="K73" s="99">
        <v>123.09</v>
      </c>
      <c r="L73" s="98">
        <f t="shared" si="42"/>
        <v>1107.81</v>
      </c>
      <c r="M73" s="95">
        <v>19</v>
      </c>
      <c r="N73" s="95">
        <v>9</v>
      </c>
      <c r="O73" s="95">
        <v>807</v>
      </c>
      <c r="P73" s="95">
        <v>33</v>
      </c>
      <c r="Q73" s="243">
        <f t="shared" si="46"/>
        <v>1.2857142857142858</v>
      </c>
      <c r="R73" s="98">
        <f t="shared" si="47"/>
        <v>0.42857142857142855</v>
      </c>
      <c r="S73" s="99">
        <v>3</v>
      </c>
      <c r="T73" s="99">
        <v>0</v>
      </c>
      <c r="U73" s="98">
        <f t="shared" si="48"/>
        <v>3</v>
      </c>
      <c r="V73" s="99">
        <v>1521</v>
      </c>
      <c r="W73" s="99">
        <v>0</v>
      </c>
      <c r="X73" s="98">
        <f t="shared" si="49"/>
        <v>1521</v>
      </c>
      <c r="Y73" s="99">
        <v>2396.79</v>
      </c>
      <c r="Z73" s="99">
        <v>0</v>
      </c>
      <c r="AA73" s="98">
        <f t="shared" si="50"/>
        <v>2396.79</v>
      </c>
      <c r="AB73" s="98">
        <f t="shared" si="51"/>
        <v>2396.79</v>
      </c>
      <c r="AC73" s="244">
        <f t="shared" si="52"/>
        <v>9.7652325306806767E-4</v>
      </c>
      <c r="AD73" s="98">
        <f t="shared" si="53"/>
        <v>369.27</v>
      </c>
      <c r="AE73" s="99">
        <v>895.04</v>
      </c>
      <c r="AF73" s="244">
        <f t="shared" si="54"/>
        <v>0.37343279970293602</v>
      </c>
      <c r="AG73" s="99">
        <v>752.4</v>
      </c>
      <c r="AH73" s="99"/>
      <c r="AI73" s="99"/>
      <c r="AJ73" s="99"/>
      <c r="AK73" s="99"/>
      <c r="AL73" s="128">
        <f t="shared" si="55"/>
        <v>0</v>
      </c>
      <c r="AM73" s="99">
        <v>0</v>
      </c>
      <c r="AN73" s="100">
        <f t="shared" si="56"/>
        <v>86.849099999999993</v>
      </c>
      <c r="AO73" s="101">
        <f t="shared" si="57"/>
        <v>293.23090000000002</v>
      </c>
      <c r="AP73" s="102"/>
      <c r="AQ73" s="103">
        <f t="shared" si="6"/>
        <v>798.93</v>
      </c>
      <c r="AR73" s="104">
        <f t="shared" si="35"/>
        <v>123.09</v>
      </c>
      <c r="AS73" s="104">
        <f t="shared" si="8"/>
        <v>298.34666666666664</v>
      </c>
      <c r="AT73" s="104">
        <f t="shared" si="9"/>
        <v>250.79999999999998</v>
      </c>
      <c r="AU73" s="104">
        <f t="shared" si="58"/>
        <v>0</v>
      </c>
      <c r="AV73" s="104">
        <f t="array" ref="AV73">_xlfn.IFS(U73=0,AO73,U73&lt;0,AO73/-U73,U73&gt;0,AO73/U73)</f>
        <v>97.743633333333335</v>
      </c>
      <c r="AW73" s="244">
        <f t="shared" si="43"/>
        <v>0.12234317566411744</v>
      </c>
      <c r="AX73" s="244">
        <f t="shared" si="44"/>
        <v>0.7940826495518184</v>
      </c>
      <c r="AY73" s="105"/>
      <c r="AZ73" s="100">
        <f t="shared" si="12"/>
        <v>879.69270000000006</v>
      </c>
    </row>
    <row r="74" spans="1:52" outlineLevel="1">
      <c r="A74" s="95" t="s">
        <v>124</v>
      </c>
      <c r="B74" s="96">
        <v>471743752</v>
      </c>
      <c r="C74" s="96" t="s">
        <v>196</v>
      </c>
      <c r="D74" s="97" t="s">
        <v>84</v>
      </c>
      <c r="E74" s="242">
        <f t="shared" si="45"/>
        <v>2</v>
      </c>
      <c r="F74" s="99">
        <v>1</v>
      </c>
      <c r="G74" s="99" t="s">
        <v>100</v>
      </c>
      <c r="H74" s="99" t="s">
        <v>100</v>
      </c>
      <c r="I74" s="99">
        <v>0</v>
      </c>
      <c r="J74" s="99">
        <v>1</v>
      </c>
      <c r="K74" s="99">
        <v>134.79</v>
      </c>
      <c r="L74" s="98">
        <f t="shared" si="42"/>
        <v>269.58</v>
      </c>
      <c r="M74" s="95">
        <v>4</v>
      </c>
      <c r="N74" s="95">
        <v>0</v>
      </c>
      <c r="O74" s="95">
        <v>0</v>
      </c>
      <c r="P74" s="95">
        <v>0</v>
      </c>
      <c r="Q74" s="243">
        <f t="shared" si="46"/>
        <v>0</v>
      </c>
      <c r="R74" s="98">
        <f t="shared" si="47"/>
        <v>0.14285714285714285</v>
      </c>
      <c r="S74" s="99">
        <v>1</v>
      </c>
      <c r="T74" s="99">
        <v>0</v>
      </c>
      <c r="U74" s="98">
        <f t="shared" si="48"/>
        <v>1</v>
      </c>
      <c r="V74" s="99">
        <v>502</v>
      </c>
      <c r="W74" s="99">
        <v>0</v>
      </c>
      <c r="X74" s="98">
        <f t="shared" si="49"/>
        <v>502</v>
      </c>
      <c r="Y74" s="99">
        <v>781</v>
      </c>
      <c r="Z74" s="99">
        <v>0</v>
      </c>
      <c r="AA74" s="98">
        <f t="shared" si="50"/>
        <v>781</v>
      </c>
      <c r="AB74" s="98">
        <f t="shared" si="51"/>
        <v>0</v>
      </c>
      <c r="AC74" s="244">
        <f t="shared" si="52"/>
        <v>3.1820253783024829E-4</v>
      </c>
      <c r="AD74" s="98">
        <f t="shared" si="53"/>
        <v>134.79</v>
      </c>
      <c r="AE74" s="99">
        <v>295.20999999999998</v>
      </c>
      <c r="AF74" s="244">
        <f t="shared" si="54"/>
        <v>0.37798975672215107</v>
      </c>
      <c r="AG74" s="99">
        <v>46.86</v>
      </c>
      <c r="AH74" s="99"/>
      <c r="AI74" s="99"/>
      <c r="AJ74" s="99"/>
      <c r="AK74" s="99"/>
      <c r="AL74" s="128">
        <f t="shared" si="55"/>
        <v>0</v>
      </c>
      <c r="AM74" s="99">
        <v>0</v>
      </c>
      <c r="AN74" s="100">
        <f t="shared" si="56"/>
        <v>28.664199999999997</v>
      </c>
      <c r="AO74" s="101">
        <f t="shared" si="57"/>
        <v>275.47580000000005</v>
      </c>
      <c r="AP74" s="102"/>
      <c r="AQ74" s="103">
        <f t="shared" si="6"/>
        <v>781</v>
      </c>
      <c r="AR74" s="104">
        <f t="shared" si="35"/>
        <v>134.79</v>
      </c>
      <c r="AS74" s="104">
        <f t="shared" si="8"/>
        <v>295.20999999999998</v>
      </c>
      <c r="AT74" s="104">
        <f t="shared" si="9"/>
        <v>46.86</v>
      </c>
      <c r="AU74" s="104">
        <f t="shared" si="58"/>
        <v>0</v>
      </c>
      <c r="AV74" s="104">
        <f t="array" ref="AV74">_xlfn.IFS(U74=0,AO74,U74&lt;0,AO74/-U74,U74&gt;0,AO74/U74)</f>
        <v>275.47580000000005</v>
      </c>
      <c r="AW74" s="244">
        <f t="shared" si="43"/>
        <v>0.35272189500640211</v>
      </c>
      <c r="AX74" s="244">
        <f t="shared" si="44"/>
        <v>2.0437406335781589</v>
      </c>
      <c r="AY74" s="105"/>
      <c r="AZ74" s="100">
        <f t="shared" si="12"/>
        <v>550.9516000000001</v>
      </c>
    </row>
    <row r="75" spans="1:52" outlineLevel="1">
      <c r="A75" s="95" t="s">
        <v>124</v>
      </c>
      <c r="B75" s="96">
        <v>471808801</v>
      </c>
      <c r="C75" s="96" t="s">
        <v>197</v>
      </c>
      <c r="D75" s="97" t="s">
        <v>84</v>
      </c>
      <c r="E75" s="242">
        <f t="shared" si="45"/>
        <v>32</v>
      </c>
      <c r="F75" s="99" t="s">
        <v>100</v>
      </c>
      <c r="G75" s="99">
        <v>1</v>
      </c>
      <c r="H75" s="99" t="s">
        <v>100</v>
      </c>
      <c r="I75" s="99">
        <v>0</v>
      </c>
      <c r="J75" s="99">
        <v>31</v>
      </c>
      <c r="K75" s="99">
        <v>134.79</v>
      </c>
      <c r="L75" s="98">
        <f t="shared" si="42"/>
        <v>4313.28</v>
      </c>
      <c r="M75" s="95">
        <v>999</v>
      </c>
      <c r="N75" s="95">
        <v>1</v>
      </c>
      <c r="O75" s="95">
        <v>763</v>
      </c>
      <c r="P75" s="95">
        <v>0</v>
      </c>
      <c r="Q75" s="243">
        <f t="shared" si="46"/>
        <v>0.14285714285714285</v>
      </c>
      <c r="R75" s="98">
        <f t="shared" si="47"/>
        <v>-0.14285714285714285</v>
      </c>
      <c r="S75" s="99">
        <v>0</v>
      </c>
      <c r="T75" s="99">
        <v>-1</v>
      </c>
      <c r="U75" s="98">
        <f t="shared" si="48"/>
        <v>-1</v>
      </c>
      <c r="V75" s="99">
        <v>0</v>
      </c>
      <c r="W75" s="99">
        <v>-470</v>
      </c>
      <c r="X75" s="98">
        <f t="shared" si="49"/>
        <v>-470</v>
      </c>
      <c r="Y75" s="99">
        <v>0</v>
      </c>
      <c r="Z75" s="99">
        <v>-740.11</v>
      </c>
      <c r="AA75" s="98">
        <f t="shared" si="50"/>
        <v>-740.11</v>
      </c>
      <c r="AB75" s="98">
        <f t="shared" si="51"/>
        <v>0</v>
      </c>
      <c r="AC75" s="244">
        <f t="shared" si="52"/>
        <v>-3.0154274042707438E-4</v>
      </c>
      <c r="AD75" s="98">
        <f t="shared" si="53"/>
        <v>-134.79</v>
      </c>
      <c r="AE75" s="99">
        <v>-276.16000000000003</v>
      </c>
      <c r="AF75" s="244">
        <f t="shared" si="54"/>
        <v>0.3731337233654457</v>
      </c>
      <c r="AG75" s="99">
        <v>50</v>
      </c>
      <c r="AH75" s="99"/>
      <c r="AI75" s="99"/>
      <c r="AJ75" s="99"/>
      <c r="AK75" s="99"/>
      <c r="AL75" s="128">
        <f t="shared" si="55"/>
        <v>0</v>
      </c>
      <c r="AM75" s="99">
        <v>0</v>
      </c>
      <c r="AN75" s="100">
        <f t="shared" si="56"/>
        <v>-26.837</v>
      </c>
      <c r="AO75" s="101">
        <f t="shared" si="57"/>
        <v>-352.32300000000004</v>
      </c>
      <c r="AP75" s="102"/>
      <c r="AQ75" s="103">
        <f t="shared" si="6"/>
        <v>740.11</v>
      </c>
      <c r="AR75" s="104">
        <f t="shared" si="35"/>
        <v>134.79</v>
      </c>
      <c r="AS75" s="104">
        <f t="shared" si="8"/>
        <v>276.16000000000003</v>
      </c>
      <c r="AT75" s="104">
        <f t="shared" si="9"/>
        <v>50</v>
      </c>
      <c r="AU75" s="104">
        <f t="shared" si="58"/>
        <v>0</v>
      </c>
      <c r="AV75" s="104">
        <f t="array" ref="AV75">_xlfn.IFS(U75=0,AO75,U75&lt;0,AO75/-U75,U75&gt;0,AO75/U75)</f>
        <v>-352.32300000000004</v>
      </c>
      <c r="AW75" s="244">
        <f t="shared" si="43"/>
        <v>-0.47604139925146266</v>
      </c>
      <c r="AX75" s="244">
        <f t="shared" si="44"/>
        <v>-2.6138660137992438</v>
      </c>
      <c r="AY75" s="105"/>
      <c r="AZ75" s="100">
        <f t="shared" si="12"/>
        <v>-11274.336000000001</v>
      </c>
    </row>
    <row r="76" spans="1:52" outlineLevel="1">
      <c r="A76" s="95" t="s">
        <v>124</v>
      </c>
      <c r="B76" s="96">
        <v>507102638</v>
      </c>
      <c r="C76" s="96" t="s">
        <v>198</v>
      </c>
      <c r="D76" s="97" t="s">
        <v>84</v>
      </c>
      <c r="E76" s="242">
        <f t="shared" si="45"/>
        <v>48</v>
      </c>
      <c r="F76" s="99">
        <v>2</v>
      </c>
      <c r="G76" s="99">
        <v>1</v>
      </c>
      <c r="H76" s="99">
        <v>44</v>
      </c>
      <c r="I76" s="99">
        <v>0</v>
      </c>
      <c r="J76" s="99">
        <v>1</v>
      </c>
      <c r="K76" s="99">
        <v>123.09</v>
      </c>
      <c r="L76" s="98">
        <f t="shared" si="42"/>
        <v>5908.32</v>
      </c>
      <c r="M76" s="95">
        <v>207</v>
      </c>
      <c r="N76" s="95">
        <v>6</v>
      </c>
      <c r="O76" s="95">
        <v>1050</v>
      </c>
      <c r="P76" s="95">
        <v>50</v>
      </c>
      <c r="Q76" s="243">
        <f t="shared" si="46"/>
        <v>0.8571428571428571</v>
      </c>
      <c r="R76" s="98">
        <f t="shared" si="47"/>
        <v>0.42857142857142855</v>
      </c>
      <c r="S76" s="99">
        <v>3</v>
      </c>
      <c r="T76" s="99">
        <v>0</v>
      </c>
      <c r="U76" s="98">
        <f t="shared" si="48"/>
        <v>3</v>
      </c>
      <c r="V76" s="99">
        <v>2029</v>
      </c>
      <c r="W76" s="99">
        <v>0</v>
      </c>
      <c r="X76" s="98">
        <f t="shared" si="49"/>
        <v>2029</v>
      </c>
      <c r="Y76" s="99">
        <v>3150</v>
      </c>
      <c r="Z76" s="99">
        <v>0</v>
      </c>
      <c r="AA76" s="98">
        <f t="shared" si="50"/>
        <v>3150</v>
      </c>
      <c r="AB76" s="98">
        <f t="shared" si="51"/>
        <v>3150</v>
      </c>
      <c r="AC76" s="244">
        <f t="shared" si="52"/>
        <v>1.2834033215944713E-3</v>
      </c>
      <c r="AD76" s="98">
        <f t="shared" si="53"/>
        <v>369.27</v>
      </c>
      <c r="AE76" s="99">
        <v>1192.3499999999999</v>
      </c>
      <c r="AF76" s="244">
        <f t="shared" si="54"/>
        <v>0.37852380952380948</v>
      </c>
      <c r="AG76" s="99">
        <v>489.15</v>
      </c>
      <c r="AH76" s="99"/>
      <c r="AI76" s="99"/>
      <c r="AJ76" s="99"/>
      <c r="AK76" s="99"/>
      <c r="AL76" s="128">
        <f t="shared" si="55"/>
        <v>38.15886173956762</v>
      </c>
      <c r="AM76" s="99">
        <v>0</v>
      </c>
      <c r="AN76" s="100">
        <f t="shared" si="56"/>
        <v>115.85589999999999</v>
      </c>
      <c r="AO76" s="101">
        <f t="shared" si="57"/>
        <v>945.21523826043244</v>
      </c>
      <c r="AP76" s="102"/>
      <c r="AQ76" s="103">
        <f t="shared" si="6"/>
        <v>1050</v>
      </c>
      <c r="AR76" s="104">
        <f t="shared" si="35"/>
        <v>123.09</v>
      </c>
      <c r="AS76" s="104">
        <f t="shared" si="8"/>
        <v>397.45</v>
      </c>
      <c r="AT76" s="104">
        <f t="shared" si="9"/>
        <v>163.04999999999998</v>
      </c>
      <c r="AU76" s="104">
        <f t="shared" si="58"/>
        <v>0</v>
      </c>
      <c r="AV76" s="104">
        <f t="array" ref="AV76">_xlfn.IFS(U76=0,AO76,U76&lt;0,AO76/-U76,U76&gt;0,AO76/U76)</f>
        <v>315.07174608681083</v>
      </c>
      <c r="AW76" s="244">
        <f t="shared" si="43"/>
        <v>0.30006832960648649</v>
      </c>
      <c r="AX76" s="244">
        <f t="shared" si="44"/>
        <v>2.5596859703209915</v>
      </c>
      <c r="AY76" s="105"/>
      <c r="AZ76" s="100">
        <f t="shared" si="12"/>
        <v>15123.443812166919</v>
      </c>
    </row>
    <row r="77" spans="1:52" outlineLevel="1">
      <c r="A77" s="95" t="s">
        <v>124</v>
      </c>
      <c r="B77" s="96">
        <v>507103278</v>
      </c>
      <c r="C77" s="96" t="s">
        <v>199</v>
      </c>
      <c r="D77" s="97" t="s">
        <v>84</v>
      </c>
      <c r="E77" s="242">
        <f t="shared" si="45"/>
        <v>43</v>
      </c>
      <c r="F77" s="99" t="s">
        <v>100</v>
      </c>
      <c r="G77" s="99" t="s">
        <v>100</v>
      </c>
      <c r="H77" s="99">
        <v>39</v>
      </c>
      <c r="I77" s="99">
        <v>0</v>
      </c>
      <c r="J77" s="99">
        <v>4</v>
      </c>
      <c r="K77" s="99">
        <v>123.09</v>
      </c>
      <c r="L77" s="98">
        <f t="shared" si="42"/>
        <v>5292.87</v>
      </c>
      <c r="M77" s="95">
        <v>999</v>
      </c>
      <c r="N77" s="95">
        <v>0</v>
      </c>
      <c r="O77" s="95">
        <v>0</v>
      </c>
      <c r="P77" s="95">
        <v>0</v>
      </c>
      <c r="Q77" s="243">
        <f t="shared" si="46"/>
        <v>0</v>
      </c>
      <c r="R77" s="98">
        <f t="shared" si="47"/>
        <v>0</v>
      </c>
      <c r="S77" s="99">
        <v>0</v>
      </c>
      <c r="T77" s="99">
        <v>0</v>
      </c>
      <c r="U77" s="98">
        <f t="shared" si="48"/>
        <v>0</v>
      </c>
      <c r="V77" s="99">
        <v>0</v>
      </c>
      <c r="W77" s="99">
        <v>0</v>
      </c>
      <c r="X77" s="98">
        <f t="shared" si="49"/>
        <v>0</v>
      </c>
      <c r="Y77" s="99">
        <v>0</v>
      </c>
      <c r="Z77" s="99">
        <v>0</v>
      </c>
      <c r="AA77" s="98">
        <f t="shared" si="50"/>
        <v>0</v>
      </c>
      <c r="AB77" s="98">
        <f t="shared" si="51"/>
        <v>0</v>
      </c>
      <c r="AC77" s="244">
        <f t="shared" si="52"/>
        <v>0</v>
      </c>
      <c r="AD77" s="98">
        <f t="shared" si="53"/>
        <v>0</v>
      </c>
      <c r="AE77" s="99">
        <v>0</v>
      </c>
      <c r="AF77" s="244">
        <f t="shared" si="54"/>
        <v>0</v>
      </c>
      <c r="AG77" s="99">
        <v>0</v>
      </c>
      <c r="AH77" s="99"/>
      <c r="AI77" s="99"/>
      <c r="AJ77" s="99"/>
      <c r="AK77" s="99"/>
      <c r="AL77" s="128">
        <f t="shared" si="55"/>
        <v>33.822627450980391</v>
      </c>
      <c r="AM77" s="99">
        <v>0</v>
      </c>
      <c r="AN77" s="100">
        <f t="shared" si="56"/>
        <v>0</v>
      </c>
      <c r="AO77" s="101">
        <f t="shared" si="57"/>
        <v>-33.822627450980391</v>
      </c>
      <c r="AP77" s="102"/>
      <c r="AQ77" s="103">
        <f t="shared" si="6"/>
        <v>0</v>
      </c>
      <c r="AR77" s="104">
        <f t="shared" si="35"/>
        <v>123.09</v>
      </c>
      <c r="AS77" s="104">
        <f t="shared" si="8"/>
        <v>0</v>
      </c>
      <c r="AT77" s="104">
        <f t="shared" si="9"/>
        <v>0</v>
      </c>
      <c r="AU77" s="104">
        <f t="shared" si="58"/>
        <v>0</v>
      </c>
      <c r="AV77" s="104">
        <f t="array" ref="AV77">_xlfn.IFS(U77=0,AO77,U77&lt;0,AO77/-U77,U77&gt;0,AO77/U77)</f>
        <v>-33.822627450980391</v>
      </c>
      <c r="AW77" s="244">
        <f t="shared" si="43"/>
        <v>0</v>
      </c>
      <c r="AX77" s="244">
        <f t="shared" si="44"/>
        <v>-0.27477965270111621</v>
      </c>
      <c r="AY77" s="105"/>
      <c r="AZ77" s="100">
        <f t="shared" si="12"/>
        <v>-1454.3729803921569</v>
      </c>
    </row>
    <row r="78" spans="1:52" outlineLevel="1">
      <c r="A78" s="95" t="s">
        <v>124</v>
      </c>
      <c r="B78" s="96">
        <v>507103836</v>
      </c>
      <c r="C78" s="96" t="s">
        <v>200</v>
      </c>
      <c r="D78" s="97" t="s">
        <v>84</v>
      </c>
      <c r="E78" s="242">
        <f t="shared" si="45"/>
        <v>28</v>
      </c>
      <c r="F78" s="99">
        <v>3</v>
      </c>
      <c r="G78" s="99" t="s">
        <v>100</v>
      </c>
      <c r="H78" s="99">
        <v>24</v>
      </c>
      <c r="I78" s="99">
        <v>0</v>
      </c>
      <c r="J78" s="99">
        <v>1</v>
      </c>
      <c r="K78" s="99">
        <v>123.09</v>
      </c>
      <c r="L78" s="98">
        <f t="shared" si="42"/>
        <v>3446.52</v>
      </c>
      <c r="M78" s="95">
        <v>189</v>
      </c>
      <c r="N78" s="95">
        <v>2</v>
      </c>
      <c r="O78" s="95">
        <v>1000</v>
      </c>
      <c r="P78" s="95">
        <v>0</v>
      </c>
      <c r="Q78" s="243">
        <f t="shared" si="46"/>
        <v>0.2857142857142857</v>
      </c>
      <c r="R78" s="98">
        <f t="shared" si="47"/>
        <v>0</v>
      </c>
      <c r="S78" s="99">
        <v>0</v>
      </c>
      <c r="T78" s="99">
        <v>0</v>
      </c>
      <c r="U78" s="98">
        <f t="shared" si="48"/>
        <v>0</v>
      </c>
      <c r="V78" s="99">
        <v>0</v>
      </c>
      <c r="W78" s="99">
        <v>0</v>
      </c>
      <c r="X78" s="98">
        <f t="shared" si="49"/>
        <v>0</v>
      </c>
      <c r="Y78" s="99">
        <v>0</v>
      </c>
      <c r="Z78" s="99">
        <v>0</v>
      </c>
      <c r="AA78" s="98">
        <f t="shared" si="50"/>
        <v>0</v>
      </c>
      <c r="AB78" s="98">
        <f t="shared" si="51"/>
        <v>0</v>
      </c>
      <c r="AC78" s="244">
        <f t="shared" si="52"/>
        <v>0</v>
      </c>
      <c r="AD78" s="98">
        <f t="shared" si="53"/>
        <v>0</v>
      </c>
      <c r="AE78" s="99">
        <v>0</v>
      </c>
      <c r="AF78" s="244">
        <f t="shared" si="54"/>
        <v>0</v>
      </c>
      <c r="AG78" s="99">
        <v>108.58</v>
      </c>
      <c r="AH78" s="99"/>
      <c r="AI78" s="99"/>
      <c r="AJ78" s="99"/>
      <c r="AK78" s="99"/>
      <c r="AL78" s="128">
        <f t="shared" si="55"/>
        <v>20.813924585218704</v>
      </c>
      <c r="AM78" s="99">
        <v>0</v>
      </c>
      <c r="AN78" s="100">
        <f t="shared" si="56"/>
        <v>0</v>
      </c>
      <c r="AO78" s="101">
        <f t="shared" si="57"/>
        <v>-129.39392458521871</v>
      </c>
      <c r="AP78" s="102"/>
      <c r="AQ78" s="103">
        <f t="shared" si="6"/>
        <v>0</v>
      </c>
      <c r="AR78" s="104">
        <f t="shared" si="35"/>
        <v>123.09</v>
      </c>
      <c r="AS78" s="104">
        <f t="shared" si="8"/>
        <v>0</v>
      </c>
      <c r="AT78" s="104">
        <f t="shared" si="9"/>
        <v>108.58</v>
      </c>
      <c r="AU78" s="104">
        <f t="shared" si="58"/>
        <v>0</v>
      </c>
      <c r="AV78" s="104">
        <f t="array" ref="AV78">_xlfn.IFS(U78=0,AO78,U78&lt;0,AO78/-U78,U78&gt;0,AO78/U78)</f>
        <v>-129.39392458521871</v>
      </c>
      <c r="AW78" s="244">
        <f t="shared" si="43"/>
        <v>0</v>
      </c>
      <c r="AX78" s="244">
        <f t="shared" si="44"/>
        <v>-1.0512139457731635</v>
      </c>
      <c r="AY78" s="105"/>
      <c r="AZ78" s="100">
        <f t="shared" si="12"/>
        <v>-3623.0298883861242</v>
      </c>
    </row>
    <row r="79" spans="1:52" outlineLevel="1">
      <c r="A79" s="95" t="s">
        <v>124</v>
      </c>
      <c r="B79" s="96">
        <v>507100961</v>
      </c>
      <c r="C79" s="96" t="s">
        <v>201</v>
      </c>
      <c r="D79" s="97" t="s">
        <v>84</v>
      </c>
      <c r="E79" s="242">
        <f t="shared" si="45"/>
        <v>50</v>
      </c>
      <c r="F79" s="99">
        <v>2</v>
      </c>
      <c r="G79" s="99">
        <v>1</v>
      </c>
      <c r="H79" s="99">
        <v>46</v>
      </c>
      <c r="I79" s="99">
        <v>0</v>
      </c>
      <c r="J79" s="99">
        <v>1</v>
      </c>
      <c r="K79" s="99">
        <v>164.04</v>
      </c>
      <c r="L79" s="98">
        <f t="shared" si="42"/>
        <v>8202</v>
      </c>
      <c r="M79" s="95">
        <v>365</v>
      </c>
      <c r="N79" s="95">
        <v>2</v>
      </c>
      <c r="O79" s="95">
        <v>1500</v>
      </c>
      <c r="P79" s="95">
        <v>0</v>
      </c>
      <c r="Q79" s="243">
        <f t="shared" si="46"/>
        <v>0.2857142857142857</v>
      </c>
      <c r="R79" s="98">
        <f t="shared" si="47"/>
        <v>0</v>
      </c>
      <c r="S79" s="99">
        <v>0</v>
      </c>
      <c r="T79" s="99">
        <v>0</v>
      </c>
      <c r="U79" s="98">
        <f t="shared" si="48"/>
        <v>0</v>
      </c>
      <c r="V79" s="99">
        <v>0</v>
      </c>
      <c r="W79" s="99">
        <v>0</v>
      </c>
      <c r="X79" s="98">
        <f t="shared" si="49"/>
        <v>0</v>
      </c>
      <c r="Y79" s="99">
        <v>0</v>
      </c>
      <c r="Z79" s="99">
        <v>0</v>
      </c>
      <c r="AA79" s="98">
        <f t="shared" si="50"/>
        <v>0</v>
      </c>
      <c r="AB79" s="98">
        <f t="shared" si="51"/>
        <v>0</v>
      </c>
      <c r="AC79" s="244">
        <f t="shared" si="52"/>
        <v>0</v>
      </c>
      <c r="AD79" s="98">
        <f t="shared" si="53"/>
        <v>0</v>
      </c>
      <c r="AE79" s="99">
        <v>0</v>
      </c>
      <c r="AF79" s="244">
        <f t="shared" si="54"/>
        <v>0</v>
      </c>
      <c r="AG79" s="99">
        <v>96.86</v>
      </c>
      <c r="AH79" s="99"/>
      <c r="AI79" s="99"/>
      <c r="AJ79" s="99"/>
      <c r="AK79" s="99"/>
      <c r="AL79" s="128">
        <f t="shared" si="55"/>
        <v>39.893355455002521</v>
      </c>
      <c r="AM79" s="99">
        <v>0</v>
      </c>
      <c r="AN79" s="100">
        <f t="shared" si="56"/>
        <v>0</v>
      </c>
      <c r="AO79" s="101">
        <f t="shared" si="57"/>
        <v>-136.75335545500252</v>
      </c>
      <c r="AP79" s="102"/>
      <c r="AQ79" s="103">
        <f t="shared" si="6"/>
        <v>0</v>
      </c>
      <c r="AR79" s="104">
        <f t="shared" si="35"/>
        <v>164.04</v>
      </c>
      <c r="AS79" s="104">
        <f t="shared" si="8"/>
        <v>0</v>
      </c>
      <c r="AT79" s="104">
        <f t="shared" si="9"/>
        <v>96.86</v>
      </c>
      <c r="AU79" s="104">
        <f t="shared" si="58"/>
        <v>0</v>
      </c>
      <c r="AV79" s="104">
        <f t="array" ref="AV79">_xlfn.IFS(U79=0,AO79,U79&lt;0,AO79/-U79,U79&gt;0,AO79/U79)</f>
        <v>-136.75335545500252</v>
      </c>
      <c r="AW79" s="244">
        <f t="shared" si="43"/>
        <v>0</v>
      </c>
      <c r="AX79" s="244">
        <f t="shared" si="44"/>
        <v>-0.83365859214217586</v>
      </c>
      <c r="AY79" s="105"/>
      <c r="AZ79" s="100">
        <f t="shared" si="12"/>
        <v>-6837.6677727501265</v>
      </c>
    </row>
    <row r="80" spans="1:52" outlineLevel="1">
      <c r="A80" s="95" t="s">
        <v>124</v>
      </c>
      <c r="B80" s="96">
        <v>507101212</v>
      </c>
      <c r="C80" s="96" t="s">
        <v>202</v>
      </c>
      <c r="D80" s="97" t="s">
        <v>84</v>
      </c>
      <c r="E80" s="242">
        <f t="shared" si="45"/>
        <v>47</v>
      </c>
      <c r="F80" s="99">
        <v>3</v>
      </c>
      <c r="G80" s="99" t="s">
        <v>100</v>
      </c>
      <c r="H80" s="99">
        <v>43</v>
      </c>
      <c r="I80" s="99">
        <v>0</v>
      </c>
      <c r="J80" s="99">
        <v>1</v>
      </c>
      <c r="K80" s="99">
        <v>164.04</v>
      </c>
      <c r="L80" s="98">
        <f t="shared" si="42"/>
        <v>7709.8799999999992</v>
      </c>
      <c r="M80" s="95">
        <v>227</v>
      </c>
      <c r="N80" s="95">
        <v>4</v>
      </c>
      <c r="O80" s="95">
        <v>1011</v>
      </c>
      <c r="P80" s="95">
        <v>100</v>
      </c>
      <c r="Q80" s="243">
        <f t="shared" si="46"/>
        <v>0.5714285714285714</v>
      </c>
      <c r="R80" s="98">
        <f t="shared" si="47"/>
        <v>0.14285714285714285</v>
      </c>
      <c r="S80" s="99">
        <v>1</v>
      </c>
      <c r="T80" s="99">
        <v>0</v>
      </c>
      <c r="U80" s="98">
        <f t="shared" si="48"/>
        <v>1</v>
      </c>
      <c r="V80" s="99">
        <v>616</v>
      </c>
      <c r="W80" s="99">
        <v>0</v>
      </c>
      <c r="X80" s="98">
        <f t="shared" si="49"/>
        <v>616</v>
      </c>
      <c r="Y80" s="99">
        <v>987</v>
      </c>
      <c r="Z80" s="99">
        <v>0</v>
      </c>
      <c r="AA80" s="98">
        <f t="shared" si="50"/>
        <v>987</v>
      </c>
      <c r="AB80" s="98">
        <f t="shared" si="51"/>
        <v>4044</v>
      </c>
      <c r="AC80" s="244">
        <f t="shared" si="52"/>
        <v>4.0213304076626769E-4</v>
      </c>
      <c r="AD80" s="98">
        <f t="shared" si="53"/>
        <v>164.04</v>
      </c>
      <c r="AE80" s="99">
        <v>372.54999999999995</v>
      </c>
      <c r="AF80" s="244">
        <f t="shared" si="54"/>
        <v>0.37745694022289761</v>
      </c>
      <c r="AG80" s="99">
        <v>141.25</v>
      </c>
      <c r="AH80" s="99"/>
      <c r="AI80" s="99"/>
      <c r="AJ80" s="99"/>
      <c r="AK80" s="99"/>
      <c r="AL80" s="128">
        <f t="shared" si="55"/>
        <v>37.29161488185018</v>
      </c>
      <c r="AM80" s="99">
        <v>0</v>
      </c>
      <c r="AN80" s="100">
        <f t="shared" si="56"/>
        <v>35.1736</v>
      </c>
      <c r="AO80" s="101">
        <f t="shared" si="57"/>
        <v>236.69478511814989</v>
      </c>
      <c r="AP80" s="102"/>
      <c r="AQ80" s="103">
        <f t="shared" si="6"/>
        <v>987</v>
      </c>
      <c r="AR80" s="104">
        <f t="shared" si="35"/>
        <v>164.04</v>
      </c>
      <c r="AS80" s="104">
        <f t="shared" si="8"/>
        <v>372.54999999999995</v>
      </c>
      <c r="AT80" s="104">
        <f t="shared" si="9"/>
        <v>141.25</v>
      </c>
      <c r="AU80" s="104">
        <f t="shared" si="58"/>
        <v>0</v>
      </c>
      <c r="AV80" s="104">
        <f t="array" ref="AV80">_xlfn.IFS(U80=0,AO80,U80&lt;0,AO80/-U80,U80&gt;0,AO80/U80)</f>
        <v>236.69478511814989</v>
      </c>
      <c r="AW80" s="244">
        <f t="shared" si="43"/>
        <v>0.23981234561109413</v>
      </c>
      <c r="AX80" s="244">
        <f t="shared" si="44"/>
        <v>1.4429089558531449</v>
      </c>
      <c r="AY80" s="105"/>
      <c r="AZ80" s="100">
        <f t="shared" si="12"/>
        <v>11124.654900553045</v>
      </c>
    </row>
    <row r="81" spans="1:52" outlineLevel="1">
      <c r="A81" s="95" t="s">
        <v>124</v>
      </c>
      <c r="B81" s="96">
        <v>507102032</v>
      </c>
      <c r="C81" s="96" t="s">
        <v>203</v>
      </c>
      <c r="D81" s="97" t="s">
        <v>84</v>
      </c>
      <c r="E81" s="242">
        <f t="shared" si="45"/>
        <v>39</v>
      </c>
      <c r="F81" s="99">
        <v>9</v>
      </c>
      <c r="G81" s="99">
        <v>3</v>
      </c>
      <c r="H81" s="99">
        <v>26</v>
      </c>
      <c r="I81" s="99">
        <v>0</v>
      </c>
      <c r="J81" s="99">
        <v>1</v>
      </c>
      <c r="K81" s="99">
        <v>128.94</v>
      </c>
      <c r="L81" s="98">
        <f t="shared" si="42"/>
        <v>5028.66</v>
      </c>
      <c r="M81" s="95">
        <v>56</v>
      </c>
      <c r="N81" s="95">
        <v>12</v>
      </c>
      <c r="O81" s="95">
        <v>1167</v>
      </c>
      <c r="P81" s="95">
        <v>25</v>
      </c>
      <c r="Q81" s="243">
        <f t="shared" si="46"/>
        <v>1.7142857142857142</v>
      </c>
      <c r="R81" s="98">
        <f t="shared" si="47"/>
        <v>0.8571428571428571</v>
      </c>
      <c r="S81" s="99">
        <v>6</v>
      </c>
      <c r="T81" s="99">
        <v>0</v>
      </c>
      <c r="U81" s="98">
        <f t="shared" si="48"/>
        <v>6</v>
      </c>
      <c r="V81" s="99">
        <v>4422</v>
      </c>
      <c r="W81" s="99">
        <v>0</v>
      </c>
      <c r="X81" s="98">
        <f t="shared" si="49"/>
        <v>4422</v>
      </c>
      <c r="Y81" s="99">
        <v>7106</v>
      </c>
      <c r="Z81" s="99">
        <v>0</v>
      </c>
      <c r="AA81" s="98">
        <f t="shared" si="50"/>
        <v>7106</v>
      </c>
      <c r="AB81" s="98">
        <f t="shared" si="51"/>
        <v>3501</v>
      </c>
      <c r="AC81" s="244">
        <f t="shared" si="52"/>
        <v>2.8951949216667662E-3</v>
      </c>
      <c r="AD81" s="98">
        <f t="shared" si="53"/>
        <v>773.64</v>
      </c>
      <c r="AE81" s="99">
        <v>2635.6899999999996</v>
      </c>
      <c r="AF81" s="244">
        <f t="shared" si="54"/>
        <v>0.37091049817056004</v>
      </c>
      <c r="AG81" s="99">
        <v>1057.75</v>
      </c>
      <c r="AH81" s="99">
        <v>487</v>
      </c>
      <c r="AI81" s="99">
        <v>2056</v>
      </c>
      <c r="AJ81" s="99"/>
      <c r="AK81" s="99"/>
      <c r="AL81" s="128">
        <f t="shared" si="55"/>
        <v>22.548418300653598</v>
      </c>
      <c r="AM81" s="99">
        <v>0</v>
      </c>
      <c r="AN81" s="100">
        <f t="shared" si="56"/>
        <v>252.49619999999999</v>
      </c>
      <c r="AO81" s="101">
        <f t="shared" si="57"/>
        <v>-179.12461830065351</v>
      </c>
      <c r="AP81" s="102"/>
      <c r="AQ81" s="103">
        <f t="shared" si="6"/>
        <v>1184.3333333333333</v>
      </c>
      <c r="AR81" s="104">
        <f t="shared" si="35"/>
        <v>128.94</v>
      </c>
      <c r="AS81" s="104">
        <f t="shared" si="8"/>
        <v>439.28166666666658</v>
      </c>
      <c r="AT81" s="104">
        <f t="shared" si="9"/>
        <v>176.29166666666666</v>
      </c>
      <c r="AU81" s="104">
        <f t="shared" si="58"/>
        <v>423.83333333333331</v>
      </c>
      <c r="AV81" s="104">
        <f t="array" ref="AV81">_xlfn.IFS(U81=0,AO81,U81&lt;0,AO81/-U81,U81&gt;0,AO81/U81)</f>
        <v>-29.854103050108918</v>
      </c>
      <c r="AW81" s="244">
        <f t="shared" si="43"/>
        <v>-2.5207517351625883E-2</v>
      </c>
      <c r="AX81" s="244">
        <f t="shared" si="44"/>
        <v>-0.23153484605327221</v>
      </c>
      <c r="AY81" s="105"/>
      <c r="AZ81" s="100">
        <f t="shared" si="12"/>
        <v>-1164.3100189542479</v>
      </c>
    </row>
    <row r="82" spans="1:52" outlineLevel="1">
      <c r="A82" s="95" t="s">
        <v>124</v>
      </c>
      <c r="B82" s="96">
        <v>507102327</v>
      </c>
      <c r="C82" s="96" t="s">
        <v>204</v>
      </c>
      <c r="D82" s="97" t="s">
        <v>84</v>
      </c>
      <c r="E82" s="242">
        <f t="shared" si="45"/>
        <v>49</v>
      </c>
      <c r="F82" s="99" t="s">
        <v>100</v>
      </c>
      <c r="G82" s="99" t="s">
        <v>100</v>
      </c>
      <c r="H82" s="99">
        <v>48</v>
      </c>
      <c r="I82" s="99">
        <v>0</v>
      </c>
      <c r="J82" s="99">
        <v>1</v>
      </c>
      <c r="K82" s="99">
        <v>128.94</v>
      </c>
      <c r="L82" s="98">
        <f t="shared" si="42"/>
        <v>6318.0599999999995</v>
      </c>
      <c r="M82" s="95">
        <v>999</v>
      </c>
      <c r="N82" s="95">
        <v>0</v>
      </c>
      <c r="O82" s="95">
        <v>0</v>
      </c>
      <c r="P82" s="95">
        <v>0</v>
      </c>
      <c r="Q82" s="243">
        <f t="shared" si="46"/>
        <v>0</v>
      </c>
      <c r="R82" s="98">
        <f t="shared" si="47"/>
        <v>0</v>
      </c>
      <c r="S82" s="99">
        <v>0</v>
      </c>
      <c r="T82" s="99">
        <v>0</v>
      </c>
      <c r="U82" s="98">
        <f t="shared" si="48"/>
        <v>0</v>
      </c>
      <c r="V82" s="99">
        <v>0</v>
      </c>
      <c r="W82" s="99">
        <v>0</v>
      </c>
      <c r="X82" s="98">
        <f t="shared" si="49"/>
        <v>0</v>
      </c>
      <c r="Y82" s="99">
        <v>0</v>
      </c>
      <c r="Z82" s="99">
        <v>0</v>
      </c>
      <c r="AA82" s="98">
        <f t="shared" si="50"/>
        <v>0</v>
      </c>
      <c r="AB82" s="98">
        <f t="shared" si="51"/>
        <v>0</v>
      </c>
      <c r="AC82" s="244">
        <f t="shared" si="52"/>
        <v>0</v>
      </c>
      <c r="AD82" s="98">
        <f t="shared" si="53"/>
        <v>0</v>
      </c>
      <c r="AE82" s="99">
        <v>0</v>
      </c>
      <c r="AF82" s="244">
        <f t="shared" si="54"/>
        <v>0</v>
      </c>
      <c r="AG82" s="99">
        <v>0</v>
      </c>
      <c r="AH82" s="99"/>
      <c r="AI82" s="99"/>
      <c r="AJ82" s="99"/>
      <c r="AK82" s="99"/>
      <c r="AL82" s="128">
        <f t="shared" si="55"/>
        <v>41.627849170437408</v>
      </c>
      <c r="AM82" s="99">
        <v>0</v>
      </c>
      <c r="AN82" s="100">
        <f t="shared" si="56"/>
        <v>0</v>
      </c>
      <c r="AO82" s="101">
        <f t="shared" si="57"/>
        <v>-41.627849170437408</v>
      </c>
      <c r="AP82" s="102"/>
      <c r="AQ82" s="103">
        <f t="shared" si="6"/>
        <v>0</v>
      </c>
      <c r="AR82" s="104">
        <f t="shared" si="35"/>
        <v>128.94</v>
      </c>
      <c r="AS82" s="104">
        <f t="shared" si="8"/>
        <v>0</v>
      </c>
      <c r="AT82" s="104">
        <f t="shared" si="9"/>
        <v>0</v>
      </c>
      <c r="AU82" s="104">
        <f t="shared" si="58"/>
        <v>0</v>
      </c>
      <c r="AV82" s="104">
        <f t="array" ref="AV82">_xlfn.IFS(U82=0,AO82,U82&lt;0,AO82/-U82,U82&gt;0,AO82/U82)</f>
        <v>-41.627849170437408</v>
      </c>
      <c r="AW82" s="244">
        <f t="shared" si="43"/>
        <v>0</v>
      </c>
      <c r="AX82" s="244">
        <f t="shared" si="44"/>
        <v>-0.32284666643739263</v>
      </c>
      <c r="AY82" s="105"/>
      <c r="AZ82" s="100">
        <f t="shared" si="12"/>
        <v>-2039.7646093514329</v>
      </c>
    </row>
    <row r="83" spans="1:52" outlineLevel="1">
      <c r="A83" s="95" t="s">
        <v>124</v>
      </c>
      <c r="B83" s="96">
        <v>507098553</v>
      </c>
      <c r="C83" s="96" t="s">
        <v>205</v>
      </c>
      <c r="D83" s="97" t="s">
        <v>84</v>
      </c>
      <c r="E83" s="242">
        <f t="shared" si="45"/>
        <v>50</v>
      </c>
      <c r="F83" s="99">
        <v>3</v>
      </c>
      <c r="G83" s="99">
        <v>1</v>
      </c>
      <c r="H83" s="99">
        <v>45</v>
      </c>
      <c r="I83" s="99">
        <v>0</v>
      </c>
      <c r="J83" s="99">
        <v>1</v>
      </c>
      <c r="K83" s="99">
        <v>123.09</v>
      </c>
      <c r="L83" s="98">
        <f t="shared" si="42"/>
        <v>6154.5</v>
      </c>
      <c r="M83" s="95">
        <v>363</v>
      </c>
      <c r="N83" s="95">
        <v>3</v>
      </c>
      <c r="O83" s="95">
        <v>1375</v>
      </c>
      <c r="P83" s="95">
        <v>0</v>
      </c>
      <c r="Q83" s="243">
        <f t="shared" si="46"/>
        <v>0.42857142857142855</v>
      </c>
      <c r="R83" s="98">
        <f t="shared" si="47"/>
        <v>0</v>
      </c>
      <c r="S83" s="99">
        <v>0</v>
      </c>
      <c r="T83" s="99">
        <v>0</v>
      </c>
      <c r="U83" s="98">
        <f t="shared" si="48"/>
        <v>0</v>
      </c>
      <c r="V83" s="99">
        <v>0</v>
      </c>
      <c r="W83" s="99">
        <v>0</v>
      </c>
      <c r="X83" s="98">
        <f t="shared" si="49"/>
        <v>0</v>
      </c>
      <c r="Y83" s="99">
        <v>0</v>
      </c>
      <c r="Z83" s="99">
        <v>0</v>
      </c>
      <c r="AA83" s="98">
        <f t="shared" si="50"/>
        <v>0</v>
      </c>
      <c r="AB83" s="98">
        <f t="shared" si="51"/>
        <v>0</v>
      </c>
      <c r="AC83" s="244">
        <f t="shared" si="52"/>
        <v>0</v>
      </c>
      <c r="AD83" s="98">
        <f t="shared" si="53"/>
        <v>0</v>
      </c>
      <c r="AE83" s="99">
        <v>0</v>
      </c>
      <c r="AF83" s="244">
        <f t="shared" si="54"/>
        <v>0</v>
      </c>
      <c r="AG83" s="99">
        <v>108.58</v>
      </c>
      <c r="AH83" s="99"/>
      <c r="AI83" s="99"/>
      <c r="AJ83" s="99"/>
      <c r="AK83" s="99"/>
      <c r="AL83" s="128">
        <f t="shared" si="55"/>
        <v>39.026108597285074</v>
      </c>
      <c r="AM83" s="99">
        <v>0</v>
      </c>
      <c r="AN83" s="100">
        <f t="shared" si="56"/>
        <v>0</v>
      </c>
      <c r="AO83" s="101">
        <f t="shared" si="57"/>
        <v>-147.60610859728507</v>
      </c>
      <c r="AP83" s="102"/>
      <c r="AQ83" s="103">
        <f t="shared" si="6"/>
        <v>0</v>
      </c>
      <c r="AR83" s="104">
        <f t="shared" si="35"/>
        <v>123.09</v>
      </c>
      <c r="AS83" s="104">
        <f t="shared" si="8"/>
        <v>0</v>
      </c>
      <c r="AT83" s="104">
        <f t="shared" si="9"/>
        <v>108.58</v>
      </c>
      <c r="AU83" s="104">
        <f t="shared" si="58"/>
        <v>0</v>
      </c>
      <c r="AV83" s="104">
        <f t="array" ref="AV83">_xlfn.IFS(U83=0,AO83,U83&lt;0,AO83/-U83,U83&gt;0,AO83/U83)</f>
        <v>-147.60610859728507</v>
      </c>
      <c r="AW83" s="244">
        <f t="shared" si="43"/>
        <v>0</v>
      </c>
      <c r="AX83" s="244">
        <f t="shared" si="44"/>
        <v>-1.1991722203045339</v>
      </c>
      <c r="AY83" s="105"/>
      <c r="AZ83" s="100">
        <f t="shared" si="12"/>
        <v>-7380.3054298642537</v>
      </c>
    </row>
    <row r="84" spans="1:52" outlineLevel="1">
      <c r="A84" s="95" t="s">
        <v>124</v>
      </c>
      <c r="B84" s="96">
        <v>507097715</v>
      </c>
      <c r="C84" s="96" t="s">
        <v>206</v>
      </c>
      <c r="D84" s="97" t="s">
        <v>84</v>
      </c>
      <c r="E84" s="242">
        <f t="shared" si="45"/>
        <v>49</v>
      </c>
      <c r="F84" s="99" t="s">
        <v>100</v>
      </c>
      <c r="G84" s="99" t="s">
        <v>100</v>
      </c>
      <c r="H84" s="99">
        <v>48</v>
      </c>
      <c r="I84" s="99">
        <v>0</v>
      </c>
      <c r="J84" s="99">
        <v>1</v>
      </c>
      <c r="K84" s="99">
        <v>146.49</v>
      </c>
      <c r="L84" s="98">
        <f t="shared" si="42"/>
        <v>7178.01</v>
      </c>
      <c r="M84" s="95">
        <v>999</v>
      </c>
      <c r="N84" s="95">
        <v>0</v>
      </c>
      <c r="O84" s="95">
        <v>0</v>
      </c>
      <c r="P84" s="95">
        <v>0</v>
      </c>
      <c r="Q84" s="243">
        <f t="shared" si="46"/>
        <v>0</v>
      </c>
      <c r="R84" s="98">
        <f t="shared" si="47"/>
        <v>0</v>
      </c>
      <c r="S84" s="99">
        <v>0</v>
      </c>
      <c r="T84" s="99">
        <v>0</v>
      </c>
      <c r="U84" s="98">
        <f t="shared" si="48"/>
        <v>0</v>
      </c>
      <c r="V84" s="99">
        <v>0</v>
      </c>
      <c r="W84" s="99">
        <v>0</v>
      </c>
      <c r="X84" s="98">
        <f t="shared" si="49"/>
        <v>0</v>
      </c>
      <c r="Y84" s="99">
        <v>0</v>
      </c>
      <c r="Z84" s="99">
        <v>0</v>
      </c>
      <c r="AA84" s="98">
        <f t="shared" si="50"/>
        <v>0</v>
      </c>
      <c r="AB84" s="98">
        <f t="shared" si="51"/>
        <v>0</v>
      </c>
      <c r="AC84" s="244">
        <f t="shared" si="52"/>
        <v>0</v>
      </c>
      <c r="AD84" s="98">
        <f t="shared" si="53"/>
        <v>0</v>
      </c>
      <c r="AE84" s="99">
        <v>0</v>
      </c>
      <c r="AF84" s="244">
        <f t="shared" si="54"/>
        <v>0</v>
      </c>
      <c r="AG84" s="99">
        <v>0</v>
      </c>
      <c r="AH84" s="99"/>
      <c r="AI84" s="99"/>
      <c r="AJ84" s="99"/>
      <c r="AK84" s="99"/>
      <c r="AL84" s="128">
        <f t="shared" si="55"/>
        <v>41.627849170437408</v>
      </c>
      <c r="AM84" s="99">
        <v>0</v>
      </c>
      <c r="AN84" s="100">
        <f t="shared" si="56"/>
        <v>0</v>
      </c>
      <c r="AO84" s="101">
        <f t="shared" si="57"/>
        <v>-41.627849170437408</v>
      </c>
      <c r="AP84" s="102"/>
      <c r="AQ84" s="103">
        <f t="shared" si="6"/>
        <v>0</v>
      </c>
      <c r="AR84" s="104">
        <f t="shared" si="35"/>
        <v>146.49</v>
      </c>
      <c r="AS84" s="104">
        <f t="shared" si="8"/>
        <v>0</v>
      </c>
      <c r="AT84" s="104">
        <f t="shared" si="9"/>
        <v>0</v>
      </c>
      <c r="AU84" s="104">
        <f t="shared" si="58"/>
        <v>0</v>
      </c>
      <c r="AV84" s="104">
        <f t="array" ref="AV84">_xlfn.IFS(U84=0,AO84,U84&lt;0,AO84/-U84,U84&gt;0,AO84/U84)</f>
        <v>-41.627849170437408</v>
      </c>
      <c r="AW84" s="244">
        <f t="shared" si="43"/>
        <v>0</v>
      </c>
      <c r="AX84" s="244">
        <f t="shared" si="44"/>
        <v>-0.28416853826498328</v>
      </c>
      <c r="AY84" s="105"/>
      <c r="AZ84" s="100">
        <f t="shared" si="12"/>
        <v>-2039.7646093514329</v>
      </c>
    </row>
    <row r="85" spans="1:52" outlineLevel="1">
      <c r="A85" s="95" t="s">
        <v>124</v>
      </c>
      <c r="B85" s="96">
        <v>507115441</v>
      </c>
      <c r="C85" s="96" t="s">
        <v>207</v>
      </c>
      <c r="D85" s="97" t="s">
        <v>84</v>
      </c>
      <c r="E85" s="242">
        <f t="shared" si="45"/>
        <v>43</v>
      </c>
      <c r="F85" s="99">
        <v>3</v>
      </c>
      <c r="G85" s="99">
        <v>2</v>
      </c>
      <c r="H85" s="99">
        <v>37</v>
      </c>
      <c r="I85" s="99">
        <v>0</v>
      </c>
      <c r="J85" s="99">
        <v>1</v>
      </c>
      <c r="K85" s="99">
        <v>103.2</v>
      </c>
      <c r="L85" s="98">
        <f t="shared" si="42"/>
        <v>4437.6000000000004</v>
      </c>
      <c r="M85" s="95">
        <v>207</v>
      </c>
      <c r="N85" s="95">
        <v>1</v>
      </c>
      <c r="O85" s="95">
        <v>1008</v>
      </c>
      <c r="P85" s="95">
        <v>0</v>
      </c>
      <c r="Q85" s="243">
        <f t="shared" si="46"/>
        <v>0.14285714285714285</v>
      </c>
      <c r="R85" s="98">
        <f t="shared" si="47"/>
        <v>-0.14285714285714285</v>
      </c>
      <c r="S85" s="99">
        <v>0</v>
      </c>
      <c r="T85" s="99">
        <v>-1</v>
      </c>
      <c r="U85" s="98">
        <f t="shared" si="48"/>
        <v>-1</v>
      </c>
      <c r="V85" s="99">
        <v>0</v>
      </c>
      <c r="W85" s="99">
        <v>-647</v>
      </c>
      <c r="X85" s="98">
        <f t="shared" si="49"/>
        <v>-647</v>
      </c>
      <c r="Y85" s="99">
        <v>0</v>
      </c>
      <c r="Z85" s="99">
        <v>-1008</v>
      </c>
      <c r="AA85" s="98">
        <f t="shared" si="50"/>
        <v>-1008</v>
      </c>
      <c r="AB85" s="98">
        <f t="shared" si="51"/>
        <v>0</v>
      </c>
      <c r="AC85" s="244">
        <f t="shared" si="52"/>
        <v>-4.1068906291023084E-4</v>
      </c>
      <c r="AD85" s="98">
        <f t="shared" si="53"/>
        <v>-103.2</v>
      </c>
      <c r="AE85" s="99">
        <v>-376.35</v>
      </c>
      <c r="AF85" s="244">
        <f t="shared" si="54"/>
        <v>0.37336309523809524</v>
      </c>
      <c r="AG85" s="99">
        <v>370.44</v>
      </c>
      <c r="AH85" s="99"/>
      <c r="AI85" s="99"/>
      <c r="AJ85" s="99"/>
      <c r="AK85" s="99"/>
      <c r="AL85" s="128">
        <f t="shared" si="55"/>
        <v>32.088133735545497</v>
      </c>
      <c r="AM85" s="99">
        <v>0</v>
      </c>
      <c r="AN85" s="100">
        <f t="shared" si="56"/>
        <v>-36.9437</v>
      </c>
      <c r="AO85" s="101">
        <f t="shared" si="57"/>
        <v>-894.03443373554535</v>
      </c>
      <c r="AP85" s="102"/>
      <c r="AQ85" s="103">
        <f t="shared" si="6"/>
        <v>1008</v>
      </c>
      <c r="AR85" s="104">
        <f t="shared" si="35"/>
        <v>103.2</v>
      </c>
      <c r="AS85" s="104">
        <f t="shared" si="8"/>
        <v>376.35</v>
      </c>
      <c r="AT85" s="104">
        <f t="shared" si="9"/>
        <v>370.44</v>
      </c>
      <c r="AU85" s="104">
        <f t="shared" si="58"/>
        <v>0</v>
      </c>
      <c r="AV85" s="104">
        <f t="array" ref="AV85">_xlfn.IFS(U85=0,AO85,U85&lt;0,AO85/-U85,U85&gt;0,AO85/U85)</f>
        <v>-894.03443373554535</v>
      </c>
      <c r="AW85" s="244">
        <f t="shared" si="43"/>
        <v>-0.88693892235669181</v>
      </c>
      <c r="AX85" s="244">
        <f t="shared" si="44"/>
        <v>-8.6631243579025714</v>
      </c>
      <c r="AY85" s="105"/>
      <c r="AZ85" s="100">
        <f t="shared" si="12"/>
        <v>-38443.480650628451</v>
      </c>
    </row>
    <row r="86" spans="1:52" outlineLevel="1">
      <c r="A86" s="95" t="s">
        <v>124</v>
      </c>
      <c r="B86" s="96">
        <v>507115668</v>
      </c>
      <c r="C86" s="96" t="s">
        <v>208</v>
      </c>
      <c r="D86" s="97" t="s">
        <v>84</v>
      </c>
      <c r="E86" s="242">
        <f t="shared" si="45"/>
        <v>48</v>
      </c>
      <c r="F86" s="99">
        <v>1</v>
      </c>
      <c r="G86" s="99" t="s">
        <v>100</v>
      </c>
      <c r="H86" s="99">
        <v>46</v>
      </c>
      <c r="I86" s="99">
        <v>0</v>
      </c>
      <c r="J86" s="99">
        <v>1</v>
      </c>
      <c r="K86" s="99">
        <v>150</v>
      </c>
      <c r="L86" s="98">
        <f t="shared" si="42"/>
        <v>7200</v>
      </c>
      <c r="M86" s="95">
        <v>476</v>
      </c>
      <c r="N86" s="95">
        <v>1</v>
      </c>
      <c r="O86" s="95">
        <v>1395</v>
      </c>
      <c r="P86" s="95">
        <v>0</v>
      </c>
      <c r="Q86" s="243">
        <f t="shared" si="46"/>
        <v>0.14285714285714285</v>
      </c>
      <c r="R86" s="98">
        <f t="shared" si="47"/>
        <v>0</v>
      </c>
      <c r="S86" s="99">
        <v>0</v>
      </c>
      <c r="T86" s="99">
        <v>0</v>
      </c>
      <c r="U86" s="98">
        <f t="shared" si="48"/>
        <v>0</v>
      </c>
      <c r="V86" s="99">
        <v>0</v>
      </c>
      <c r="W86" s="99">
        <v>0</v>
      </c>
      <c r="X86" s="98">
        <f t="shared" si="49"/>
        <v>0</v>
      </c>
      <c r="Y86" s="99">
        <v>0</v>
      </c>
      <c r="Z86" s="99">
        <v>0</v>
      </c>
      <c r="AA86" s="98">
        <f t="shared" si="50"/>
        <v>0</v>
      </c>
      <c r="AB86" s="98">
        <f t="shared" si="51"/>
        <v>0</v>
      </c>
      <c r="AC86" s="244">
        <f t="shared" si="52"/>
        <v>0</v>
      </c>
      <c r="AD86" s="98">
        <f t="shared" si="53"/>
        <v>0</v>
      </c>
      <c r="AE86" s="99">
        <v>0</v>
      </c>
      <c r="AF86" s="244">
        <f t="shared" si="54"/>
        <v>0</v>
      </c>
      <c r="AG86" s="99">
        <v>0</v>
      </c>
      <c r="AH86" s="99"/>
      <c r="AI86" s="99"/>
      <c r="AJ86" s="99"/>
      <c r="AK86" s="99"/>
      <c r="AL86" s="128">
        <f t="shared" si="55"/>
        <v>39.893355455002521</v>
      </c>
      <c r="AM86" s="99">
        <v>0</v>
      </c>
      <c r="AN86" s="100">
        <f t="shared" si="56"/>
        <v>0</v>
      </c>
      <c r="AO86" s="101">
        <f t="shared" si="57"/>
        <v>-39.893355455002521</v>
      </c>
      <c r="AP86" s="102"/>
      <c r="AQ86" s="103">
        <f t="shared" si="6"/>
        <v>0</v>
      </c>
      <c r="AR86" s="104">
        <f t="shared" si="35"/>
        <v>150</v>
      </c>
      <c r="AS86" s="104">
        <f t="shared" si="8"/>
        <v>0</v>
      </c>
      <c r="AT86" s="104">
        <f t="shared" si="9"/>
        <v>0</v>
      </c>
      <c r="AU86" s="104">
        <f t="shared" si="58"/>
        <v>0</v>
      </c>
      <c r="AV86" s="104">
        <f t="array" ref="AV86">_xlfn.IFS(U86=0,AO86,U86&lt;0,AO86/-U86,U86&gt;0,AO86/U86)</f>
        <v>-39.893355455002521</v>
      </c>
      <c r="AW86" s="244">
        <f t="shared" si="43"/>
        <v>0</v>
      </c>
      <c r="AX86" s="244">
        <f t="shared" si="44"/>
        <v>-0.26595570303335014</v>
      </c>
      <c r="AY86" s="105"/>
      <c r="AZ86" s="100">
        <f t="shared" si="12"/>
        <v>-1914.881061840121</v>
      </c>
    </row>
    <row r="87" spans="1:52" outlineLevel="1">
      <c r="A87" s="95" t="s">
        <v>124</v>
      </c>
      <c r="B87" s="96">
        <v>507116209</v>
      </c>
      <c r="C87" s="96" t="s">
        <v>209</v>
      </c>
      <c r="D87" s="97" t="s">
        <v>84</v>
      </c>
      <c r="E87" s="242">
        <f t="shared" si="45"/>
        <v>46</v>
      </c>
      <c r="F87" s="99">
        <v>2</v>
      </c>
      <c r="G87" s="99">
        <v>1</v>
      </c>
      <c r="H87" s="99">
        <v>42</v>
      </c>
      <c r="I87" s="99">
        <v>0</v>
      </c>
      <c r="J87" s="99">
        <v>1</v>
      </c>
      <c r="K87" s="99">
        <v>150</v>
      </c>
      <c r="L87" s="98">
        <f t="shared" si="42"/>
        <v>6900</v>
      </c>
      <c r="M87" s="95">
        <v>336</v>
      </c>
      <c r="N87" s="95">
        <v>2</v>
      </c>
      <c r="O87" s="95">
        <v>1254</v>
      </c>
      <c r="P87" s="95">
        <v>100</v>
      </c>
      <c r="Q87" s="243">
        <f t="shared" si="46"/>
        <v>0.2857142857142857</v>
      </c>
      <c r="R87" s="98">
        <f t="shared" si="47"/>
        <v>0.14285714285714285</v>
      </c>
      <c r="S87" s="99">
        <v>1</v>
      </c>
      <c r="T87" s="99">
        <v>0</v>
      </c>
      <c r="U87" s="98">
        <f t="shared" si="48"/>
        <v>1</v>
      </c>
      <c r="V87" s="99">
        <v>863</v>
      </c>
      <c r="W87" s="99">
        <v>0</v>
      </c>
      <c r="X87" s="98">
        <f t="shared" si="49"/>
        <v>863</v>
      </c>
      <c r="Y87" s="99">
        <v>1353</v>
      </c>
      <c r="Z87" s="99">
        <v>0</v>
      </c>
      <c r="AA87" s="98">
        <f t="shared" si="50"/>
        <v>1353</v>
      </c>
      <c r="AB87" s="98">
        <f t="shared" si="51"/>
        <v>2508</v>
      </c>
      <c r="AC87" s="244">
        <f t="shared" si="52"/>
        <v>5.5125228384676815E-4</v>
      </c>
      <c r="AD87" s="98">
        <f t="shared" si="53"/>
        <v>150</v>
      </c>
      <c r="AE87" s="99">
        <v>519.04</v>
      </c>
      <c r="AF87" s="244">
        <f t="shared" si="54"/>
        <v>0.38362158167036214</v>
      </c>
      <c r="AG87" s="99">
        <v>167.74</v>
      </c>
      <c r="AH87" s="99"/>
      <c r="AI87" s="99"/>
      <c r="AJ87" s="99"/>
      <c r="AK87" s="99"/>
      <c r="AL87" s="128">
        <f t="shared" si="55"/>
        <v>36.424368024132733</v>
      </c>
      <c r="AM87" s="99">
        <v>0</v>
      </c>
      <c r="AN87" s="100">
        <f t="shared" si="56"/>
        <v>49.277299999999997</v>
      </c>
      <c r="AO87" s="101">
        <f t="shared" si="57"/>
        <v>430.51833197586734</v>
      </c>
      <c r="AP87" s="102"/>
      <c r="AQ87" s="103">
        <f t="shared" si="6"/>
        <v>1353</v>
      </c>
      <c r="AR87" s="104">
        <f t="shared" si="35"/>
        <v>150</v>
      </c>
      <c r="AS87" s="104">
        <f t="shared" si="8"/>
        <v>519.04</v>
      </c>
      <c r="AT87" s="104">
        <f t="shared" si="9"/>
        <v>167.74</v>
      </c>
      <c r="AU87" s="104">
        <f t="shared" si="58"/>
        <v>0</v>
      </c>
      <c r="AV87" s="104">
        <f t="array" ref="AV87">_xlfn.IFS(U87=0,AO87,U87&lt;0,AO87/-U87,U87&gt;0,AO87/U87)</f>
        <v>430.51833197586734</v>
      </c>
      <c r="AW87" s="244">
        <f t="shared" si="43"/>
        <v>0.31819536731401871</v>
      </c>
      <c r="AX87" s="244">
        <f t="shared" si="44"/>
        <v>2.8701222131724489</v>
      </c>
      <c r="AY87" s="105"/>
      <c r="AZ87" s="100">
        <f t="shared" si="12"/>
        <v>19803.843270889898</v>
      </c>
    </row>
    <row r="88" spans="1:52" outlineLevel="1">
      <c r="A88" s="95" t="s">
        <v>124</v>
      </c>
      <c r="B88" s="96">
        <v>507115918</v>
      </c>
      <c r="C88" s="96" t="s">
        <v>210</v>
      </c>
      <c r="D88" s="97" t="s">
        <v>84</v>
      </c>
      <c r="E88" s="242">
        <f t="shared" si="45"/>
        <v>17</v>
      </c>
      <c r="F88" s="99">
        <v>8</v>
      </c>
      <c r="G88" s="99">
        <v>3</v>
      </c>
      <c r="H88" s="99">
        <v>5</v>
      </c>
      <c r="I88" s="99">
        <v>0</v>
      </c>
      <c r="J88" s="99">
        <v>1</v>
      </c>
      <c r="K88" s="99">
        <v>150</v>
      </c>
      <c r="L88" s="98">
        <f t="shared" si="42"/>
        <v>2550</v>
      </c>
      <c r="M88" s="95">
        <v>21</v>
      </c>
      <c r="N88" s="95">
        <v>10</v>
      </c>
      <c r="O88" s="95">
        <v>1257</v>
      </c>
      <c r="P88" s="95">
        <v>40</v>
      </c>
      <c r="Q88" s="243">
        <f t="shared" si="46"/>
        <v>1.4285714285714286</v>
      </c>
      <c r="R88" s="98">
        <f t="shared" si="47"/>
        <v>0.42857142857142855</v>
      </c>
      <c r="S88" s="99">
        <v>4</v>
      </c>
      <c r="T88" s="99">
        <v>-1</v>
      </c>
      <c r="U88" s="98">
        <f t="shared" si="48"/>
        <v>3</v>
      </c>
      <c r="V88" s="99">
        <v>3371.09</v>
      </c>
      <c r="W88" s="99">
        <v>-789</v>
      </c>
      <c r="X88" s="98">
        <f t="shared" si="49"/>
        <v>2582.09</v>
      </c>
      <c r="Y88" s="99">
        <v>5028.26</v>
      </c>
      <c r="Z88" s="99">
        <v>-1257</v>
      </c>
      <c r="AA88" s="98">
        <f t="shared" si="50"/>
        <v>3771.26</v>
      </c>
      <c r="AB88" s="98">
        <f t="shared" si="51"/>
        <v>5028</v>
      </c>
      <c r="AC88" s="244">
        <f t="shared" si="52"/>
        <v>1.5365230509829734E-3</v>
      </c>
      <c r="AD88" s="98">
        <f t="shared" si="53"/>
        <v>450</v>
      </c>
      <c r="AE88" s="99">
        <v>1412.56</v>
      </c>
      <c r="AF88" s="244">
        <f t="shared" si="54"/>
        <v>0.37455916590211225</v>
      </c>
      <c r="AG88" s="99">
        <v>1103.31</v>
      </c>
      <c r="AH88" s="99"/>
      <c r="AI88" s="99"/>
      <c r="AJ88" s="99"/>
      <c r="AK88" s="99"/>
      <c r="AL88" s="128">
        <f t="shared" si="55"/>
        <v>4.3362342885872307</v>
      </c>
      <c r="AM88" s="99">
        <v>0</v>
      </c>
      <c r="AN88" s="100">
        <f t="shared" si="56"/>
        <v>147.43733900000001</v>
      </c>
      <c r="AO88" s="101">
        <f t="shared" si="57"/>
        <v>653.61642671141317</v>
      </c>
      <c r="AP88" s="102"/>
      <c r="AQ88" s="103">
        <f t="shared" si="6"/>
        <v>1257.0866666666668</v>
      </c>
      <c r="AR88" s="104">
        <f t="shared" si="35"/>
        <v>150</v>
      </c>
      <c r="AS88" s="104">
        <f t="shared" si="8"/>
        <v>470.8533333333333</v>
      </c>
      <c r="AT88" s="104">
        <f t="shared" si="9"/>
        <v>275.82749999999999</v>
      </c>
      <c r="AU88" s="104">
        <f t="shared" si="58"/>
        <v>0</v>
      </c>
      <c r="AV88" s="104">
        <f t="array" ref="AV88">_xlfn.IFS(U88=0,AO88,U88&lt;0,AO88/-U88,U88&gt;0,AO88/U88)</f>
        <v>217.87214223713772</v>
      </c>
      <c r="AW88" s="244">
        <f t="shared" si="43"/>
        <v>0.17331513253167724</v>
      </c>
      <c r="AX88" s="244">
        <f t="shared" si="44"/>
        <v>1.4524809482475849</v>
      </c>
      <c r="AY88" s="105"/>
      <c r="AZ88" s="100">
        <f t="shared" si="12"/>
        <v>3703.8264180313413</v>
      </c>
    </row>
    <row r="89" spans="1:52" outlineLevel="1">
      <c r="A89" s="95" t="s">
        <v>124</v>
      </c>
      <c r="B89" s="96">
        <v>507113512</v>
      </c>
      <c r="C89" s="96" t="s">
        <v>211</v>
      </c>
      <c r="D89" s="97" t="s">
        <v>84</v>
      </c>
      <c r="E89" s="242">
        <f t="shared" si="45"/>
        <v>41</v>
      </c>
      <c r="F89" s="99">
        <v>2</v>
      </c>
      <c r="G89" s="99">
        <v>1</v>
      </c>
      <c r="H89" s="99">
        <v>37</v>
      </c>
      <c r="I89" s="99">
        <v>0</v>
      </c>
      <c r="J89" s="99">
        <v>1</v>
      </c>
      <c r="K89" s="99">
        <v>169.89</v>
      </c>
      <c r="L89" s="98">
        <f t="shared" si="42"/>
        <v>6965.49</v>
      </c>
      <c r="M89" s="95">
        <v>144</v>
      </c>
      <c r="N89" s="95">
        <v>4</v>
      </c>
      <c r="O89" s="95">
        <v>1504</v>
      </c>
      <c r="P89" s="95">
        <v>100</v>
      </c>
      <c r="Q89" s="243">
        <f t="shared" si="46"/>
        <v>0.5714285714285714</v>
      </c>
      <c r="R89" s="98">
        <f t="shared" si="47"/>
        <v>0.5714285714285714</v>
      </c>
      <c r="S89" s="99">
        <v>4</v>
      </c>
      <c r="T89" s="99">
        <v>0</v>
      </c>
      <c r="U89" s="98">
        <f t="shared" si="48"/>
        <v>4</v>
      </c>
      <c r="V89" s="99">
        <v>3927.13</v>
      </c>
      <c r="W89" s="99">
        <v>0</v>
      </c>
      <c r="X89" s="98">
        <f t="shared" si="49"/>
        <v>3927.13</v>
      </c>
      <c r="Y89" s="99">
        <v>6015.8</v>
      </c>
      <c r="Z89" s="99">
        <v>0</v>
      </c>
      <c r="AA89" s="98">
        <f t="shared" si="50"/>
        <v>6015.8</v>
      </c>
      <c r="AB89" s="98">
        <f t="shared" si="51"/>
        <v>6016</v>
      </c>
      <c r="AC89" s="244">
        <f t="shared" si="52"/>
        <v>2.4510151435073084E-3</v>
      </c>
      <c r="AD89" s="98">
        <f t="shared" si="53"/>
        <v>679.56</v>
      </c>
      <c r="AE89" s="99">
        <v>2243.9900000000002</v>
      </c>
      <c r="AF89" s="244">
        <f t="shared" si="54"/>
        <v>0.37301605771468471</v>
      </c>
      <c r="AG89" s="99">
        <v>210.44</v>
      </c>
      <c r="AH89" s="99"/>
      <c r="AI89" s="99"/>
      <c r="AJ89" s="99"/>
      <c r="AK89" s="99"/>
      <c r="AL89" s="128">
        <f t="shared" si="55"/>
        <v>32.088133735545497</v>
      </c>
      <c r="AM89" s="99">
        <v>0</v>
      </c>
      <c r="AN89" s="100">
        <f t="shared" si="56"/>
        <v>224.23912300000001</v>
      </c>
      <c r="AO89" s="101">
        <f t="shared" si="57"/>
        <v>2625.4827432644543</v>
      </c>
      <c r="AP89" s="102"/>
      <c r="AQ89" s="103">
        <f t="shared" si="6"/>
        <v>1503.95</v>
      </c>
      <c r="AR89" s="104">
        <f t="shared" si="35"/>
        <v>169.89</v>
      </c>
      <c r="AS89" s="104">
        <f t="shared" si="8"/>
        <v>560.99750000000006</v>
      </c>
      <c r="AT89" s="104">
        <f t="shared" si="9"/>
        <v>52.61</v>
      </c>
      <c r="AU89" s="104">
        <f t="shared" si="58"/>
        <v>0</v>
      </c>
      <c r="AV89" s="104">
        <f t="array" ref="AV89">_xlfn.IFS(U89=0,AO89,U89&lt;0,AO89/-U89,U89&gt;0,AO89/U89)</f>
        <v>656.37068581611356</v>
      </c>
      <c r="AW89" s="244">
        <f t="shared" si="43"/>
        <v>0.43643118841458395</v>
      </c>
      <c r="AX89" s="244">
        <f t="shared" si="44"/>
        <v>3.8635039485320712</v>
      </c>
      <c r="AY89" s="105"/>
      <c r="AZ89" s="100">
        <f t="shared" si="12"/>
        <v>26911.198118460656</v>
      </c>
    </row>
    <row r="90" spans="1:52" outlineLevel="1">
      <c r="A90" s="95" t="s">
        <v>124</v>
      </c>
      <c r="B90" s="96">
        <v>507114447</v>
      </c>
      <c r="C90" s="96" t="s">
        <v>212</v>
      </c>
      <c r="D90" s="97" t="s">
        <v>84</v>
      </c>
      <c r="E90" s="242">
        <f t="shared" si="45"/>
        <v>51</v>
      </c>
      <c r="F90" s="99" t="s">
        <v>100</v>
      </c>
      <c r="G90" s="99" t="s">
        <v>100</v>
      </c>
      <c r="H90" s="99">
        <v>50</v>
      </c>
      <c r="I90" s="99">
        <v>0</v>
      </c>
      <c r="J90" s="99">
        <v>1</v>
      </c>
      <c r="K90" s="99">
        <v>107.88</v>
      </c>
      <c r="L90" s="98">
        <f t="shared" si="42"/>
        <v>5501.88</v>
      </c>
      <c r="M90" s="95">
        <v>999</v>
      </c>
      <c r="N90" s="95">
        <v>0</v>
      </c>
      <c r="O90" s="95">
        <v>0</v>
      </c>
      <c r="P90" s="95">
        <v>0</v>
      </c>
      <c r="Q90" s="243">
        <f t="shared" si="46"/>
        <v>0</v>
      </c>
      <c r="R90" s="98">
        <f t="shared" si="47"/>
        <v>0</v>
      </c>
      <c r="S90" s="99">
        <v>0</v>
      </c>
      <c r="T90" s="99">
        <v>0</v>
      </c>
      <c r="U90" s="98">
        <f t="shared" si="48"/>
        <v>0</v>
      </c>
      <c r="V90" s="99">
        <v>0</v>
      </c>
      <c r="W90" s="99">
        <v>0</v>
      </c>
      <c r="X90" s="98">
        <f t="shared" si="49"/>
        <v>0</v>
      </c>
      <c r="Y90" s="99">
        <v>0</v>
      </c>
      <c r="Z90" s="99">
        <v>0</v>
      </c>
      <c r="AA90" s="98">
        <f t="shared" si="50"/>
        <v>0</v>
      </c>
      <c r="AB90" s="98">
        <f t="shared" si="51"/>
        <v>0</v>
      </c>
      <c r="AC90" s="244">
        <f t="shared" si="52"/>
        <v>0</v>
      </c>
      <c r="AD90" s="98">
        <f t="shared" si="53"/>
        <v>0</v>
      </c>
      <c r="AE90" s="99">
        <v>0</v>
      </c>
      <c r="AF90" s="244">
        <f t="shared" si="54"/>
        <v>0</v>
      </c>
      <c r="AG90" s="99">
        <v>0</v>
      </c>
      <c r="AH90" s="99"/>
      <c r="AI90" s="99"/>
      <c r="AJ90" s="99"/>
      <c r="AK90" s="99"/>
      <c r="AL90" s="128">
        <f t="shared" si="55"/>
        <v>43.362342885872295</v>
      </c>
      <c r="AM90" s="99">
        <v>0</v>
      </c>
      <c r="AN90" s="100">
        <f t="shared" si="56"/>
        <v>0</v>
      </c>
      <c r="AO90" s="101">
        <f t="shared" si="57"/>
        <v>-43.362342885872295</v>
      </c>
      <c r="AP90" s="102"/>
      <c r="AQ90" s="103">
        <f t="shared" si="6"/>
        <v>0</v>
      </c>
      <c r="AR90" s="104">
        <f t="shared" si="35"/>
        <v>107.88</v>
      </c>
      <c r="AS90" s="104">
        <f t="shared" si="8"/>
        <v>0</v>
      </c>
      <c r="AT90" s="104">
        <f t="shared" si="9"/>
        <v>0</v>
      </c>
      <c r="AU90" s="104">
        <f t="shared" si="58"/>
        <v>0</v>
      </c>
      <c r="AV90" s="104">
        <f t="array" ref="AV90">_xlfn.IFS(U90=0,AO90,U90&lt;0,AO90/-U90,U90&gt;0,AO90/U90)</f>
        <v>-43.362342885872295</v>
      </c>
      <c r="AW90" s="244">
        <f t="shared" si="43"/>
        <v>0</v>
      </c>
      <c r="AX90" s="244">
        <f t="shared" si="44"/>
        <v>-0.40194978574223483</v>
      </c>
      <c r="AY90" s="105"/>
      <c r="AZ90" s="100">
        <f t="shared" si="12"/>
        <v>-2211.479487179487</v>
      </c>
    </row>
    <row r="91" spans="1:52" outlineLevel="1">
      <c r="A91" s="95" t="s">
        <v>124</v>
      </c>
      <c r="B91" s="96">
        <v>507096642</v>
      </c>
      <c r="C91" s="96" t="s">
        <v>213</v>
      </c>
      <c r="D91" s="97" t="s">
        <v>84</v>
      </c>
      <c r="E91" s="242">
        <f t="shared" si="45"/>
        <v>41</v>
      </c>
      <c r="F91" s="99">
        <v>6</v>
      </c>
      <c r="G91" s="99">
        <v>2</v>
      </c>
      <c r="H91" s="99">
        <v>27</v>
      </c>
      <c r="I91" s="99">
        <v>0</v>
      </c>
      <c r="J91" s="99">
        <v>6</v>
      </c>
      <c r="K91" s="99">
        <v>93.84</v>
      </c>
      <c r="L91" s="98">
        <f t="shared" si="42"/>
        <v>3847.44</v>
      </c>
      <c r="M91" s="95">
        <v>89</v>
      </c>
      <c r="N91" s="95">
        <v>7</v>
      </c>
      <c r="O91" s="95">
        <v>1075</v>
      </c>
      <c r="P91" s="95">
        <v>0</v>
      </c>
      <c r="Q91" s="243">
        <f t="shared" si="46"/>
        <v>1</v>
      </c>
      <c r="R91" s="98">
        <f t="shared" si="47"/>
        <v>0.2857142857142857</v>
      </c>
      <c r="S91" s="99">
        <v>2</v>
      </c>
      <c r="T91" s="99">
        <v>0</v>
      </c>
      <c r="U91" s="98">
        <f t="shared" si="48"/>
        <v>2</v>
      </c>
      <c r="V91" s="99">
        <v>1532.5</v>
      </c>
      <c r="W91" s="99">
        <v>0</v>
      </c>
      <c r="X91" s="98">
        <f t="shared" si="49"/>
        <v>1532.5</v>
      </c>
      <c r="Y91" s="99">
        <v>2149.63</v>
      </c>
      <c r="Z91" s="99">
        <v>0</v>
      </c>
      <c r="AA91" s="98">
        <f t="shared" si="50"/>
        <v>2149.63</v>
      </c>
      <c r="AB91" s="98">
        <f t="shared" si="51"/>
        <v>0</v>
      </c>
      <c r="AC91" s="244">
        <f t="shared" si="52"/>
        <v>8.7582294672988053E-4</v>
      </c>
      <c r="AD91" s="98">
        <f t="shared" si="53"/>
        <v>187.68</v>
      </c>
      <c r="AE91" s="99">
        <v>780.99000000000024</v>
      </c>
      <c r="AF91" s="244">
        <f t="shared" si="54"/>
        <v>0.36331368654140489</v>
      </c>
      <c r="AG91" s="99">
        <v>745.37000000000012</v>
      </c>
      <c r="AH91" s="99"/>
      <c r="AI91" s="99"/>
      <c r="AJ91" s="99"/>
      <c r="AK91" s="99"/>
      <c r="AL91" s="128">
        <f t="shared" si="55"/>
        <v>23.415665158371041</v>
      </c>
      <c r="AM91" s="99">
        <v>0</v>
      </c>
      <c r="AN91" s="100">
        <f t="shared" si="56"/>
        <v>87.505749999999992</v>
      </c>
      <c r="AO91" s="101">
        <f t="shared" si="57"/>
        <v>324.66858484162867</v>
      </c>
      <c r="AP91" s="102"/>
      <c r="AQ91" s="103">
        <f t="shared" si="6"/>
        <v>1074.8150000000001</v>
      </c>
      <c r="AR91" s="104">
        <f t="shared" si="35"/>
        <v>93.84</v>
      </c>
      <c r="AS91" s="104">
        <f t="shared" si="8"/>
        <v>390.49500000000012</v>
      </c>
      <c r="AT91" s="104">
        <f t="shared" si="9"/>
        <v>372.68500000000006</v>
      </c>
      <c r="AU91" s="104">
        <f t="shared" si="58"/>
        <v>0</v>
      </c>
      <c r="AV91" s="104">
        <f t="array" ref="AV91">_xlfn.IFS(U91=0,AO91,U91&lt;0,AO91/-U91,U91&gt;0,AO91/U91)</f>
        <v>162.33429242081434</v>
      </c>
      <c r="AW91" s="244">
        <f t="shared" si="43"/>
        <v>0.15103463611953158</v>
      </c>
      <c r="AX91" s="244">
        <f t="shared" si="44"/>
        <v>1.7299050769481492</v>
      </c>
      <c r="AY91" s="105"/>
      <c r="AZ91" s="100">
        <f t="shared" si="12"/>
        <v>6655.705989253388</v>
      </c>
    </row>
    <row r="92" spans="1:52" outlineLevel="1">
      <c r="A92" s="95" t="s">
        <v>124</v>
      </c>
      <c r="B92" s="96">
        <v>507100232</v>
      </c>
      <c r="C92" s="96" t="s">
        <v>214</v>
      </c>
      <c r="D92" s="97" t="s">
        <v>84</v>
      </c>
      <c r="E92" s="242">
        <f t="shared" si="45"/>
        <v>50</v>
      </c>
      <c r="F92" s="99" t="s">
        <v>100</v>
      </c>
      <c r="G92" s="99" t="s">
        <v>100</v>
      </c>
      <c r="H92" s="99">
        <v>49</v>
      </c>
      <c r="I92" s="99">
        <v>0</v>
      </c>
      <c r="J92" s="99">
        <v>1</v>
      </c>
      <c r="K92" s="99">
        <v>139.47</v>
      </c>
      <c r="L92" s="98">
        <f t="shared" si="42"/>
        <v>6973.5</v>
      </c>
      <c r="M92" s="95">
        <v>999</v>
      </c>
      <c r="N92" s="95">
        <v>1</v>
      </c>
      <c r="O92" s="95">
        <v>1350</v>
      </c>
      <c r="P92" s="95">
        <v>0</v>
      </c>
      <c r="Q92" s="243">
        <f t="shared" si="46"/>
        <v>0.14285714285714285</v>
      </c>
      <c r="R92" s="98">
        <f t="shared" si="47"/>
        <v>0</v>
      </c>
      <c r="S92" s="99">
        <v>0</v>
      </c>
      <c r="T92" s="99">
        <v>0</v>
      </c>
      <c r="U92" s="98">
        <f t="shared" si="48"/>
        <v>0</v>
      </c>
      <c r="V92" s="99">
        <v>0</v>
      </c>
      <c r="W92" s="99">
        <v>0</v>
      </c>
      <c r="X92" s="98">
        <f t="shared" si="49"/>
        <v>0</v>
      </c>
      <c r="Y92" s="99">
        <v>0</v>
      </c>
      <c r="Z92" s="99">
        <v>0</v>
      </c>
      <c r="AA92" s="98">
        <f t="shared" si="50"/>
        <v>0</v>
      </c>
      <c r="AB92" s="98">
        <f t="shared" si="51"/>
        <v>0</v>
      </c>
      <c r="AC92" s="244">
        <f t="shared" si="52"/>
        <v>0</v>
      </c>
      <c r="AD92" s="98">
        <f t="shared" si="53"/>
        <v>0</v>
      </c>
      <c r="AE92" s="99">
        <v>0</v>
      </c>
      <c r="AF92" s="244">
        <f t="shared" si="54"/>
        <v>0</v>
      </c>
      <c r="AG92" s="99">
        <v>107.68</v>
      </c>
      <c r="AH92" s="99"/>
      <c r="AI92" s="99"/>
      <c r="AJ92" s="99"/>
      <c r="AK92" s="99"/>
      <c r="AL92" s="128">
        <f t="shared" si="55"/>
        <v>42.495096028154855</v>
      </c>
      <c r="AM92" s="99">
        <v>0</v>
      </c>
      <c r="AN92" s="100">
        <f t="shared" si="56"/>
        <v>0</v>
      </c>
      <c r="AO92" s="101">
        <f t="shared" si="57"/>
        <v>-150.17509602815485</v>
      </c>
      <c r="AP92" s="102"/>
      <c r="AQ92" s="103">
        <f t="shared" si="6"/>
        <v>0</v>
      </c>
      <c r="AR92" s="104">
        <f t="shared" si="35"/>
        <v>139.47</v>
      </c>
      <c r="AS92" s="104">
        <f t="shared" si="8"/>
        <v>0</v>
      </c>
      <c r="AT92" s="104">
        <f t="shared" si="9"/>
        <v>107.68</v>
      </c>
      <c r="AU92" s="104">
        <f t="shared" si="58"/>
        <v>0</v>
      </c>
      <c r="AV92" s="104">
        <f t="array" ref="AV92">_xlfn.IFS(U92=0,AO92,U92&lt;0,AO92/-U92,U92&gt;0,AO92/U92)</f>
        <v>-150.17509602815485</v>
      </c>
      <c r="AW92" s="244">
        <f t="shared" si="43"/>
        <v>0</v>
      </c>
      <c r="AX92" s="244">
        <f t="shared" si="44"/>
        <v>-1.076755546197425</v>
      </c>
      <c r="AY92" s="105"/>
      <c r="AZ92" s="100">
        <f t="shared" si="12"/>
        <v>-7508.7548014077429</v>
      </c>
    </row>
    <row r="93" spans="1:52" outlineLevel="1">
      <c r="A93" s="95" t="s">
        <v>124</v>
      </c>
      <c r="B93" s="96">
        <v>507099885</v>
      </c>
      <c r="C93" s="96" t="s">
        <v>215</v>
      </c>
      <c r="D93" s="97" t="s">
        <v>84</v>
      </c>
      <c r="E93" s="242">
        <f t="shared" si="45"/>
        <v>49</v>
      </c>
      <c r="F93" s="99" t="s">
        <v>100</v>
      </c>
      <c r="G93" s="99">
        <v>1</v>
      </c>
      <c r="H93" s="99">
        <v>47</v>
      </c>
      <c r="I93" s="99">
        <v>0</v>
      </c>
      <c r="J93" s="99">
        <v>1</v>
      </c>
      <c r="K93" s="99">
        <v>139.47</v>
      </c>
      <c r="L93" s="98">
        <f t="shared" si="42"/>
        <v>6834.03</v>
      </c>
      <c r="M93" s="95">
        <v>999</v>
      </c>
      <c r="N93" s="95">
        <v>1</v>
      </c>
      <c r="O93" s="95">
        <v>1296</v>
      </c>
      <c r="P93" s="95">
        <v>0</v>
      </c>
      <c r="Q93" s="243">
        <f t="shared" si="46"/>
        <v>0.14285714285714285</v>
      </c>
      <c r="R93" s="98">
        <f t="shared" si="47"/>
        <v>0</v>
      </c>
      <c r="S93" s="99">
        <v>0</v>
      </c>
      <c r="T93" s="99">
        <v>0</v>
      </c>
      <c r="U93" s="98">
        <f t="shared" si="48"/>
        <v>0</v>
      </c>
      <c r="V93" s="99">
        <v>0</v>
      </c>
      <c r="W93" s="99">
        <v>0</v>
      </c>
      <c r="X93" s="98">
        <f t="shared" si="49"/>
        <v>0</v>
      </c>
      <c r="Y93" s="99">
        <v>0</v>
      </c>
      <c r="Z93" s="99">
        <v>0</v>
      </c>
      <c r="AA93" s="98">
        <f t="shared" si="50"/>
        <v>0</v>
      </c>
      <c r="AB93" s="98">
        <f t="shared" si="51"/>
        <v>0</v>
      </c>
      <c r="AC93" s="244">
        <f t="shared" si="52"/>
        <v>0</v>
      </c>
      <c r="AD93" s="98">
        <f t="shared" si="53"/>
        <v>0</v>
      </c>
      <c r="AE93" s="99">
        <v>0</v>
      </c>
      <c r="AF93" s="244">
        <f t="shared" si="54"/>
        <v>0</v>
      </c>
      <c r="AG93" s="99">
        <v>91.41</v>
      </c>
      <c r="AH93" s="99"/>
      <c r="AI93" s="99"/>
      <c r="AJ93" s="99"/>
      <c r="AK93" s="99"/>
      <c r="AL93" s="128">
        <f t="shared" si="55"/>
        <v>40.760602312719961</v>
      </c>
      <c r="AM93" s="99">
        <v>0</v>
      </c>
      <c r="AN93" s="100">
        <f t="shared" si="56"/>
        <v>0</v>
      </c>
      <c r="AO93" s="101">
        <f t="shared" si="57"/>
        <v>-132.17060231271995</v>
      </c>
      <c r="AP93" s="102"/>
      <c r="AQ93" s="103">
        <f t="shared" si="6"/>
        <v>0</v>
      </c>
      <c r="AR93" s="104">
        <f t="shared" si="35"/>
        <v>139.47</v>
      </c>
      <c r="AS93" s="104">
        <f t="shared" si="8"/>
        <v>0</v>
      </c>
      <c r="AT93" s="104">
        <f t="shared" si="9"/>
        <v>91.41</v>
      </c>
      <c r="AU93" s="104">
        <f t="shared" si="58"/>
        <v>0</v>
      </c>
      <c r="AV93" s="104">
        <f t="array" ref="AV93">_xlfn.IFS(U93=0,AO93,U93&lt;0,AO93/-U93,U93&gt;0,AO93/U93)</f>
        <v>-132.17060231271995</v>
      </c>
      <c r="AW93" s="244">
        <f t="shared" si="43"/>
        <v>0</v>
      </c>
      <c r="AX93" s="244">
        <f t="shared" si="44"/>
        <v>-0.94766331334853338</v>
      </c>
      <c r="AY93" s="105"/>
      <c r="AZ93" s="100">
        <f t="shared" si="12"/>
        <v>-6476.3595133232775</v>
      </c>
    </row>
    <row r="94" spans="1:52" outlineLevel="1">
      <c r="A94" s="95" t="s">
        <v>124</v>
      </c>
      <c r="B94" s="96">
        <v>342776517</v>
      </c>
      <c r="C94" s="96" t="s">
        <v>216</v>
      </c>
      <c r="D94" s="97" t="s">
        <v>84</v>
      </c>
      <c r="E94" s="242">
        <f t="shared" si="45"/>
        <v>1</v>
      </c>
      <c r="F94" s="99">
        <v>1</v>
      </c>
      <c r="G94" s="99" t="s">
        <v>100</v>
      </c>
      <c r="H94" s="99" t="s">
        <v>100</v>
      </c>
      <c r="I94" s="99">
        <v>0</v>
      </c>
      <c r="J94" s="99">
        <v>0</v>
      </c>
      <c r="K94" s="99">
        <v>400.08</v>
      </c>
      <c r="L94" s="98">
        <f t="shared" si="42"/>
        <v>400.08</v>
      </c>
      <c r="M94" s="95">
        <v>45</v>
      </c>
      <c r="N94" s="95">
        <v>0</v>
      </c>
      <c r="O94" s="95">
        <v>0</v>
      </c>
      <c r="P94" s="95">
        <v>0</v>
      </c>
      <c r="Q94" s="243">
        <f t="shared" si="46"/>
        <v>0</v>
      </c>
      <c r="R94" s="98">
        <f t="shared" si="47"/>
        <v>0</v>
      </c>
      <c r="S94" s="99">
        <v>0</v>
      </c>
      <c r="T94" s="99">
        <v>0</v>
      </c>
      <c r="U94" s="98">
        <f t="shared" si="48"/>
        <v>0</v>
      </c>
      <c r="V94" s="99">
        <v>0</v>
      </c>
      <c r="W94" s="99">
        <v>0</v>
      </c>
      <c r="X94" s="98">
        <f t="shared" si="49"/>
        <v>0</v>
      </c>
      <c r="Y94" s="99">
        <v>0</v>
      </c>
      <c r="Z94" s="99">
        <v>0</v>
      </c>
      <c r="AA94" s="98">
        <f t="shared" si="50"/>
        <v>0</v>
      </c>
      <c r="AB94" s="98">
        <f t="shared" si="51"/>
        <v>0</v>
      </c>
      <c r="AC94" s="244">
        <f t="shared" si="52"/>
        <v>0</v>
      </c>
      <c r="AD94" s="98">
        <f t="shared" si="53"/>
        <v>0</v>
      </c>
      <c r="AE94" s="99">
        <v>0</v>
      </c>
      <c r="AF94" s="244">
        <f t="shared" si="54"/>
        <v>0</v>
      </c>
      <c r="AG94" s="99">
        <v>0</v>
      </c>
      <c r="AH94" s="99"/>
      <c r="AI94" s="99"/>
      <c r="AJ94" s="99"/>
      <c r="AK94" s="99"/>
      <c r="AL94" s="128">
        <f t="shared" si="55"/>
        <v>0</v>
      </c>
      <c r="AM94" s="99">
        <v>0</v>
      </c>
      <c r="AN94" s="100">
        <f t="shared" si="56"/>
        <v>0</v>
      </c>
      <c r="AO94" s="101">
        <f t="shared" si="57"/>
        <v>0</v>
      </c>
      <c r="AP94" s="102"/>
      <c r="AQ94" s="103">
        <f t="shared" si="6"/>
        <v>0</v>
      </c>
      <c r="AR94" s="104">
        <f t="shared" si="35"/>
        <v>400.08</v>
      </c>
      <c r="AS94" s="104">
        <f t="shared" si="8"/>
        <v>0</v>
      </c>
      <c r="AT94" s="104">
        <f t="shared" si="9"/>
        <v>0</v>
      </c>
      <c r="AU94" s="104">
        <f t="shared" si="58"/>
        <v>0</v>
      </c>
      <c r="AV94" s="104">
        <f t="array" ref="AV94">_xlfn.IFS(U94=0,AO94,U94&lt;0,AO94/-U94,U94&gt;0,AO94/U94)</f>
        <v>0</v>
      </c>
      <c r="AW94" s="244">
        <f t="shared" si="43"/>
        <v>0</v>
      </c>
      <c r="AX94" s="244">
        <f t="shared" si="44"/>
        <v>0</v>
      </c>
      <c r="AY94" s="105"/>
      <c r="AZ94" s="100">
        <f t="shared" si="12"/>
        <v>0</v>
      </c>
    </row>
    <row r="95" spans="1:52" outlineLevel="1">
      <c r="A95" s="95" t="s">
        <v>124</v>
      </c>
      <c r="B95" s="96">
        <v>342751979</v>
      </c>
      <c r="C95" s="96" t="s">
        <v>217</v>
      </c>
      <c r="D95" s="97" t="s">
        <v>84</v>
      </c>
      <c r="E95" s="242">
        <f t="shared" si="45"/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400.08</v>
      </c>
      <c r="L95" s="98">
        <f t="shared" si="42"/>
        <v>0</v>
      </c>
      <c r="M95" s="95">
        <v>8</v>
      </c>
      <c r="N95" s="95">
        <v>0</v>
      </c>
      <c r="O95" s="95">
        <v>0</v>
      </c>
      <c r="P95" s="95">
        <v>0</v>
      </c>
      <c r="Q95" s="243">
        <f t="shared" si="46"/>
        <v>0</v>
      </c>
      <c r="R95" s="98">
        <f t="shared" si="47"/>
        <v>0</v>
      </c>
      <c r="S95" s="99">
        <v>0</v>
      </c>
      <c r="T95" s="99">
        <v>0</v>
      </c>
      <c r="U95" s="98">
        <f t="shared" si="48"/>
        <v>0</v>
      </c>
      <c r="V95" s="99">
        <v>0</v>
      </c>
      <c r="W95" s="99">
        <v>0</v>
      </c>
      <c r="X95" s="98">
        <f t="shared" si="49"/>
        <v>0</v>
      </c>
      <c r="Y95" s="99">
        <v>0</v>
      </c>
      <c r="Z95" s="99">
        <v>0</v>
      </c>
      <c r="AA95" s="98">
        <f t="shared" si="50"/>
        <v>0</v>
      </c>
      <c r="AB95" s="98">
        <f t="shared" si="51"/>
        <v>0</v>
      </c>
      <c r="AC95" s="244">
        <f t="shared" si="52"/>
        <v>0</v>
      </c>
      <c r="AD95" s="98">
        <f t="shared" si="53"/>
        <v>0</v>
      </c>
      <c r="AE95" s="99">
        <v>0</v>
      </c>
      <c r="AF95" s="244">
        <f t="shared" si="54"/>
        <v>0</v>
      </c>
      <c r="AG95" s="99">
        <v>0</v>
      </c>
      <c r="AH95" s="99"/>
      <c r="AI95" s="99"/>
      <c r="AJ95" s="99"/>
      <c r="AK95" s="99"/>
      <c r="AL95" s="128">
        <f t="shared" si="55"/>
        <v>0</v>
      </c>
      <c r="AM95" s="99">
        <v>0</v>
      </c>
      <c r="AN95" s="100">
        <f t="shared" si="56"/>
        <v>0</v>
      </c>
      <c r="AO95" s="101">
        <f t="shared" si="57"/>
        <v>0</v>
      </c>
      <c r="AP95" s="102"/>
      <c r="AQ95" s="103">
        <f t="shared" si="6"/>
        <v>0</v>
      </c>
      <c r="AR95" s="104">
        <f t="shared" si="35"/>
        <v>400.08</v>
      </c>
      <c r="AS95" s="104">
        <f t="shared" si="8"/>
        <v>0</v>
      </c>
      <c r="AT95" s="104">
        <f t="shared" si="9"/>
        <v>0</v>
      </c>
      <c r="AU95" s="104">
        <f t="shared" si="58"/>
        <v>0</v>
      </c>
      <c r="AV95" s="104">
        <f t="array" ref="AV95">_xlfn.IFS(U95=0,AO95,U95&lt;0,AO95/-U95,U95&gt;0,AO95/U95)</f>
        <v>0</v>
      </c>
      <c r="AW95" s="244">
        <f t="shared" si="43"/>
        <v>0</v>
      </c>
      <c r="AX95" s="244">
        <f t="shared" si="44"/>
        <v>0</v>
      </c>
      <c r="AY95" s="105"/>
      <c r="AZ95" s="100">
        <f t="shared" si="12"/>
        <v>0</v>
      </c>
    </row>
    <row r="96" spans="1:52" outlineLevel="1">
      <c r="A96" s="95" t="s">
        <v>124</v>
      </c>
      <c r="B96" s="96">
        <v>342792174</v>
      </c>
      <c r="C96" s="96" t="s">
        <v>218</v>
      </c>
      <c r="D96" s="97" t="s">
        <v>84</v>
      </c>
      <c r="E96" s="242">
        <f t="shared" si="45"/>
        <v>0</v>
      </c>
      <c r="F96" s="99">
        <v>0</v>
      </c>
      <c r="G96" s="99">
        <v>0</v>
      </c>
      <c r="H96" s="99">
        <v>0</v>
      </c>
      <c r="I96" s="99">
        <v>0</v>
      </c>
      <c r="J96" s="99">
        <v>0</v>
      </c>
      <c r="K96" s="99">
        <v>300.08</v>
      </c>
      <c r="L96" s="98">
        <f t="shared" si="42"/>
        <v>0</v>
      </c>
      <c r="M96" s="95">
        <v>1</v>
      </c>
      <c r="N96" s="95">
        <v>0</v>
      </c>
      <c r="O96" s="95">
        <v>0</v>
      </c>
      <c r="P96" s="95">
        <v>0</v>
      </c>
      <c r="Q96" s="243">
        <f t="shared" si="46"/>
        <v>0</v>
      </c>
      <c r="R96" s="98">
        <f t="shared" si="47"/>
        <v>0</v>
      </c>
      <c r="S96" s="99">
        <v>0</v>
      </c>
      <c r="T96" s="99">
        <v>0</v>
      </c>
      <c r="U96" s="98">
        <f t="shared" si="48"/>
        <v>0</v>
      </c>
      <c r="V96" s="99">
        <v>0</v>
      </c>
      <c r="W96" s="99">
        <v>0</v>
      </c>
      <c r="X96" s="98">
        <f t="shared" si="49"/>
        <v>0</v>
      </c>
      <c r="Y96" s="99">
        <v>0</v>
      </c>
      <c r="Z96" s="99">
        <v>0</v>
      </c>
      <c r="AA96" s="98">
        <f t="shared" si="50"/>
        <v>0</v>
      </c>
      <c r="AB96" s="98">
        <f t="shared" si="51"/>
        <v>0</v>
      </c>
      <c r="AC96" s="244">
        <f t="shared" si="52"/>
        <v>0</v>
      </c>
      <c r="AD96" s="98">
        <f t="shared" si="53"/>
        <v>0</v>
      </c>
      <c r="AE96" s="99">
        <v>0</v>
      </c>
      <c r="AF96" s="244">
        <f t="shared" si="54"/>
        <v>0</v>
      </c>
      <c r="AG96" s="99">
        <v>0</v>
      </c>
      <c r="AH96" s="99"/>
      <c r="AI96" s="99"/>
      <c r="AJ96" s="99"/>
      <c r="AK96" s="99"/>
      <c r="AL96" s="128">
        <f t="shared" si="55"/>
        <v>0</v>
      </c>
      <c r="AM96" s="99">
        <v>0</v>
      </c>
      <c r="AN96" s="100">
        <f t="shared" si="56"/>
        <v>0</v>
      </c>
      <c r="AO96" s="101">
        <f t="shared" si="57"/>
        <v>0</v>
      </c>
      <c r="AP96" s="102"/>
      <c r="AQ96" s="103">
        <f t="shared" si="6"/>
        <v>0</v>
      </c>
      <c r="AR96" s="104">
        <f t="shared" si="35"/>
        <v>300.08</v>
      </c>
      <c r="AS96" s="104">
        <f t="shared" si="8"/>
        <v>0</v>
      </c>
      <c r="AT96" s="104">
        <f t="shared" si="9"/>
        <v>0</v>
      </c>
      <c r="AU96" s="104">
        <f t="shared" si="58"/>
        <v>0</v>
      </c>
      <c r="AV96" s="104">
        <f t="array" ref="AV96">_xlfn.IFS(U96=0,AO96,U96&lt;0,AO96/-U96,U96&gt;0,AO96/U96)</f>
        <v>0</v>
      </c>
      <c r="AW96" s="244">
        <f t="shared" si="43"/>
        <v>0</v>
      </c>
      <c r="AX96" s="244">
        <f t="shared" si="44"/>
        <v>0</v>
      </c>
      <c r="AY96" s="105"/>
      <c r="AZ96" s="100">
        <f t="shared" si="12"/>
        <v>0</v>
      </c>
    </row>
    <row r="97" spans="1:52" outlineLevel="1">
      <c r="A97" s="95" t="s">
        <v>124</v>
      </c>
      <c r="B97" s="96">
        <v>342807082</v>
      </c>
      <c r="C97" s="96" t="s">
        <v>219</v>
      </c>
      <c r="D97" s="97" t="s">
        <v>84</v>
      </c>
      <c r="E97" s="242">
        <f t="shared" si="45"/>
        <v>4</v>
      </c>
      <c r="F97" s="99">
        <v>1</v>
      </c>
      <c r="G97" s="99" t="s">
        <v>100</v>
      </c>
      <c r="H97" s="99">
        <v>3</v>
      </c>
      <c r="I97" s="99">
        <v>0</v>
      </c>
      <c r="J97" s="99">
        <v>0</v>
      </c>
      <c r="K97" s="99">
        <v>400.08</v>
      </c>
      <c r="L97" s="98">
        <f t="shared" si="42"/>
        <v>1600.32</v>
      </c>
      <c r="M97" s="95">
        <v>999</v>
      </c>
      <c r="N97" s="95">
        <v>0</v>
      </c>
      <c r="O97" s="95">
        <v>0</v>
      </c>
      <c r="P97" s="95">
        <v>0</v>
      </c>
      <c r="Q97" s="243">
        <f t="shared" si="46"/>
        <v>0</v>
      </c>
      <c r="R97" s="98">
        <f t="shared" si="47"/>
        <v>0</v>
      </c>
      <c r="S97" s="99">
        <v>0</v>
      </c>
      <c r="T97" s="99">
        <v>0</v>
      </c>
      <c r="U97" s="98">
        <f t="shared" si="48"/>
        <v>0</v>
      </c>
      <c r="V97" s="99">
        <v>0</v>
      </c>
      <c r="W97" s="99">
        <v>0</v>
      </c>
      <c r="X97" s="98">
        <f t="shared" si="49"/>
        <v>0</v>
      </c>
      <c r="Y97" s="99">
        <v>0</v>
      </c>
      <c r="Z97" s="99">
        <v>0</v>
      </c>
      <c r="AA97" s="98">
        <f t="shared" si="50"/>
        <v>0</v>
      </c>
      <c r="AB97" s="98">
        <f t="shared" si="51"/>
        <v>0</v>
      </c>
      <c r="AC97" s="244">
        <f t="shared" si="52"/>
        <v>0</v>
      </c>
      <c r="AD97" s="98">
        <f t="shared" si="53"/>
        <v>0</v>
      </c>
      <c r="AE97" s="99">
        <v>0</v>
      </c>
      <c r="AF97" s="244">
        <f t="shared" si="54"/>
        <v>0</v>
      </c>
      <c r="AG97" s="99">
        <v>0</v>
      </c>
      <c r="AH97" s="99"/>
      <c r="AI97" s="99"/>
      <c r="AJ97" s="99"/>
      <c r="AK97" s="99"/>
      <c r="AL97" s="128">
        <f t="shared" si="55"/>
        <v>2.601740573152338</v>
      </c>
      <c r="AM97" s="99">
        <v>0</v>
      </c>
      <c r="AN97" s="100">
        <f t="shared" si="56"/>
        <v>0</v>
      </c>
      <c r="AO97" s="101">
        <f t="shared" si="57"/>
        <v>-2.601740573152338</v>
      </c>
      <c r="AP97" s="102"/>
      <c r="AQ97" s="103">
        <f t="shared" si="6"/>
        <v>0</v>
      </c>
      <c r="AR97" s="104">
        <f t="shared" si="35"/>
        <v>400.08</v>
      </c>
      <c r="AS97" s="104">
        <f t="shared" si="8"/>
        <v>0</v>
      </c>
      <c r="AT97" s="104">
        <f t="shared" si="9"/>
        <v>0</v>
      </c>
      <c r="AU97" s="104">
        <f t="shared" si="58"/>
        <v>0</v>
      </c>
      <c r="AV97" s="104">
        <f t="array" ref="AV97">_xlfn.IFS(U97=0,AO97,U97&lt;0,AO97/-U97,U97&gt;0,AO97/U97)</f>
        <v>-2.601740573152338</v>
      </c>
      <c r="AW97" s="244">
        <f t="shared" si="43"/>
        <v>0</v>
      </c>
      <c r="AX97" s="244">
        <f t="shared" si="44"/>
        <v>-6.503050822716302E-3</v>
      </c>
      <c r="AY97" s="105"/>
      <c r="AZ97" s="100">
        <f t="shared" si="12"/>
        <v>-10.406962292609352</v>
      </c>
    </row>
    <row r="98" spans="1:52" outlineLevel="1">
      <c r="A98" s="95" t="s">
        <v>124</v>
      </c>
      <c r="B98" s="96">
        <v>342820134</v>
      </c>
      <c r="C98" s="96" t="s">
        <v>220</v>
      </c>
      <c r="D98" s="97" t="s">
        <v>84</v>
      </c>
      <c r="E98" s="242">
        <f t="shared" si="45"/>
        <v>14</v>
      </c>
      <c r="F98" s="99">
        <v>1</v>
      </c>
      <c r="G98" s="99">
        <v>3</v>
      </c>
      <c r="H98" s="99">
        <v>10</v>
      </c>
      <c r="I98" s="99">
        <v>0</v>
      </c>
      <c r="J98" s="99">
        <v>0</v>
      </c>
      <c r="K98" s="99">
        <v>300.08</v>
      </c>
      <c r="L98" s="98">
        <f t="shared" si="42"/>
        <v>4201.12</v>
      </c>
      <c r="M98" s="95">
        <v>156</v>
      </c>
      <c r="N98" s="95">
        <v>3</v>
      </c>
      <c r="O98" s="95">
        <v>879</v>
      </c>
      <c r="P98" s="95">
        <v>100</v>
      </c>
      <c r="Q98" s="243">
        <f t="shared" si="46"/>
        <v>0.42857142857142855</v>
      </c>
      <c r="R98" s="98">
        <f t="shared" si="47"/>
        <v>0.2857142857142857</v>
      </c>
      <c r="S98" s="99">
        <v>2</v>
      </c>
      <c r="T98" s="99">
        <v>0</v>
      </c>
      <c r="U98" s="98">
        <f t="shared" si="48"/>
        <v>2</v>
      </c>
      <c r="V98" s="99">
        <v>1186</v>
      </c>
      <c r="W98" s="99">
        <v>0</v>
      </c>
      <c r="X98" s="98">
        <f t="shared" si="49"/>
        <v>1186</v>
      </c>
      <c r="Y98" s="99">
        <v>1756</v>
      </c>
      <c r="Z98" s="99">
        <v>0</v>
      </c>
      <c r="AA98" s="98">
        <f t="shared" si="50"/>
        <v>1756</v>
      </c>
      <c r="AB98" s="98">
        <f t="shared" si="51"/>
        <v>2637</v>
      </c>
      <c r="AC98" s="244">
        <f t="shared" si="52"/>
        <v>7.1544642308567989E-4</v>
      </c>
      <c r="AD98" s="98">
        <f t="shared" si="53"/>
        <v>600.16</v>
      </c>
      <c r="AE98" s="99">
        <v>666.44</v>
      </c>
      <c r="AF98" s="244">
        <f t="shared" si="54"/>
        <v>0.37952164009111622</v>
      </c>
      <c r="AG98" s="99">
        <v>187.53</v>
      </c>
      <c r="AH98" s="99"/>
      <c r="AI98" s="99"/>
      <c r="AJ98" s="99"/>
      <c r="AK98" s="99"/>
      <c r="AL98" s="128">
        <f t="shared" si="55"/>
        <v>8.6724685771744614</v>
      </c>
      <c r="AM98" s="99">
        <v>0</v>
      </c>
      <c r="AN98" s="100">
        <f t="shared" si="56"/>
        <v>67.720600000000005</v>
      </c>
      <c r="AO98" s="101">
        <f t="shared" si="57"/>
        <v>225.47693142282566</v>
      </c>
      <c r="AP98" s="102"/>
      <c r="AQ98" s="103">
        <f t="shared" ref="AQ98" si="59">IF(U98=0,0,AA98/U98)</f>
        <v>878</v>
      </c>
      <c r="AR98" s="104">
        <f t="shared" si="35"/>
        <v>300.08</v>
      </c>
      <c r="AS98" s="104">
        <f t="shared" ref="AS98" si="60">IF(U98=0,0,AE98/U98)</f>
        <v>333.22</v>
      </c>
      <c r="AT98" s="104">
        <f t="shared" ref="AT98" si="61">IF(S98=0,AG98/1,AG98/S98)</f>
        <v>93.765000000000001</v>
      </c>
      <c r="AU98" s="104">
        <f t="shared" si="58"/>
        <v>0</v>
      </c>
      <c r="AV98" s="104">
        <f t="array" ref="AV98">_xlfn.IFS(U98=0,AO98,U98&lt;0,AO98/-U98,U98&gt;0,AO98/U98)</f>
        <v>112.73846571141283</v>
      </c>
      <c r="AW98" s="244">
        <f t="shared" si="43"/>
        <v>0.12840371948908066</v>
      </c>
      <c r="AX98" s="244">
        <f t="shared" si="44"/>
        <v>0.3756947004512558</v>
      </c>
      <c r="AY98" s="105"/>
      <c r="AZ98" s="100">
        <f t="shared" ref="AZ98" si="62">AV98*E98</f>
        <v>1578.3385199597797</v>
      </c>
    </row>
    <row r="99" spans="1:52" outlineLevel="1">
      <c r="A99" s="95" t="s">
        <v>124</v>
      </c>
      <c r="B99" s="96">
        <v>803751377</v>
      </c>
      <c r="C99" s="96" t="s">
        <v>259</v>
      </c>
      <c r="D99" s="97" t="s">
        <v>84</v>
      </c>
      <c r="E99" s="242">
        <f t="shared" si="45"/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142.97999999999999</v>
      </c>
      <c r="L99" s="98">
        <f t="shared" si="42"/>
        <v>0</v>
      </c>
      <c r="M99" s="95" t="s">
        <v>100</v>
      </c>
      <c r="N99" s="95">
        <v>0</v>
      </c>
      <c r="O99" s="95">
        <v>0</v>
      </c>
      <c r="P99" s="95">
        <v>0</v>
      </c>
      <c r="Q99" s="243">
        <f t="shared" si="46"/>
        <v>0</v>
      </c>
      <c r="R99" s="98">
        <f t="shared" si="47"/>
        <v>0</v>
      </c>
      <c r="S99" s="99">
        <v>0</v>
      </c>
      <c r="T99" s="99">
        <v>0</v>
      </c>
      <c r="U99" s="98">
        <f t="shared" ref="U99:U103" si="63">S99+T99</f>
        <v>0</v>
      </c>
      <c r="V99" s="99">
        <v>0</v>
      </c>
      <c r="W99" s="99">
        <v>0</v>
      </c>
      <c r="X99" s="98">
        <f t="shared" ref="X99:X103" si="64">V99+W99</f>
        <v>0</v>
      </c>
      <c r="Y99" s="99">
        <v>0</v>
      </c>
      <c r="Z99" s="99">
        <v>0</v>
      </c>
      <c r="AA99" s="98">
        <f t="shared" ref="AA99:AA103" si="65">Y99+Z99</f>
        <v>0</v>
      </c>
      <c r="AB99" s="98">
        <f t="shared" ref="AB99:AB103" si="66">N99*O99*P99/100</f>
        <v>0</v>
      </c>
      <c r="AC99" s="244">
        <f t="shared" ref="AC99:AC103" si="67">AA99/$AA$126</f>
        <v>0</v>
      </c>
      <c r="AD99" s="98">
        <f t="shared" ref="AD99:AD103" si="68">U99*K99</f>
        <v>0</v>
      </c>
      <c r="AE99" s="99">
        <v>0</v>
      </c>
      <c r="AF99" s="244">
        <f t="shared" ref="AF99:AF103" si="69">IF(AA99=0,0,AE99/AA99)</f>
        <v>0</v>
      </c>
      <c r="AG99" s="99">
        <v>0</v>
      </c>
      <c r="AH99" s="99"/>
      <c r="AI99" s="99"/>
      <c r="AJ99" s="99"/>
      <c r="AK99" s="99"/>
      <c r="AL99" s="128">
        <f t="shared" ref="AL99:AL103" si="70">IFERROR($AL$126*H99/$H$126,0)</f>
        <v>0</v>
      </c>
      <c r="AM99" s="99">
        <v>0</v>
      </c>
      <c r="AN99" s="100">
        <f t="shared" ref="AN99:AN103" si="71">X99*5.71%</f>
        <v>0</v>
      </c>
      <c r="AO99" s="101">
        <f t="shared" ref="AO99:AO103" si="72">AA99-AD99-AE99-AG99-AH99-AI99-AK99-AL99-AN99-AM99</f>
        <v>0</v>
      </c>
      <c r="AP99" s="102"/>
      <c r="AQ99" s="103">
        <f t="shared" ref="AQ99:AQ103" si="73">IF(U99=0,0,AA99/U99)</f>
        <v>0</v>
      </c>
      <c r="AR99" s="104">
        <f t="shared" ref="AR99:AR103" si="74">K99</f>
        <v>142.97999999999999</v>
      </c>
      <c r="AS99" s="104">
        <f t="shared" ref="AS99:AS103" si="75">IF(U99=0,0,AE99/U99)</f>
        <v>0</v>
      </c>
      <c r="AT99" s="104">
        <f t="shared" ref="AT99:AT103" si="76">IF(S99=0,AG99/1,AG99/S99)</f>
        <v>0</v>
      </c>
      <c r="AU99" s="104">
        <f t="shared" ref="AU99:AU103" si="77">IF(S99=0,0,(AH99+AI99+AJ99)/S99)</f>
        <v>0</v>
      </c>
      <c r="AV99" s="104">
        <f t="array" ref="AV99">_xlfn.IFS(U99=0,AO99,U99&lt;0,AO99/-U99,U99&gt;0,AO99/U99)</f>
        <v>0</v>
      </c>
      <c r="AW99" s="244">
        <f t="shared" ref="AW99:AW103" si="78">IF(AQ99=0,0,AV99/AQ99)</f>
        <v>0</v>
      </c>
      <c r="AX99" s="244">
        <f t="shared" ref="AX99:AX103" si="79">IF(AR99=0,0,AV99/AR99)</f>
        <v>0</v>
      </c>
      <c r="AY99" s="105"/>
      <c r="AZ99" s="100">
        <f t="shared" ref="AZ99:AZ103" si="80">AV99*E99</f>
        <v>0</v>
      </c>
    </row>
    <row r="100" spans="1:52" outlineLevel="1">
      <c r="A100" s="95" t="s">
        <v>124</v>
      </c>
      <c r="B100" s="96">
        <v>833918832</v>
      </c>
      <c r="C100" s="96" t="s">
        <v>260</v>
      </c>
      <c r="D100" s="97" t="s">
        <v>84</v>
      </c>
      <c r="E100" s="242">
        <f t="shared" si="45"/>
        <v>0</v>
      </c>
      <c r="F100" s="99">
        <v>0</v>
      </c>
      <c r="G100" s="99">
        <v>0</v>
      </c>
      <c r="H100" s="99">
        <v>0</v>
      </c>
      <c r="I100" s="99">
        <v>0</v>
      </c>
      <c r="J100" s="99">
        <v>0</v>
      </c>
      <c r="K100" s="99">
        <v>142.97999999999999</v>
      </c>
      <c r="L100" s="98">
        <f t="shared" ref="L100:L103" si="81">E100*K100</f>
        <v>0</v>
      </c>
      <c r="M100" s="95" t="s">
        <v>100</v>
      </c>
      <c r="N100" s="95">
        <v>0</v>
      </c>
      <c r="O100" s="95">
        <v>0</v>
      </c>
      <c r="P100" s="95">
        <v>0</v>
      </c>
      <c r="Q100" s="243">
        <f t="shared" si="46"/>
        <v>0</v>
      </c>
      <c r="R100" s="98">
        <f t="shared" si="47"/>
        <v>0</v>
      </c>
      <c r="S100" s="99">
        <v>0</v>
      </c>
      <c r="T100" s="99">
        <v>0</v>
      </c>
      <c r="U100" s="98">
        <f t="shared" si="63"/>
        <v>0</v>
      </c>
      <c r="V100" s="99">
        <v>0</v>
      </c>
      <c r="W100" s="99">
        <v>0</v>
      </c>
      <c r="X100" s="98">
        <f t="shared" si="64"/>
        <v>0</v>
      </c>
      <c r="Y100" s="99">
        <v>0</v>
      </c>
      <c r="Z100" s="99">
        <v>0</v>
      </c>
      <c r="AA100" s="98">
        <f t="shared" si="65"/>
        <v>0</v>
      </c>
      <c r="AB100" s="98">
        <f t="shared" si="66"/>
        <v>0</v>
      </c>
      <c r="AC100" s="244">
        <f t="shared" si="67"/>
        <v>0</v>
      </c>
      <c r="AD100" s="98">
        <f t="shared" si="68"/>
        <v>0</v>
      </c>
      <c r="AE100" s="99">
        <v>0</v>
      </c>
      <c r="AF100" s="244">
        <f t="shared" si="69"/>
        <v>0</v>
      </c>
      <c r="AG100" s="99">
        <v>0</v>
      </c>
      <c r="AH100" s="99"/>
      <c r="AI100" s="99"/>
      <c r="AJ100" s="99"/>
      <c r="AK100" s="99"/>
      <c r="AL100" s="128">
        <f t="shared" si="70"/>
        <v>0</v>
      </c>
      <c r="AM100" s="99">
        <v>0</v>
      </c>
      <c r="AN100" s="100">
        <f t="shared" si="71"/>
        <v>0</v>
      </c>
      <c r="AO100" s="101">
        <f t="shared" si="72"/>
        <v>0</v>
      </c>
      <c r="AP100" s="102"/>
      <c r="AQ100" s="103">
        <f t="shared" si="73"/>
        <v>0</v>
      </c>
      <c r="AR100" s="104">
        <f t="shared" si="74"/>
        <v>142.97999999999999</v>
      </c>
      <c r="AS100" s="104">
        <f t="shared" si="75"/>
        <v>0</v>
      </c>
      <c r="AT100" s="104">
        <f t="shared" si="76"/>
        <v>0</v>
      </c>
      <c r="AU100" s="104">
        <f t="shared" si="77"/>
        <v>0</v>
      </c>
      <c r="AV100" s="104">
        <f t="array" ref="AV100">_xlfn.IFS(U100=0,AO100,U100&lt;0,AO100/-U100,U100&gt;0,AO100/U100)</f>
        <v>0</v>
      </c>
      <c r="AW100" s="244">
        <f t="shared" si="78"/>
        <v>0</v>
      </c>
      <c r="AX100" s="244">
        <f t="shared" si="79"/>
        <v>0</v>
      </c>
      <c r="AY100" s="105"/>
      <c r="AZ100" s="100">
        <f t="shared" si="80"/>
        <v>0</v>
      </c>
    </row>
    <row r="101" spans="1:52" outlineLevel="1">
      <c r="A101" s="95" t="s">
        <v>124</v>
      </c>
      <c r="B101" s="96">
        <v>803705967</v>
      </c>
      <c r="C101" s="96" t="s">
        <v>261</v>
      </c>
      <c r="D101" s="97" t="s">
        <v>84</v>
      </c>
      <c r="E101" s="242">
        <f t="shared" si="45"/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8">
        <v>123.09</v>
      </c>
      <c r="L101" s="98">
        <f t="shared" si="81"/>
        <v>0</v>
      </c>
      <c r="M101" s="95" t="s">
        <v>100</v>
      </c>
      <c r="N101" s="95">
        <v>0</v>
      </c>
      <c r="O101" s="95">
        <v>0</v>
      </c>
      <c r="P101" s="95">
        <v>0</v>
      </c>
      <c r="Q101" s="243">
        <f t="shared" si="46"/>
        <v>0</v>
      </c>
      <c r="R101" s="98">
        <f t="shared" si="47"/>
        <v>0.2857142857142857</v>
      </c>
      <c r="S101" s="99">
        <v>2</v>
      </c>
      <c r="T101" s="99">
        <v>0</v>
      </c>
      <c r="U101" s="98">
        <f t="shared" si="63"/>
        <v>2</v>
      </c>
      <c r="V101" s="99">
        <v>1254.94</v>
      </c>
      <c r="W101" s="99">
        <v>0</v>
      </c>
      <c r="X101" s="98">
        <f t="shared" si="64"/>
        <v>1254.94</v>
      </c>
      <c r="Y101" s="99">
        <v>1799.94</v>
      </c>
      <c r="Z101" s="99">
        <v>0</v>
      </c>
      <c r="AA101" s="98">
        <f t="shared" si="65"/>
        <v>1799.94</v>
      </c>
      <c r="AB101" s="98">
        <f t="shared" si="66"/>
        <v>0</v>
      </c>
      <c r="AC101" s="244">
        <f t="shared" si="67"/>
        <v>7.3334888084785807E-4</v>
      </c>
      <c r="AD101" s="98">
        <f t="shared" si="68"/>
        <v>246.18</v>
      </c>
      <c r="AE101" s="99">
        <v>748.51</v>
      </c>
      <c r="AF101" s="244">
        <f t="shared" si="69"/>
        <v>0.41585275064724375</v>
      </c>
      <c r="AG101" s="99">
        <v>116.58</v>
      </c>
      <c r="AH101" s="99"/>
      <c r="AI101" s="99"/>
      <c r="AJ101" s="99"/>
      <c r="AK101" s="99"/>
      <c r="AL101" s="128">
        <f t="shared" si="70"/>
        <v>0</v>
      </c>
      <c r="AM101" s="99">
        <v>0</v>
      </c>
      <c r="AN101" s="100">
        <f t="shared" si="71"/>
        <v>71.657073999999994</v>
      </c>
      <c r="AO101" s="101">
        <f t="shared" si="72"/>
        <v>617.01292599999999</v>
      </c>
      <c r="AP101" s="102"/>
      <c r="AQ101" s="103">
        <f t="shared" si="73"/>
        <v>899.97</v>
      </c>
      <c r="AR101" s="104">
        <f t="shared" si="74"/>
        <v>123.09</v>
      </c>
      <c r="AS101" s="104">
        <f t="shared" si="75"/>
        <v>374.255</v>
      </c>
      <c r="AT101" s="104">
        <f t="shared" si="76"/>
        <v>58.29</v>
      </c>
      <c r="AU101" s="104">
        <f t="shared" si="77"/>
        <v>0</v>
      </c>
      <c r="AV101" s="104">
        <f t="array" ref="AV101">_xlfn.IFS(U101=0,AO101,U101&lt;0,AO101/-U101,U101&gt;0,AO101/U101)</f>
        <v>308.506463</v>
      </c>
      <c r="AW101" s="244">
        <f t="shared" si="78"/>
        <v>0.34279638543507002</v>
      </c>
      <c r="AX101" s="244">
        <f t="shared" si="79"/>
        <v>2.5063487123243156</v>
      </c>
      <c r="AY101" s="105"/>
      <c r="AZ101" s="100">
        <f t="shared" si="80"/>
        <v>0</v>
      </c>
    </row>
    <row r="102" spans="1:52" outlineLevel="1">
      <c r="A102" s="95" t="s">
        <v>124</v>
      </c>
      <c r="B102" s="96">
        <v>833916134</v>
      </c>
      <c r="C102" s="96" t="s">
        <v>262</v>
      </c>
      <c r="D102" s="97" t="s">
        <v>84</v>
      </c>
      <c r="E102" s="242">
        <f t="shared" si="45"/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8">
        <v>123.09</v>
      </c>
      <c r="L102" s="98">
        <f t="shared" si="81"/>
        <v>0</v>
      </c>
      <c r="M102" s="95" t="s">
        <v>100</v>
      </c>
      <c r="N102" s="95">
        <v>0</v>
      </c>
      <c r="O102" s="95">
        <v>0</v>
      </c>
      <c r="P102" s="95">
        <v>0</v>
      </c>
      <c r="Q102" s="243">
        <f t="shared" si="46"/>
        <v>0</v>
      </c>
      <c r="R102" s="98">
        <f t="shared" si="47"/>
        <v>0</v>
      </c>
      <c r="S102" s="99">
        <v>0</v>
      </c>
      <c r="T102" s="99">
        <v>0</v>
      </c>
      <c r="U102" s="98">
        <f t="shared" si="63"/>
        <v>0</v>
      </c>
      <c r="V102" s="99">
        <v>0</v>
      </c>
      <c r="W102" s="99">
        <v>0</v>
      </c>
      <c r="X102" s="98">
        <f t="shared" si="64"/>
        <v>0</v>
      </c>
      <c r="Y102" s="99">
        <v>0</v>
      </c>
      <c r="Z102" s="99">
        <v>0</v>
      </c>
      <c r="AA102" s="98">
        <f t="shared" si="65"/>
        <v>0</v>
      </c>
      <c r="AB102" s="98">
        <f t="shared" si="66"/>
        <v>0</v>
      </c>
      <c r="AC102" s="244">
        <f t="shared" si="67"/>
        <v>0</v>
      </c>
      <c r="AD102" s="98">
        <f t="shared" si="68"/>
        <v>0</v>
      </c>
      <c r="AE102" s="99">
        <v>0</v>
      </c>
      <c r="AF102" s="244">
        <f t="shared" si="69"/>
        <v>0</v>
      </c>
      <c r="AG102" s="99">
        <v>0</v>
      </c>
      <c r="AH102" s="99"/>
      <c r="AI102" s="99"/>
      <c r="AJ102" s="99"/>
      <c r="AK102" s="99"/>
      <c r="AL102" s="128">
        <f t="shared" si="70"/>
        <v>0</v>
      </c>
      <c r="AM102" s="99">
        <v>0</v>
      </c>
      <c r="AN102" s="100">
        <f t="shared" si="71"/>
        <v>0</v>
      </c>
      <c r="AO102" s="101">
        <f t="shared" si="72"/>
        <v>0</v>
      </c>
      <c r="AP102" s="102"/>
      <c r="AQ102" s="103">
        <f t="shared" si="73"/>
        <v>0</v>
      </c>
      <c r="AR102" s="104">
        <f t="shared" si="74"/>
        <v>123.09</v>
      </c>
      <c r="AS102" s="104">
        <f t="shared" si="75"/>
        <v>0</v>
      </c>
      <c r="AT102" s="104">
        <f t="shared" si="76"/>
        <v>0</v>
      </c>
      <c r="AU102" s="104">
        <f t="shared" si="77"/>
        <v>0</v>
      </c>
      <c r="AV102" s="104">
        <f t="array" ref="AV102">_xlfn.IFS(U102=0,AO102,U102&lt;0,AO102/-U102,U102&gt;0,AO102/U102)</f>
        <v>0</v>
      </c>
      <c r="AW102" s="244">
        <f t="shared" si="78"/>
        <v>0</v>
      </c>
      <c r="AX102" s="244">
        <f t="shared" si="79"/>
        <v>0</v>
      </c>
      <c r="AY102" s="105"/>
      <c r="AZ102" s="100">
        <f t="shared" si="80"/>
        <v>0</v>
      </c>
    </row>
    <row r="103" spans="1:52" outlineLevel="1">
      <c r="A103" s="95" t="s">
        <v>124</v>
      </c>
      <c r="B103" s="96">
        <v>803776499</v>
      </c>
      <c r="C103" s="96" t="s">
        <v>263</v>
      </c>
      <c r="D103" s="97" t="s">
        <v>84</v>
      </c>
      <c r="E103" s="242">
        <f t="shared" si="45"/>
        <v>0</v>
      </c>
      <c r="F103" s="99">
        <v>0</v>
      </c>
      <c r="G103" s="99">
        <v>0</v>
      </c>
      <c r="H103" s="99">
        <v>0</v>
      </c>
      <c r="I103" s="99">
        <v>0</v>
      </c>
      <c r="J103" s="99">
        <v>0</v>
      </c>
      <c r="K103" s="99">
        <v>107.88</v>
      </c>
      <c r="L103" s="98">
        <f t="shared" si="81"/>
        <v>0</v>
      </c>
      <c r="M103" s="95" t="s">
        <v>100</v>
      </c>
      <c r="N103" s="95">
        <v>0</v>
      </c>
      <c r="O103" s="95">
        <v>0</v>
      </c>
      <c r="P103" s="95">
        <v>0</v>
      </c>
      <c r="Q103" s="243">
        <f t="shared" si="46"/>
        <v>0</v>
      </c>
      <c r="R103" s="98">
        <f t="shared" si="47"/>
        <v>0</v>
      </c>
      <c r="S103" s="99">
        <v>0</v>
      </c>
      <c r="T103" s="99">
        <v>0</v>
      </c>
      <c r="U103" s="98">
        <f t="shared" si="63"/>
        <v>0</v>
      </c>
      <c r="V103" s="99">
        <v>0</v>
      </c>
      <c r="W103" s="99">
        <v>0</v>
      </c>
      <c r="X103" s="98">
        <f t="shared" si="64"/>
        <v>0</v>
      </c>
      <c r="Y103" s="99">
        <v>0</v>
      </c>
      <c r="Z103" s="99">
        <v>0</v>
      </c>
      <c r="AA103" s="98">
        <f t="shared" si="65"/>
        <v>0</v>
      </c>
      <c r="AB103" s="98">
        <f t="shared" si="66"/>
        <v>0</v>
      </c>
      <c r="AC103" s="244">
        <f t="shared" si="67"/>
        <v>0</v>
      </c>
      <c r="AD103" s="98">
        <f t="shared" si="68"/>
        <v>0</v>
      </c>
      <c r="AE103" s="99">
        <v>0</v>
      </c>
      <c r="AF103" s="244">
        <f t="shared" si="69"/>
        <v>0</v>
      </c>
      <c r="AG103" s="99">
        <v>0</v>
      </c>
      <c r="AH103" s="99"/>
      <c r="AI103" s="99"/>
      <c r="AJ103" s="99"/>
      <c r="AK103" s="99"/>
      <c r="AL103" s="128">
        <f t="shared" si="70"/>
        <v>0</v>
      </c>
      <c r="AM103" s="99">
        <v>336</v>
      </c>
      <c r="AN103" s="100">
        <f t="shared" si="71"/>
        <v>0</v>
      </c>
      <c r="AO103" s="101">
        <f t="shared" si="72"/>
        <v>-336</v>
      </c>
      <c r="AP103" s="102"/>
      <c r="AQ103" s="103">
        <f t="shared" si="73"/>
        <v>0</v>
      </c>
      <c r="AR103" s="104">
        <f t="shared" si="74"/>
        <v>107.88</v>
      </c>
      <c r="AS103" s="104">
        <f t="shared" si="75"/>
        <v>0</v>
      </c>
      <c r="AT103" s="104">
        <f t="shared" si="76"/>
        <v>0</v>
      </c>
      <c r="AU103" s="104">
        <f t="shared" si="77"/>
        <v>0</v>
      </c>
      <c r="AV103" s="104">
        <f t="array" ref="AV103">_xlfn.IFS(U103=0,AO103,U103&lt;0,AO103/-U103,U103&gt;0,AO103/U103)</f>
        <v>-336</v>
      </c>
      <c r="AW103" s="244">
        <f t="shared" si="78"/>
        <v>0</v>
      </c>
      <c r="AX103" s="244">
        <f t="shared" si="79"/>
        <v>-3.1145717463848723</v>
      </c>
      <c r="AY103" s="105"/>
      <c r="AZ103" s="100">
        <f t="shared" si="80"/>
        <v>0</v>
      </c>
    </row>
    <row r="104" spans="1:52" s="119" customFormat="1" outlineLevel="1">
      <c r="A104" s="107"/>
      <c r="B104" s="108"/>
      <c r="C104" s="109" t="s">
        <v>221</v>
      </c>
      <c r="D104" s="110"/>
      <c r="E104" s="245"/>
      <c r="F104" s="111"/>
      <c r="G104" s="111"/>
      <c r="H104" s="112"/>
      <c r="I104" s="112"/>
      <c r="J104" s="112"/>
      <c r="K104" s="111"/>
      <c r="L104" s="111"/>
      <c r="M104" s="109"/>
      <c r="N104" s="109"/>
      <c r="O104" s="109"/>
      <c r="P104" s="109"/>
      <c r="Q104" s="246"/>
      <c r="R104" s="111"/>
      <c r="S104" s="112"/>
      <c r="T104" s="112"/>
      <c r="U104" s="111"/>
      <c r="V104" s="112"/>
      <c r="W104" s="112"/>
      <c r="X104" s="111"/>
      <c r="Y104" s="112"/>
      <c r="Z104" s="112"/>
      <c r="AA104" s="111"/>
      <c r="AB104" s="111"/>
      <c r="AC104" s="247"/>
      <c r="AD104" s="111"/>
      <c r="AE104" s="112"/>
      <c r="AF104" s="247"/>
      <c r="AG104" s="112"/>
      <c r="AH104" s="112"/>
      <c r="AI104" s="112"/>
      <c r="AJ104" s="112"/>
      <c r="AK104" s="112"/>
      <c r="AL104" s="113"/>
      <c r="AM104" s="112"/>
      <c r="AN104" s="114"/>
      <c r="AO104" s="115"/>
      <c r="AP104" s="116"/>
      <c r="AQ104" s="117">
        <f t="shared" ref="AQ104:AX104" si="82">AVERAGE(AQ7:AQ98)</f>
        <v>567.22545765286566</v>
      </c>
      <c r="AR104" s="117">
        <f t="shared" si="82"/>
        <v>141.22217391304349</v>
      </c>
      <c r="AS104" s="117">
        <f t="shared" si="82"/>
        <v>212.20411687512183</v>
      </c>
      <c r="AT104" s="117">
        <f t="shared" si="82"/>
        <v>125.02405860977662</v>
      </c>
      <c r="AU104" s="117">
        <f t="shared" si="82"/>
        <v>52.696982753394657</v>
      </c>
      <c r="AV104" s="117">
        <f t="shared" si="82"/>
        <v>42.784488291723349</v>
      </c>
      <c r="AW104" s="118">
        <f t="shared" si="82"/>
        <v>6.3996868000588764E-2</v>
      </c>
      <c r="AX104" s="118">
        <f t="shared" si="82"/>
        <v>0.30840792428761499</v>
      </c>
      <c r="AY104" s="105"/>
      <c r="AZ104" s="114"/>
    </row>
    <row r="105" spans="1:52" s="126" customFormat="1">
      <c r="A105" s="120" t="s">
        <v>85</v>
      </c>
      <c r="B105" s="121"/>
      <c r="C105" s="122"/>
      <c r="D105" s="122"/>
      <c r="E105" s="248">
        <f t="shared" ref="E105:J105" si="83">SUM(E3:E104)</f>
        <v>77418</v>
      </c>
      <c r="F105" s="122">
        <f t="shared" si="83"/>
        <v>2880</v>
      </c>
      <c r="G105" s="122">
        <f t="shared" si="83"/>
        <v>750</v>
      </c>
      <c r="H105" s="122">
        <f t="shared" si="83"/>
        <v>9944</v>
      </c>
      <c r="I105" s="122">
        <f t="shared" si="83"/>
        <v>1611</v>
      </c>
      <c r="J105" s="122">
        <f t="shared" si="83"/>
        <v>62233</v>
      </c>
      <c r="K105" s="122"/>
      <c r="L105" s="122">
        <f>SUM(L3:L104)</f>
        <v>9579708.6399999969</v>
      </c>
      <c r="M105" s="122"/>
      <c r="N105" s="122">
        <f>SUM(N3:N104)</f>
        <v>4413</v>
      </c>
      <c r="O105" s="122"/>
      <c r="P105" s="122"/>
      <c r="Q105" s="221"/>
      <c r="R105" s="122"/>
      <c r="S105" s="122">
        <f t="shared" ref="S105:AE105" si="84">SUM(S3:S104)</f>
        <v>2295</v>
      </c>
      <c r="T105" s="122">
        <f t="shared" si="84"/>
        <v>-43</v>
      </c>
      <c r="U105" s="122">
        <f t="shared" si="84"/>
        <v>2252</v>
      </c>
      <c r="V105" s="122">
        <f t="shared" si="84"/>
        <v>1593380.0800000003</v>
      </c>
      <c r="W105" s="122">
        <f t="shared" si="84"/>
        <v>-29254.63</v>
      </c>
      <c r="X105" s="122">
        <f t="shared" si="84"/>
        <v>1564125.4500000002</v>
      </c>
      <c r="Y105" s="122">
        <f t="shared" si="84"/>
        <v>2501418.8899999997</v>
      </c>
      <c r="Z105" s="122">
        <f t="shared" si="84"/>
        <v>-47007.29</v>
      </c>
      <c r="AA105" s="122">
        <f t="shared" si="84"/>
        <v>2454411.5999999992</v>
      </c>
      <c r="AB105" s="122">
        <f t="shared" si="84"/>
        <v>3169175.0699999994</v>
      </c>
      <c r="AC105" s="249">
        <f t="shared" si="84"/>
        <v>1.0000000000000004</v>
      </c>
      <c r="AD105" s="123">
        <f t="shared" si="84"/>
        <v>280478.83000000019</v>
      </c>
      <c r="AE105" s="122">
        <f t="shared" si="84"/>
        <v>918234.84000000067</v>
      </c>
      <c r="AF105" s="249">
        <f>AE105/AA105</f>
        <v>0.37411607735230756</v>
      </c>
      <c r="AG105" s="122">
        <f t="shared" ref="AG105:AO105" si="85">SUM(AG3:AG104)</f>
        <v>267875.32999999996</v>
      </c>
      <c r="AH105" s="123">
        <f t="shared" si="85"/>
        <v>50989</v>
      </c>
      <c r="AI105" s="123">
        <f t="shared" si="85"/>
        <v>265182</v>
      </c>
      <c r="AJ105" s="123">
        <f t="shared" si="85"/>
        <v>0</v>
      </c>
      <c r="AK105" s="123">
        <f t="shared" si="85"/>
        <v>0</v>
      </c>
      <c r="AL105" s="123">
        <f t="shared" si="85"/>
        <v>8623.9027531422835</v>
      </c>
      <c r="AM105" s="122">
        <f t="shared" si="85"/>
        <v>466</v>
      </c>
      <c r="AN105" s="123">
        <f t="shared" si="85"/>
        <v>89311.563195000068</v>
      </c>
      <c r="AO105" s="123">
        <f t="shared" si="85"/>
        <v>573250.13405185717</v>
      </c>
      <c r="AP105" s="124"/>
      <c r="AQ105" s="122"/>
      <c r="AR105" s="122"/>
      <c r="AS105" s="122"/>
      <c r="AT105" s="122"/>
      <c r="AU105" s="307">
        <f>(AH105+AI105+AJ104)/S105</f>
        <v>137.76514161220044</v>
      </c>
      <c r="AV105" s="122"/>
      <c r="AW105" s="122"/>
      <c r="AX105" s="122"/>
      <c r="AY105" s="125"/>
      <c r="AZ105" s="122">
        <f>SUM(AZ3:AZ104)</f>
        <v>17633094.073768727</v>
      </c>
    </row>
    <row r="106" spans="1:52">
      <c r="A106" s="95"/>
      <c r="B106" s="96"/>
      <c r="C106" s="96"/>
      <c r="D106" s="127"/>
      <c r="E106" s="251"/>
      <c r="F106" s="99"/>
      <c r="G106" s="99"/>
      <c r="H106" s="99"/>
      <c r="I106" s="99"/>
      <c r="J106" s="99"/>
      <c r="K106" s="99"/>
      <c r="L106" s="99"/>
      <c r="M106" s="95"/>
      <c r="N106" s="95"/>
      <c r="O106" s="95"/>
      <c r="P106" s="95"/>
      <c r="Q106" s="252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253"/>
      <c r="AD106" s="99"/>
      <c r="AE106" s="99"/>
      <c r="AF106" s="253"/>
      <c r="AG106" s="99"/>
      <c r="AH106" s="350"/>
      <c r="AI106" s="350"/>
      <c r="AJ106" s="226"/>
      <c r="AK106" s="226"/>
      <c r="AL106" s="128"/>
      <c r="AM106" s="99"/>
      <c r="AN106" s="129"/>
      <c r="AO106" s="130"/>
      <c r="AP106" s="102"/>
      <c r="AQ106" s="131"/>
      <c r="AR106" s="132"/>
      <c r="AS106" s="132"/>
      <c r="AT106" s="132"/>
      <c r="AU106" s="132"/>
      <c r="AV106" s="132"/>
      <c r="AW106" s="254"/>
      <c r="AX106" s="254"/>
      <c r="AY106" s="105"/>
      <c r="AZ106" s="129"/>
    </row>
    <row r="107" spans="1:52">
      <c r="A107" s="95" t="s">
        <v>222</v>
      </c>
      <c r="B107" s="96">
        <v>437023601</v>
      </c>
      <c r="C107" s="96" t="s">
        <v>223</v>
      </c>
      <c r="D107" s="127" t="s">
        <v>224</v>
      </c>
      <c r="E107" s="242">
        <f t="shared" ref="E107:E111" si="86">SUM(F107:J107)</f>
        <v>1</v>
      </c>
      <c r="F107" s="99"/>
      <c r="G107" s="99"/>
      <c r="H107" s="99">
        <v>0</v>
      </c>
      <c r="I107" s="99">
        <v>0</v>
      </c>
      <c r="J107" s="99">
        <v>1</v>
      </c>
      <c r="K107" s="99">
        <v>579.17999999999995</v>
      </c>
      <c r="L107" s="98">
        <f>E107*K107</f>
        <v>579.17999999999995</v>
      </c>
      <c r="M107" s="95">
        <v>0</v>
      </c>
      <c r="N107" s="95">
        <v>0</v>
      </c>
      <c r="O107" s="95">
        <v>0</v>
      </c>
      <c r="P107" s="95">
        <v>0</v>
      </c>
      <c r="Q107" s="243">
        <f t="shared" ref="Q107" si="87">N107/7</f>
        <v>0</v>
      </c>
      <c r="R107" s="98">
        <f t="shared" ref="R107" si="88">U107/7</f>
        <v>0</v>
      </c>
      <c r="S107" s="99">
        <v>0</v>
      </c>
      <c r="T107" s="99">
        <v>0</v>
      </c>
      <c r="U107" s="98">
        <f t="shared" ref="U107" si="89">S107+T107</f>
        <v>0</v>
      </c>
      <c r="V107" s="99">
        <v>0</v>
      </c>
      <c r="W107" s="99">
        <v>0</v>
      </c>
      <c r="X107" s="98">
        <f t="shared" ref="X107" si="90">V107+W107</f>
        <v>0</v>
      </c>
      <c r="Y107" s="99">
        <v>0</v>
      </c>
      <c r="Z107" s="99">
        <v>0</v>
      </c>
      <c r="AA107" s="98">
        <f t="shared" ref="AA107" si="91">Y107+Z107</f>
        <v>0</v>
      </c>
      <c r="AB107" s="98">
        <f t="shared" ref="AB107" si="92">N107*O107*P107/100</f>
        <v>0</v>
      </c>
      <c r="AC107" s="244">
        <f t="shared" ref="AC107" si="93">AA107/$AA$126</f>
        <v>0</v>
      </c>
      <c r="AD107" s="98">
        <f t="shared" ref="AD107" si="94">U107*K107</f>
        <v>0</v>
      </c>
      <c r="AE107" s="99">
        <v>0</v>
      </c>
      <c r="AF107" s="244">
        <f t="shared" ref="AF107" si="95">IF(AA107=0,0,AE107/AA107)</f>
        <v>0</v>
      </c>
      <c r="AG107" s="99">
        <v>0</v>
      </c>
      <c r="AH107" s="99"/>
      <c r="AI107" s="99"/>
      <c r="AJ107" s="99"/>
      <c r="AK107" s="99"/>
      <c r="AL107" s="128">
        <f t="shared" ref="AL107" si="96">IFERROR($AL$126*H107/$H$126,0)</f>
        <v>0</v>
      </c>
      <c r="AM107" s="99">
        <v>0</v>
      </c>
      <c r="AN107" s="100">
        <f t="shared" ref="AN107:AN111" si="97">X107*5.71%</f>
        <v>0</v>
      </c>
      <c r="AO107" s="101">
        <f t="shared" ref="AO107:AO111" si="98">AA107-AD107-AE107-AG107-AH107-AI107-AK107-AL107-AN107-AM107</f>
        <v>0</v>
      </c>
      <c r="AP107" s="102"/>
      <c r="AQ107" s="103">
        <f t="shared" ref="AQ107:AQ111" si="99">IF(U107=0,0,AA107/U107)</f>
        <v>0</v>
      </c>
      <c r="AR107" s="104">
        <f t="shared" ref="AR107:AR111" si="100">K107</f>
        <v>579.17999999999995</v>
      </c>
      <c r="AS107" s="104">
        <f t="shared" ref="AS107:AS111" si="101">IF(U107=0,0,AE107/U107)</f>
        <v>0</v>
      </c>
      <c r="AT107" s="104">
        <f t="shared" ref="AT107:AT111" si="102">IF(S107=0,AG107/1,AG107/S107)</f>
        <v>0</v>
      </c>
      <c r="AU107" s="104">
        <f t="shared" ref="AU107:AU111" si="103">IF(S107=0,0,(AH107+AI107+AJ107)/S107)</f>
        <v>0</v>
      </c>
      <c r="AV107" s="104">
        <f t="array" ref="AV107">_xlfn.IFS(U107=0,AO107,U107&lt;0,AO107/-U107,U107&gt;0,AO107/U107)</f>
        <v>0</v>
      </c>
      <c r="AW107" s="244">
        <f t="shared" ref="AW107:AW111" si="104">IF(AQ107=0,0,AV107/AQ107)</f>
        <v>0</v>
      </c>
      <c r="AX107" s="244">
        <f t="shared" ref="AX107:AX111" si="105">IF(AR107=0,0,AV107/AR107)</f>
        <v>0</v>
      </c>
      <c r="AY107" s="105"/>
      <c r="AZ107" s="100">
        <f t="shared" ref="AZ107:AZ111" si="106">AV107*E107</f>
        <v>0</v>
      </c>
    </row>
    <row r="108" spans="1:52">
      <c r="A108" s="95" t="s">
        <v>222</v>
      </c>
      <c r="B108" s="96">
        <v>437027509</v>
      </c>
      <c r="C108" s="96" t="s">
        <v>225</v>
      </c>
      <c r="D108" s="127" t="s">
        <v>224</v>
      </c>
      <c r="E108" s="242">
        <f t="shared" si="86"/>
        <v>2</v>
      </c>
      <c r="F108" s="99"/>
      <c r="G108" s="99"/>
      <c r="H108" s="99">
        <v>1</v>
      </c>
      <c r="I108" s="99">
        <v>0</v>
      </c>
      <c r="J108" s="99">
        <v>1</v>
      </c>
      <c r="K108" s="99">
        <v>579.17999999999995</v>
      </c>
      <c r="L108" s="98">
        <f t="shared" ref="L108:L111" si="107">E108*K108</f>
        <v>1158.3599999999999</v>
      </c>
      <c r="M108" s="95">
        <v>4</v>
      </c>
      <c r="N108" s="95">
        <v>0</v>
      </c>
      <c r="O108" s="95">
        <v>0</v>
      </c>
      <c r="P108" s="95">
        <v>0</v>
      </c>
      <c r="Q108" s="243">
        <f t="shared" ref="Q108:Q111" si="108">N108/7</f>
        <v>0</v>
      </c>
      <c r="R108" s="98">
        <f t="shared" ref="R108:R111" si="109">U108/7</f>
        <v>0</v>
      </c>
      <c r="S108" s="99">
        <v>0</v>
      </c>
      <c r="T108" s="99">
        <v>0</v>
      </c>
      <c r="U108" s="98">
        <f t="shared" ref="U108:U111" si="110">S108+T108</f>
        <v>0</v>
      </c>
      <c r="V108" s="99">
        <v>0</v>
      </c>
      <c r="W108" s="99">
        <v>0</v>
      </c>
      <c r="X108" s="98">
        <f t="shared" ref="X108:X111" si="111">V108+W108</f>
        <v>0</v>
      </c>
      <c r="Y108" s="99">
        <v>0</v>
      </c>
      <c r="Z108" s="99">
        <v>0</v>
      </c>
      <c r="AA108" s="98">
        <f t="shared" ref="AA108:AA111" si="112">Y108+Z108</f>
        <v>0</v>
      </c>
      <c r="AB108" s="98">
        <f t="shared" ref="AB108:AB111" si="113">N108*O108*P108/100</f>
        <v>0</v>
      </c>
      <c r="AC108" s="244">
        <f t="shared" ref="AC108:AC111" si="114">AA108/$AA$126</f>
        <v>0</v>
      </c>
      <c r="AD108" s="98">
        <f t="shared" ref="AD108:AD111" si="115">U108*K108</f>
        <v>0</v>
      </c>
      <c r="AE108" s="99">
        <v>0</v>
      </c>
      <c r="AF108" s="244">
        <f t="shared" ref="AF108:AF111" si="116">IF(AA108=0,0,AE108/AA108)</f>
        <v>0</v>
      </c>
      <c r="AG108" s="99">
        <v>0</v>
      </c>
      <c r="AH108" s="99"/>
      <c r="AI108" s="99"/>
      <c r="AJ108" s="99"/>
      <c r="AK108" s="99"/>
      <c r="AL108" s="128">
        <f t="shared" ref="AL108:AL111" si="117">IFERROR($AL$126*H108/$H$126,0)</f>
        <v>0.86724685771744603</v>
      </c>
      <c r="AM108" s="99">
        <v>0</v>
      </c>
      <c r="AN108" s="100">
        <f t="shared" si="97"/>
        <v>0</v>
      </c>
      <c r="AO108" s="101">
        <f t="shared" si="98"/>
        <v>-0.86724685771744603</v>
      </c>
      <c r="AP108" s="102"/>
      <c r="AQ108" s="103">
        <f t="shared" si="99"/>
        <v>0</v>
      </c>
      <c r="AR108" s="104">
        <f t="shared" si="100"/>
        <v>579.17999999999995</v>
      </c>
      <c r="AS108" s="104">
        <f t="shared" si="101"/>
        <v>0</v>
      </c>
      <c r="AT108" s="104">
        <f t="shared" si="102"/>
        <v>0</v>
      </c>
      <c r="AU108" s="104">
        <f t="shared" si="103"/>
        <v>0</v>
      </c>
      <c r="AV108" s="104">
        <f t="array" ref="AV108">_xlfn.IFS(U108=0,AO108,U108&lt;0,AO108/-U108,U108&gt;0,AO108/U108)</f>
        <v>-0.86724685771744603</v>
      </c>
      <c r="AW108" s="244">
        <f t="shared" si="104"/>
        <v>0</v>
      </c>
      <c r="AX108" s="244">
        <f t="shared" si="105"/>
        <v>-1.4973701745872546E-3</v>
      </c>
      <c r="AY108" s="105"/>
      <c r="AZ108" s="100">
        <f t="shared" si="106"/>
        <v>-1.7344937154348921</v>
      </c>
    </row>
    <row r="109" spans="1:52">
      <c r="A109" s="95" t="s">
        <v>222</v>
      </c>
      <c r="B109" s="96">
        <v>437097997</v>
      </c>
      <c r="C109" s="96" t="s">
        <v>226</v>
      </c>
      <c r="D109" s="127" t="s">
        <v>224</v>
      </c>
      <c r="E109" s="242">
        <f t="shared" si="86"/>
        <v>2</v>
      </c>
      <c r="F109" s="99"/>
      <c r="G109" s="99"/>
      <c r="H109" s="99">
        <v>0</v>
      </c>
      <c r="I109" s="99">
        <v>0</v>
      </c>
      <c r="J109" s="99">
        <v>2</v>
      </c>
      <c r="K109" s="99">
        <v>541.67999999999995</v>
      </c>
      <c r="L109" s="98">
        <f t="shared" si="107"/>
        <v>1083.3599999999999</v>
      </c>
      <c r="M109" s="95">
        <v>0</v>
      </c>
      <c r="N109" s="95">
        <v>0</v>
      </c>
      <c r="O109" s="95">
        <v>0</v>
      </c>
      <c r="P109" s="95">
        <v>0</v>
      </c>
      <c r="Q109" s="243">
        <f t="shared" si="108"/>
        <v>0</v>
      </c>
      <c r="R109" s="98">
        <f t="shared" si="109"/>
        <v>0</v>
      </c>
      <c r="S109" s="99">
        <v>0</v>
      </c>
      <c r="T109" s="99">
        <v>0</v>
      </c>
      <c r="U109" s="98">
        <f t="shared" si="110"/>
        <v>0</v>
      </c>
      <c r="V109" s="99">
        <v>0</v>
      </c>
      <c r="W109" s="99">
        <v>0</v>
      </c>
      <c r="X109" s="98">
        <f t="shared" si="111"/>
        <v>0</v>
      </c>
      <c r="Y109" s="99">
        <v>0</v>
      </c>
      <c r="Z109" s="99">
        <v>0</v>
      </c>
      <c r="AA109" s="98">
        <f t="shared" si="112"/>
        <v>0</v>
      </c>
      <c r="AB109" s="98">
        <f t="shared" si="113"/>
        <v>0</v>
      </c>
      <c r="AC109" s="244">
        <f t="shared" si="114"/>
        <v>0</v>
      </c>
      <c r="AD109" s="98">
        <f t="shared" si="115"/>
        <v>0</v>
      </c>
      <c r="AE109" s="99">
        <v>0</v>
      </c>
      <c r="AF109" s="244">
        <f t="shared" si="116"/>
        <v>0</v>
      </c>
      <c r="AG109" s="99">
        <v>0</v>
      </c>
      <c r="AH109" s="99"/>
      <c r="AI109" s="99"/>
      <c r="AJ109" s="99"/>
      <c r="AK109" s="99"/>
      <c r="AL109" s="128">
        <f t="shared" si="117"/>
        <v>0</v>
      </c>
      <c r="AM109" s="99">
        <v>0</v>
      </c>
      <c r="AN109" s="100">
        <f t="shared" si="97"/>
        <v>0</v>
      </c>
      <c r="AO109" s="101">
        <f t="shared" si="98"/>
        <v>0</v>
      </c>
      <c r="AP109" s="102"/>
      <c r="AQ109" s="103">
        <f t="shared" si="99"/>
        <v>0</v>
      </c>
      <c r="AR109" s="104">
        <f t="shared" si="100"/>
        <v>541.67999999999995</v>
      </c>
      <c r="AS109" s="104">
        <f t="shared" si="101"/>
        <v>0</v>
      </c>
      <c r="AT109" s="104">
        <f t="shared" si="102"/>
        <v>0</v>
      </c>
      <c r="AU109" s="104">
        <f t="shared" si="103"/>
        <v>0</v>
      </c>
      <c r="AV109" s="104">
        <f t="array" ref="AV109">_xlfn.IFS(U109=0,AO109,U109&lt;0,AO109/-U109,U109&gt;0,AO109/U109)</f>
        <v>0</v>
      </c>
      <c r="AW109" s="244">
        <f t="shared" si="104"/>
        <v>0</v>
      </c>
      <c r="AX109" s="244">
        <f t="shared" si="105"/>
        <v>0</v>
      </c>
      <c r="AY109" s="105"/>
      <c r="AZ109" s="100">
        <f t="shared" si="106"/>
        <v>0</v>
      </c>
    </row>
    <row r="110" spans="1:52">
      <c r="A110" s="95" t="s">
        <v>222</v>
      </c>
      <c r="B110" s="96">
        <v>437061068</v>
      </c>
      <c r="C110" s="96" t="s">
        <v>227</v>
      </c>
      <c r="D110" s="127" t="s">
        <v>224</v>
      </c>
      <c r="E110" s="242">
        <f t="shared" si="86"/>
        <v>1</v>
      </c>
      <c r="F110" s="99"/>
      <c r="G110" s="99"/>
      <c r="H110" s="99">
        <v>0</v>
      </c>
      <c r="I110" s="99">
        <v>0</v>
      </c>
      <c r="J110" s="99">
        <v>1</v>
      </c>
      <c r="K110" s="99">
        <v>541.67999999999995</v>
      </c>
      <c r="L110" s="98">
        <f t="shared" si="107"/>
        <v>541.67999999999995</v>
      </c>
      <c r="M110" s="95">
        <v>0</v>
      </c>
      <c r="N110" s="95">
        <v>0</v>
      </c>
      <c r="O110" s="95">
        <v>0</v>
      </c>
      <c r="P110" s="95">
        <v>0</v>
      </c>
      <c r="Q110" s="243">
        <f t="shared" si="108"/>
        <v>0</v>
      </c>
      <c r="R110" s="98">
        <f t="shared" si="109"/>
        <v>0</v>
      </c>
      <c r="S110" s="99">
        <v>0</v>
      </c>
      <c r="T110" s="99">
        <v>0</v>
      </c>
      <c r="U110" s="98">
        <f t="shared" si="110"/>
        <v>0</v>
      </c>
      <c r="V110" s="99">
        <v>0</v>
      </c>
      <c r="W110" s="99">
        <v>0</v>
      </c>
      <c r="X110" s="98">
        <f t="shared" si="111"/>
        <v>0</v>
      </c>
      <c r="Y110" s="99">
        <v>0</v>
      </c>
      <c r="Z110" s="99">
        <v>0</v>
      </c>
      <c r="AA110" s="98">
        <f t="shared" si="112"/>
        <v>0</v>
      </c>
      <c r="AB110" s="98">
        <f t="shared" si="113"/>
        <v>0</v>
      </c>
      <c r="AC110" s="244">
        <f t="shared" si="114"/>
        <v>0</v>
      </c>
      <c r="AD110" s="98">
        <f t="shared" si="115"/>
        <v>0</v>
      </c>
      <c r="AE110" s="99">
        <v>0</v>
      </c>
      <c r="AF110" s="244">
        <f t="shared" si="116"/>
        <v>0</v>
      </c>
      <c r="AG110" s="99">
        <v>0</v>
      </c>
      <c r="AH110" s="99"/>
      <c r="AI110" s="99"/>
      <c r="AJ110" s="99"/>
      <c r="AK110" s="99"/>
      <c r="AL110" s="128">
        <f t="shared" si="117"/>
        <v>0</v>
      </c>
      <c r="AM110" s="99">
        <v>0</v>
      </c>
      <c r="AN110" s="100">
        <f t="shared" si="97"/>
        <v>0</v>
      </c>
      <c r="AO110" s="101">
        <f t="shared" si="98"/>
        <v>0</v>
      </c>
      <c r="AP110" s="102"/>
      <c r="AQ110" s="103">
        <f t="shared" si="99"/>
        <v>0</v>
      </c>
      <c r="AR110" s="104">
        <f t="shared" si="100"/>
        <v>541.67999999999995</v>
      </c>
      <c r="AS110" s="104">
        <f t="shared" si="101"/>
        <v>0</v>
      </c>
      <c r="AT110" s="104">
        <f t="shared" si="102"/>
        <v>0</v>
      </c>
      <c r="AU110" s="104">
        <f t="shared" si="103"/>
        <v>0</v>
      </c>
      <c r="AV110" s="104">
        <f t="array" ref="AV110">_xlfn.IFS(U110=0,AO110,U110&lt;0,AO110/-U110,U110&gt;0,AO110/U110)</f>
        <v>0</v>
      </c>
      <c r="AW110" s="244">
        <f t="shared" si="104"/>
        <v>0</v>
      </c>
      <c r="AX110" s="244">
        <f t="shared" si="105"/>
        <v>0</v>
      </c>
      <c r="AY110" s="105"/>
      <c r="AZ110" s="100">
        <f t="shared" si="106"/>
        <v>0</v>
      </c>
    </row>
    <row r="111" spans="1:52">
      <c r="A111" s="95" t="s">
        <v>222</v>
      </c>
      <c r="B111" s="96">
        <v>437095304</v>
      </c>
      <c r="C111" s="96" t="s">
        <v>228</v>
      </c>
      <c r="D111" s="127" t="s">
        <v>224</v>
      </c>
      <c r="E111" s="242">
        <f t="shared" si="86"/>
        <v>1</v>
      </c>
      <c r="F111" s="99"/>
      <c r="G111" s="99"/>
      <c r="H111" s="99">
        <v>0</v>
      </c>
      <c r="I111" s="99">
        <v>0</v>
      </c>
      <c r="J111" s="99">
        <v>1</v>
      </c>
      <c r="K111" s="99">
        <v>541.67999999999995</v>
      </c>
      <c r="L111" s="98">
        <f t="shared" si="107"/>
        <v>541.67999999999995</v>
      </c>
      <c r="M111" s="95">
        <v>0</v>
      </c>
      <c r="N111" s="95">
        <v>0</v>
      </c>
      <c r="O111" s="95">
        <v>0</v>
      </c>
      <c r="P111" s="95">
        <v>0</v>
      </c>
      <c r="Q111" s="243">
        <f t="shared" si="108"/>
        <v>0</v>
      </c>
      <c r="R111" s="98">
        <f t="shared" si="109"/>
        <v>0</v>
      </c>
      <c r="S111" s="99">
        <v>0</v>
      </c>
      <c r="T111" s="99">
        <v>0</v>
      </c>
      <c r="U111" s="98">
        <f t="shared" si="110"/>
        <v>0</v>
      </c>
      <c r="V111" s="99">
        <v>0</v>
      </c>
      <c r="W111" s="99">
        <v>0</v>
      </c>
      <c r="X111" s="98">
        <f t="shared" si="111"/>
        <v>0</v>
      </c>
      <c r="Y111" s="99">
        <v>0</v>
      </c>
      <c r="Z111" s="99">
        <v>0</v>
      </c>
      <c r="AA111" s="98">
        <f t="shared" si="112"/>
        <v>0</v>
      </c>
      <c r="AB111" s="98">
        <f t="shared" si="113"/>
        <v>0</v>
      </c>
      <c r="AC111" s="244">
        <f t="shared" si="114"/>
        <v>0</v>
      </c>
      <c r="AD111" s="98">
        <f t="shared" si="115"/>
        <v>0</v>
      </c>
      <c r="AE111" s="99">
        <v>0</v>
      </c>
      <c r="AF111" s="244">
        <f t="shared" si="116"/>
        <v>0</v>
      </c>
      <c r="AG111" s="99">
        <v>0</v>
      </c>
      <c r="AH111" s="99"/>
      <c r="AI111" s="99"/>
      <c r="AJ111" s="99"/>
      <c r="AK111" s="99"/>
      <c r="AL111" s="128">
        <f t="shared" si="117"/>
        <v>0</v>
      </c>
      <c r="AM111" s="99">
        <v>0</v>
      </c>
      <c r="AN111" s="100">
        <f t="shared" si="97"/>
        <v>0</v>
      </c>
      <c r="AO111" s="101">
        <f t="shared" si="98"/>
        <v>0</v>
      </c>
      <c r="AP111" s="102"/>
      <c r="AQ111" s="103">
        <f t="shared" si="99"/>
        <v>0</v>
      </c>
      <c r="AR111" s="104">
        <f t="shared" si="100"/>
        <v>541.67999999999995</v>
      </c>
      <c r="AS111" s="104">
        <f t="shared" si="101"/>
        <v>0</v>
      </c>
      <c r="AT111" s="104">
        <f t="shared" si="102"/>
        <v>0</v>
      </c>
      <c r="AU111" s="104">
        <f t="shared" si="103"/>
        <v>0</v>
      </c>
      <c r="AV111" s="104">
        <f t="array" ref="AV111">_xlfn.IFS(U111=0,AO111,U111&lt;0,AO111/-U111,U111&gt;0,AO111/U111)</f>
        <v>0</v>
      </c>
      <c r="AW111" s="244">
        <f t="shared" si="104"/>
        <v>0</v>
      </c>
      <c r="AX111" s="244">
        <f t="shared" si="105"/>
        <v>0</v>
      </c>
      <c r="AY111" s="105"/>
      <c r="AZ111" s="100">
        <f t="shared" si="106"/>
        <v>0</v>
      </c>
    </row>
    <row r="112" spans="1:52">
      <c r="A112" s="95"/>
      <c r="B112" s="106"/>
      <c r="C112" s="106"/>
      <c r="D112" s="106"/>
      <c r="E112" s="106"/>
      <c r="H112" s="280"/>
      <c r="K112" s="99"/>
      <c r="L112" s="99"/>
      <c r="M112" s="95"/>
      <c r="N112" s="95"/>
      <c r="O112" s="95"/>
      <c r="P112" s="95"/>
      <c r="Q112" s="252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253"/>
      <c r="AD112" s="99"/>
      <c r="AE112" s="99"/>
      <c r="AF112" s="253"/>
      <c r="AG112" s="99"/>
      <c r="AH112" s="226"/>
      <c r="AI112" s="226"/>
      <c r="AJ112" s="226"/>
      <c r="AK112" s="226"/>
      <c r="AL112" s="128"/>
      <c r="AM112" s="99"/>
      <c r="AN112" s="129"/>
      <c r="AO112" s="130"/>
      <c r="AP112" s="102"/>
      <c r="AQ112" s="255">
        <f>AVERAGE(AQ107:AQ111)</f>
        <v>0</v>
      </c>
      <c r="AR112" s="255">
        <f>AVERAGE(AR107:AR111)</f>
        <v>556.67999999999995</v>
      </c>
      <c r="AS112" s="255">
        <f t="shared" ref="AS112:AX112" si="118">AVERAGE(AS107:AS111)</f>
        <v>0</v>
      </c>
      <c r="AT112" s="255">
        <f t="shared" si="118"/>
        <v>0</v>
      </c>
      <c r="AU112" s="255">
        <f t="shared" si="118"/>
        <v>0</v>
      </c>
      <c r="AV112" s="255">
        <f t="shared" si="118"/>
        <v>-0.17344937154348922</v>
      </c>
      <c r="AW112" s="256">
        <f t="shared" si="118"/>
        <v>0</v>
      </c>
      <c r="AX112" s="256">
        <f t="shared" si="118"/>
        <v>-2.9947403491745092E-4</v>
      </c>
      <c r="AY112" s="105"/>
      <c r="AZ112" s="129"/>
    </row>
    <row r="113" spans="1:52" s="126" customFormat="1">
      <c r="A113" s="257" t="s">
        <v>229</v>
      </c>
      <c r="B113" s="258"/>
      <c r="C113" s="259"/>
      <c r="D113" s="259"/>
      <c r="E113" s="260">
        <f t="shared" ref="E113:J113" si="119">SUM(E107:E111)</f>
        <v>7</v>
      </c>
      <c r="F113" s="259">
        <f t="shared" si="119"/>
        <v>0</v>
      </c>
      <c r="G113" s="259">
        <f t="shared" si="119"/>
        <v>0</v>
      </c>
      <c r="H113" s="259">
        <f t="shared" si="119"/>
        <v>1</v>
      </c>
      <c r="I113" s="259">
        <f t="shared" si="119"/>
        <v>0</v>
      </c>
      <c r="J113" s="259">
        <f t="shared" si="119"/>
        <v>6</v>
      </c>
      <c r="K113" s="259"/>
      <c r="L113" s="259">
        <f>SUM(L107:L111)</f>
        <v>3904.2599999999993</v>
      </c>
      <c r="M113" s="259"/>
      <c r="N113" s="259">
        <f>SUM(N107:N111)</f>
        <v>0</v>
      </c>
      <c r="O113" s="259"/>
      <c r="P113" s="259"/>
      <c r="Q113" s="261"/>
      <c r="R113" s="259"/>
      <c r="S113" s="259">
        <f t="shared" ref="S113:AE113" si="120">SUM(S107:S111)</f>
        <v>0</v>
      </c>
      <c r="T113" s="259">
        <f t="shared" si="120"/>
        <v>0</v>
      </c>
      <c r="U113" s="259">
        <f t="shared" si="120"/>
        <v>0</v>
      </c>
      <c r="V113" s="259">
        <f t="shared" si="120"/>
        <v>0</v>
      </c>
      <c r="W113" s="259">
        <f t="shared" si="120"/>
        <v>0</v>
      </c>
      <c r="X113" s="259">
        <f t="shared" si="120"/>
        <v>0</v>
      </c>
      <c r="Y113" s="259">
        <f t="shared" si="120"/>
        <v>0</v>
      </c>
      <c r="Z113" s="259">
        <f t="shared" si="120"/>
        <v>0</v>
      </c>
      <c r="AA113" s="259">
        <f t="shared" si="120"/>
        <v>0</v>
      </c>
      <c r="AB113" s="259">
        <f t="shared" si="120"/>
        <v>0</v>
      </c>
      <c r="AC113" s="262">
        <f t="shared" si="120"/>
        <v>0</v>
      </c>
      <c r="AD113" s="263">
        <f t="shared" si="120"/>
        <v>0</v>
      </c>
      <c r="AE113" s="259">
        <f t="shared" si="120"/>
        <v>0</v>
      </c>
      <c r="AF113" s="262" t="e">
        <f>AE113/AA113</f>
        <v>#DIV/0!</v>
      </c>
      <c r="AG113" s="259">
        <f t="shared" ref="AG113:AO113" si="121">SUM(AG107:AG111)</f>
        <v>0</v>
      </c>
      <c r="AH113" s="263">
        <f t="shared" si="121"/>
        <v>0</v>
      </c>
      <c r="AI113" s="263">
        <f t="shared" si="121"/>
        <v>0</v>
      </c>
      <c r="AJ113" s="263">
        <f t="shared" si="121"/>
        <v>0</v>
      </c>
      <c r="AK113" s="263">
        <f t="shared" si="121"/>
        <v>0</v>
      </c>
      <c r="AL113" s="263">
        <f t="shared" si="121"/>
        <v>0.86724685771744603</v>
      </c>
      <c r="AM113" s="259">
        <f t="shared" si="121"/>
        <v>0</v>
      </c>
      <c r="AN113" s="263">
        <f t="shared" si="121"/>
        <v>0</v>
      </c>
      <c r="AO113" s="263">
        <f t="shared" si="121"/>
        <v>-0.86724685771744603</v>
      </c>
      <c r="AP113" s="264"/>
      <c r="AQ113" s="259"/>
      <c r="AR113" s="259"/>
      <c r="AS113" s="259"/>
      <c r="AT113" s="259"/>
      <c r="AU113" s="265" t="e">
        <f>(AH113+AI113+AJ113)/S113</f>
        <v>#DIV/0!</v>
      </c>
      <c r="AV113" s="259"/>
      <c r="AW113" s="259"/>
      <c r="AX113" s="259"/>
      <c r="AY113" s="266"/>
      <c r="AZ113" s="259">
        <f>SUM(AZ107:AZ111)</f>
        <v>-1.7344937154348921</v>
      </c>
    </row>
    <row r="114" spans="1:52" s="126" customFormat="1">
      <c r="A114" s="267"/>
      <c r="B114" s="268"/>
      <c r="C114" s="145"/>
      <c r="D114" s="145"/>
      <c r="E114" s="269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270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271"/>
      <c r="AD114" s="272"/>
      <c r="AE114" s="145"/>
      <c r="AF114" s="271"/>
      <c r="AG114" s="145"/>
      <c r="AH114" s="351"/>
      <c r="AI114" s="352"/>
      <c r="AJ114" s="273"/>
      <c r="AK114" s="272"/>
      <c r="AL114" s="272"/>
      <c r="AM114" s="145"/>
      <c r="AN114" s="272"/>
      <c r="AO114" s="272"/>
      <c r="AP114" s="102"/>
      <c r="AQ114" s="145"/>
      <c r="AR114" s="145"/>
      <c r="AS114" s="145"/>
      <c r="AT114" s="145"/>
      <c r="AU114" s="145"/>
      <c r="AV114" s="145"/>
      <c r="AW114" s="145"/>
      <c r="AX114" s="145"/>
      <c r="AY114" s="102"/>
      <c r="AZ114" s="145"/>
    </row>
    <row r="115" spans="1:52" outlineLevel="1">
      <c r="A115" s="95" t="s">
        <v>222</v>
      </c>
      <c r="B115" s="96">
        <v>260411674</v>
      </c>
      <c r="C115" s="96" t="s">
        <v>230</v>
      </c>
      <c r="D115" s="97"/>
      <c r="E115" s="242">
        <f>SUM(F115:J115)</f>
        <v>2</v>
      </c>
      <c r="F115" s="99"/>
      <c r="G115" s="99"/>
      <c r="H115" s="99">
        <v>0</v>
      </c>
      <c r="I115" s="99">
        <v>1</v>
      </c>
      <c r="J115" s="99">
        <v>1</v>
      </c>
      <c r="K115" s="98">
        <v>140</v>
      </c>
      <c r="L115" s="98">
        <f t="shared" ref="L115:L122" si="122">E115*K115</f>
        <v>280</v>
      </c>
      <c r="M115" s="95">
        <v>0</v>
      </c>
      <c r="N115" s="95">
        <v>0</v>
      </c>
      <c r="O115" s="95">
        <v>0</v>
      </c>
      <c r="P115" s="95">
        <v>0</v>
      </c>
      <c r="Q115" s="243">
        <f t="shared" ref="Q115" si="123">N115/7</f>
        <v>0</v>
      </c>
      <c r="R115" s="98">
        <f t="shared" ref="R115" si="124">U115/7</f>
        <v>0</v>
      </c>
      <c r="S115" s="99">
        <v>0</v>
      </c>
      <c r="T115" s="99">
        <v>0</v>
      </c>
      <c r="U115" s="98">
        <f t="shared" ref="U115" si="125">S115+T115</f>
        <v>0</v>
      </c>
      <c r="V115" s="99">
        <v>0</v>
      </c>
      <c r="W115" s="99">
        <v>0</v>
      </c>
      <c r="X115" s="98">
        <f t="shared" ref="X115" si="126">V115+W115</f>
        <v>0</v>
      </c>
      <c r="Y115" s="99">
        <v>0</v>
      </c>
      <c r="Z115" s="99">
        <v>0</v>
      </c>
      <c r="AA115" s="98">
        <f t="shared" ref="AA115" si="127">Y115+Z115</f>
        <v>0</v>
      </c>
      <c r="AB115" s="98">
        <f t="shared" ref="AB115" si="128">N115*O115*P115/100</f>
        <v>0</v>
      </c>
      <c r="AC115" s="244">
        <f t="shared" ref="AC115" si="129">AA115/$AA$126</f>
        <v>0</v>
      </c>
      <c r="AD115" s="98">
        <f t="shared" ref="AD115" si="130">U115*K115</f>
        <v>0</v>
      </c>
      <c r="AE115" s="99">
        <v>0</v>
      </c>
      <c r="AF115" s="244">
        <f t="shared" ref="AF115" si="131">IF(AA115=0,0,AE115/AA115)</f>
        <v>0</v>
      </c>
      <c r="AG115" s="99">
        <v>0</v>
      </c>
      <c r="AH115" s="99"/>
      <c r="AI115" s="99"/>
      <c r="AJ115" s="99"/>
      <c r="AK115" s="99"/>
      <c r="AL115" s="128">
        <f t="shared" ref="AL115" si="132">IFERROR($AL$126*H115/$H$126,0)</f>
        <v>0</v>
      </c>
      <c r="AM115" s="99">
        <v>0</v>
      </c>
      <c r="AN115" s="100">
        <f t="shared" ref="AN115:AN122" si="133">X115*5.71%</f>
        <v>0</v>
      </c>
      <c r="AO115" s="101">
        <f t="shared" ref="AO115:AO122" si="134">AA115-AD115-AE115-AG115-AH115-AI115-AK115-AL115-AN115-AM115</f>
        <v>0</v>
      </c>
      <c r="AP115" s="102"/>
      <c r="AQ115" s="103">
        <f t="shared" ref="AQ115:AQ122" si="135">IF(U115=0,0,AA115/U115)</f>
        <v>0</v>
      </c>
      <c r="AR115" s="104">
        <f t="shared" ref="AR115:AR122" si="136">K115</f>
        <v>140</v>
      </c>
      <c r="AS115" s="104">
        <f t="shared" ref="AS115:AS122" si="137">IF(U115=0,0,AE115/U115)</f>
        <v>0</v>
      </c>
      <c r="AT115" s="104">
        <f t="shared" ref="AT115:AT122" si="138">IF(S115=0,AG115/1,AG115/S115)</f>
        <v>0</v>
      </c>
      <c r="AU115" s="104">
        <f t="shared" ref="AU115:AU122" si="139">IF(S115=0,0,(AH115+AI115+AJ115)/S115)</f>
        <v>0</v>
      </c>
      <c r="AV115" s="104">
        <f t="array" ref="AV115">_xlfn.IFS(U115=0,AO115,U115&lt;0,AO115/-U115,U115&gt;0,AO115/U115)</f>
        <v>0</v>
      </c>
      <c r="AW115" s="244">
        <f t="shared" ref="AW115:AW122" si="140">IF(AQ115=0,0,AV115/AQ115)</f>
        <v>0</v>
      </c>
      <c r="AX115" s="244">
        <f t="shared" ref="AX115:AX122" si="141">IF(AR115=0,0,AV115/AR115)</f>
        <v>0</v>
      </c>
      <c r="AY115" s="105"/>
      <c r="AZ115" s="100">
        <f t="shared" ref="AZ115:AZ122" si="142">AV115*E115</f>
        <v>0</v>
      </c>
    </row>
    <row r="116" spans="1:52" outlineLevel="1">
      <c r="A116" s="95" t="s">
        <v>222</v>
      </c>
      <c r="B116" s="96">
        <v>260945325</v>
      </c>
      <c r="C116" s="96" t="s">
        <v>231</v>
      </c>
      <c r="D116" s="97"/>
      <c r="E116" s="242">
        <f t="shared" ref="E116:E122" si="143">SUM(F116:J116)</f>
        <v>1</v>
      </c>
      <c r="F116" s="99"/>
      <c r="G116" s="99"/>
      <c r="H116" s="99">
        <v>0</v>
      </c>
      <c r="I116" s="99">
        <v>1</v>
      </c>
      <c r="J116" s="99"/>
      <c r="K116" s="98">
        <v>154</v>
      </c>
      <c r="L116" s="98">
        <f t="shared" si="122"/>
        <v>154</v>
      </c>
      <c r="M116" s="95">
        <v>0</v>
      </c>
      <c r="N116" s="95">
        <v>0</v>
      </c>
      <c r="O116" s="95">
        <v>0</v>
      </c>
      <c r="P116" s="95">
        <v>0</v>
      </c>
      <c r="Q116" s="243">
        <f t="shared" ref="Q116:Q122" si="144">N116/7</f>
        <v>0</v>
      </c>
      <c r="R116" s="98">
        <f t="shared" ref="R116:R122" si="145">U116/7</f>
        <v>0</v>
      </c>
      <c r="S116" s="99">
        <v>0</v>
      </c>
      <c r="T116" s="99">
        <v>0</v>
      </c>
      <c r="U116" s="98">
        <f t="shared" ref="U116:U122" si="146">S116+T116</f>
        <v>0</v>
      </c>
      <c r="V116" s="99">
        <v>0</v>
      </c>
      <c r="W116" s="99">
        <v>0</v>
      </c>
      <c r="X116" s="98">
        <f t="shared" ref="X116:X122" si="147">V116+W116</f>
        <v>0</v>
      </c>
      <c r="Y116" s="99">
        <v>0</v>
      </c>
      <c r="Z116" s="99">
        <v>0</v>
      </c>
      <c r="AA116" s="98">
        <f t="shared" ref="AA116:AA122" si="148">Y116+Z116</f>
        <v>0</v>
      </c>
      <c r="AB116" s="98">
        <f t="shared" ref="AB116:AB122" si="149">N116*O116*P116/100</f>
        <v>0</v>
      </c>
      <c r="AC116" s="244">
        <f t="shared" ref="AC116:AC122" si="150">AA116/$AA$126</f>
        <v>0</v>
      </c>
      <c r="AD116" s="98">
        <f t="shared" ref="AD116:AD122" si="151">U116*K116</f>
        <v>0</v>
      </c>
      <c r="AE116" s="99">
        <v>0</v>
      </c>
      <c r="AF116" s="244">
        <f t="shared" ref="AF116:AF122" si="152">IF(AA116=0,0,AE116/AA116)</f>
        <v>0</v>
      </c>
      <c r="AG116" s="99">
        <v>0</v>
      </c>
      <c r="AH116" s="99"/>
      <c r="AI116" s="99"/>
      <c r="AJ116" s="99"/>
      <c r="AK116" s="99"/>
      <c r="AL116" s="128">
        <f t="shared" ref="AL116:AL122" si="153">IFERROR($AL$126*H116/$H$126,0)</f>
        <v>0</v>
      </c>
      <c r="AM116" s="99">
        <v>0</v>
      </c>
      <c r="AN116" s="100">
        <f t="shared" si="133"/>
        <v>0</v>
      </c>
      <c r="AO116" s="101">
        <f t="shared" si="134"/>
        <v>0</v>
      </c>
      <c r="AP116" s="102"/>
      <c r="AQ116" s="103">
        <f t="shared" si="135"/>
        <v>0</v>
      </c>
      <c r="AR116" s="104">
        <f t="shared" si="136"/>
        <v>154</v>
      </c>
      <c r="AS116" s="104">
        <f t="shared" si="137"/>
        <v>0</v>
      </c>
      <c r="AT116" s="104">
        <f t="shared" si="138"/>
        <v>0</v>
      </c>
      <c r="AU116" s="104">
        <f t="shared" si="139"/>
        <v>0</v>
      </c>
      <c r="AV116" s="104">
        <f t="array" ref="AV116">_xlfn.IFS(U116=0,AO116,U116&lt;0,AO116/-U116,U116&gt;0,AO116/U116)</f>
        <v>0</v>
      </c>
      <c r="AW116" s="244">
        <f t="shared" si="140"/>
        <v>0</v>
      </c>
      <c r="AX116" s="244">
        <f t="shared" si="141"/>
        <v>0</v>
      </c>
      <c r="AY116" s="105"/>
      <c r="AZ116" s="100">
        <f t="shared" si="142"/>
        <v>0</v>
      </c>
    </row>
    <row r="117" spans="1:52" outlineLevel="1">
      <c r="A117" s="95" t="s">
        <v>222</v>
      </c>
      <c r="B117" s="96">
        <v>261545954</v>
      </c>
      <c r="C117" s="96" t="s">
        <v>232</v>
      </c>
      <c r="D117" s="97"/>
      <c r="E117" s="242">
        <f t="shared" si="143"/>
        <v>1</v>
      </c>
      <c r="F117" s="99"/>
      <c r="G117" s="99"/>
      <c r="H117" s="99">
        <v>0</v>
      </c>
      <c r="I117" s="99">
        <v>1</v>
      </c>
      <c r="J117" s="99"/>
      <c r="K117" s="98">
        <v>220</v>
      </c>
      <c r="L117" s="98">
        <f t="shared" si="122"/>
        <v>220</v>
      </c>
      <c r="M117" s="95">
        <v>0</v>
      </c>
      <c r="N117" s="95">
        <v>0</v>
      </c>
      <c r="O117" s="95">
        <v>0</v>
      </c>
      <c r="P117" s="95">
        <v>0</v>
      </c>
      <c r="Q117" s="243">
        <f t="shared" si="144"/>
        <v>0</v>
      </c>
      <c r="R117" s="98">
        <f t="shared" si="145"/>
        <v>0</v>
      </c>
      <c r="S117" s="99">
        <v>0</v>
      </c>
      <c r="T117" s="99">
        <v>0</v>
      </c>
      <c r="U117" s="98">
        <f t="shared" si="146"/>
        <v>0</v>
      </c>
      <c r="V117" s="99">
        <v>0</v>
      </c>
      <c r="W117" s="99">
        <v>0</v>
      </c>
      <c r="X117" s="98">
        <f t="shared" si="147"/>
        <v>0</v>
      </c>
      <c r="Y117" s="99">
        <v>0</v>
      </c>
      <c r="Z117" s="99">
        <v>0</v>
      </c>
      <c r="AA117" s="98">
        <f t="shared" si="148"/>
        <v>0</v>
      </c>
      <c r="AB117" s="98">
        <f t="shared" si="149"/>
        <v>0</v>
      </c>
      <c r="AC117" s="244">
        <f t="shared" si="150"/>
        <v>0</v>
      </c>
      <c r="AD117" s="98">
        <f t="shared" si="151"/>
        <v>0</v>
      </c>
      <c r="AE117" s="99">
        <v>0</v>
      </c>
      <c r="AF117" s="244">
        <f t="shared" si="152"/>
        <v>0</v>
      </c>
      <c r="AG117" s="99">
        <v>0</v>
      </c>
      <c r="AH117" s="99"/>
      <c r="AI117" s="99"/>
      <c r="AJ117" s="99"/>
      <c r="AK117" s="99"/>
      <c r="AL117" s="128">
        <f t="shared" si="153"/>
        <v>0</v>
      </c>
      <c r="AM117" s="99">
        <v>0</v>
      </c>
      <c r="AN117" s="100">
        <f t="shared" si="133"/>
        <v>0</v>
      </c>
      <c r="AO117" s="101">
        <f t="shared" si="134"/>
        <v>0</v>
      </c>
      <c r="AP117" s="102"/>
      <c r="AQ117" s="103">
        <f t="shared" si="135"/>
        <v>0</v>
      </c>
      <c r="AR117" s="104">
        <f t="shared" si="136"/>
        <v>220</v>
      </c>
      <c r="AS117" s="104">
        <f t="shared" si="137"/>
        <v>0</v>
      </c>
      <c r="AT117" s="104">
        <f t="shared" si="138"/>
        <v>0</v>
      </c>
      <c r="AU117" s="104">
        <f t="shared" si="139"/>
        <v>0</v>
      </c>
      <c r="AV117" s="104">
        <f t="array" ref="AV117">_xlfn.IFS(U117=0,AO117,U117&lt;0,AO117/-U117,U117&gt;0,AO117/U117)</f>
        <v>0</v>
      </c>
      <c r="AW117" s="244">
        <f t="shared" si="140"/>
        <v>0</v>
      </c>
      <c r="AX117" s="244">
        <f t="shared" si="141"/>
        <v>0</v>
      </c>
      <c r="AY117" s="105"/>
      <c r="AZ117" s="100">
        <f t="shared" si="142"/>
        <v>0</v>
      </c>
    </row>
    <row r="118" spans="1:52" outlineLevel="1">
      <c r="A118" s="95" t="s">
        <v>222</v>
      </c>
      <c r="B118" s="96">
        <v>261546082</v>
      </c>
      <c r="C118" s="96" t="s">
        <v>233</v>
      </c>
      <c r="D118" s="97"/>
      <c r="E118" s="242">
        <f t="shared" si="143"/>
        <v>1</v>
      </c>
      <c r="F118" s="99"/>
      <c r="G118" s="99"/>
      <c r="H118" s="99">
        <v>0</v>
      </c>
      <c r="I118" s="99">
        <v>1</v>
      </c>
      <c r="J118" s="99"/>
      <c r="K118" s="98">
        <v>220</v>
      </c>
      <c r="L118" s="98">
        <f t="shared" si="122"/>
        <v>220</v>
      </c>
      <c r="M118" s="95">
        <v>0</v>
      </c>
      <c r="N118" s="95">
        <v>0</v>
      </c>
      <c r="O118" s="95">
        <v>0</v>
      </c>
      <c r="P118" s="95">
        <v>0</v>
      </c>
      <c r="Q118" s="243">
        <f t="shared" si="144"/>
        <v>0</v>
      </c>
      <c r="R118" s="98">
        <f t="shared" si="145"/>
        <v>0</v>
      </c>
      <c r="S118" s="99">
        <v>0</v>
      </c>
      <c r="T118" s="99">
        <v>0</v>
      </c>
      <c r="U118" s="98">
        <f t="shared" si="146"/>
        <v>0</v>
      </c>
      <c r="V118" s="99">
        <v>0</v>
      </c>
      <c r="W118" s="99">
        <v>0</v>
      </c>
      <c r="X118" s="98">
        <f t="shared" si="147"/>
        <v>0</v>
      </c>
      <c r="Y118" s="99">
        <v>0</v>
      </c>
      <c r="Z118" s="99">
        <v>0</v>
      </c>
      <c r="AA118" s="98">
        <f t="shared" si="148"/>
        <v>0</v>
      </c>
      <c r="AB118" s="98">
        <f t="shared" si="149"/>
        <v>0</v>
      </c>
      <c r="AC118" s="244">
        <f t="shared" si="150"/>
        <v>0</v>
      </c>
      <c r="AD118" s="98">
        <f t="shared" si="151"/>
        <v>0</v>
      </c>
      <c r="AE118" s="99">
        <v>0</v>
      </c>
      <c r="AF118" s="244">
        <f t="shared" si="152"/>
        <v>0</v>
      </c>
      <c r="AG118" s="99">
        <v>0</v>
      </c>
      <c r="AH118" s="99"/>
      <c r="AI118" s="99"/>
      <c r="AJ118" s="99"/>
      <c r="AK118" s="99"/>
      <c r="AL118" s="128">
        <f t="shared" si="153"/>
        <v>0</v>
      </c>
      <c r="AM118" s="99">
        <v>0</v>
      </c>
      <c r="AN118" s="100">
        <f t="shared" si="133"/>
        <v>0</v>
      </c>
      <c r="AO118" s="101">
        <f t="shared" si="134"/>
        <v>0</v>
      </c>
      <c r="AP118" s="102"/>
      <c r="AQ118" s="103">
        <f t="shared" si="135"/>
        <v>0</v>
      </c>
      <c r="AR118" s="104">
        <f t="shared" si="136"/>
        <v>220</v>
      </c>
      <c r="AS118" s="104">
        <f t="shared" si="137"/>
        <v>0</v>
      </c>
      <c r="AT118" s="104">
        <f t="shared" si="138"/>
        <v>0</v>
      </c>
      <c r="AU118" s="104">
        <f t="shared" si="139"/>
        <v>0</v>
      </c>
      <c r="AV118" s="104">
        <f t="array" ref="AV118">_xlfn.IFS(U118=0,AO118,U118&lt;0,AO118/-U118,U118&gt;0,AO118/U118)</f>
        <v>0</v>
      </c>
      <c r="AW118" s="244">
        <f t="shared" si="140"/>
        <v>0</v>
      </c>
      <c r="AX118" s="244">
        <f t="shared" si="141"/>
        <v>0</v>
      </c>
      <c r="AY118" s="105"/>
      <c r="AZ118" s="100">
        <f t="shared" si="142"/>
        <v>0</v>
      </c>
    </row>
    <row r="119" spans="1:52" outlineLevel="1">
      <c r="A119" s="95" t="s">
        <v>222</v>
      </c>
      <c r="B119" s="96">
        <v>261546175</v>
      </c>
      <c r="C119" s="96" t="s">
        <v>234</v>
      </c>
      <c r="D119" s="97"/>
      <c r="E119" s="242">
        <f t="shared" si="143"/>
        <v>6</v>
      </c>
      <c r="F119" s="99"/>
      <c r="G119" s="99"/>
      <c r="H119" s="99">
        <v>0</v>
      </c>
      <c r="I119" s="99">
        <v>1</v>
      </c>
      <c r="J119" s="99">
        <v>5</v>
      </c>
      <c r="K119" s="98">
        <v>220</v>
      </c>
      <c r="L119" s="98">
        <f t="shared" si="122"/>
        <v>1320</v>
      </c>
      <c r="M119" s="95">
        <v>999</v>
      </c>
      <c r="N119" s="95">
        <v>0</v>
      </c>
      <c r="O119" s="95">
        <v>0</v>
      </c>
      <c r="P119" s="95">
        <v>0</v>
      </c>
      <c r="Q119" s="243">
        <f t="shared" si="144"/>
        <v>0</v>
      </c>
      <c r="R119" s="98">
        <f t="shared" si="145"/>
        <v>0</v>
      </c>
      <c r="S119" s="99">
        <v>0</v>
      </c>
      <c r="T119" s="99">
        <v>0</v>
      </c>
      <c r="U119" s="98">
        <f t="shared" si="146"/>
        <v>0</v>
      </c>
      <c r="V119" s="99">
        <v>0</v>
      </c>
      <c r="W119" s="99">
        <v>0</v>
      </c>
      <c r="X119" s="98">
        <f t="shared" si="147"/>
        <v>0</v>
      </c>
      <c r="Y119" s="99">
        <v>0</v>
      </c>
      <c r="Z119" s="99">
        <v>0</v>
      </c>
      <c r="AA119" s="98">
        <f t="shared" si="148"/>
        <v>0</v>
      </c>
      <c r="AB119" s="98">
        <f t="shared" si="149"/>
        <v>0</v>
      </c>
      <c r="AC119" s="244">
        <f t="shared" si="150"/>
        <v>0</v>
      </c>
      <c r="AD119" s="98">
        <f t="shared" si="151"/>
        <v>0</v>
      </c>
      <c r="AE119" s="99">
        <v>0</v>
      </c>
      <c r="AF119" s="244">
        <f t="shared" si="152"/>
        <v>0</v>
      </c>
      <c r="AG119" s="99">
        <v>0</v>
      </c>
      <c r="AH119" s="99"/>
      <c r="AI119" s="99"/>
      <c r="AJ119" s="99"/>
      <c r="AK119" s="99"/>
      <c r="AL119" s="128">
        <f t="shared" si="153"/>
        <v>0</v>
      </c>
      <c r="AM119" s="99">
        <v>0</v>
      </c>
      <c r="AN119" s="100">
        <f t="shared" si="133"/>
        <v>0</v>
      </c>
      <c r="AO119" s="101">
        <f t="shared" si="134"/>
        <v>0</v>
      </c>
      <c r="AP119" s="102"/>
      <c r="AQ119" s="103">
        <f t="shared" si="135"/>
        <v>0</v>
      </c>
      <c r="AR119" s="104">
        <f t="shared" si="136"/>
        <v>220</v>
      </c>
      <c r="AS119" s="104">
        <f t="shared" si="137"/>
        <v>0</v>
      </c>
      <c r="AT119" s="104">
        <f t="shared" si="138"/>
        <v>0</v>
      </c>
      <c r="AU119" s="104">
        <f t="shared" si="139"/>
        <v>0</v>
      </c>
      <c r="AV119" s="104">
        <f t="array" ref="AV119">_xlfn.IFS(U119=0,AO119,U119&lt;0,AO119/-U119,U119&gt;0,AO119/U119)</f>
        <v>0</v>
      </c>
      <c r="AW119" s="244">
        <f t="shared" si="140"/>
        <v>0</v>
      </c>
      <c r="AX119" s="244">
        <f t="shared" si="141"/>
        <v>0</v>
      </c>
      <c r="AY119" s="105"/>
      <c r="AZ119" s="100">
        <f t="shared" si="142"/>
        <v>0</v>
      </c>
    </row>
    <row r="120" spans="1:52" outlineLevel="1">
      <c r="A120" s="95" t="s">
        <v>222</v>
      </c>
      <c r="B120" s="96">
        <v>261548725</v>
      </c>
      <c r="C120" s="96" t="s">
        <v>235</v>
      </c>
      <c r="D120" s="97"/>
      <c r="E120" s="242">
        <f t="shared" si="143"/>
        <v>1</v>
      </c>
      <c r="F120" s="99"/>
      <c r="G120" s="99"/>
      <c r="H120" s="99">
        <v>0</v>
      </c>
      <c r="I120" s="99">
        <v>1</v>
      </c>
      <c r="J120" s="99"/>
      <c r="K120" s="98">
        <v>205</v>
      </c>
      <c r="L120" s="98">
        <f t="shared" si="122"/>
        <v>205</v>
      </c>
      <c r="M120" s="95">
        <v>0</v>
      </c>
      <c r="N120" s="95">
        <v>0</v>
      </c>
      <c r="O120" s="95">
        <v>0</v>
      </c>
      <c r="P120" s="95">
        <v>0</v>
      </c>
      <c r="Q120" s="243">
        <f t="shared" si="144"/>
        <v>0</v>
      </c>
      <c r="R120" s="98">
        <f t="shared" si="145"/>
        <v>0</v>
      </c>
      <c r="S120" s="99">
        <v>0</v>
      </c>
      <c r="T120" s="99">
        <v>0</v>
      </c>
      <c r="U120" s="98">
        <f t="shared" si="146"/>
        <v>0</v>
      </c>
      <c r="V120" s="99">
        <v>0</v>
      </c>
      <c r="W120" s="99">
        <v>0</v>
      </c>
      <c r="X120" s="98">
        <f t="shared" si="147"/>
        <v>0</v>
      </c>
      <c r="Y120" s="99">
        <v>0</v>
      </c>
      <c r="Z120" s="99">
        <v>0</v>
      </c>
      <c r="AA120" s="98">
        <f t="shared" si="148"/>
        <v>0</v>
      </c>
      <c r="AB120" s="98">
        <f t="shared" si="149"/>
        <v>0</v>
      </c>
      <c r="AC120" s="244">
        <f t="shared" si="150"/>
        <v>0</v>
      </c>
      <c r="AD120" s="98">
        <f t="shared" si="151"/>
        <v>0</v>
      </c>
      <c r="AE120" s="99">
        <v>0</v>
      </c>
      <c r="AF120" s="244">
        <f t="shared" si="152"/>
        <v>0</v>
      </c>
      <c r="AG120" s="99">
        <v>0</v>
      </c>
      <c r="AH120" s="99"/>
      <c r="AI120" s="99"/>
      <c r="AJ120" s="99"/>
      <c r="AK120" s="99"/>
      <c r="AL120" s="128">
        <f t="shared" si="153"/>
        <v>0</v>
      </c>
      <c r="AM120" s="99">
        <v>0</v>
      </c>
      <c r="AN120" s="100">
        <f t="shared" si="133"/>
        <v>0</v>
      </c>
      <c r="AO120" s="101">
        <f t="shared" si="134"/>
        <v>0</v>
      </c>
      <c r="AP120" s="102"/>
      <c r="AQ120" s="103">
        <f t="shared" si="135"/>
        <v>0</v>
      </c>
      <c r="AR120" s="104">
        <f t="shared" si="136"/>
        <v>205</v>
      </c>
      <c r="AS120" s="104">
        <f t="shared" si="137"/>
        <v>0</v>
      </c>
      <c r="AT120" s="104">
        <f t="shared" si="138"/>
        <v>0</v>
      </c>
      <c r="AU120" s="104">
        <f t="shared" si="139"/>
        <v>0</v>
      </c>
      <c r="AV120" s="104">
        <f t="array" ref="AV120">_xlfn.IFS(U120=0,AO120,U120&lt;0,AO120/-U120,U120&gt;0,AO120/U120)</f>
        <v>0</v>
      </c>
      <c r="AW120" s="244">
        <f t="shared" si="140"/>
        <v>0</v>
      </c>
      <c r="AX120" s="244">
        <f t="shared" si="141"/>
        <v>0</v>
      </c>
      <c r="AY120" s="105"/>
      <c r="AZ120" s="100">
        <f t="shared" si="142"/>
        <v>0</v>
      </c>
    </row>
    <row r="121" spans="1:52" outlineLevel="1">
      <c r="A121" s="95" t="s">
        <v>222</v>
      </c>
      <c r="B121" s="96">
        <v>261549082</v>
      </c>
      <c r="C121" s="96" t="s">
        <v>236</v>
      </c>
      <c r="D121" s="97"/>
      <c r="E121" s="242">
        <f t="shared" si="143"/>
        <v>1</v>
      </c>
      <c r="F121" s="99"/>
      <c r="G121" s="99"/>
      <c r="H121" s="99">
        <v>0</v>
      </c>
      <c r="I121" s="99">
        <v>1</v>
      </c>
      <c r="J121" s="99"/>
      <c r="K121" s="98">
        <v>205</v>
      </c>
      <c r="L121" s="98">
        <f t="shared" si="122"/>
        <v>205</v>
      </c>
      <c r="M121" s="95">
        <v>999</v>
      </c>
      <c r="N121" s="95">
        <v>0</v>
      </c>
      <c r="O121" s="95">
        <v>0</v>
      </c>
      <c r="P121" s="95">
        <v>0</v>
      </c>
      <c r="Q121" s="243">
        <f t="shared" si="144"/>
        <v>0</v>
      </c>
      <c r="R121" s="98">
        <f t="shared" si="145"/>
        <v>0</v>
      </c>
      <c r="S121" s="99">
        <v>0</v>
      </c>
      <c r="T121" s="99">
        <v>0</v>
      </c>
      <c r="U121" s="98">
        <f t="shared" si="146"/>
        <v>0</v>
      </c>
      <c r="V121" s="99">
        <v>0</v>
      </c>
      <c r="W121" s="99">
        <v>0</v>
      </c>
      <c r="X121" s="98">
        <f t="shared" si="147"/>
        <v>0</v>
      </c>
      <c r="Y121" s="99">
        <v>0</v>
      </c>
      <c r="Z121" s="99">
        <v>0</v>
      </c>
      <c r="AA121" s="98">
        <f t="shared" si="148"/>
        <v>0</v>
      </c>
      <c r="AB121" s="98">
        <f t="shared" si="149"/>
        <v>0</v>
      </c>
      <c r="AC121" s="244">
        <f t="shared" si="150"/>
        <v>0</v>
      </c>
      <c r="AD121" s="98">
        <f t="shared" si="151"/>
        <v>0</v>
      </c>
      <c r="AE121" s="99">
        <v>0</v>
      </c>
      <c r="AF121" s="244">
        <f t="shared" si="152"/>
        <v>0</v>
      </c>
      <c r="AG121" s="99">
        <v>0</v>
      </c>
      <c r="AH121" s="99"/>
      <c r="AI121" s="99"/>
      <c r="AJ121" s="99"/>
      <c r="AK121" s="99"/>
      <c r="AL121" s="128">
        <f t="shared" si="153"/>
        <v>0</v>
      </c>
      <c r="AM121" s="99">
        <v>0</v>
      </c>
      <c r="AN121" s="100">
        <f t="shared" si="133"/>
        <v>0</v>
      </c>
      <c r="AO121" s="101">
        <f t="shared" si="134"/>
        <v>0</v>
      </c>
      <c r="AP121" s="102"/>
      <c r="AQ121" s="103">
        <f t="shared" si="135"/>
        <v>0</v>
      </c>
      <c r="AR121" s="104">
        <f t="shared" si="136"/>
        <v>205</v>
      </c>
      <c r="AS121" s="104">
        <f t="shared" si="137"/>
        <v>0</v>
      </c>
      <c r="AT121" s="104">
        <f t="shared" si="138"/>
        <v>0</v>
      </c>
      <c r="AU121" s="104">
        <f t="shared" si="139"/>
        <v>0</v>
      </c>
      <c r="AV121" s="104">
        <f t="array" ref="AV121">_xlfn.IFS(U121=0,AO121,U121&lt;0,AO121/-U121,U121&gt;0,AO121/U121)</f>
        <v>0</v>
      </c>
      <c r="AW121" s="244">
        <f t="shared" si="140"/>
        <v>0</v>
      </c>
      <c r="AX121" s="244">
        <f t="shared" si="141"/>
        <v>0</v>
      </c>
      <c r="AY121" s="105"/>
      <c r="AZ121" s="100">
        <f t="shared" si="142"/>
        <v>0</v>
      </c>
    </row>
    <row r="122" spans="1:52" outlineLevel="1">
      <c r="A122" s="95" t="s">
        <v>222</v>
      </c>
      <c r="B122" s="96">
        <v>261561322</v>
      </c>
      <c r="C122" s="96" t="s">
        <v>237</v>
      </c>
      <c r="D122" s="127"/>
      <c r="E122" s="251">
        <f t="shared" si="143"/>
        <v>1</v>
      </c>
      <c r="F122" s="99"/>
      <c r="G122" s="99"/>
      <c r="H122" s="99">
        <v>0</v>
      </c>
      <c r="I122" s="99">
        <v>1</v>
      </c>
      <c r="J122" s="99"/>
      <c r="K122" s="98">
        <v>453</v>
      </c>
      <c r="L122" s="98">
        <f t="shared" si="122"/>
        <v>453</v>
      </c>
      <c r="M122" s="95">
        <v>0</v>
      </c>
      <c r="N122" s="95">
        <v>0</v>
      </c>
      <c r="O122" s="95">
        <v>0</v>
      </c>
      <c r="P122" s="95">
        <v>0</v>
      </c>
      <c r="Q122" s="243">
        <f t="shared" si="144"/>
        <v>0</v>
      </c>
      <c r="R122" s="98">
        <f t="shared" si="145"/>
        <v>0</v>
      </c>
      <c r="S122" s="99">
        <v>0</v>
      </c>
      <c r="T122" s="99">
        <v>0</v>
      </c>
      <c r="U122" s="98">
        <f t="shared" si="146"/>
        <v>0</v>
      </c>
      <c r="V122" s="99">
        <v>0</v>
      </c>
      <c r="W122" s="99">
        <v>0</v>
      </c>
      <c r="X122" s="98">
        <f t="shared" si="147"/>
        <v>0</v>
      </c>
      <c r="Y122" s="99">
        <v>0</v>
      </c>
      <c r="Z122" s="99">
        <v>0</v>
      </c>
      <c r="AA122" s="98">
        <f t="shared" si="148"/>
        <v>0</v>
      </c>
      <c r="AB122" s="98">
        <f t="shared" si="149"/>
        <v>0</v>
      </c>
      <c r="AC122" s="244">
        <f t="shared" si="150"/>
        <v>0</v>
      </c>
      <c r="AD122" s="98">
        <f t="shared" si="151"/>
        <v>0</v>
      </c>
      <c r="AE122" s="99">
        <v>0</v>
      </c>
      <c r="AF122" s="244">
        <f t="shared" si="152"/>
        <v>0</v>
      </c>
      <c r="AG122" s="99">
        <v>0</v>
      </c>
      <c r="AH122" s="99"/>
      <c r="AI122" s="99"/>
      <c r="AJ122" s="99"/>
      <c r="AK122" s="99"/>
      <c r="AL122" s="128">
        <f t="shared" si="153"/>
        <v>0</v>
      </c>
      <c r="AM122" s="99">
        <v>0</v>
      </c>
      <c r="AN122" s="100">
        <f t="shared" si="133"/>
        <v>0</v>
      </c>
      <c r="AO122" s="101">
        <f t="shared" si="134"/>
        <v>0</v>
      </c>
      <c r="AP122" s="102"/>
      <c r="AQ122" s="103">
        <f t="shared" si="135"/>
        <v>0</v>
      </c>
      <c r="AR122" s="104">
        <f t="shared" si="136"/>
        <v>453</v>
      </c>
      <c r="AS122" s="104">
        <f t="shared" si="137"/>
        <v>0</v>
      </c>
      <c r="AT122" s="104">
        <f t="shared" si="138"/>
        <v>0</v>
      </c>
      <c r="AU122" s="104">
        <f t="shared" si="139"/>
        <v>0</v>
      </c>
      <c r="AV122" s="104">
        <f t="array" ref="AV122">_xlfn.IFS(U122=0,AO122,U122&lt;0,AO122/-U122,U122&gt;0,AO122/U122)</f>
        <v>0</v>
      </c>
      <c r="AW122" s="244">
        <f t="shared" si="140"/>
        <v>0</v>
      </c>
      <c r="AX122" s="244">
        <f t="shared" si="141"/>
        <v>0</v>
      </c>
      <c r="AY122" s="105"/>
      <c r="AZ122" s="100">
        <f t="shared" si="142"/>
        <v>0</v>
      </c>
    </row>
    <row r="123" spans="1:52">
      <c r="A123" s="133"/>
      <c r="B123" s="106"/>
      <c r="C123" s="95"/>
      <c r="D123" s="133"/>
      <c r="E123" s="242"/>
      <c r="F123" s="98"/>
      <c r="G123" s="98"/>
      <c r="H123" s="99"/>
      <c r="I123" s="98"/>
      <c r="J123" s="99"/>
      <c r="K123" s="98"/>
      <c r="L123" s="98"/>
      <c r="M123" s="95"/>
      <c r="N123" s="135"/>
      <c r="O123" s="135"/>
      <c r="P123" s="135"/>
      <c r="Q123" s="243"/>
      <c r="R123" s="134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244"/>
      <c r="AD123" s="98"/>
      <c r="AE123" s="98"/>
      <c r="AF123" s="244"/>
      <c r="AG123" s="98"/>
      <c r="AH123" s="99"/>
      <c r="AI123" s="99"/>
      <c r="AJ123" s="99"/>
      <c r="AK123" s="99"/>
      <c r="AL123" s="128"/>
      <c r="AN123" s="100"/>
      <c r="AO123" s="101"/>
      <c r="AP123" s="102"/>
      <c r="AQ123" s="136">
        <f t="shared" ref="AQ123:AX123" si="154">AVERAGE(AQ115:AQ122)</f>
        <v>0</v>
      </c>
      <c r="AR123" s="136">
        <f t="shared" si="154"/>
        <v>227.125</v>
      </c>
      <c r="AS123" s="136">
        <f t="shared" si="154"/>
        <v>0</v>
      </c>
      <c r="AT123" s="136">
        <f t="shared" si="154"/>
        <v>0</v>
      </c>
      <c r="AU123" s="136">
        <f t="shared" si="154"/>
        <v>0</v>
      </c>
      <c r="AV123" s="136">
        <f t="shared" si="154"/>
        <v>0</v>
      </c>
      <c r="AW123" s="137">
        <f t="shared" si="154"/>
        <v>0</v>
      </c>
      <c r="AX123" s="137">
        <f t="shared" si="154"/>
        <v>0</v>
      </c>
      <c r="AY123" s="105"/>
      <c r="AZ123" s="100"/>
    </row>
    <row r="124" spans="1:52" s="145" customFormat="1" ht="15" customHeight="1">
      <c r="A124" s="138" t="s">
        <v>238</v>
      </c>
      <c r="B124" s="139"/>
      <c r="C124" s="140"/>
      <c r="D124" s="140"/>
      <c r="E124" s="274">
        <f t="shared" ref="E124:J124" si="155">SUM(E115:E122)</f>
        <v>14</v>
      </c>
      <c r="F124" s="140">
        <f t="shared" si="155"/>
        <v>0</v>
      </c>
      <c r="G124" s="140">
        <f t="shared" si="155"/>
        <v>0</v>
      </c>
      <c r="H124" s="140">
        <f t="shared" si="155"/>
        <v>0</v>
      </c>
      <c r="I124" s="140">
        <f t="shared" si="155"/>
        <v>8</v>
      </c>
      <c r="J124" s="140">
        <f t="shared" si="155"/>
        <v>6</v>
      </c>
      <c r="K124" s="140"/>
      <c r="L124" s="140">
        <f>SUM(L115:L122)</f>
        <v>3057</v>
      </c>
      <c r="M124" s="140"/>
      <c r="N124" s="140">
        <f>SUM(N115:N122)</f>
        <v>0</v>
      </c>
      <c r="O124" s="140"/>
      <c r="P124" s="140"/>
      <c r="Q124" s="222"/>
      <c r="R124" s="140"/>
      <c r="S124" s="140">
        <f t="shared" ref="S124:AE124" si="156">SUM(S115:S122)</f>
        <v>0</v>
      </c>
      <c r="T124" s="140">
        <f t="shared" si="156"/>
        <v>0</v>
      </c>
      <c r="U124" s="140">
        <f t="shared" si="156"/>
        <v>0</v>
      </c>
      <c r="V124" s="140">
        <f t="shared" si="156"/>
        <v>0</v>
      </c>
      <c r="W124" s="140">
        <f t="shared" si="156"/>
        <v>0</v>
      </c>
      <c r="X124" s="140">
        <f t="shared" si="156"/>
        <v>0</v>
      </c>
      <c r="Y124" s="140">
        <f t="shared" si="156"/>
        <v>0</v>
      </c>
      <c r="Z124" s="140">
        <f t="shared" si="156"/>
        <v>0</v>
      </c>
      <c r="AA124" s="140">
        <f t="shared" si="156"/>
        <v>0</v>
      </c>
      <c r="AB124" s="140">
        <f t="shared" si="156"/>
        <v>0</v>
      </c>
      <c r="AC124" s="275">
        <f t="shared" si="156"/>
        <v>0</v>
      </c>
      <c r="AD124" s="141">
        <f t="shared" si="156"/>
        <v>0</v>
      </c>
      <c r="AE124" s="140">
        <f t="shared" si="156"/>
        <v>0</v>
      </c>
      <c r="AF124" s="275" t="e">
        <f>AE124/AA124</f>
        <v>#DIV/0!</v>
      </c>
      <c r="AG124" s="140">
        <f t="shared" ref="AG124:AO124" si="157">SUM(AG115:AG122)</f>
        <v>0</v>
      </c>
      <c r="AH124" s="140">
        <f t="shared" si="157"/>
        <v>0</v>
      </c>
      <c r="AI124" s="140">
        <f t="shared" si="157"/>
        <v>0</v>
      </c>
      <c r="AJ124" s="140">
        <f t="shared" si="157"/>
        <v>0</v>
      </c>
      <c r="AK124" s="140">
        <f t="shared" si="157"/>
        <v>0</v>
      </c>
      <c r="AL124" s="142">
        <f t="shared" si="157"/>
        <v>0</v>
      </c>
      <c r="AM124" s="140">
        <f t="shared" si="157"/>
        <v>0</v>
      </c>
      <c r="AN124" s="140">
        <f t="shared" si="157"/>
        <v>0</v>
      </c>
      <c r="AO124" s="140">
        <f t="shared" si="157"/>
        <v>0</v>
      </c>
      <c r="AP124" s="143"/>
      <c r="AQ124" s="140"/>
      <c r="AR124" s="140"/>
      <c r="AS124" s="140"/>
      <c r="AT124" s="140"/>
      <c r="AU124" s="140" t="e">
        <f>(AH124+AI124+AJ124)/S124</f>
        <v>#DIV/0!</v>
      </c>
      <c r="AV124" s="140"/>
      <c r="AW124" s="140"/>
      <c r="AX124" s="140"/>
      <c r="AY124" s="144"/>
      <c r="AZ124" s="140">
        <f>SUM(AZ115:AZ122)</f>
        <v>0</v>
      </c>
    </row>
    <row r="125" spans="1:52" s="149" customFormat="1">
      <c r="A125" s="146"/>
      <c r="B125" s="147"/>
      <c r="C125" s="148"/>
      <c r="D125" s="148"/>
      <c r="E125" s="276"/>
      <c r="H125" s="150"/>
      <c r="N125" s="150"/>
      <c r="O125" s="150"/>
      <c r="P125" s="150"/>
      <c r="Q125" s="223"/>
      <c r="R125" s="151"/>
      <c r="S125" s="152"/>
      <c r="T125" s="152"/>
      <c r="U125" s="153"/>
      <c r="V125" s="153"/>
      <c r="W125" s="153"/>
      <c r="X125" s="153"/>
      <c r="Y125" s="152"/>
      <c r="Z125" s="153"/>
      <c r="AA125" s="153"/>
      <c r="AB125" s="153"/>
      <c r="AE125" s="154"/>
      <c r="AG125" s="152"/>
      <c r="AH125" s="353"/>
      <c r="AI125" s="353"/>
      <c r="AJ125" s="227"/>
      <c r="AK125" s="227"/>
      <c r="AL125" s="155"/>
      <c r="AM125" s="156"/>
      <c r="AP125" s="157"/>
      <c r="AQ125" s="150"/>
      <c r="AR125" s="150"/>
      <c r="AS125" s="150"/>
      <c r="AT125" s="150"/>
      <c r="AU125" s="150"/>
      <c r="AV125" s="150"/>
      <c r="AW125" s="150"/>
      <c r="AX125" s="150"/>
      <c r="AY125" s="158"/>
    </row>
    <row r="126" spans="1:52" s="164" customFormat="1">
      <c r="A126" s="159" t="s">
        <v>6</v>
      </c>
      <c r="B126" s="160"/>
      <c r="C126" s="161"/>
      <c r="D126" s="161"/>
      <c r="E126" s="277">
        <f t="shared" ref="E126:AE126" si="158">E105+E113+E124</f>
        <v>77439</v>
      </c>
      <c r="F126" s="277">
        <f t="shared" si="158"/>
        <v>2880</v>
      </c>
      <c r="G126" s="277">
        <f t="shared" si="158"/>
        <v>750</v>
      </c>
      <c r="H126" s="277">
        <f t="shared" si="158"/>
        <v>9945</v>
      </c>
      <c r="I126" s="277">
        <f t="shared" si="158"/>
        <v>1619</v>
      </c>
      <c r="J126" s="277">
        <f t="shared" si="158"/>
        <v>62245</v>
      </c>
      <c r="K126" s="277">
        <f t="shared" si="158"/>
        <v>0</v>
      </c>
      <c r="L126" s="277">
        <f t="shared" si="158"/>
        <v>9586669.8999999966</v>
      </c>
      <c r="M126" s="277">
        <f t="shared" si="158"/>
        <v>0</v>
      </c>
      <c r="N126" s="277">
        <f t="shared" si="158"/>
        <v>4413</v>
      </c>
      <c r="O126" s="277">
        <f t="shared" si="158"/>
        <v>0</v>
      </c>
      <c r="P126" s="277">
        <f t="shared" si="158"/>
        <v>0</v>
      </c>
      <c r="Q126" s="224">
        <f t="shared" si="158"/>
        <v>0</v>
      </c>
      <c r="R126" s="277">
        <f t="shared" si="158"/>
        <v>0</v>
      </c>
      <c r="S126" s="277">
        <f t="shared" si="158"/>
        <v>2295</v>
      </c>
      <c r="T126" s="277">
        <f t="shared" si="158"/>
        <v>-43</v>
      </c>
      <c r="U126" s="277">
        <f t="shared" si="158"/>
        <v>2252</v>
      </c>
      <c r="V126" s="277">
        <f t="shared" si="158"/>
        <v>1593380.0800000003</v>
      </c>
      <c r="W126" s="277">
        <f t="shared" si="158"/>
        <v>-29254.63</v>
      </c>
      <c r="X126" s="277">
        <f t="shared" si="158"/>
        <v>1564125.4500000002</v>
      </c>
      <c r="Y126" s="277">
        <f t="shared" si="158"/>
        <v>2501418.8899999997</v>
      </c>
      <c r="Z126" s="277">
        <f t="shared" si="158"/>
        <v>-47007.29</v>
      </c>
      <c r="AA126" s="277">
        <f t="shared" si="158"/>
        <v>2454411.5999999992</v>
      </c>
      <c r="AB126" s="277">
        <f t="shared" si="158"/>
        <v>3169175.0699999994</v>
      </c>
      <c r="AC126" s="277">
        <f t="shared" si="158"/>
        <v>1.0000000000000004</v>
      </c>
      <c r="AD126" s="277">
        <f t="shared" si="158"/>
        <v>280478.83000000019</v>
      </c>
      <c r="AE126" s="277">
        <f t="shared" si="158"/>
        <v>918234.84000000067</v>
      </c>
      <c r="AF126" s="278">
        <f>AE126/AA126</f>
        <v>0.37411607735230756</v>
      </c>
      <c r="AG126" s="277">
        <f>AG105+AG113+AG124</f>
        <v>267875.32999999996</v>
      </c>
      <c r="AH126" s="277">
        <f>AH105+AH113+AH124</f>
        <v>50989</v>
      </c>
      <c r="AI126" s="277">
        <f>AI105+AI113+AI124</f>
        <v>265182</v>
      </c>
      <c r="AJ126" s="277">
        <f>AJ105+AJ113+AJ124</f>
        <v>0</v>
      </c>
      <c r="AK126" s="277">
        <f>AK105+AK113+AK124</f>
        <v>0</v>
      </c>
      <c r="AL126" s="162">
        <v>8624.77</v>
      </c>
      <c r="AM126" s="277">
        <f>AM105+AM113+AM124</f>
        <v>466</v>
      </c>
      <c r="AN126" s="277">
        <f>AN105+AN113+AN124</f>
        <v>89311.563195000068</v>
      </c>
      <c r="AO126" s="277">
        <f>AO105+AO113+AO124</f>
        <v>573249.26680499944</v>
      </c>
      <c r="AP126" s="161"/>
      <c r="AQ126" s="161"/>
      <c r="AR126" s="161"/>
      <c r="AS126" s="161"/>
      <c r="AT126" s="161"/>
      <c r="AU126" s="161">
        <f>(AH126+AI126)/S126</f>
        <v>137.76514161220044</v>
      </c>
      <c r="AV126" s="161"/>
      <c r="AW126" s="161"/>
      <c r="AX126" s="161"/>
      <c r="AY126" s="163"/>
      <c r="AZ126" s="161">
        <f>AZ105+AZ124</f>
        <v>17633094.073768727</v>
      </c>
    </row>
    <row r="127" spans="1:52" s="149" customFormat="1">
      <c r="A127" s="148"/>
      <c r="B127" s="147"/>
      <c r="C127" s="165"/>
      <c r="D127" s="148"/>
      <c r="E127" s="276"/>
      <c r="N127" s="150"/>
      <c r="O127" s="150"/>
      <c r="P127" s="150"/>
      <c r="R127" s="151"/>
      <c r="S127" s="152"/>
      <c r="T127" s="152"/>
      <c r="U127" s="153"/>
      <c r="V127" s="153"/>
      <c r="W127" s="153"/>
      <c r="X127" s="153"/>
      <c r="Y127" s="152"/>
      <c r="Z127" s="153"/>
      <c r="AA127" s="153"/>
      <c r="AB127" s="153"/>
      <c r="AE127" s="154"/>
      <c r="AG127" s="166"/>
      <c r="AH127" s="353">
        <f>AH106+AH114+AH125</f>
        <v>0</v>
      </c>
      <c r="AI127" s="353"/>
      <c r="AJ127" s="227"/>
      <c r="AK127" s="227"/>
      <c r="AL127" s="155"/>
      <c r="AM127" s="156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8"/>
    </row>
    <row r="128" spans="1:52">
      <c r="C128" s="168"/>
      <c r="D128" s="168"/>
    </row>
    <row r="129" spans="3:4">
      <c r="C129" s="168"/>
      <c r="D129" s="168"/>
    </row>
  </sheetData>
  <mergeCells count="12">
    <mergeCell ref="AQ1:AX1"/>
    <mergeCell ref="AH106:AI106"/>
    <mergeCell ref="AH114:AI114"/>
    <mergeCell ref="AH125:AI125"/>
    <mergeCell ref="AH127:AI127"/>
    <mergeCell ref="F1:H1"/>
    <mergeCell ref="I1:J1"/>
    <mergeCell ref="N1:P1"/>
    <mergeCell ref="S1:T1"/>
    <mergeCell ref="V1:W1"/>
    <mergeCell ref="Y1:Z1"/>
    <mergeCell ref="AH1:AI1"/>
  </mergeCells>
  <conditionalFormatting sqref="AC128:AC1048576">
    <cfRule type="cellIs" dxfId="17" priority="19" operator="greaterThan">
      <formula>0.23</formula>
    </cfRule>
  </conditionalFormatting>
  <conditionalFormatting sqref="M123:O123 M3:M104 M106:M112">
    <cfRule type="cellIs" dxfId="16" priority="34" operator="greaterThan">
      <formula>120</formula>
    </cfRule>
  </conditionalFormatting>
  <conditionalFormatting sqref="AC125 AC127">
    <cfRule type="cellIs" dxfId="15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14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13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12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dimension ref="A1:AZ124"/>
  <sheetViews>
    <sheetView zoomScale="70" zoomScaleNormal="70" workbookViewId="0">
      <pane xSplit="3" ySplit="2" topLeftCell="O96" activePane="bottomRight" state="frozen"/>
      <selection pane="topRight" activeCell="D1" sqref="D1"/>
      <selection pane="bottomLeft" activeCell="A3" sqref="A3"/>
      <selection pane="bottomRight" activeCell="C102" sqref="C102:C106"/>
    </sheetView>
  </sheetViews>
  <sheetFormatPr defaultColWidth="12.54296875" defaultRowHeight="14.5" outlineLevelRow="1"/>
  <cols>
    <col min="1" max="1" width="9.08984375" style="167" customWidth="1"/>
    <col min="2" max="2" width="12.54296875" style="172"/>
    <col min="3" max="3" width="19.90625" style="167" customWidth="1"/>
    <col min="4" max="4" width="16.6328125" style="167" customWidth="1"/>
    <col min="5" max="5" width="12.36328125" style="279" customWidth="1"/>
    <col min="6" max="6" width="10.90625" style="106" customWidth="1"/>
    <col min="7" max="9" width="12.36328125" style="106" customWidth="1"/>
    <col min="10" max="10" width="11.7265625" style="106" customWidth="1"/>
    <col min="11" max="11" width="13.36328125" style="106" customWidth="1"/>
    <col min="12" max="12" width="14.1796875" style="106" customWidth="1"/>
    <col min="13" max="13" width="14.26953125" style="106" customWidth="1"/>
    <col min="14" max="14" width="13.6328125" style="106" customWidth="1"/>
    <col min="15" max="15" width="15.08984375" style="106" customWidth="1"/>
    <col min="16" max="16" width="14.54296875" style="106" customWidth="1"/>
    <col min="17" max="18" width="11" style="106" customWidth="1"/>
    <col min="19" max="19" width="11.1796875" style="106" customWidth="1"/>
    <col min="20" max="20" width="12.08984375" style="106" customWidth="1"/>
    <col min="21" max="24" width="11.26953125" style="169" customWidth="1"/>
    <col min="25" max="25" width="13.1796875" style="169" customWidth="1"/>
    <col min="26" max="26" width="12.36328125" style="169" customWidth="1"/>
    <col min="27" max="27" width="20.7265625" style="169" customWidth="1"/>
    <col min="28" max="28" width="15.90625" style="169" customWidth="1"/>
    <col min="29" max="29" width="13.36328125" style="170" customWidth="1"/>
    <col min="30" max="30" width="14.453125" style="106" customWidth="1"/>
    <col min="31" max="31" width="17.81640625" style="106" customWidth="1"/>
    <col min="32" max="32" width="14.26953125" style="106" customWidth="1"/>
    <col min="33" max="33" width="19.08984375" style="106" customWidth="1"/>
    <col min="34" max="37" width="10.36328125" style="98" customWidth="1"/>
    <col min="38" max="38" width="18.08984375" style="171" customWidth="1"/>
    <col min="39" max="39" width="18" style="98" customWidth="1"/>
    <col min="40" max="40" width="12.54296875" style="106" customWidth="1"/>
    <col min="41" max="41" width="18.90625" style="106" customWidth="1"/>
    <col min="42" max="42" width="3.08984375" style="106" customWidth="1"/>
    <col min="43" max="43" width="19.90625" style="106" customWidth="1"/>
    <col min="44" max="44" width="14.26953125" style="106" customWidth="1"/>
    <col min="45" max="45" width="9.6328125" style="106" customWidth="1"/>
    <col min="46" max="46" width="11.1796875" style="106" customWidth="1"/>
    <col min="47" max="47" width="9.54296875" style="106" customWidth="1"/>
    <col min="48" max="48" width="10.1796875" style="106" customWidth="1"/>
    <col min="49" max="49" width="11.7265625" style="106" customWidth="1"/>
    <col min="50" max="50" width="12.54296875" style="106"/>
    <col min="51" max="51" width="3.36328125" style="119" customWidth="1"/>
    <col min="52" max="16384" width="12.54296875" style="106"/>
  </cols>
  <sheetData>
    <row r="1" spans="1:52" s="80" customFormat="1" ht="16" customHeight="1">
      <c r="A1" s="78" t="s">
        <v>242</v>
      </c>
      <c r="B1" s="79"/>
      <c r="C1" s="78"/>
      <c r="D1" s="78"/>
      <c r="E1" s="232"/>
      <c r="F1" s="354" t="s">
        <v>42</v>
      </c>
      <c r="G1" s="354"/>
      <c r="H1" s="354"/>
      <c r="I1" s="355" t="s">
        <v>118</v>
      </c>
      <c r="J1" s="356"/>
      <c r="M1" s="233" t="s">
        <v>43</v>
      </c>
      <c r="N1" s="354" t="s">
        <v>119</v>
      </c>
      <c r="O1" s="354"/>
      <c r="P1" s="354"/>
      <c r="R1" s="234"/>
      <c r="S1" s="357"/>
      <c r="T1" s="357"/>
      <c r="U1" s="234"/>
      <c r="V1" s="358"/>
      <c r="W1" s="359"/>
      <c r="X1" s="234"/>
      <c r="Y1" s="357"/>
      <c r="Z1" s="357"/>
      <c r="AA1" s="234"/>
      <c r="AB1" s="234"/>
      <c r="AC1" s="234"/>
      <c r="AD1" s="234"/>
      <c r="AE1" s="235"/>
      <c r="AF1" s="234"/>
      <c r="AG1" s="235"/>
      <c r="AH1" s="346"/>
      <c r="AI1" s="346"/>
      <c r="AJ1" s="293" t="s">
        <v>251</v>
      </c>
      <c r="AK1" s="228"/>
      <c r="AL1" s="236" t="s">
        <v>44</v>
      </c>
      <c r="AM1" s="235"/>
      <c r="AQ1" s="347" t="s">
        <v>45</v>
      </c>
      <c r="AR1" s="348"/>
      <c r="AS1" s="348"/>
      <c r="AT1" s="348"/>
      <c r="AU1" s="348"/>
      <c r="AV1" s="348"/>
      <c r="AW1" s="348"/>
      <c r="AX1" s="349"/>
      <c r="AY1" s="237"/>
    </row>
    <row r="2" spans="1:52" s="94" customFormat="1" ht="50.5" customHeight="1">
      <c r="A2" s="81" t="s">
        <v>46</v>
      </c>
      <c r="B2" s="82" t="s">
        <v>47</v>
      </c>
      <c r="C2" s="81" t="s">
        <v>48</v>
      </c>
      <c r="D2" s="81" t="s">
        <v>49</v>
      </c>
      <c r="E2" s="238" t="s">
        <v>50</v>
      </c>
      <c r="F2" s="83" t="s">
        <v>51</v>
      </c>
      <c r="G2" s="83" t="s">
        <v>52</v>
      </c>
      <c r="H2" s="83" t="s">
        <v>53</v>
      </c>
      <c r="I2" s="239" t="s">
        <v>120</v>
      </c>
      <c r="J2" s="239" t="s">
        <v>121</v>
      </c>
      <c r="K2" s="81" t="s">
        <v>54</v>
      </c>
      <c r="L2" s="81" t="s">
        <v>55</v>
      </c>
      <c r="M2" s="84" t="s">
        <v>56</v>
      </c>
      <c r="N2" s="84" t="s">
        <v>243</v>
      </c>
      <c r="O2" s="84" t="s">
        <v>57</v>
      </c>
      <c r="P2" s="84" t="s">
        <v>58</v>
      </c>
      <c r="Q2" s="85" t="s">
        <v>59</v>
      </c>
      <c r="R2" s="85" t="s">
        <v>60</v>
      </c>
      <c r="S2" s="86" t="s">
        <v>61</v>
      </c>
      <c r="T2" s="86" t="s">
        <v>62</v>
      </c>
      <c r="U2" s="81" t="s">
        <v>63</v>
      </c>
      <c r="V2" s="83" t="s">
        <v>64</v>
      </c>
      <c r="W2" s="83" t="s">
        <v>65</v>
      </c>
      <c r="X2" s="87" t="s">
        <v>66</v>
      </c>
      <c r="Y2" s="86" t="s">
        <v>67</v>
      </c>
      <c r="Z2" s="86" t="s">
        <v>68</v>
      </c>
      <c r="AA2" s="88" t="s">
        <v>69</v>
      </c>
      <c r="AB2" s="89" t="s">
        <v>70</v>
      </c>
      <c r="AC2" s="88" t="s">
        <v>71</v>
      </c>
      <c r="AD2" s="88" t="s">
        <v>17</v>
      </c>
      <c r="AE2" s="90" t="s">
        <v>72</v>
      </c>
      <c r="AF2" s="91" t="s">
        <v>73</v>
      </c>
      <c r="AG2" s="86" t="s">
        <v>7</v>
      </c>
      <c r="AH2" s="85" t="s">
        <v>24</v>
      </c>
      <c r="AI2" s="85" t="s">
        <v>25</v>
      </c>
      <c r="AJ2" s="292" t="s">
        <v>122</v>
      </c>
      <c r="AK2" s="85" t="s">
        <v>26</v>
      </c>
      <c r="AL2" s="86" t="s">
        <v>8</v>
      </c>
      <c r="AM2" s="86" t="s">
        <v>74</v>
      </c>
      <c r="AN2" s="240" t="s">
        <v>123</v>
      </c>
      <c r="AO2" s="81" t="s">
        <v>10</v>
      </c>
      <c r="AP2" s="92"/>
      <c r="AQ2" s="91" t="s">
        <v>75</v>
      </c>
      <c r="AR2" s="91" t="s">
        <v>76</v>
      </c>
      <c r="AS2" s="91" t="s">
        <v>77</v>
      </c>
      <c r="AT2" s="91" t="s">
        <v>78</v>
      </c>
      <c r="AU2" s="91" t="s">
        <v>79</v>
      </c>
      <c r="AV2" s="241" t="s">
        <v>80</v>
      </c>
      <c r="AW2" s="241" t="s">
        <v>81</v>
      </c>
      <c r="AX2" s="241" t="s">
        <v>82</v>
      </c>
      <c r="AY2" s="93"/>
      <c r="AZ2" s="81" t="s">
        <v>83</v>
      </c>
    </row>
    <row r="3" spans="1:52" outlineLevel="1">
      <c r="A3" s="95" t="s">
        <v>124</v>
      </c>
      <c r="B3" s="96">
        <v>170499929</v>
      </c>
      <c r="C3" s="96" t="s">
        <v>125</v>
      </c>
      <c r="D3" s="97" t="s">
        <v>84</v>
      </c>
      <c r="E3" s="242">
        <f>SUM(F3:J3)</f>
        <v>887</v>
      </c>
      <c r="F3" s="99"/>
      <c r="G3" s="99"/>
      <c r="H3" s="282">
        <v>887</v>
      </c>
      <c r="I3" s="99"/>
      <c r="J3" s="99"/>
      <c r="K3" s="98">
        <v>142.97999999999999</v>
      </c>
      <c r="L3" s="98">
        <f t="shared" ref="L3" si="0">E3*K3</f>
        <v>126823.26</v>
      </c>
      <c r="M3" s="95"/>
      <c r="N3" s="95">
        <v>349</v>
      </c>
      <c r="O3" s="95">
        <v>1302</v>
      </c>
      <c r="P3" s="95">
        <v>59</v>
      </c>
      <c r="Q3" s="243">
        <f>N3/32</f>
        <v>10.90625</v>
      </c>
      <c r="R3" s="98">
        <f>U3/32</f>
        <v>4.9375</v>
      </c>
      <c r="S3" s="99">
        <v>160</v>
      </c>
      <c r="T3" s="99">
        <v>-2</v>
      </c>
      <c r="U3" s="98">
        <f t="shared" ref="U3" si="1">S3+T3</f>
        <v>158</v>
      </c>
      <c r="V3" s="99">
        <v>160009.77000000002</v>
      </c>
      <c r="W3" s="99">
        <v>-2166</v>
      </c>
      <c r="X3" s="98">
        <f t="shared" ref="X3" si="2">V3+W3</f>
        <v>157843.77000000002</v>
      </c>
      <c r="Y3" s="99">
        <v>210906.4</v>
      </c>
      <c r="Z3" s="99">
        <v>-2902</v>
      </c>
      <c r="AA3" s="98">
        <f t="shared" ref="AA3" si="3">Y3+Z3</f>
        <v>208004.4</v>
      </c>
      <c r="AB3" s="98">
        <f>N3*O3*P3/100</f>
        <v>268094.82</v>
      </c>
      <c r="AC3" s="244">
        <f t="shared" ref="AC3" si="4">AA3/$AA$121</f>
        <v>9.2649197976466729E-2</v>
      </c>
      <c r="AD3" s="98">
        <f t="shared" ref="AD3" si="5">U3*K3</f>
        <v>22590.84</v>
      </c>
      <c r="AE3" s="99">
        <v>76644.809999999969</v>
      </c>
      <c r="AF3" s="244">
        <f t="shared" ref="AF3" si="6">IF(AA3=0,0,AE3/AA3)</f>
        <v>0.36847686875854535</v>
      </c>
      <c r="AG3" s="99">
        <v>19643.119999999984</v>
      </c>
      <c r="AH3" s="99">
        <v>7000</v>
      </c>
      <c r="AI3" s="99">
        <f>846+46873</f>
        <v>47719</v>
      </c>
      <c r="AJ3" s="99"/>
      <c r="AK3" s="99"/>
      <c r="AL3" s="128">
        <f t="shared" ref="AL3" si="7">IFERROR($AL$121*H3/$H$121,0)</f>
        <v>2847.0074361422771</v>
      </c>
      <c r="AM3" s="99">
        <v>0</v>
      </c>
      <c r="AN3" s="100">
        <f>X3*5.71%</f>
        <v>9012.8792670000003</v>
      </c>
      <c r="AO3" s="101">
        <f>AA3-AD3-AE3-AG3-AH3-AI3-AK3-AL3-AN3-AM3</f>
        <v>22546.74329685777</v>
      </c>
      <c r="AP3" s="102"/>
      <c r="AQ3" s="103">
        <f t="shared" ref="AQ3:AQ97" si="8">IF(U3=0,0,AA3/U3)</f>
        <v>1316.4835443037975</v>
      </c>
      <c r="AR3" s="104">
        <f t="shared" ref="AR3:AR19" si="9">K3</f>
        <v>142.97999999999999</v>
      </c>
      <c r="AS3" s="104">
        <f t="shared" ref="AS3:AS97" si="10">IF(U3=0,0,AE3/U3)</f>
        <v>485.09373417721497</v>
      </c>
      <c r="AT3" s="104">
        <f t="shared" ref="AT3:AT97" si="11">IF(S3=0,AG3/1,AG3/S3)</f>
        <v>122.76949999999991</v>
      </c>
      <c r="AU3" s="104">
        <f>IF(S3=0,0,(AH3+AI3+AJ3)/S3)</f>
        <v>341.99374999999998</v>
      </c>
      <c r="AV3" s="104">
        <f>_xlfn.IFS(U3=0,AO3,U3&lt;0,AO3/-U3,U3&gt;0,AO3/U3)</f>
        <v>142.70090694213778</v>
      </c>
      <c r="AW3" s="244">
        <f t="shared" ref="AW3" si="12">IF(AQ3=0,0,AV3/AQ3)</f>
        <v>0.10839551132984575</v>
      </c>
      <c r="AX3" s="244">
        <f t="shared" ref="AX3" si="13">IF(AR3=0,0,AV3/AR3)</f>
        <v>0.99804802729149378</v>
      </c>
      <c r="AY3" s="105"/>
      <c r="AZ3" s="100">
        <f t="shared" ref="AZ3:AZ97" si="14">AV3*E3</f>
        <v>126575.70445767621</v>
      </c>
    </row>
    <row r="4" spans="1:52" outlineLevel="1">
      <c r="A4" s="95" t="s">
        <v>124</v>
      </c>
      <c r="B4" s="96">
        <v>170500631</v>
      </c>
      <c r="C4" s="96" t="s">
        <v>126</v>
      </c>
      <c r="D4" s="97" t="s">
        <v>84</v>
      </c>
      <c r="E4" s="242">
        <f>SUM(F4:J4)</f>
        <v>349</v>
      </c>
      <c r="F4" s="99"/>
      <c r="G4" s="99"/>
      <c r="H4" s="282">
        <v>349</v>
      </c>
      <c r="I4" s="99"/>
      <c r="J4" s="99"/>
      <c r="K4" s="98">
        <v>123.09</v>
      </c>
      <c r="L4" s="98">
        <f>E4*K4</f>
        <v>42958.41</v>
      </c>
      <c r="M4" s="95"/>
      <c r="N4" s="95">
        <v>1013</v>
      </c>
      <c r="O4" s="95">
        <v>657</v>
      </c>
      <c r="P4" s="95">
        <v>78</v>
      </c>
      <c r="Q4" s="243">
        <f t="shared" ref="Q4:Q67" si="15">N4/32</f>
        <v>31.65625</v>
      </c>
      <c r="R4" s="98">
        <f t="shared" ref="R4:R67" si="16">U4/32</f>
        <v>18.8125</v>
      </c>
      <c r="S4" s="99">
        <v>607</v>
      </c>
      <c r="T4" s="99">
        <v>-5</v>
      </c>
      <c r="U4" s="98">
        <f t="shared" ref="U4:U67" si="17">S4+T4</f>
        <v>602</v>
      </c>
      <c r="V4" s="99">
        <v>295794.19000000035</v>
      </c>
      <c r="W4" s="99">
        <v>-2554.87</v>
      </c>
      <c r="X4" s="98">
        <f t="shared" ref="X4:X67" si="18">V4+W4</f>
        <v>293239.32000000036</v>
      </c>
      <c r="Y4" s="99">
        <v>395383.81000000011</v>
      </c>
      <c r="Z4" s="99">
        <v>-3316.59</v>
      </c>
      <c r="AA4" s="98">
        <f t="shared" ref="AA4:AA67" si="19">Y4+Z4</f>
        <v>392067.22000000009</v>
      </c>
      <c r="AB4" s="98">
        <f t="shared" ref="AB4:AB67" si="20">N4*O4*P4/100</f>
        <v>519121.98</v>
      </c>
      <c r="AC4" s="244">
        <f t="shared" ref="AC4:AC67" si="21">AA4/$AA$121</f>
        <v>0.17463435141690725</v>
      </c>
      <c r="AD4" s="98">
        <f t="shared" ref="AD4:AD67" si="22">U4*K4</f>
        <v>74100.180000000008</v>
      </c>
      <c r="AE4" s="99">
        <v>146969.56000000096</v>
      </c>
      <c r="AF4" s="244">
        <f t="shared" ref="AF4:AF67" si="23">IF(AA4=0,0,AE4/AA4)</f>
        <v>0.37485806643054964</v>
      </c>
      <c r="AG4" s="99">
        <v>51237.270000000142</v>
      </c>
      <c r="AH4" s="99">
        <v>3984</v>
      </c>
      <c r="AI4" s="99">
        <v>2390</v>
      </c>
      <c r="AJ4" s="99"/>
      <c r="AK4" s="99"/>
      <c r="AL4" s="128">
        <f t="shared" ref="AL4:AL67" si="24">IFERROR($AL$121*H4/$H$121,0)</f>
        <v>1120.1866913344475</v>
      </c>
      <c r="AM4" s="99">
        <v>0</v>
      </c>
      <c r="AN4" s="100">
        <f t="shared" ref="AN4:AN67" si="25">X4*5.71%</f>
        <v>16743.965172000018</v>
      </c>
      <c r="AO4" s="101">
        <f t="shared" ref="AO4:AO67" si="26">AA4-AD4-AE4-AG4-AH4-AI4-AK4-AL4-AN4-AM4</f>
        <v>95522.058136664535</v>
      </c>
      <c r="AP4" s="102"/>
      <c r="AQ4" s="103">
        <f t="shared" si="8"/>
        <v>651.27445182724273</v>
      </c>
      <c r="AR4" s="104">
        <f t="shared" si="9"/>
        <v>123.09</v>
      </c>
      <c r="AS4" s="104">
        <f t="shared" si="10"/>
        <v>244.13548172757635</v>
      </c>
      <c r="AT4" s="104">
        <f t="shared" si="11"/>
        <v>84.410658978583427</v>
      </c>
      <c r="AU4" s="104">
        <f t="shared" ref="AU4:AU70" si="27">IF(S4=0,0,(AH4+AI4+AJ4)/S4)</f>
        <v>10.500823723228995</v>
      </c>
      <c r="AV4" s="104">
        <f t="array" ref="AV4">_xlfn.IFS(U4=0,AO4,U4&lt;0,AO4/-U4,U4&gt;0,AO4/U4)</f>
        <v>158.67451517718362</v>
      </c>
      <c r="AW4" s="244">
        <f>IF(AQ4=0,0,AV4/AQ4)</f>
        <v>0.24363694097319463</v>
      </c>
      <c r="AX4" s="244">
        <f>IF(AR4=0,0,AV4/AR4)</f>
        <v>1.2890934696334684</v>
      </c>
      <c r="AY4" s="105"/>
      <c r="AZ4" s="100">
        <f t="shared" si="14"/>
        <v>55377.405796837083</v>
      </c>
    </row>
    <row r="5" spans="1:52" outlineLevel="1">
      <c r="A5" s="95" t="s">
        <v>124</v>
      </c>
      <c r="B5" s="96">
        <v>170500399</v>
      </c>
      <c r="C5" s="96" t="s">
        <v>127</v>
      </c>
      <c r="D5" s="97" t="s">
        <v>84</v>
      </c>
      <c r="E5" s="242">
        <f>SUM(F5:J5)</f>
        <v>728</v>
      </c>
      <c r="F5" s="99"/>
      <c r="G5" s="99"/>
      <c r="H5" s="282">
        <v>728</v>
      </c>
      <c r="I5" s="99"/>
      <c r="J5" s="99"/>
      <c r="K5" s="98">
        <v>123.09</v>
      </c>
      <c r="L5" s="98">
        <f>E5*K5</f>
        <v>89609.52</v>
      </c>
      <c r="M5" s="95"/>
      <c r="N5" s="95">
        <v>341</v>
      </c>
      <c r="O5" s="95">
        <v>1039</v>
      </c>
      <c r="P5" s="95">
        <v>73</v>
      </c>
      <c r="Q5" s="243">
        <f t="shared" si="15"/>
        <v>10.65625</v>
      </c>
      <c r="R5" s="98">
        <f t="shared" si="16"/>
        <v>6.28125</v>
      </c>
      <c r="S5" s="99">
        <v>205</v>
      </c>
      <c r="T5" s="99">
        <v>-4</v>
      </c>
      <c r="U5" s="98">
        <f t="shared" si="17"/>
        <v>201</v>
      </c>
      <c r="V5" s="99">
        <v>164275.78000000003</v>
      </c>
      <c r="W5" s="99">
        <v>-3499</v>
      </c>
      <c r="X5" s="98">
        <f t="shared" si="18"/>
        <v>160776.78000000003</v>
      </c>
      <c r="Y5" s="99">
        <v>217576.03000000006</v>
      </c>
      <c r="Z5" s="99">
        <v>-4380.6000000000004</v>
      </c>
      <c r="AA5" s="98">
        <f t="shared" si="19"/>
        <v>213195.43000000005</v>
      </c>
      <c r="AB5" s="98">
        <f t="shared" si="20"/>
        <v>258638.27</v>
      </c>
      <c r="AC5" s="244">
        <f t="shared" si="21"/>
        <v>9.4961383517598461E-2</v>
      </c>
      <c r="AD5" s="98">
        <f t="shared" si="22"/>
        <v>24741.09</v>
      </c>
      <c r="AE5" s="99">
        <v>79363.80000000009</v>
      </c>
      <c r="AF5" s="244">
        <f t="shared" si="23"/>
        <v>0.37225844850426704</v>
      </c>
      <c r="AG5" s="99">
        <v>17412.569999999982</v>
      </c>
      <c r="AH5" s="99">
        <v>7000</v>
      </c>
      <c r="AI5" s="99">
        <v>25645</v>
      </c>
      <c r="AJ5" s="99"/>
      <c r="AK5" s="99"/>
      <c r="AL5" s="128">
        <f t="shared" si="24"/>
        <v>2336.6645022678445</v>
      </c>
      <c r="AM5" s="99">
        <v>0</v>
      </c>
      <c r="AN5" s="100">
        <f t="shared" si="25"/>
        <v>9180.3541380000006</v>
      </c>
      <c r="AO5" s="101">
        <f t="shared" si="26"/>
        <v>47515.951359732142</v>
      </c>
      <c r="AP5" s="102"/>
      <c r="AQ5" s="103">
        <f t="shared" si="8"/>
        <v>1060.6737810945276</v>
      </c>
      <c r="AR5" s="104">
        <f t="shared" si="9"/>
        <v>123.09</v>
      </c>
      <c r="AS5" s="104">
        <f t="shared" si="10"/>
        <v>394.84477611940343</v>
      </c>
      <c r="AT5" s="104">
        <f t="shared" si="11"/>
        <v>84.939365853658444</v>
      </c>
      <c r="AU5" s="104">
        <f t="shared" si="27"/>
        <v>159.2439024390244</v>
      </c>
      <c r="AV5" s="104">
        <f t="array" ref="AV5">_xlfn.IFS(U5=0,AO5,U5&lt;0,AO5/-U5,U5&gt;0,AO5/U5)</f>
        <v>236.39776795886638</v>
      </c>
      <c r="AW5" s="244">
        <f>IF(AQ5=0,0,AV5/AQ5)</f>
        <v>0.22287509333446842</v>
      </c>
      <c r="AX5" s="244">
        <f>IF(AR5=0,0,AV5/AR5)</f>
        <v>1.920527808586127</v>
      </c>
      <c r="AY5" s="105"/>
      <c r="AZ5" s="100">
        <f t="shared" si="14"/>
        <v>172097.57507405474</v>
      </c>
    </row>
    <row r="6" spans="1:52" outlineLevel="1">
      <c r="A6" s="95" t="s">
        <v>124</v>
      </c>
      <c r="B6" s="96">
        <v>170500725</v>
      </c>
      <c r="C6" s="96" t="s">
        <v>128</v>
      </c>
      <c r="D6" s="97" t="s">
        <v>84</v>
      </c>
      <c r="E6" s="242">
        <f t="shared" ref="E6" si="28">SUM(F6:J6)</f>
        <v>523</v>
      </c>
      <c r="F6" s="99"/>
      <c r="G6" s="99"/>
      <c r="H6" s="282">
        <v>523</v>
      </c>
      <c r="I6" s="99"/>
      <c r="J6" s="99"/>
      <c r="K6" s="98">
        <v>123.09</v>
      </c>
      <c r="L6" s="98">
        <f t="shared" ref="L6" si="29">E6*K6</f>
        <v>64376.07</v>
      </c>
      <c r="M6" s="95"/>
      <c r="N6" s="95">
        <v>315</v>
      </c>
      <c r="O6" s="95">
        <v>977</v>
      </c>
      <c r="P6" s="95">
        <v>74</v>
      </c>
      <c r="Q6" s="243">
        <f t="shared" si="15"/>
        <v>9.84375</v>
      </c>
      <c r="R6" s="98">
        <f t="shared" si="16"/>
        <v>5.53125</v>
      </c>
      <c r="S6" s="99">
        <v>183</v>
      </c>
      <c r="T6" s="99">
        <v>-6</v>
      </c>
      <c r="U6" s="98">
        <f t="shared" si="17"/>
        <v>177</v>
      </c>
      <c r="V6" s="99">
        <v>139934.35</v>
      </c>
      <c r="W6" s="99">
        <v>-4767</v>
      </c>
      <c r="X6" s="98">
        <f t="shared" si="18"/>
        <v>135167.35</v>
      </c>
      <c r="Y6" s="99">
        <v>182610.13000000003</v>
      </c>
      <c r="Z6" s="99">
        <v>-6305.51</v>
      </c>
      <c r="AA6" s="98">
        <f t="shared" si="19"/>
        <v>176304.62000000002</v>
      </c>
      <c r="AB6" s="98">
        <f t="shared" si="20"/>
        <v>227738.7</v>
      </c>
      <c r="AC6" s="244">
        <f t="shared" si="21"/>
        <v>7.8529500542035349E-2</v>
      </c>
      <c r="AD6" s="98">
        <f t="shared" si="22"/>
        <v>21786.93</v>
      </c>
      <c r="AE6" s="99">
        <v>65784.11000000003</v>
      </c>
      <c r="AF6" s="244">
        <f t="shared" si="23"/>
        <v>0.3731275448141973</v>
      </c>
      <c r="AG6" s="99">
        <v>16754.849999999984</v>
      </c>
      <c r="AH6" s="99">
        <v>7603</v>
      </c>
      <c r="AI6" s="99">
        <f>1799+23927</f>
        <v>25726</v>
      </c>
      <c r="AJ6" s="99"/>
      <c r="AK6" s="99"/>
      <c r="AL6" s="128">
        <f t="shared" si="24"/>
        <v>1678.6751850083554</v>
      </c>
      <c r="AM6" s="99">
        <v>0</v>
      </c>
      <c r="AN6" s="100">
        <f t="shared" si="25"/>
        <v>7718.0556850000003</v>
      </c>
      <c r="AO6" s="101">
        <f t="shared" si="26"/>
        <v>29252.999129991658</v>
      </c>
      <c r="AP6" s="102"/>
      <c r="AQ6" s="103">
        <f t="shared" si="8"/>
        <v>996.07129943502844</v>
      </c>
      <c r="AR6" s="104">
        <f t="shared" si="9"/>
        <v>123.09</v>
      </c>
      <c r="AS6" s="104">
        <f t="shared" si="10"/>
        <v>371.66163841807929</v>
      </c>
      <c r="AT6" s="104">
        <f t="shared" si="11"/>
        <v>91.556557377049089</v>
      </c>
      <c r="AU6" s="104">
        <f t="shared" si="27"/>
        <v>182.12568306010928</v>
      </c>
      <c r="AV6" s="104">
        <f t="array" ref="AV6">_xlfn.IFS(U6=0,AO6,U6&lt;0,AO6/-U6,U6&gt;0,AO6/U6)</f>
        <v>165.27118152537659</v>
      </c>
      <c r="AW6" s="244">
        <f t="shared" ref="AW6" si="30">IF(AQ6=0,0,AV6/AQ6)</f>
        <v>0.16592304348003842</v>
      </c>
      <c r="AX6" s="244">
        <f t="shared" ref="AX6" si="31">IF(AR6=0,0,AV6/AR6)</f>
        <v>1.3426856895391712</v>
      </c>
      <c r="AY6" s="105"/>
      <c r="AZ6" s="100">
        <f t="shared" si="14"/>
        <v>86436.827937771959</v>
      </c>
    </row>
    <row r="7" spans="1:52" outlineLevel="1">
      <c r="A7" s="95" t="s">
        <v>124</v>
      </c>
      <c r="B7" s="96">
        <v>246275459</v>
      </c>
      <c r="C7" s="96" t="s">
        <v>129</v>
      </c>
      <c r="D7" s="97" t="s">
        <v>84</v>
      </c>
      <c r="E7" s="242">
        <f>SUM(F7:J7)</f>
        <v>441</v>
      </c>
      <c r="F7" s="99"/>
      <c r="G7" s="99"/>
      <c r="H7" s="282">
        <v>441</v>
      </c>
      <c r="I7" s="99"/>
      <c r="J7" s="99"/>
      <c r="K7" s="98">
        <v>117.24</v>
      </c>
      <c r="L7" s="98">
        <f>E7*K7</f>
        <v>51702.84</v>
      </c>
      <c r="M7" s="95"/>
      <c r="N7" s="95">
        <v>327</v>
      </c>
      <c r="O7" s="95">
        <v>979</v>
      </c>
      <c r="P7" s="95">
        <v>65</v>
      </c>
      <c r="Q7" s="243">
        <f t="shared" si="15"/>
        <v>10.21875</v>
      </c>
      <c r="R7" s="98">
        <f t="shared" si="16"/>
        <v>4.96875</v>
      </c>
      <c r="S7" s="99">
        <v>165</v>
      </c>
      <c r="T7" s="99">
        <v>-6</v>
      </c>
      <c r="U7" s="98">
        <f t="shared" si="17"/>
        <v>159</v>
      </c>
      <c r="V7" s="99">
        <v>119332.73999999999</v>
      </c>
      <c r="W7" s="99">
        <v>-5120</v>
      </c>
      <c r="X7" s="98">
        <f t="shared" si="18"/>
        <v>114212.73999999999</v>
      </c>
      <c r="Y7" s="99">
        <v>160648.13999999996</v>
      </c>
      <c r="Z7" s="99">
        <v>-6530.72</v>
      </c>
      <c r="AA7" s="98">
        <f t="shared" si="19"/>
        <v>154117.41999999995</v>
      </c>
      <c r="AB7" s="98">
        <f t="shared" si="20"/>
        <v>208086.45</v>
      </c>
      <c r="AC7" s="244">
        <f t="shared" si="21"/>
        <v>6.8646890917703027E-2</v>
      </c>
      <c r="AD7" s="98">
        <f t="shared" si="22"/>
        <v>18641.16</v>
      </c>
      <c r="AE7" s="99">
        <v>56930.909999999967</v>
      </c>
      <c r="AF7" s="244">
        <f t="shared" si="23"/>
        <v>0.36939957858105843</v>
      </c>
      <c r="AG7" s="99">
        <v>16568.10999999995</v>
      </c>
      <c r="AH7" s="99">
        <v>4000</v>
      </c>
      <c r="AI7" s="99">
        <v>20657</v>
      </c>
      <c r="AJ7" s="99"/>
      <c r="AK7" s="99"/>
      <c r="AL7" s="128">
        <f t="shared" si="24"/>
        <v>1415.4794581045594</v>
      </c>
      <c r="AM7" s="99">
        <v>0</v>
      </c>
      <c r="AN7" s="100">
        <f t="shared" si="25"/>
        <v>6521.5474539999996</v>
      </c>
      <c r="AO7" s="101">
        <f t="shared" si="26"/>
        <v>29383.21308789547</v>
      </c>
      <c r="AP7" s="102"/>
      <c r="AQ7" s="103">
        <f t="shared" si="8"/>
        <v>969.29194968553429</v>
      </c>
      <c r="AR7" s="104">
        <f t="shared" si="9"/>
        <v>117.24</v>
      </c>
      <c r="AS7" s="104">
        <f t="shared" si="10"/>
        <v>358.05603773584886</v>
      </c>
      <c r="AT7" s="104">
        <f t="shared" si="11"/>
        <v>100.41278787878757</v>
      </c>
      <c r="AU7" s="104">
        <f t="shared" si="27"/>
        <v>149.43636363636364</v>
      </c>
      <c r="AV7" s="104">
        <f t="array" ref="AV7">_xlfn.IFS(U7=0,AO7,U7&lt;0,AO7/-U7,U7&gt;0,AO7/U7)</f>
        <v>184.80008231380799</v>
      </c>
      <c r="AW7" s="244">
        <f>IF(AQ7=0,0,AV7/AQ7)</f>
        <v>0.19065471695474451</v>
      </c>
      <c r="AX7" s="244">
        <f>IF(AR7=0,0,AV7/AR7)</f>
        <v>1.5762545403770727</v>
      </c>
      <c r="AY7" s="105"/>
      <c r="AZ7" s="100">
        <f t="shared" si="14"/>
        <v>81496.836300389317</v>
      </c>
    </row>
    <row r="8" spans="1:52" outlineLevel="1">
      <c r="A8" s="95" t="s">
        <v>124</v>
      </c>
      <c r="B8" s="96">
        <v>159900625</v>
      </c>
      <c r="C8" s="96" t="s">
        <v>130</v>
      </c>
      <c r="D8" s="97" t="s">
        <v>84</v>
      </c>
      <c r="E8" s="242">
        <f>SUM(F8:J8)</f>
        <v>497</v>
      </c>
      <c r="F8" s="99"/>
      <c r="G8" s="99"/>
      <c r="H8" s="282">
        <v>497</v>
      </c>
      <c r="I8" s="99"/>
      <c r="J8" s="99"/>
      <c r="K8" s="98">
        <v>169.89</v>
      </c>
      <c r="L8" s="98">
        <f>E8*K8</f>
        <v>84435.329999999987</v>
      </c>
      <c r="M8" s="95"/>
      <c r="N8" s="95">
        <v>286</v>
      </c>
      <c r="O8" s="95">
        <v>1258</v>
      </c>
      <c r="P8" s="95">
        <v>53</v>
      </c>
      <c r="Q8" s="243">
        <f t="shared" si="15"/>
        <v>8.9375</v>
      </c>
      <c r="R8" s="98">
        <f t="shared" si="16"/>
        <v>3.71875</v>
      </c>
      <c r="S8" s="99">
        <v>123</v>
      </c>
      <c r="T8" s="99">
        <v>-4</v>
      </c>
      <c r="U8" s="98">
        <f t="shared" si="17"/>
        <v>119</v>
      </c>
      <c r="V8" s="99">
        <v>117745.48999999999</v>
      </c>
      <c r="W8" s="99">
        <v>-4240</v>
      </c>
      <c r="X8" s="98">
        <f t="shared" si="18"/>
        <v>113505.48999999999</v>
      </c>
      <c r="Y8" s="99">
        <v>159228.43</v>
      </c>
      <c r="Z8" s="99">
        <v>-5400</v>
      </c>
      <c r="AA8" s="98">
        <f t="shared" si="19"/>
        <v>153828.43</v>
      </c>
      <c r="AB8" s="98">
        <f t="shared" si="20"/>
        <v>190687.64</v>
      </c>
      <c r="AC8" s="244">
        <f t="shared" si="21"/>
        <v>6.8518169161224732E-2</v>
      </c>
      <c r="AD8" s="98">
        <f t="shared" si="22"/>
        <v>20216.91</v>
      </c>
      <c r="AE8" s="99">
        <v>56810.78</v>
      </c>
      <c r="AF8" s="244">
        <f t="shared" si="23"/>
        <v>0.36931261666000231</v>
      </c>
      <c r="AG8" s="99">
        <v>17667.549999999992</v>
      </c>
      <c r="AH8" s="99">
        <v>9500</v>
      </c>
      <c r="AI8" s="99">
        <f>1000+46228</f>
        <v>47228</v>
      </c>
      <c r="AJ8" s="99"/>
      <c r="AK8" s="99"/>
      <c r="AL8" s="128">
        <f t="shared" si="24"/>
        <v>1595.222881355932</v>
      </c>
      <c r="AM8" s="99">
        <v>0</v>
      </c>
      <c r="AN8" s="100">
        <f t="shared" si="25"/>
        <v>6481.1634789999989</v>
      </c>
      <c r="AO8" s="101">
        <f t="shared" si="26"/>
        <v>-5671.1963603559288</v>
      </c>
      <c r="AP8" s="102"/>
      <c r="AQ8" s="103">
        <f t="shared" si="8"/>
        <v>1292.675882352941</v>
      </c>
      <c r="AR8" s="104">
        <f t="shared" si="9"/>
        <v>169.89</v>
      </c>
      <c r="AS8" s="104">
        <f t="shared" si="10"/>
        <v>477.401512605042</v>
      </c>
      <c r="AT8" s="104">
        <f t="shared" si="11"/>
        <v>143.63861788617879</v>
      </c>
      <c r="AU8" s="104">
        <f t="shared" si="27"/>
        <v>461.20325203252031</v>
      </c>
      <c r="AV8" s="104">
        <f t="array" ref="AV8">_xlfn.IFS(U8=0,AO8,U8&lt;0,AO8/-U8,U8&gt;0,AO8/U8)</f>
        <v>-47.657112271898562</v>
      </c>
      <c r="AW8" s="244">
        <f>IF(AQ8=0,0,AV8/AQ8)</f>
        <v>-3.6867023607768272E-2</v>
      </c>
      <c r="AX8" s="244">
        <f>IF(AR8=0,0,AV8/AR8)</f>
        <v>-0.28051746584200699</v>
      </c>
      <c r="AY8" s="105"/>
      <c r="AZ8" s="100">
        <f t="shared" si="14"/>
        <v>-23685.584799133587</v>
      </c>
    </row>
    <row r="9" spans="1:52" outlineLevel="1">
      <c r="A9" s="95" t="s">
        <v>124</v>
      </c>
      <c r="B9" s="96">
        <v>251467353</v>
      </c>
      <c r="C9" s="96" t="s">
        <v>131</v>
      </c>
      <c r="D9" s="97" t="s">
        <v>84</v>
      </c>
      <c r="E9" s="242">
        <f>SUM(F9:J9)</f>
        <v>411</v>
      </c>
      <c r="F9" s="99"/>
      <c r="G9" s="99"/>
      <c r="H9" s="282">
        <v>411</v>
      </c>
      <c r="I9" s="99"/>
      <c r="J9" s="99"/>
      <c r="K9" s="98">
        <v>123.09</v>
      </c>
      <c r="L9" s="98">
        <f>E9*K9</f>
        <v>50589.99</v>
      </c>
      <c r="M9" s="95"/>
      <c r="N9" s="95">
        <v>320</v>
      </c>
      <c r="O9" s="95">
        <v>1256</v>
      </c>
      <c r="P9" s="95">
        <v>51</v>
      </c>
      <c r="Q9" s="243">
        <f t="shared" si="15"/>
        <v>10</v>
      </c>
      <c r="R9" s="98">
        <f t="shared" si="16"/>
        <v>3.8125</v>
      </c>
      <c r="S9" s="99">
        <v>124</v>
      </c>
      <c r="T9" s="99">
        <v>-2</v>
      </c>
      <c r="U9" s="98">
        <f t="shared" si="17"/>
        <v>122</v>
      </c>
      <c r="V9" s="99">
        <v>117699.29000000001</v>
      </c>
      <c r="W9" s="99">
        <v>-2139</v>
      </c>
      <c r="X9" s="98">
        <f t="shared" si="18"/>
        <v>115560.29000000001</v>
      </c>
      <c r="Y9" s="99">
        <v>156839.69</v>
      </c>
      <c r="Z9" s="99">
        <v>-2600</v>
      </c>
      <c r="AA9" s="98">
        <f t="shared" si="19"/>
        <v>154239.69</v>
      </c>
      <c r="AB9" s="98">
        <f t="shared" si="20"/>
        <v>204979.20000000001</v>
      </c>
      <c r="AC9" s="244">
        <f t="shared" si="21"/>
        <v>6.8701352349464034E-2</v>
      </c>
      <c r="AD9" s="98">
        <f t="shared" si="22"/>
        <v>15016.98</v>
      </c>
      <c r="AE9" s="99">
        <v>56899.760000000017</v>
      </c>
      <c r="AF9" s="244">
        <f t="shared" si="23"/>
        <v>0.36890478708820029</v>
      </c>
      <c r="AG9" s="99">
        <v>19030.379999999972</v>
      </c>
      <c r="AH9" s="99">
        <f>1000+20586</f>
        <v>21586</v>
      </c>
      <c r="AI9" s="99">
        <f>368+27766</f>
        <v>28134</v>
      </c>
      <c r="AJ9" s="99"/>
      <c r="AK9" s="99"/>
      <c r="AL9" s="128">
        <f t="shared" si="24"/>
        <v>1319.1883385056099</v>
      </c>
      <c r="AM9" s="99">
        <v>0</v>
      </c>
      <c r="AN9" s="100">
        <f t="shared" si="25"/>
        <v>6598.4925590000003</v>
      </c>
      <c r="AO9" s="101">
        <f t="shared" si="26"/>
        <v>5654.8891024943969</v>
      </c>
      <c r="AP9" s="102"/>
      <c r="AQ9" s="103">
        <f t="shared" si="8"/>
        <v>1264.2597540983606</v>
      </c>
      <c r="AR9" s="104">
        <f t="shared" si="9"/>
        <v>123.09</v>
      </c>
      <c r="AS9" s="104">
        <f t="shared" si="10"/>
        <v>466.39147540983618</v>
      </c>
      <c r="AT9" s="104">
        <f t="shared" si="11"/>
        <v>153.47080645161267</v>
      </c>
      <c r="AU9" s="104">
        <f t="shared" si="27"/>
        <v>400.96774193548384</v>
      </c>
      <c r="AV9" s="104">
        <f t="array" ref="AV9">_xlfn.IFS(U9=0,AO9,U9&lt;0,AO9/-U9,U9&gt;0,AO9/U9)</f>
        <v>46.351550020445877</v>
      </c>
      <c r="AW9" s="244">
        <f>IF(AQ9=0,0,AV9/AQ9)</f>
        <v>3.666299577297126E-2</v>
      </c>
      <c r="AX9" s="244">
        <f>IF(AR9=0,0,AV9/AR9)</f>
        <v>0.37656633374316251</v>
      </c>
      <c r="AY9" s="105"/>
      <c r="AZ9" s="100">
        <f t="shared" si="14"/>
        <v>19050.487058403254</v>
      </c>
    </row>
    <row r="10" spans="1:52" ht="13.75" customHeight="1" outlineLevel="1">
      <c r="A10" s="95" t="s">
        <v>124</v>
      </c>
      <c r="B10" s="96">
        <v>251467354</v>
      </c>
      <c r="C10" s="96" t="s">
        <v>132</v>
      </c>
      <c r="D10" s="97" t="s">
        <v>84</v>
      </c>
      <c r="E10" s="242">
        <f>SUM(F10:J10)</f>
        <v>481</v>
      </c>
      <c r="F10" s="99"/>
      <c r="G10" s="99"/>
      <c r="H10" s="282">
        <v>481</v>
      </c>
      <c r="I10" s="99"/>
      <c r="J10" s="99"/>
      <c r="K10" s="98">
        <v>123.09</v>
      </c>
      <c r="L10" s="98">
        <f>E10*K10</f>
        <v>59206.29</v>
      </c>
      <c r="M10" s="95"/>
      <c r="N10" s="95">
        <v>207</v>
      </c>
      <c r="O10" s="95">
        <v>850</v>
      </c>
      <c r="P10" s="95">
        <v>63</v>
      </c>
      <c r="Q10" s="243">
        <f t="shared" si="15"/>
        <v>6.46875</v>
      </c>
      <c r="R10" s="98">
        <f t="shared" si="16"/>
        <v>2.75</v>
      </c>
      <c r="S10" s="99">
        <v>88</v>
      </c>
      <c r="T10" s="99">
        <v>0</v>
      </c>
      <c r="U10" s="98">
        <f t="shared" si="17"/>
        <v>88</v>
      </c>
      <c r="V10" s="99">
        <v>54824.52</v>
      </c>
      <c r="W10" s="99">
        <v>0</v>
      </c>
      <c r="X10" s="98">
        <f t="shared" si="18"/>
        <v>54824.52</v>
      </c>
      <c r="Y10" s="99">
        <v>74862.429999999993</v>
      </c>
      <c r="Z10" s="99">
        <v>0</v>
      </c>
      <c r="AA10" s="98">
        <f t="shared" si="19"/>
        <v>74862.429999999993</v>
      </c>
      <c r="AB10" s="98">
        <f t="shared" si="20"/>
        <v>110848.5</v>
      </c>
      <c r="AC10" s="244">
        <f t="shared" si="21"/>
        <v>3.3345179708070508E-2</v>
      </c>
      <c r="AD10" s="98">
        <f t="shared" si="22"/>
        <v>10831.92</v>
      </c>
      <c r="AE10" s="99">
        <v>27936.629999999983</v>
      </c>
      <c r="AF10" s="244">
        <f t="shared" si="23"/>
        <v>0.37317289860882136</v>
      </c>
      <c r="AG10" s="99">
        <v>10222.68999999999</v>
      </c>
      <c r="AH10" s="99"/>
      <c r="AI10" s="99">
        <f>538+22017</f>
        <v>22555</v>
      </c>
      <c r="AJ10" s="99"/>
      <c r="AK10" s="99"/>
      <c r="AL10" s="128">
        <f t="shared" si="24"/>
        <v>1543.8676175698256</v>
      </c>
      <c r="AM10" s="99">
        <v>0</v>
      </c>
      <c r="AN10" s="100">
        <f t="shared" si="25"/>
        <v>3130.4800919999998</v>
      </c>
      <c r="AO10" s="101">
        <f t="shared" si="26"/>
        <v>-1358.1577095698012</v>
      </c>
      <c r="AP10" s="102"/>
      <c r="AQ10" s="103">
        <f t="shared" si="8"/>
        <v>850.70943181818177</v>
      </c>
      <c r="AR10" s="104">
        <f t="shared" si="9"/>
        <v>123.09</v>
      </c>
      <c r="AS10" s="104">
        <f t="shared" si="10"/>
        <v>317.46170454545432</v>
      </c>
      <c r="AT10" s="104">
        <f t="shared" si="11"/>
        <v>116.16693181818169</v>
      </c>
      <c r="AU10" s="104">
        <f t="shared" si="27"/>
        <v>256.30681818181819</v>
      </c>
      <c r="AV10" s="104">
        <f t="array" ref="AV10">_xlfn.IFS(U10=0,AO10,U10&lt;0,AO10/-U10,U10&gt;0,AO10/U10)</f>
        <v>-15.433610336020468</v>
      </c>
      <c r="AW10" s="244">
        <f>IF(AQ10=0,0,AV10/AQ10)</f>
        <v>-1.8142046812664261E-2</v>
      </c>
      <c r="AX10" s="244">
        <f>IF(AR10=0,0,AV10/AR10)</f>
        <v>-0.12538476184921982</v>
      </c>
      <c r="AY10" s="105"/>
      <c r="AZ10" s="100">
        <f t="shared" si="14"/>
        <v>-7423.5665716258454</v>
      </c>
    </row>
    <row r="11" spans="1:52" outlineLevel="1">
      <c r="A11" s="95" t="s">
        <v>124</v>
      </c>
      <c r="B11" s="96">
        <v>251467355</v>
      </c>
      <c r="C11" s="96" t="s">
        <v>133</v>
      </c>
      <c r="D11" s="97" t="s">
        <v>84</v>
      </c>
      <c r="E11" s="242">
        <f t="shared" ref="E11:E27" si="32">SUM(F11:J11)</f>
        <v>504</v>
      </c>
      <c r="F11" s="99"/>
      <c r="G11" s="99"/>
      <c r="H11" s="282">
        <v>504</v>
      </c>
      <c r="I11" s="99"/>
      <c r="J11" s="99"/>
      <c r="K11" s="98">
        <v>123.09</v>
      </c>
      <c r="L11" s="98">
        <f t="shared" ref="L11" si="33">E11*K11</f>
        <v>62037.36</v>
      </c>
      <c r="M11" s="95"/>
      <c r="N11" s="95">
        <v>148</v>
      </c>
      <c r="O11" s="95">
        <v>1147</v>
      </c>
      <c r="P11" s="95">
        <v>68</v>
      </c>
      <c r="Q11" s="243">
        <f t="shared" si="15"/>
        <v>4.625</v>
      </c>
      <c r="R11" s="98">
        <f t="shared" si="16"/>
        <v>2.5</v>
      </c>
      <c r="S11" s="99">
        <v>81</v>
      </c>
      <c r="T11" s="99">
        <v>-1</v>
      </c>
      <c r="U11" s="98">
        <f t="shared" si="17"/>
        <v>80</v>
      </c>
      <c r="V11" s="99">
        <v>69516.260000000009</v>
      </c>
      <c r="W11" s="99">
        <v>-957</v>
      </c>
      <c r="X11" s="98">
        <f t="shared" si="18"/>
        <v>68559.260000000009</v>
      </c>
      <c r="Y11" s="99">
        <v>92972.43</v>
      </c>
      <c r="Z11" s="99">
        <v>-1197</v>
      </c>
      <c r="AA11" s="98">
        <f t="shared" si="19"/>
        <v>91775.43</v>
      </c>
      <c r="AB11" s="98">
        <f t="shared" si="20"/>
        <v>115434.08</v>
      </c>
      <c r="AC11" s="244">
        <f t="shared" si="21"/>
        <v>4.087855825860108E-2</v>
      </c>
      <c r="AD11" s="98">
        <f t="shared" si="22"/>
        <v>9847.2000000000007</v>
      </c>
      <c r="AE11" s="99">
        <v>33981.659999999989</v>
      </c>
      <c r="AF11" s="244">
        <f t="shared" si="23"/>
        <v>0.37026968982874819</v>
      </c>
      <c r="AG11" s="99">
        <v>9071.1699999999983</v>
      </c>
      <c r="AH11" s="99">
        <v>3000</v>
      </c>
      <c r="AI11" s="99">
        <v>15177</v>
      </c>
      <c r="AJ11" s="99"/>
      <c r="AK11" s="99"/>
      <c r="AL11" s="128">
        <f t="shared" si="24"/>
        <v>1617.6908092623537</v>
      </c>
      <c r="AM11" s="99">
        <v>0</v>
      </c>
      <c r="AN11" s="100">
        <f t="shared" si="25"/>
        <v>3914.7337460000003</v>
      </c>
      <c r="AO11" s="101">
        <f t="shared" si="26"/>
        <v>15165.975444737656</v>
      </c>
      <c r="AP11" s="102"/>
      <c r="AQ11" s="103">
        <f t="shared" si="8"/>
        <v>1147.192875</v>
      </c>
      <c r="AR11" s="104">
        <f t="shared" si="9"/>
        <v>123.09</v>
      </c>
      <c r="AS11" s="104">
        <f t="shared" si="10"/>
        <v>424.77074999999985</v>
      </c>
      <c r="AT11" s="104">
        <f t="shared" si="11"/>
        <v>111.98975308641973</v>
      </c>
      <c r="AU11" s="104">
        <f t="shared" si="27"/>
        <v>224.40740740740742</v>
      </c>
      <c r="AV11" s="104">
        <f t="array" ref="AV11">_xlfn.IFS(U11=0,AO11,U11&lt;0,AO11/-U11,U11&gt;0,AO11/U11)</f>
        <v>189.57469305922069</v>
      </c>
      <c r="AW11" s="244">
        <f t="shared" ref="AW11:AW28" si="34">IF(AQ11=0,0,AV11/AQ11)</f>
        <v>0.16525093311725869</v>
      </c>
      <c r="AX11" s="244">
        <f t="shared" ref="AX11:AX28" si="35">IF(AR11=0,0,AV11/AR11)</f>
        <v>1.5401307422148078</v>
      </c>
      <c r="AY11" s="105"/>
      <c r="AZ11" s="100">
        <f t="shared" si="14"/>
        <v>95545.645301847224</v>
      </c>
    </row>
    <row r="12" spans="1:52" outlineLevel="1">
      <c r="A12" s="95" t="s">
        <v>124</v>
      </c>
      <c r="B12" s="96">
        <v>303941289</v>
      </c>
      <c r="C12" s="96" t="s">
        <v>134</v>
      </c>
      <c r="D12" s="97" t="s">
        <v>84</v>
      </c>
      <c r="E12" s="242">
        <f t="shared" si="32"/>
        <v>559</v>
      </c>
      <c r="F12" s="99"/>
      <c r="G12" s="99"/>
      <c r="H12" s="282">
        <v>559</v>
      </c>
      <c r="I12" s="99"/>
      <c r="J12" s="99"/>
      <c r="K12" s="98">
        <v>117.24</v>
      </c>
      <c r="L12" s="98">
        <f>E12*K12</f>
        <v>65537.16</v>
      </c>
      <c r="M12" s="95"/>
      <c r="N12" s="95">
        <v>126</v>
      </c>
      <c r="O12" s="95">
        <v>1082</v>
      </c>
      <c r="P12" s="95">
        <v>51</v>
      </c>
      <c r="Q12" s="243">
        <f t="shared" si="15"/>
        <v>3.9375</v>
      </c>
      <c r="R12" s="98">
        <f t="shared" si="16"/>
        <v>1.46875</v>
      </c>
      <c r="S12" s="99">
        <v>51</v>
      </c>
      <c r="T12" s="99">
        <v>-4</v>
      </c>
      <c r="U12" s="98">
        <f t="shared" si="17"/>
        <v>47</v>
      </c>
      <c r="V12" s="99">
        <v>40291.090000000004</v>
      </c>
      <c r="W12" s="99">
        <v>-2990</v>
      </c>
      <c r="X12" s="98">
        <f t="shared" si="18"/>
        <v>37301.090000000004</v>
      </c>
      <c r="Y12" s="99">
        <v>54935.169999999991</v>
      </c>
      <c r="Z12" s="99">
        <v>-4233.84</v>
      </c>
      <c r="AA12" s="98">
        <f t="shared" si="19"/>
        <v>50701.329999999987</v>
      </c>
      <c r="AB12" s="98">
        <f t="shared" si="20"/>
        <v>69529.320000000007</v>
      </c>
      <c r="AC12" s="244">
        <f t="shared" si="21"/>
        <v>2.2583356702262889E-2</v>
      </c>
      <c r="AD12" s="98">
        <f t="shared" si="22"/>
        <v>5510.28</v>
      </c>
      <c r="AE12" s="99">
        <v>18835.239999999994</v>
      </c>
      <c r="AF12" s="244">
        <f t="shared" si="23"/>
        <v>0.37149400222834389</v>
      </c>
      <c r="AG12" s="99">
        <v>7194.1899999999987</v>
      </c>
      <c r="AH12" s="99">
        <v>6000</v>
      </c>
      <c r="AI12" s="99">
        <f>110+14451</f>
        <v>14561</v>
      </c>
      <c r="AJ12" s="99"/>
      <c r="AK12" s="99"/>
      <c r="AL12" s="128">
        <f t="shared" si="24"/>
        <v>1794.2245285270947</v>
      </c>
      <c r="AM12" s="99">
        <v>0</v>
      </c>
      <c r="AN12" s="100">
        <f t="shared" si="25"/>
        <v>2129.8922390000002</v>
      </c>
      <c r="AO12" s="101">
        <f t="shared" si="26"/>
        <v>-5323.4967675271</v>
      </c>
      <c r="AP12" s="102"/>
      <c r="AQ12" s="103">
        <f t="shared" si="8"/>
        <v>1078.7517021276592</v>
      </c>
      <c r="AR12" s="104">
        <f t="shared" si="9"/>
        <v>117.24</v>
      </c>
      <c r="AS12" s="104">
        <f t="shared" si="10"/>
        <v>400.74978723404246</v>
      </c>
      <c r="AT12" s="104">
        <f t="shared" si="11"/>
        <v>141.06254901960781</v>
      </c>
      <c r="AU12" s="104">
        <f t="shared" si="27"/>
        <v>403.15686274509807</v>
      </c>
      <c r="AV12" s="104">
        <f t="array" ref="AV12">_xlfn.IFS(U12=0,AO12,U12&lt;0,AO12/-U12,U12&gt;0,AO12/U12)</f>
        <v>-113.26588867078937</v>
      </c>
      <c r="AW12" s="244">
        <f t="shared" si="34"/>
        <v>-0.10499718187919532</v>
      </c>
      <c r="AX12" s="244">
        <f t="shared" si="35"/>
        <v>-0.96610276928343031</v>
      </c>
      <c r="AY12" s="105"/>
      <c r="AZ12" s="100">
        <f t="shared" si="14"/>
        <v>-63315.631766971259</v>
      </c>
    </row>
    <row r="13" spans="1:52" outlineLevel="1">
      <c r="A13" s="95" t="s">
        <v>124</v>
      </c>
      <c r="B13" s="96">
        <v>274218038</v>
      </c>
      <c r="C13" s="96" t="s">
        <v>135</v>
      </c>
      <c r="D13" s="97" t="s">
        <v>84</v>
      </c>
      <c r="E13" s="242">
        <f t="shared" si="32"/>
        <v>639</v>
      </c>
      <c r="F13" s="99"/>
      <c r="G13" s="99"/>
      <c r="H13" s="282">
        <v>639</v>
      </c>
      <c r="I13" s="99"/>
      <c r="J13" s="99"/>
      <c r="K13" s="98">
        <v>123.09</v>
      </c>
      <c r="L13" s="98">
        <f t="shared" ref="L13:L28" si="36">E13*K13</f>
        <v>78654.510000000009</v>
      </c>
      <c r="M13" s="95"/>
      <c r="N13" s="95">
        <v>140</v>
      </c>
      <c r="O13" s="95">
        <v>1247</v>
      </c>
      <c r="P13" s="95">
        <v>59</v>
      </c>
      <c r="Q13" s="243">
        <f t="shared" si="15"/>
        <v>4.375</v>
      </c>
      <c r="R13" s="98">
        <f t="shared" si="16"/>
        <v>2.21875</v>
      </c>
      <c r="S13" s="99">
        <v>73</v>
      </c>
      <c r="T13" s="99">
        <v>-2</v>
      </c>
      <c r="U13" s="98">
        <f t="shared" si="17"/>
        <v>71</v>
      </c>
      <c r="V13" s="99">
        <v>69275.539999999994</v>
      </c>
      <c r="W13" s="99">
        <v>-2006</v>
      </c>
      <c r="X13" s="98">
        <f t="shared" si="18"/>
        <v>67269.539999999994</v>
      </c>
      <c r="Y13" s="99">
        <v>91790.159999999989</v>
      </c>
      <c r="Z13" s="99">
        <v>-2464</v>
      </c>
      <c r="AA13" s="98">
        <f t="shared" si="19"/>
        <v>89326.159999999989</v>
      </c>
      <c r="AB13" s="98">
        <f t="shared" si="20"/>
        <v>103002.2</v>
      </c>
      <c r="AC13" s="244">
        <f t="shared" si="21"/>
        <v>3.9787605850249042E-2</v>
      </c>
      <c r="AD13" s="98">
        <f t="shared" si="22"/>
        <v>8739.39</v>
      </c>
      <c r="AE13" s="99">
        <v>33015.949999999983</v>
      </c>
      <c r="AF13" s="244">
        <f t="shared" si="23"/>
        <v>0.36961120907917666</v>
      </c>
      <c r="AG13" s="99">
        <v>8577.600000000004</v>
      </c>
      <c r="AH13" s="99">
        <v>5097</v>
      </c>
      <c r="AI13" s="99">
        <v>22143</v>
      </c>
      <c r="AJ13" s="99"/>
      <c r="AK13" s="99"/>
      <c r="AL13" s="128">
        <f t="shared" si="24"/>
        <v>2051.0008474576271</v>
      </c>
      <c r="AM13" s="99">
        <v>0</v>
      </c>
      <c r="AN13" s="100">
        <f t="shared" si="25"/>
        <v>3841.0907339999994</v>
      </c>
      <c r="AO13" s="101">
        <f t="shared" si="26"/>
        <v>5861.1284185423738</v>
      </c>
      <c r="AP13" s="102"/>
      <c r="AQ13" s="103">
        <f t="shared" si="8"/>
        <v>1258.1149295774646</v>
      </c>
      <c r="AR13" s="104">
        <f t="shared" si="9"/>
        <v>123.09</v>
      </c>
      <c r="AS13" s="104">
        <f t="shared" si="10"/>
        <v>465.01338028168988</v>
      </c>
      <c r="AT13" s="104">
        <f t="shared" si="11"/>
        <v>117.50136986301375</v>
      </c>
      <c r="AU13" s="104">
        <f t="shared" si="27"/>
        <v>373.15068493150687</v>
      </c>
      <c r="AV13" s="104">
        <f t="array" ref="AV13">_xlfn.IFS(U13=0,AO13,U13&lt;0,AO13/-U13,U13&gt;0,AO13/U13)</f>
        <v>82.551104486512301</v>
      </c>
      <c r="AW13" s="244">
        <f t="shared" si="34"/>
        <v>6.5614915255982953E-2</v>
      </c>
      <c r="AX13" s="244">
        <f t="shared" si="35"/>
        <v>0.67065646670332524</v>
      </c>
      <c r="AY13" s="105"/>
      <c r="AZ13" s="100">
        <f t="shared" si="14"/>
        <v>52750.155766881362</v>
      </c>
    </row>
    <row r="14" spans="1:52" outlineLevel="1">
      <c r="A14" s="95" t="s">
        <v>124</v>
      </c>
      <c r="B14" s="96">
        <v>274219203</v>
      </c>
      <c r="C14" s="96" t="s">
        <v>136</v>
      </c>
      <c r="D14" s="97" t="s">
        <v>84</v>
      </c>
      <c r="E14" s="242">
        <f t="shared" si="32"/>
        <v>517</v>
      </c>
      <c r="F14" s="99"/>
      <c r="G14" s="99"/>
      <c r="H14" s="282">
        <v>517</v>
      </c>
      <c r="I14" s="99"/>
      <c r="J14" s="99"/>
      <c r="K14" s="98">
        <v>123.09</v>
      </c>
      <c r="L14" s="98">
        <f t="shared" si="36"/>
        <v>63637.53</v>
      </c>
      <c r="M14" s="95"/>
      <c r="N14" s="95">
        <v>58</v>
      </c>
      <c r="O14" s="95">
        <v>967</v>
      </c>
      <c r="P14" s="95">
        <v>64</v>
      </c>
      <c r="Q14" s="243">
        <f t="shared" si="15"/>
        <v>1.8125</v>
      </c>
      <c r="R14" s="98">
        <f t="shared" si="16"/>
        <v>0.78125</v>
      </c>
      <c r="S14" s="99">
        <v>25</v>
      </c>
      <c r="T14" s="99">
        <v>0</v>
      </c>
      <c r="U14" s="98">
        <f t="shared" si="17"/>
        <v>25</v>
      </c>
      <c r="V14" s="99">
        <v>17287.419999999998</v>
      </c>
      <c r="W14" s="99">
        <v>0</v>
      </c>
      <c r="X14" s="98">
        <f t="shared" si="18"/>
        <v>17287.419999999998</v>
      </c>
      <c r="Y14" s="99">
        <v>23975.08</v>
      </c>
      <c r="Z14" s="99">
        <v>0</v>
      </c>
      <c r="AA14" s="98">
        <f t="shared" si="19"/>
        <v>23975.08</v>
      </c>
      <c r="AB14" s="98">
        <f t="shared" si="20"/>
        <v>35895.040000000001</v>
      </c>
      <c r="AC14" s="244">
        <f t="shared" si="21"/>
        <v>1.0678966086398307E-2</v>
      </c>
      <c r="AD14" s="98">
        <f t="shared" si="22"/>
        <v>3077.25</v>
      </c>
      <c r="AE14" s="99">
        <v>8980.0300000000007</v>
      </c>
      <c r="AF14" s="244">
        <f t="shared" si="23"/>
        <v>0.37455683151005126</v>
      </c>
      <c r="AG14" s="99">
        <v>3432.2600000000007</v>
      </c>
      <c r="AH14" s="99">
        <v>6134</v>
      </c>
      <c r="AI14" s="99">
        <v>8572</v>
      </c>
      <c r="AJ14" s="99"/>
      <c r="AK14" s="99"/>
      <c r="AL14" s="128">
        <f t="shared" si="24"/>
        <v>1659.4169610885651</v>
      </c>
      <c r="AM14" s="99">
        <v>0</v>
      </c>
      <c r="AN14" s="100">
        <f t="shared" si="25"/>
        <v>987.11168199999986</v>
      </c>
      <c r="AO14" s="101">
        <f t="shared" si="26"/>
        <v>-8866.9886430885654</v>
      </c>
      <c r="AP14" s="102"/>
      <c r="AQ14" s="103">
        <f t="shared" si="8"/>
        <v>959.00320000000011</v>
      </c>
      <c r="AR14" s="104">
        <f t="shared" si="9"/>
        <v>123.09</v>
      </c>
      <c r="AS14" s="104">
        <f t="shared" si="10"/>
        <v>359.20120000000003</v>
      </c>
      <c r="AT14" s="104">
        <f t="shared" si="11"/>
        <v>137.29040000000003</v>
      </c>
      <c r="AU14" s="104">
        <f t="shared" si="27"/>
        <v>588.24</v>
      </c>
      <c r="AV14" s="104">
        <f t="array" ref="AV14">_xlfn.IFS(U14=0,AO14,U14&lt;0,AO14/-U14,U14&gt;0,AO14/U14)</f>
        <v>-354.67954572354262</v>
      </c>
      <c r="AW14" s="244">
        <f t="shared" si="34"/>
        <v>-0.36984187928000928</v>
      </c>
      <c r="AX14" s="244">
        <f t="shared" si="35"/>
        <v>-2.8814651533312423</v>
      </c>
      <c r="AY14" s="105"/>
      <c r="AZ14" s="100">
        <f t="shared" si="14"/>
        <v>-183369.32513907153</v>
      </c>
    </row>
    <row r="15" spans="1:52" outlineLevel="1">
      <c r="A15" s="95" t="s">
        <v>124</v>
      </c>
      <c r="B15" s="96">
        <v>274190322</v>
      </c>
      <c r="C15" s="96" t="s">
        <v>137</v>
      </c>
      <c r="D15" s="97" t="s">
        <v>84</v>
      </c>
      <c r="E15" s="242">
        <f t="shared" si="32"/>
        <v>616</v>
      </c>
      <c r="F15" s="99"/>
      <c r="G15" s="99"/>
      <c r="H15" s="282">
        <v>616</v>
      </c>
      <c r="I15" s="99"/>
      <c r="J15" s="99"/>
      <c r="K15" s="98">
        <v>123.09</v>
      </c>
      <c r="L15" s="98">
        <f t="shared" si="36"/>
        <v>75823.44</v>
      </c>
      <c r="M15" s="95"/>
      <c r="N15" s="95">
        <v>59</v>
      </c>
      <c r="O15" s="95">
        <v>915</v>
      </c>
      <c r="P15" s="95">
        <v>74</v>
      </c>
      <c r="Q15" s="243">
        <f t="shared" si="15"/>
        <v>1.84375</v>
      </c>
      <c r="R15" s="98">
        <f t="shared" si="16"/>
        <v>0.90625</v>
      </c>
      <c r="S15" s="99">
        <v>29</v>
      </c>
      <c r="T15" s="99">
        <v>0</v>
      </c>
      <c r="U15" s="98">
        <f t="shared" si="17"/>
        <v>29</v>
      </c>
      <c r="V15" s="99">
        <v>19497.380000000005</v>
      </c>
      <c r="W15" s="99">
        <v>0</v>
      </c>
      <c r="X15" s="98">
        <f t="shared" si="18"/>
        <v>19497.380000000005</v>
      </c>
      <c r="Y15" s="99">
        <v>26728.139999999996</v>
      </c>
      <c r="Z15" s="99">
        <v>0</v>
      </c>
      <c r="AA15" s="98">
        <f t="shared" si="19"/>
        <v>26728.139999999996</v>
      </c>
      <c r="AB15" s="98">
        <f t="shared" si="20"/>
        <v>39948.9</v>
      </c>
      <c r="AC15" s="244">
        <f t="shared" si="21"/>
        <v>1.1905232458557218E-2</v>
      </c>
      <c r="AD15" s="98">
        <f t="shared" si="22"/>
        <v>3569.61</v>
      </c>
      <c r="AE15" s="99">
        <v>9983.7599999999984</v>
      </c>
      <c r="AF15" s="244">
        <f t="shared" si="23"/>
        <v>0.3735299201515706</v>
      </c>
      <c r="AG15" s="99">
        <v>2687.8100000000004</v>
      </c>
      <c r="AH15" s="99">
        <f>268+3192</f>
        <v>3460</v>
      </c>
      <c r="AI15" s="99">
        <f>242+9568</f>
        <v>9810</v>
      </c>
      <c r="AJ15" s="99"/>
      <c r="AK15" s="99"/>
      <c r="AL15" s="128">
        <f t="shared" si="24"/>
        <v>1977.177655765099</v>
      </c>
      <c r="AM15" s="99">
        <v>0</v>
      </c>
      <c r="AN15" s="100">
        <f t="shared" si="25"/>
        <v>1113.3003980000003</v>
      </c>
      <c r="AO15" s="101">
        <f t="shared" si="26"/>
        <v>-5873.518053765104</v>
      </c>
      <c r="AP15" s="102"/>
      <c r="AQ15" s="103">
        <f t="shared" si="8"/>
        <v>921.65999999999985</v>
      </c>
      <c r="AR15" s="104">
        <f t="shared" si="9"/>
        <v>123.09</v>
      </c>
      <c r="AS15" s="104">
        <f t="shared" si="10"/>
        <v>344.26758620689651</v>
      </c>
      <c r="AT15" s="104">
        <f t="shared" si="11"/>
        <v>92.683103448275872</v>
      </c>
      <c r="AU15" s="104">
        <f t="shared" si="27"/>
        <v>457.58620689655174</v>
      </c>
      <c r="AV15" s="104">
        <f t="array" ref="AV15">_xlfn.IFS(U15=0,AO15,U15&lt;0,AO15/-U15,U15&gt;0,AO15/U15)</f>
        <v>-202.53510530224497</v>
      </c>
      <c r="AW15" s="244">
        <f t="shared" si="34"/>
        <v>-0.21975034752755354</v>
      </c>
      <c r="AX15" s="244">
        <f t="shared" si="35"/>
        <v>-1.6454229043971482</v>
      </c>
      <c r="AY15" s="105"/>
      <c r="AZ15" s="100">
        <f t="shared" si="14"/>
        <v>-124761.6248661829</v>
      </c>
    </row>
    <row r="16" spans="1:52" outlineLevel="1">
      <c r="A16" s="95" t="s">
        <v>124</v>
      </c>
      <c r="B16" s="96">
        <v>274215530</v>
      </c>
      <c r="C16" s="96" t="s">
        <v>138</v>
      </c>
      <c r="D16" s="97" t="s">
        <v>84</v>
      </c>
      <c r="E16" s="242">
        <f t="shared" si="32"/>
        <v>308</v>
      </c>
      <c r="F16" s="99"/>
      <c r="G16" s="99"/>
      <c r="H16" s="282">
        <v>308</v>
      </c>
      <c r="I16" s="99"/>
      <c r="J16" s="99"/>
      <c r="K16" s="98">
        <v>117.24</v>
      </c>
      <c r="L16" s="98">
        <f t="shared" si="36"/>
        <v>36109.919999999998</v>
      </c>
      <c r="M16" s="95"/>
      <c r="N16" s="95">
        <v>118</v>
      </c>
      <c r="O16" s="95">
        <v>916</v>
      </c>
      <c r="P16" s="95">
        <v>73</v>
      </c>
      <c r="Q16" s="243">
        <f t="shared" si="15"/>
        <v>3.6875</v>
      </c>
      <c r="R16" s="98">
        <f t="shared" si="16"/>
        <v>1.8125</v>
      </c>
      <c r="S16" s="99">
        <v>59</v>
      </c>
      <c r="T16" s="99">
        <v>-1</v>
      </c>
      <c r="U16" s="98">
        <f t="shared" si="17"/>
        <v>58</v>
      </c>
      <c r="V16" s="99">
        <v>43122.340000000004</v>
      </c>
      <c r="W16" s="99">
        <v>-898</v>
      </c>
      <c r="X16" s="98">
        <f t="shared" si="18"/>
        <v>42224.340000000004</v>
      </c>
      <c r="Y16" s="99">
        <v>57195.08</v>
      </c>
      <c r="Z16" s="99">
        <v>-1136</v>
      </c>
      <c r="AA16" s="98">
        <f t="shared" si="19"/>
        <v>56059.08</v>
      </c>
      <c r="AB16" s="98">
        <f t="shared" si="20"/>
        <v>78904.240000000005</v>
      </c>
      <c r="AC16" s="244">
        <f t="shared" si="21"/>
        <v>2.4969802568111956E-2</v>
      </c>
      <c r="AD16" s="98">
        <f t="shared" si="22"/>
        <v>6799.92</v>
      </c>
      <c r="AE16" s="99">
        <v>20854.03000000001</v>
      </c>
      <c r="AF16" s="244">
        <f t="shared" si="23"/>
        <v>0.37200093187401595</v>
      </c>
      <c r="AG16" s="99">
        <v>5295.3600000000006</v>
      </c>
      <c r="AH16" s="99">
        <v>3000</v>
      </c>
      <c r="AI16" s="99">
        <v>15459</v>
      </c>
      <c r="AJ16" s="99"/>
      <c r="AK16" s="99"/>
      <c r="AL16" s="128">
        <f t="shared" si="24"/>
        <v>988.58882788254948</v>
      </c>
      <c r="AM16" s="99">
        <v>0</v>
      </c>
      <c r="AN16" s="100">
        <f t="shared" si="25"/>
        <v>2411.009814</v>
      </c>
      <c r="AO16" s="101">
        <f t="shared" si="26"/>
        <v>1251.1713581174436</v>
      </c>
      <c r="AP16" s="102"/>
      <c r="AQ16" s="103">
        <f t="shared" si="8"/>
        <v>966.53586206896557</v>
      </c>
      <c r="AR16" s="104">
        <f t="shared" si="9"/>
        <v>117.24</v>
      </c>
      <c r="AS16" s="104">
        <f t="shared" si="10"/>
        <v>359.55224137931049</v>
      </c>
      <c r="AT16" s="104">
        <f t="shared" si="11"/>
        <v>89.751864406779674</v>
      </c>
      <c r="AU16" s="104">
        <f t="shared" si="27"/>
        <v>312.86440677966101</v>
      </c>
      <c r="AV16" s="104">
        <f t="array" ref="AV16">_xlfn.IFS(U16=0,AO16,U16&lt;0,AO16/-U16,U16&gt;0,AO16/U16)</f>
        <v>21.571919967542129</v>
      </c>
      <c r="AW16" s="244">
        <f t="shared" si="34"/>
        <v>2.2318799347357171E-2</v>
      </c>
      <c r="AX16" s="244">
        <f t="shared" si="35"/>
        <v>0.18399795264024335</v>
      </c>
      <c r="AY16" s="105"/>
      <c r="AZ16" s="100">
        <f t="shared" si="14"/>
        <v>6644.151350002976</v>
      </c>
    </row>
    <row r="17" spans="1:52" outlineLevel="1">
      <c r="A17" s="95" t="s">
        <v>124</v>
      </c>
      <c r="B17" s="96">
        <v>276819546</v>
      </c>
      <c r="C17" s="96" t="s">
        <v>139</v>
      </c>
      <c r="D17" s="97" t="s">
        <v>84</v>
      </c>
      <c r="E17" s="242">
        <f t="shared" si="32"/>
        <v>95</v>
      </c>
      <c r="F17" s="99"/>
      <c r="G17" s="99"/>
      <c r="H17" s="282">
        <v>95</v>
      </c>
      <c r="I17" s="99"/>
      <c r="J17" s="99"/>
      <c r="K17" s="99">
        <v>123.09</v>
      </c>
      <c r="L17" s="98">
        <f t="shared" si="36"/>
        <v>11693.550000000001</v>
      </c>
      <c r="M17" s="95"/>
      <c r="N17" s="95">
        <v>73</v>
      </c>
      <c r="O17" s="95">
        <v>1154</v>
      </c>
      <c r="P17" s="95">
        <v>44</v>
      </c>
      <c r="Q17" s="243">
        <f t="shared" si="15"/>
        <v>2.28125</v>
      </c>
      <c r="R17" s="98">
        <f t="shared" si="16"/>
        <v>0.90625</v>
      </c>
      <c r="S17" s="99">
        <v>30</v>
      </c>
      <c r="T17" s="99">
        <v>-1</v>
      </c>
      <c r="U17" s="98">
        <f t="shared" si="17"/>
        <v>29</v>
      </c>
      <c r="V17" s="99">
        <v>26326.12</v>
      </c>
      <c r="W17" s="99">
        <v>-872</v>
      </c>
      <c r="X17" s="98">
        <f t="shared" si="18"/>
        <v>25454.12</v>
      </c>
      <c r="Y17" s="99">
        <v>34304.389999999992</v>
      </c>
      <c r="Z17" s="99">
        <v>-1136</v>
      </c>
      <c r="AA17" s="98">
        <f t="shared" si="19"/>
        <v>33168.389999999992</v>
      </c>
      <c r="AB17" s="98">
        <f t="shared" si="20"/>
        <v>37066.480000000003</v>
      </c>
      <c r="AC17" s="244">
        <f t="shared" si="21"/>
        <v>1.4773844840160394E-2</v>
      </c>
      <c r="AD17" s="98">
        <f t="shared" si="22"/>
        <v>3569.61</v>
      </c>
      <c r="AE17" s="99">
        <v>12244.149999999989</v>
      </c>
      <c r="AF17" s="244">
        <f t="shared" si="23"/>
        <v>0.36915117073816339</v>
      </c>
      <c r="AG17" s="99">
        <v>4905.2200000000012</v>
      </c>
      <c r="AH17" s="99">
        <v>1000</v>
      </c>
      <c r="AI17" s="99">
        <v>9544</v>
      </c>
      <c r="AJ17" s="99"/>
      <c r="AK17" s="99"/>
      <c r="AL17" s="128">
        <f t="shared" si="24"/>
        <v>304.92187873000717</v>
      </c>
      <c r="AM17" s="99">
        <v>0</v>
      </c>
      <c r="AN17" s="100">
        <f t="shared" si="25"/>
        <v>1453.4302519999999</v>
      </c>
      <c r="AO17" s="101">
        <f t="shared" si="26"/>
        <v>147.05786926999644</v>
      </c>
      <c r="AP17" s="102"/>
      <c r="AQ17" s="103">
        <f t="shared" si="8"/>
        <v>1143.7375862068964</v>
      </c>
      <c r="AR17" s="104">
        <f t="shared" si="9"/>
        <v>123.09</v>
      </c>
      <c r="AS17" s="104">
        <f t="shared" si="10"/>
        <v>422.21206896551683</v>
      </c>
      <c r="AT17" s="104">
        <f t="shared" si="11"/>
        <v>163.50733333333338</v>
      </c>
      <c r="AU17" s="104">
        <f t="shared" si="27"/>
        <v>351.46666666666664</v>
      </c>
      <c r="AV17" s="104">
        <f t="array" ref="AV17">_xlfn.IFS(U17=0,AO17,U17&lt;0,AO17/-U17,U17&gt;0,AO17/U17)</f>
        <v>5.0709610093102224</v>
      </c>
      <c r="AW17" s="244">
        <f t="shared" si="34"/>
        <v>4.4336752332566178E-3</v>
      </c>
      <c r="AX17" s="244">
        <f t="shared" si="35"/>
        <v>4.1197181000164292E-2</v>
      </c>
      <c r="AY17" s="105"/>
      <c r="AZ17" s="100">
        <f t="shared" si="14"/>
        <v>481.74129588447113</v>
      </c>
    </row>
    <row r="18" spans="1:52" outlineLevel="1">
      <c r="A18" s="95" t="s">
        <v>124</v>
      </c>
      <c r="B18" s="96">
        <v>276815909</v>
      </c>
      <c r="C18" s="96" t="s">
        <v>140</v>
      </c>
      <c r="D18" s="97" t="s">
        <v>84</v>
      </c>
      <c r="E18" s="242">
        <f t="shared" si="32"/>
        <v>365</v>
      </c>
      <c r="F18" s="99"/>
      <c r="G18" s="99"/>
      <c r="H18" s="282">
        <v>365</v>
      </c>
      <c r="I18" s="99"/>
      <c r="J18" s="99"/>
      <c r="K18" s="99">
        <v>123.09</v>
      </c>
      <c r="L18" s="98">
        <f t="shared" si="36"/>
        <v>44927.85</v>
      </c>
      <c r="M18" s="95"/>
      <c r="N18" s="95">
        <v>65</v>
      </c>
      <c r="O18" s="95">
        <v>1152</v>
      </c>
      <c r="P18" s="95">
        <v>61</v>
      </c>
      <c r="Q18" s="243">
        <f t="shared" si="15"/>
        <v>2.03125</v>
      </c>
      <c r="R18" s="98">
        <f t="shared" si="16"/>
        <v>1</v>
      </c>
      <c r="S18" s="99">
        <v>32</v>
      </c>
      <c r="T18" s="99">
        <v>0</v>
      </c>
      <c r="U18" s="98">
        <f t="shared" si="17"/>
        <v>32</v>
      </c>
      <c r="V18" s="99">
        <v>27780.260000000002</v>
      </c>
      <c r="W18" s="99">
        <v>0</v>
      </c>
      <c r="X18" s="98">
        <f t="shared" si="18"/>
        <v>27780.260000000002</v>
      </c>
      <c r="Y18" s="99">
        <v>36890.899999999994</v>
      </c>
      <c r="Z18" s="99">
        <v>0</v>
      </c>
      <c r="AA18" s="98">
        <f t="shared" si="19"/>
        <v>36890.899999999994</v>
      </c>
      <c r="AB18" s="98">
        <f t="shared" si="20"/>
        <v>45676.800000000003</v>
      </c>
      <c r="AC18" s="244">
        <f t="shared" si="21"/>
        <v>1.6431923063310372E-2</v>
      </c>
      <c r="AD18" s="98">
        <f t="shared" si="22"/>
        <v>3938.88</v>
      </c>
      <c r="AE18" s="99">
        <v>13665.269999999993</v>
      </c>
      <c r="AF18" s="244">
        <f t="shared" si="23"/>
        <v>0.37042387146965772</v>
      </c>
      <c r="AG18" s="99">
        <v>3533.2800000000016</v>
      </c>
      <c r="AH18" s="99">
        <v>4787</v>
      </c>
      <c r="AI18" s="99">
        <v>2000</v>
      </c>
      <c r="AJ18" s="99"/>
      <c r="AK18" s="99"/>
      <c r="AL18" s="128">
        <f t="shared" si="24"/>
        <v>1171.5419551205539</v>
      </c>
      <c r="AM18" s="99">
        <v>0</v>
      </c>
      <c r="AN18" s="100">
        <f t="shared" si="25"/>
        <v>1586.2528460000001</v>
      </c>
      <c r="AO18" s="101">
        <f t="shared" si="26"/>
        <v>6208.6751988794467</v>
      </c>
      <c r="AP18" s="102"/>
      <c r="AQ18" s="103">
        <f t="shared" si="8"/>
        <v>1152.8406249999998</v>
      </c>
      <c r="AR18" s="104">
        <f t="shared" si="9"/>
        <v>123.09</v>
      </c>
      <c r="AS18" s="104">
        <f t="shared" si="10"/>
        <v>427.03968749999979</v>
      </c>
      <c r="AT18" s="104">
        <f t="shared" si="11"/>
        <v>110.41500000000005</v>
      </c>
      <c r="AU18" s="104">
        <f t="shared" si="27"/>
        <v>212.09375</v>
      </c>
      <c r="AV18" s="104">
        <f t="array" ref="AV18">_xlfn.IFS(U18=0,AO18,U18&lt;0,AO18/-U18,U18&gt;0,AO18/U18)</f>
        <v>194.02109996498271</v>
      </c>
      <c r="AW18" s="244">
        <f t="shared" si="34"/>
        <v>0.16829828491252444</v>
      </c>
      <c r="AX18" s="244">
        <f t="shared" si="35"/>
        <v>1.5762539602322099</v>
      </c>
      <c r="AY18" s="105"/>
      <c r="AZ18" s="100">
        <f t="shared" si="14"/>
        <v>70817.701487218685</v>
      </c>
    </row>
    <row r="19" spans="1:52" outlineLevel="1">
      <c r="A19" s="95" t="s">
        <v>124</v>
      </c>
      <c r="B19" s="96">
        <v>276817565</v>
      </c>
      <c r="C19" s="96" t="s">
        <v>141</v>
      </c>
      <c r="D19" s="97" t="s">
        <v>84</v>
      </c>
      <c r="E19" s="242">
        <f t="shared" si="32"/>
        <v>0</v>
      </c>
      <c r="F19" s="99"/>
      <c r="G19" s="99"/>
      <c r="H19" s="282">
        <v>0</v>
      </c>
      <c r="I19" s="99"/>
      <c r="J19" s="99"/>
      <c r="K19" s="99">
        <v>123.09</v>
      </c>
      <c r="L19" s="98">
        <f t="shared" si="36"/>
        <v>0</v>
      </c>
      <c r="M19" s="95"/>
      <c r="N19" s="95">
        <v>0</v>
      </c>
      <c r="O19" s="95">
        <v>0</v>
      </c>
      <c r="P19" s="95">
        <v>0</v>
      </c>
      <c r="Q19" s="243">
        <f t="shared" si="15"/>
        <v>0</v>
      </c>
      <c r="R19" s="98">
        <f t="shared" si="16"/>
        <v>0</v>
      </c>
      <c r="S19" s="99">
        <v>0</v>
      </c>
      <c r="T19" s="99">
        <v>0</v>
      </c>
      <c r="U19" s="98">
        <f t="shared" si="17"/>
        <v>0</v>
      </c>
      <c r="V19" s="99">
        <v>0</v>
      </c>
      <c r="W19" s="99">
        <v>0</v>
      </c>
      <c r="X19" s="98">
        <f t="shared" si="18"/>
        <v>0</v>
      </c>
      <c r="Y19" s="99">
        <v>0</v>
      </c>
      <c r="Z19" s="99">
        <v>0</v>
      </c>
      <c r="AA19" s="98">
        <f t="shared" si="19"/>
        <v>0</v>
      </c>
      <c r="AB19" s="98">
        <f t="shared" si="20"/>
        <v>0</v>
      </c>
      <c r="AC19" s="244">
        <f t="shared" si="21"/>
        <v>0</v>
      </c>
      <c r="AD19" s="98">
        <f t="shared" si="22"/>
        <v>0</v>
      </c>
      <c r="AE19" s="99">
        <v>0</v>
      </c>
      <c r="AF19" s="244">
        <f t="shared" si="23"/>
        <v>0</v>
      </c>
      <c r="AG19" s="99">
        <v>0</v>
      </c>
      <c r="AH19" s="99"/>
      <c r="AI19" s="99"/>
      <c r="AJ19" s="99"/>
      <c r="AK19" s="99"/>
      <c r="AL19" s="128">
        <f t="shared" si="24"/>
        <v>0</v>
      </c>
      <c r="AM19" s="99">
        <v>0</v>
      </c>
      <c r="AN19" s="100">
        <f t="shared" si="25"/>
        <v>0</v>
      </c>
      <c r="AO19" s="101">
        <f t="shared" si="26"/>
        <v>0</v>
      </c>
      <c r="AP19" s="102"/>
      <c r="AQ19" s="103">
        <f t="shared" si="8"/>
        <v>0</v>
      </c>
      <c r="AR19" s="104">
        <f t="shared" si="9"/>
        <v>123.09</v>
      </c>
      <c r="AS19" s="104">
        <f t="shared" si="10"/>
        <v>0</v>
      </c>
      <c r="AT19" s="104">
        <f t="shared" si="11"/>
        <v>0</v>
      </c>
      <c r="AU19" s="104">
        <f t="shared" si="27"/>
        <v>0</v>
      </c>
      <c r="AV19" s="104">
        <f t="array" ref="AV19">_xlfn.IFS(U19=0,AO19,U19&lt;0,AO19/-U19,U19&gt;0,AO19/U19)</f>
        <v>0</v>
      </c>
      <c r="AW19" s="244">
        <f t="shared" si="34"/>
        <v>0</v>
      </c>
      <c r="AX19" s="244">
        <f t="shared" si="35"/>
        <v>0</v>
      </c>
      <c r="AY19" s="105"/>
      <c r="AZ19" s="100">
        <f t="shared" si="14"/>
        <v>0</v>
      </c>
    </row>
    <row r="20" spans="1:52" outlineLevel="1">
      <c r="A20" s="95" t="s">
        <v>124</v>
      </c>
      <c r="B20" s="96">
        <v>335387679</v>
      </c>
      <c r="C20" s="96" t="s">
        <v>142</v>
      </c>
      <c r="D20" s="97" t="s">
        <v>84</v>
      </c>
      <c r="E20" s="242">
        <f t="shared" si="32"/>
        <v>0</v>
      </c>
      <c r="F20" s="99"/>
      <c r="G20" s="99"/>
      <c r="H20" s="282">
        <v>0</v>
      </c>
      <c r="I20" s="99"/>
      <c r="J20" s="99"/>
      <c r="K20" s="99">
        <v>117.24</v>
      </c>
      <c r="L20" s="98">
        <f t="shared" si="36"/>
        <v>0</v>
      </c>
      <c r="M20" s="95"/>
      <c r="N20" s="95">
        <v>0</v>
      </c>
      <c r="O20" s="95">
        <v>0</v>
      </c>
      <c r="P20" s="95">
        <v>0</v>
      </c>
      <c r="Q20" s="243">
        <f t="shared" si="15"/>
        <v>0</v>
      </c>
      <c r="R20" s="98">
        <f t="shared" si="16"/>
        <v>0</v>
      </c>
      <c r="S20" s="99">
        <v>0</v>
      </c>
      <c r="T20" s="99">
        <v>0</v>
      </c>
      <c r="U20" s="98">
        <f t="shared" si="17"/>
        <v>0</v>
      </c>
      <c r="V20" s="99">
        <v>0</v>
      </c>
      <c r="W20" s="99">
        <v>0</v>
      </c>
      <c r="X20" s="98">
        <f t="shared" si="18"/>
        <v>0</v>
      </c>
      <c r="Y20" s="99">
        <v>0</v>
      </c>
      <c r="Z20" s="99">
        <v>0</v>
      </c>
      <c r="AA20" s="98">
        <f t="shared" si="19"/>
        <v>0</v>
      </c>
      <c r="AB20" s="98">
        <f t="shared" si="20"/>
        <v>0</v>
      </c>
      <c r="AC20" s="244">
        <f t="shared" si="21"/>
        <v>0</v>
      </c>
      <c r="AD20" s="98">
        <f t="shared" si="22"/>
        <v>0</v>
      </c>
      <c r="AE20" s="99">
        <v>0</v>
      </c>
      <c r="AF20" s="244">
        <f t="shared" si="23"/>
        <v>0</v>
      </c>
      <c r="AG20" s="99">
        <v>0</v>
      </c>
      <c r="AH20" s="99"/>
      <c r="AI20" s="99"/>
      <c r="AJ20" s="99"/>
      <c r="AK20" s="99"/>
      <c r="AL20" s="128">
        <f t="shared" si="24"/>
        <v>0</v>
      </c>
      <c r="AM20" s="99">
        <v>0</v>
      </c>
      <c r="AN20" s="100">
        <f t="shared" si="25"/>
        <v>0</v>
      </c>
      <c r="AO20" s="101">
        <f t="shared" si="26"/>
        <v>0</v>
      </c>
      <c r="AP20" s="102"/>
      <c r="AQ20" s="103">
        <f t="shared" si="8"/>
        <v>0</v>
      </c>
      <c r="AR20" s="104">
        <f>K20</f>
        <v>117.24</v>
      </c>
      <c r="AS20" s="104">
        <f t="shared" si="10"/>
        <v>0</v>
      </c>
      <c r="AT20" s="104">
        <f t="shared" si="11"/>
        <v>0</v>
      </c>
      <c r="AU20" s="104">
        <f t="shared" si="27"/>
        <v>0</v>
      </c>
      <c r="AV20" s="104">
        <f t="array" ref="AV20">_xlfn.IFS(U20=0,AO20,U20&lt;0,AO20/-U20,U20&gt;0,AO20/U20)</f>
        <v>0</v>
      </c>
      <c r="AW20" s="244">
        <f t="shared" si="34"/>
        <v>0</v>
      </c>
      <c r="AX20" s="244">
        <f t="shared" si="35"/>
        <v>0</v>
      </c>
      <c r="AY20" s="105"/>
      <c r="AZ20" s="100">
        <f t="shared" si="14"/>
        <v>0</v>
      </c>
    </row>
    <row r="21" spans="1:52" outlineLevel="1">
      <c r="A21" s="95" t="s">
        <v>124</v>
      </c>
      <c r="B21" s="96">
        <v>335388183</v>
      </c>
      <c r="C21" s="96" t="s">
        <v>143</v>
      </c>
      <c r="D21" s="97" t="s">
        <v>84</v>
      </c>
      <c r="E21" s="242">
        <f t="shared" si="32"/>
        <v>1</v>
      </c>
      <c r="F21" s="99"/>
      <c r="G21" s="99"/>
      <c r="H21" s="282">
        <v>1</v>
      </c>
      <c r="I21" s="99"/>
      <c r="J21" s="99"/>
      <c r="K21" s="99">
        <v>117.24</v>
      </c>
      <c r="L21" s="98">
        <f t="shared" si="36"/>
        <v>117.24</v>
      </c>
      <c r="M21" s="95"/>
      <c r="N21" s="95">
        <v>0</v>
      </c>
      <c r="O21" s="95">
        <v>0</v>
      </c>
      <c r="P21" s="95">
        <v>0</v>
      </c>
      <c r="Q21" s="243">
        <f t="shared" si="15"/>
        <v>0</v>
      </c>
      <c r="R21" s="98">
        <f t="shared" si="16"/>
        <v>0</v>
      </c>
      <c r="S21" s="99">
        <v>0</v>
      </c>
      <c r="T21" s="99">
        <v>0</v>
      </c>
      <c r="U21" s="98">
        <f t="shared" si="17"/>
        <v>0</v>
      </c>
      <c r="V21" s="99">
        <v>0</v>
      </c>
      <c r="W21" s="99">
        <v>0</v>
      </c>
      <c r="X21" s="98">
        <f t="shared" si="18"/>
        <v>0</v>
      </c>
      <c r="Y21" s="99">
        <v>0</v>
      </c>
      <c r="Z21" s="99">
        <v>0</v>
      </c>
      <c r="AA21" s="98">
        <f t="shared" si="19"/>
        <v>0</v>
      </c>
      <c r="AB21" s="98">
        <f t="shared" si="20"/>
        <v>0</v>
      </c>
      <c r="AC21" s="244">
        <f t="shared" si="21"/>
        <v>0</v>
      </c>
      <c r="AD21" s="98">
        <f t="shared" si="22"/>
        <v>0</v>
      </c>
      <c r="AE21" s="99">
        <v>0</v>
      </c>
      <c r="AF21" s="244">
        <f t="shared" si="23"/>
        <v>0</v>
      </c>
      <c r="AG21" s="99">
        <v>0</v>
      </c>
      <c r="AH21" s="99"/>
      <c r="AI21" s="99"/>
      <c r="AJ21" s="99"/>
      <c r="AK21" s="99"/>
      <c r="AL21" s="128">
        <f t="shared" si="24"/>
        <v>3.2097039866316543</v>
      </c>
      <c r="AM21" s="99">
        <v>0</v>
      </c>
      <c r="AN21" s="100">
        <f t="shared" si="25"/>
        <v>0</v>
      </c>
      <c r="AO21" s="101">
        <f t="shared" si="26"/>
        <v>-3.2097039866316543</v>
      </c>
      <c r="AP21" s="102"/>
      <c r="AQ21" s="103">
        <f t="shared" si="8"/>
        <v>0</v>
      </c>
      <c r="AR21" s="104">
        <f t="shared" ref="AR21:AR98" si="37">K21</f>
        <v>117.24</v>
      </c>
      <c r="AS21" s="104">
        <f t="shared" si="10"/>
        <v>0</v>
      </c>
      <c r="AT21" s="104">
        <f t="shared" si="11"/>
        <v>0</v>
      </c>
      <c r="AU21" s="104">
        <f t="shared" si="27"/>
        <v>0</v>
      </c>
      <c r="AV21" s="104">
        <f t="array" ref="AV21">_xlfn.IFS(U21=0,AO21,U21&lt;0,AO21/-U21,U21&gt;0,AO21/U21)</f>
        <v>-3.2097039866316543</v>
      </c>
      <c r="AW21" s="244">
        <f t="shared" si="34"/>
        <v>0</v>
      </c>
      <c r="AX21" s="244">
        <f t="shared" si="35"/>
        <v>-2.7377209029611518E-2</v>
      </c>
      <c r="AY21" s="105"/>
      <c r="AZ21" s="100">
        <f t="shared" si="14"/>
        <v>-3.2097039866316543</v>
      </c>
    </row>
    <row r="22" spans="1:52" outlineLevel="1">
      <c r="A22" s="95" t="s">
        <v>124</v>
      </c>
      <c r="B22" s="96">
        <v>335388404</v>
      </c>
      <c r="C22" s="96" t="s">
        <v>144</v>
      </c>
      <c r="D22" s="97" t="s">
        <v>84</v>
      </c>
      <c r="E22" s="242">
        <f t="shared" si="32"/>
        <v>3</v>
      </c>
      <c r="F22" s="99"/>
      <c r="G22" s="99"/>
      <c r="H22" s="282">
        <v>3</v>
      </c>
      <c r="I22" s="99"/>
      <c r="J22" s="99"/>
      <c r="K22" s="99">
        <v>117.24</v>
      </c>
      <c r="L22" s="98">
        <f t="shared" si="36"/>
        <v>351.71999999999997</v>
      </c>
      <c r="M22" s="95"/>
      <c r="N22" s="95">
        <v>2</v>
      </c>
      <c r="O22" s="95">
        <v>858</v>
      </c>
      <c r="P22" s="95">
        <v>0</v>
      </c>
      <c r="Q22" s="243">
        <f t="shared" si="15"/>
        <v>6.25E-2</v>
      </c>
      <c r="R22" s="98">
        <f t="shared" si="16"/>
        <v>0</v>
      </c>
      <c r="S22" s="99">
        <v>0</v>
      </c>
      <c r="T22" s="99">
        <v>0</v>
      </c>
      <c r="U22" s="98">
        <f t="shared" si="17"/>
        <v>0</v>
      </c>
      <c r="V22" s="99">
        <v>0</v>
      </c>
      <c r="W22" s="99">
        <v>0</v>
      </c>
      <c r="X22" s="98">
        <f t="shared" si="18"/>
        <v>0</v>
      </c>
      <c r="Y22" s="99">
        <v>0</v>
      </c>
      <c r="Z22" s="99">
        <v>0</v>
      </c>
      <c r="AA22" s="98">
        <f t="shared" si="19"/>
        <v>0</v>
      </c>
      <c r="AB22" s="98">
        <f t="shared" si="20"/>
        <v>0</v>
      </c>
      <c r="AC22" s="244">
        <f t="shared" si="21"/>
        <v>0</v>
      </c>
      <c r="AD22" s="98">
        <f t="shared" si="22"/>
        <v>0</v>
      </c>
      <c r="AE22" s="99">
        <v>0</v>
      </c>
      <c r="AF22" s="244">
        <f t="shared" si="23"/>
        <v>0</v>
      </c>
      <c r="AG22" s="99">
        <v>96.4</v>
      </c>
      <c r="AH22" s="99"/>
      <c r="AI22" s="99"/>
      <c r="AJ22" s="99"/>
      <c r="AK22" s="99"/>
      <c r="AL22" s="128">
        <f t="shared" si="24"/>
        <v>9.6291119598949617</v>
      </c>
      <c r="AM22" s="99">
        <v>0</v>
      </c>
      <c r="AN22" s="100">
        <f t="shared" si="25"/>
        <v>0</v>
      </c>
      <c r="AO22" s="101">
        <f t="shared" si="26"/>
        <v>-106.02911195989496</v>
      </c>
      <c r="AP22" s="102"/>
      <c r="AQ22" s="103">
        <f t="shared" si="8"/>
        <v>0</v>
      </c>
      <c r="AR22" s="104">
        <f t="shared" si="37"/>
        <v>117.24</v>
      </c>
      <c r="AS22" s="104">
        <f t="shared" si="10"/>
        <v>0</v>
      </c>
      <c r="AT22" s="104">
        <f t="shared" si="11"/>
        <v>96.4</v>
      </c>
      <c r="AU22" s="104">
        <f t="shared" si="27"/>
        <v>0</v>
      </c>
      <c r="AV22" s="104">
        <f t="array" ref="AV22">_xlfn.IFS(U22=0,AO22,U22&lt;0,AO22/-U22,U22&gt;0,AO22/U22)</f>
        <v>-106.02911195989496</v>
      </c>
      <c r="AW22" s="244">
        <f t="shared" si="34"/>
        <v>0</v>
      </c>
      <c r="AX22" s="244">
        <f t="shared" si="35"/>
        <v>-0.90437659467668852</v>
      </c>
      <c r="AY22" s="105"/>
      <c r="AZ22" s="100">
        <f t="shared" si="14"/>
        <v>-318.08733587968487</v>
      </c>
    </row>
    <row r="23" spans="1:52" outlineLevel="1">
      <c r="A23" s="95" t="s">
        <v>124</v>
      </c>
      <c r="B23" s="96">
        <v>335389672</v>
      </c>
      <c r="C23" s="96" t="s">
        <v>145</v>
      </c>
      <c r="D23" s="97" t="s">
        <v>84</v>
      </c>
      <c r="E23" s="242">
        <f t="shared" si="32"/>
        <v>0</v>
      </c>
      <c r="F23" s="99"/>
      <c r="G23" s="99"/>
      <c r="H23" s="282">
        <v>0</v>
      </c>
      <c r="I23" s="99"/>
      <c r="J23" s="99"/>
      <c r="K23" s="99">
        <v>117.24</v>
      </c>
      <c r="L23" s="98">
        <f t="shared" si="36"/>
        <v>0</v>
      </c>
      <c r="M23" s="95"/>
      <c r="N23" s="95">
        <v>0</v>
      </c>
      <c r="O23" s="95">
        <v>0</v>
      </c>
      <c r="P23" s="95">
        <v>0</v>
      </c>
      <c r="Q23" s="243">
        <f t="shared" si="15"/>
        <v>0</v>
      </c>
      <c r="R23" s="98">
        <f t="shared" si="16"/>
        <v>0</v>
      </c>
      <c r="S23" s="99">
        <v>0</v>
      </c>
      <c r="T23" s="99">
        <v>0</v>
      </c>
      <c r="U23" s="98">
        <f t="shared" si="17"/>
        <v>0</v>
      </c>
      <c r="V23" s="99">
        <v>0</v>
      </c>
      <c r="W23" s="99">
        <v>0</v>
      </c>
      <c r="X23" s="98">
        <f t="shared" si="18"/>
        <v>0</v>
      </c>
      <c r="Y23" s="99">
        <v>0</v>
      </c>
      <c r="Z23" s="99">
        <v>0</v>
      </c>
      <c r="AA23" s="98">
        <f t="shared" si="19"/>
        <v>0</v>
      </c>
      <c r="AB23" s="98">
        <f t="shared" si="20"/>
        <v>0</v>
      </c>
      <c r="AC23" s="244">
        <f t="shared" si="21"/>
        <v>0</v>
      </c>
      <c r="AD23" s="98">
        <f t="shared" si="22"/>
        <v>0</v>
      </c>
      <c r="AE23" s="99">
        <v>0</v>
      </c>
      <c r="AF23" s="244">
        <f t="shared" si="23"/>
        <v>0</v>
      </c>
      <c r="AG23" s="99">
        <v>0</v>
      </c>
      <c r="AH23" s="99"/>
      <c r="AI23" s="99"/>
      <c r="AJ23" s="99"/>
      <c r="AK23" s="99"/>
      <c r="AL23" s="128">
        <f t="shared" si="24"/>
        <v>0</v>
      </c>
      <c r="AM23" s="99">
        <v>0</v>
      </c>
      <c r="AN23" s="100">
        <f t="shared" si="25"/>
        <v>0</v>
      </c>
      <c r="AO23" s="101">
        <f t="shared" si="26"/>
        <v>0</v>
      </c>
      <c r="AP23" s="102"/>
      <c r="AQ23" s="103">
        <f t="shared" si="8"/>
        <v>0</v>
      </c>
      <c r="AR23" s="104">
        <f t="shared" si="37"/>
        <v>117.24</v>
      </c>
      <c r="AS23" s="104">
        <f t="shared" si="10"/>
        <v>0</v>
      </c>
      <c r="AT23" s="104">
        <f t="shared" si="11"/>
        <v>0</v>
      </c>
      <c r="AU23" s="104">
        <f t="shared" si="27"/>
        <v>0</v>
      </c>
      <c r="AV23" s="104">
        <f t="array" ref="AV23">_xlfn.IFS(U23=0,AO23,U23&lt;0,AO23/-U23,U23&gt;0,AO23/U23)</f>
        <v>0</v>
      </c>
      <c r="AW23" s="244">
        <f t="shared" si="34"/>
        <v>0</v>
      </c>
      <c r="AX23" s="244">
        <f t="shared" si="35"/>
        <v>0</v>
      </c>
      <c r="AY23" s="105"/>
      <c r="AZ23" s="100">
        <f t="shared" si="14"/>
        <v>0</v>
      </c>
    </row>
    <row r="24" spans="1:52" outlineLevel="1">
      <c r="A24" s="95" t="s">
        <v>124</v>
      </c>
      <c r="B24" s="96">
        <v>335389846</v>
      </c>
      <c r="C24" s="96" t="s">
        <v>146</v>
      </c>
      <c r="D24" s="97" t="s">
        <v>84</v>
      </c>
      <c r="E24" s="242">
        <f t="shared" si="32"/>
        <v>0</v>
      </c>
      <c r="F24" s="99"/>
      <c r="G24" s="99"/>
      <c r="H24" s="282" t="s">
        <v>100</v>
      </c>
      <c r="I24" s="99"/>
      <c r="J24" s="99"/>
      <c r="K24" s="99">
        <v>117.24</v>
      </c>
      <c r="L24" s="98">
        <f t="shared" si="36"/>
        <v>0</v>
      </c>
      <c r="M24" s="95"/>
      <c r="N24" s="95">
        <v>3</v>
      </c>
      <c r="O24" s="95">
        <v>931</v>
      </c>
      <c r="P24" s="95">
        <v>67</v>
      </c>
      <c r="Q24" s="243">
        <f t="shared" si="15"/>
        <v>9.375E-2</v>
      </c>
      <c r="R24" s="98">
        <f t="shared" si="16"/>
        <v>0.125</v>
      </c>
      <c r="S24" s="99">
        <v>4</v>
      </c>
      <c r="T24" s="99">
        <v>0</v>
      </c>
      <c r="U24" s="98">
        <f t="shared" si="17"/>
        <v>4</v>
      </c>
      <c r="V24" s="99">
        <v>3006</v>
      </c>
      <c r="W24" s="99">
        <v>0</v>
      </c>
      <c r="X24" s="98">
        <f t="shared" si="18"/>
        <v>3006</v>
      </c>
      <c r="Y24" s="99">
        <v>3792</v>
      </c>
      <c r="Z24" s="99">
        <v>0</v>
      </c>
      <c r="AA24" s="98">
        <f t="shared" si="19"/>
        <v>3792</v>
      </c>
      <c r="AB24" s="98">
        <f t="shared" si="20"/>
        <v>1871.31</v>
      </c>
      <c r="AC24" s="244">
        <f t="shared" si="21"/>
        <v>1.6890304182351999E-3</v>
      </c>
      <c r="AD24" s="98">
        <f t="shared" si="22"/>
        <v>468.96</v>
      </c>
      <c r="AE24" s="99">
        <v>1419.44</v>
      </c>
      <c r="AF24" s="244">
        <f t="shared" si="23"/>
        <v>0.37432489451476797</v>
      </c>
      <c r="AG24" s="99">
        <v>387.19</v>
      </c>
      <c r="AH24" s="99"/>
      <c r="AI24" s="99"/>
      <c r="AJ24" s="99"/>
      <c r="AK24" s="99"/>
      <c r="AL24" s="128">
        <f t="shared" si="24"/>
        <v>0</v>
      </c>
      <c r="AM24" s="99">
        <v>0</v>
      </c>
      <c r="AN24" s="100">
        <f t="shared" si="25"/>
        <v>171.64259999999999</v>
      </c>
      <c r="AO24" s="101">
        <f t="shared" si="26"/>
        <v>1344.7674</v>
      </c>
      <c r="AP24" s="102"/>
      <c r="AQ24" s="103">
        <f t="shared" si="8"/>
        <v>948</v>
      </c>
      <c r="AR24" s="104">
        <f t="shared" si="37"/>
        <v>117.24</v>
      </c>
      <c r="AS24" s="104">
        <f t="shared" si="10"/>
        <v>354.86</v>
      </c>
      <c r="AT24" s="104">
        <f t="shared" si="11"/>
        <v>96.797499999999999</v>
      </c>
      <c r="AU24" s="104">
        <f t="shared" si="27"/>
        <v>0</v>
      </c>
      <c r="AV24" s="104">
        <f t="array" ref="AV24">_xlfn.IFS(U24=0,AO24,U24&lt;0,AO24/-U24,U24&gt;0,AO24/U24)</f>
        <v>336.19184999999999</v>
      </c>
      <c r="AW24" s="244">
        <f t="shared" si="34"/>
        <v>0.35463275316455695</v>
      </c>
      <c r="AX24" s="244">
        <f t="shared" si="35"/>
        <v>2.8675524564994883</v>
      </c>
      <c r="AY24" s="105"/>
      <c r="AZ24" s="100">
        <f t="shared" si="14"/>
        <v>0</v>
      </c>
    </row>
    <row r="25" spans="1:52" outlineLevel="1">
      <c r="A25" s="95" t="s">
        <v>124</v>
      </c>
      <c r="B25" s="96">
        <v>335390038</v>
      </c>
      <c r="C25" s="96" t="s">
        <v>147</v>
      </c>
      <c r="D25" s="97" t="s">
        <v>84</v>
      </c>
      <c r="E25" s="242">
        <f t="shared" si="32"/>
        <v>11</v>
      </c>
      <c r="F25" s="99"/>
      <c r="G25" s="99"/>
      <c r="H25" s="282">
        <v>11</v>
      </c>
      <c r="I25" s="99"/>
      <c r="J25" s="99"/>
      <c r="K25" s="99">
        <v>117.24</v>
      </c>
      <c r="L25" s="98">
        <f t="shared" si="36"/>
        <v>1289.6399999999999</v>
      </c>
      <c r="M25" s="95"/>
      <c r="N25" s="95">
        <v>8</v>
      </c>
      <c r="O25" s="95">
        <v>923</v>
      </c>
      <c r="P25" s="95">
        <v>100</v>
      </c>
      <c r="Q25" s="243">
        <f t="shared" si="15"/>
        <v>0.25</v>
      </c>
      <c r="R25" s="98">
        <f t="shared" si="16"/>
        <v>0.15625</v>
      </c>
      <c r="S25" s="99">
        <v>5</v>
      </c>
      <c r="T25" s="99">
        <v>0</v>
      </c>
      <c r="U25" s="98">
        <f t="shared" si="17"/>
        <v>5</v>
      </c>
      <c r="V25" s="99">
        <v>3318.98</v>
      </c>
      <c r="W25" s="99">
        <v>0</v>
      </c>
      <c r="X25" s="98">
        <f t="shared" si="18"/>
        <v>3318.98</v>
      </c>
      <c r="Y25" s="99">
        <v>4629.7700000000004</v>
      </c>
      <c r="Z25" s="99">
        <v>0</v>
      </c>
      <c r="AA25" s="98">
        <f t="shared" si="19"/>
        <v>4629.7700000000004</v>
      </c>
      <c r="AB25" s="98">
        <f t="shared" si="20"/>
        <v>7384</v>
      </c>
      <c r="AC25" s="244">
        <f t="shared" si="21"/>
        <v>2.0621894407786873E-3</v>
      </c>
      <c r="AD25" s="98">
        <f t="shared" si="22"/>
        <v>586.19999999999993</v>
      </c>
      <c r="AE25" s="99">
        <v>1730.5700000000006</v>
      </c>
      <c r="AF25" s="244">
        <f t="shared" si="23"/>
        <v>0.37379178663302937</v>
      </c>
      <c r="AG25" s="99">
        <v>334.42</v>
      </c>
      <c r="AH25" s="99"/>
      <c r="AI25" s="99"/>
      <c r="AJ25" s="99"/>
      <c r="AK25" s="99"/>
      <c r="AL25" s="128">
        <f t="shared" si="24"/>
        <v>35.306743852948195</v>
      </c>
      <c r="AM25" s="99">
        <v>0</v>
      </c>
      <c r="AN25" s="100">
        <f t="shared" si="25"/>
        <v>189.513758</v>
      </c>
      <c r="AO25" s="101">
        <f t="shared" si="26"/>
        <v>1753.7594981470518</v>
      </c>
      <c r="AP25" s="102"/>
      <c r="AQ25" s="103">
        <f t="shared" si="8"/>
        <v>925.95400000000006</v>
      </c>
      <c r="AR25" s="104">
        <f t="shared" si="37"/>
        <v>117.24</v>
      </c>
      <c r="AS25" s="104">
        <f t="shared" si="10"/>
        <v>346.11400000000015</v>
      </c>
      <c r="AT25" s="104">
        <f t="shared" si="11"/>
        <v>66.884</v>
      </c>
      <c r="AU25" s="104">
        <f t="shared" si="27"/>
        <v>0</v>
      </c>
      <c r="AV25" s="104">
        <f t="array" ref="AV25">_xlfn.IFS(U25=0,AO25,U25&lt;0,AO25/-U25,U25&gt;0,AO25/U25)</f>
        <v>350.75189962941033</v>
      </c>
      <c r="AW25" s="244">
        <f t="shared" si="34"/>
        <v>0.37880056636659087</v>
      </c>
      <c r="AX25" s="244">
        <f t="shared" si="35"/>
        <v>2.9917425761635137</v>
      </c>
      <c r="AY25" s="105"/>
      <c r="AZ25" s="100">
        <f t="shared" si="14"/>
        <v>3858.2708959235138</v>
      </c>
    </row>
    <row r="26" spans="1:52" outlineLevel="1">
      <c r="A26" s="95" t="s">
        <v>124</v>
      </c>
      <c r="B26" s="96">
        <v>207984026</v>
      </c>
      <c r="C26" s="96" t="s">
        <v>148</v>
      </c>
      <c r="D26" s="97" t="s">
        <v>84</v>
      </c>
      <c r="E26" s="242">
        <f t="shared" si="32"/>
        <v>409</v>
      </c>
      <c r="F26" s="99"/>
      <c r="G26" s="99"/>
      <c r="H26" s="282">
        <v>409</v>
      </c>
      <c r="I26" s="99"/>
      <c r="J26" s="99"/>
      <c r="K26" s="99">
        <v>123.09</v>
      </c>
      <c r="L26" s="98">
        <f t="shared" si="36"/>
        <v>50343.810000000005</v>
      </c>
      <c r="M26" s="95"/>
      <c r="N26" s="95">
        <v>127</v>
      </c>
      <c r="O26" s="95">
        <v>729</v>
      </c>
      <c r="P26" s="95">
        <v>30</v>
      </c>
      <c r="Q26" s="243">
        <f t="shared" si="15"/>
        <v>3.96875</v>
      </c>
      <c r="R26" s="98">
        <f t="shared" si="16"/>
        <v>0.6875</v>
      </c>
      <c r="S26" s="99">
        <v>23</v>
      </c>
      <c r="T26" s="99">
        <v>-1</v>
      </c>
      <c r="U26" s="98">
        <f t="shared" si="17"/>
        <v>22</v>
      </c>
      <c r="V26" s="99">
        <v>12539</v>
      </c>
      <c r="W26" s="99">
        <v>-595</v>
      </c>
      <c r="X26" s="98">
        <f t="shared" si="18"/>
        <v>11944</v>
      </c>
      <c r="Y26" s="99">
        <v>17077</v>
      </c>
      <c r="Z26" s="99">
        <v>-749</v>
      </c>
      <c r="AA26" s="98">
        <f t="shared" si="19"/>
        <v>16328</v>
      </c>
      <c r="AB26" s="98">
        <f t="shared" si="20"/>
        <v>27774.9</v>
      </c>
      <c r="AC26" s="244">
        <f t="shared" si="21"/>
        <v>7.2728081932870109E-3</v>
      </c>
      <c r="AD26" s="98">
        <f t="shared" si="22"/>
        <v>2707.98</v>
      </c>
      <c r="AE26" s="99">
        <v>6139.9299999999976</v>
      </c>
      <c r="AF26" s="244">
        <f t="shared" si="23"/>
        <v>0.37603686918177348</v>
      </c>
      <c r="AG26" s="99">
        <v>7111.2799999999988</v>
      </c>
      <c r="AH26" s="99">
        <v>1000</v>
      </c>
      <c r="AI26" s="99">
        <f>292+9708</f>
        <v>10000</v>
      </c>
      <c r="AJ26" s="99"/>
      <c r="AK26" s="99"/>
      <c r="AL26" s="128">
        <f t="shared" si="24"/>
        <v>1312.7689305323465</v>
      </c>
      <c r="AM26" s="99">
        <v>0</v>
      </c>
      <c r="AN26" s="100">
        <f t="shared" si="25"/>
        <v>682.00239999999997</v>
      </c>
      <c r="AO26" s="101">
        <f t="shared" si="26"/>
        <v>-12625.961330532342</v>
      </c>
      <c r="AP26" s="102"/>
      <c r="AQ26" s="103">
        <f t="shared" si="8"/>
        <v>742.18181818181813</v>
      </c>
      <c r="AR26" s="104">
        <f t="shared" si="37"/>
        <v>123.09</v>
      </c>
      <c r="AS26" s="104">
        <f t="shared" si="10"/>
        <v>279.08772727272714</v>
      </c>
      <c r="AT26" s="104">
        <f t="shared" si="11"/>
        <v>309.18608695652171</v>
      </c>
      <c r="AU26" s="104">
        <f t="shared" si="27"/>
        <v>478.26086956521738</v>
      </c>
      <c r="AV26" s="104">
        <f t="array" ref="AV26">_xlfn.IFS(U26=0,AO26,U26&lt;0,AO26/-U26,U26&gt;0,AO26/U26)</f>
        <v>-573.90733320601555</v>
      </c>
      <c r="AW26" s="244">
        <f t="shared" si="34"/>
        <v>-0.77327053714676275</v>
      </c>
      <c r="AX26" s="244">
        <f t="shared" si="35"/>
        <v>-4.6625016914941551</v>
      </c>
      <c r="AY26" s="105"/>
      <c r="AZ26" s="100">
        <f t="shared" si="14"/>
        <v>-234728.09928126037</v>
      </c>
    </row>
    <row r="27" spans="1:52" outlineLevel="1">
      <c r="A27" s="95" t="s">
        <v>124</v>
      </c>
      <c r="B27" s="96">
        <v>207984027</v>
      </c>
      <c r="C27" s="96" t="s">
        <v>149</v>
      </c>
      <c r="D27" s="97" t="s">
        <v>84</v>
      </c>
      <c r="E27" s="242">
        <f t="shared" si="32"/>
        <v>74</v>
      </c>
      <c r="F27" s="99"/>
      <c r="G27" s="99"/>
      <c r="H27" s="282">
        <v>74</v>
      </c>
      <c r="I27" s="99"/>
      <c r="J27" s="99"/>
      <c r="K27" s="99">
        <v>181.59</v>
      </c>
      <c r="L27" s="98">
        <f t="shared" si="36"/>
        <v>13437.66</v>
      </c>
      <c r="M27" s="95"/>
      <c r="N27" s="95">
        <v>5</v>
      </c>
      <c r="O27" s="95">
        <v>484</v>
      </c>
      <c r="P27" s="95">
        <v>40</v>
      </c>
      <c r="Q27" s="243">
        <f t="shared" si="15"/>
        <v>0.15625</v>
      </c>
      <c r="R27" s="98">
        <f t="shared" si="16"/>
        <v>3.125E-2</v>
      </c>
      <c r="S27" s="99">
        <v>1</v>
      </c>
      <c r="T27" s="99">
        <v>0</v>
      </c>
      <c r="U27" s="98">
        <f t="shared" si="17"/>
        <v>1</v>
      </c>
      <c r="V27" s="99">
        <v>363</v>
      </c>
      <c r="W27" s="99">
        <v>0</v>
      </c>
      <c r="X27" s="98">
        <f t="shared" si="18"/>
        <v>363</v>
      </c>
      <c r="Y27" s="99">
        <v>478</v>
      </c>
      <c r="Z27" s="99">
        <v>0</v>
      </c>
      <c r="AA27" s="98">
        <f t="shared" si="19"/>
        <v>478</v>
      </c>
      <c r="AB27" s="98">
        <f t="shared" si="20"/>
        <v>968</v>
      </c>
      <c r="AC27" s="244">
        <f t="shared" si="21"/>
        <v>2.1291047993576625E-4</v>
      </c>
      <c r="AD27" s="98">
        <f t="shared" si="22"/>
        <v>181.59</v>
      </c>
      <c r="AE27" s="99">
        <v>180.3</v>
      </c>
      <c r="AF27" s="244">
        <f t="shared" si="23"/>
        <v>0.37719665271966529</v>
      </c>
      <c r="AG27" s="99">
        <v>427.28</v>
      </c>
      <c r="AH27" s="99"/>
      <c r="AI27" s="99"/>
      <c r="AJ27" s="99"/>
      <c r="AK27" s="99"/>
      <c r="AL27" s="128">
        <f t="shared" si="24"/>
        <v>237.5180950107424</v>
      </c>
      <c r="AM27" s="99">
        <v>0</v>
      </c>
      <c r="AN27" s="100">
        <f t="shared" si="25"/>
        <v>20.7273</v>
      </c>
      <c r="AO27" s="101">
        <f t="shared" si="26"/>
        <v>-569.41539501074249</v>
      </c>
      <c r="AP27" s="102"/>
      <c r="AQ27" s="103">
        <f t="shared" si="8"/>
        <v>478</v>
      </c>
      <c r="AR27" s="104">
        <f t="shared" si="37"/>
        <v>181.59</v>
      </c>
      <c r="AS27" s="104">
        <f t="shared" si="10"/>
        <v>180.3</v>
      </c>
      <c r="AT27" s="104">
        <f t="shared" si="11"/>
        <v>427.28</v>
      </c>
      <c r="AU27" s="104">
        <f t="shared" si="27"/>
        <v>0</v>
      </c>
      <c r="AV27" s="104">
        <f t="array" ref="AV27">_xlfn.IFS(U27=0,AO27,U27&lt;0,AO27/-U27,U27&gt;0,AO27/U27)</f>
        <v>-569.41539501074249</v>
      </c>
      <c r="AW27" s="244">
        <f t="shared" si="34"/>
        <v>-1.1912455962567834</v>
      </c>
      <c r="AX27" s="244">
        <f t="shared" si="35"/>
        <v>-3.1357200011605402</v>
      </c>
      <c r="AY27" s="105"/>
      <c r="AZ27" s="100">
        <f t="shared" si="14"/>
        <v>-42136.739230794941</v>
      </c>
    </row>
    <row r="28" spans="1:52" outlineLevel="1">
      <c r="A28" s="95" t="s">
        <v>124</v>
      </c>
      <c r="B28" s="96">
        <v>207984028</v>
      </c>
      <c r="C28" s="96" t="s">
        <v>150</v>
      </c>
      <c r="D28" s="97" t="s">
        <v>84</v>
      </c>
      <c r="E28" s="242">
        <f t="shared" ref="E28" si="38">SUM(F28:J28)</f>
        <v>763</v>
      </c>
      <c r="F28" s="99"/>
      <c r="G28" s="99"/>
      <c r="H28" s="282">
        <v>763</v>
      </c>
      <c r="I28" s="99"/>
      <c r="J28" s="99"/>
      <c r="K28" s="99">
        <v>133.62</v>
      </c>
      <c r="L28" s="98">
        <f t="shared" si="36"/>
        <v>101952.06</v>
      </c>
      <c r="M28" s="95"/>
      <c r="N28" s="95">
        <v>224</v>
      </c>
      <c r="O28" s="95">
        <v>1091</v>
      </c>
      <c r="P28" s="95">
        <v>43</v>
      </c>
      <c r="Q28" s="243">
        <f t="shared" si="15"/>
        <v>7</v>
      </c>
      <c r="R28" s="98">
        <f t="shared" si="16"/>
        <v>1.9375</v>
      </c>
      <c r="S28" s="99">
        <v>63</v>
      </c>
      <c r="T28" s="99">
        <v>-1</v>
      </c>
      <c r="U28" s="98">
        <f t="shared" si="17"/>
        <v>62</v>
      </c>
      <c r="V28" s="99">
        <v>50175.25</v>
      </c>
      <c r="W28" s="99">
        <v>-669</v>
      </c>
      <c r="X28" s="98">
        <f t="shared" si="18"/>
        <v>49506.25</v>
      </c>
      <c r="Y28" s="99">
        <v>68107.839999999997</v>
      </c>
      <c r="Z28" s="99">
        <v>-1018</v>
      </c>
      <c r="AA28" s="98">
        <f t="shared" si="19"/>
        <v>67089.84</v>
      </c>
      <c r="AB28" s="98">
        <f t="shared" si="20"/>
        <v>105085.12</v>
      </c>
      <c r="AC28" s="244">
        <f t="shared" si="21"/>
        <v>2.9883117224296582E-2</v>
      </c>
      <c r="AD28" s="98">
        <f t="shared" si="22"/>
        <v>8284.44</v>
      </c>
      <c r="AE28" s="99">
        <v>24438.289999999961</v>
      </c>
      <c r="AF28" s="244">
        <f t="shared" si="23"/>
        <v>0.36426215951625407</v>
      </c>
      <c r="AG28" s="99">
        <v>13260.179999999993</v>
      </c>
      <c r="AH28" s="99">
        <v>2239</v>
      </c>
      <c r="AI28" s="99">
        <f>1166+22498</f>
        <v>23664</v>
      </c>
      <c r="AJ28" s="99"/>
      <c r="AK28" s="99"/>
      <c r="AL28" s="128">
        <f t="shared" si="24"/>
        <v>2449.0041417999523</v>
      </c>
      <c r="AM28" s="99">
        <v>0</v>
      </c>
      <c r="AN28" s="100">
        <f t="shared" si="25"/>
        <v>2826.8068749999998</v>
      </c>
      <c r="AO28" s="101">
        <f t="shared" si="26"/>
        <v>-10071.881016799916</v>
      </c>
      <c r="AP28" s="102"/>
      <c r="AQ28" s="103">
        <f t="shared" si="8"/>
        <v>1082.094193548387</v>
      </c>
      <c r="AR28" s="104">
        <f t="shared" si="37"/>
        <v>133.62</v>
      </c>
      <c r="AS28" s="104">
        <f t="shared" si="10"/>
        <v>394.16596774193488</v>
      </c>
      <c r="AT28" s="104">
        <f t="shared" si="11"/>
        <v>210.47904761904752</v>
      </c>
      <c r="AU28" s="104">
        <f t="shared" si="27"/>
        <v>411.15873015873018</v>
      </c>
      <c r="AV28" s="104">
        <f>_xlfn.IFS(U28=0,AO28,U28&lt;0,AO28/-U28,U28&gt;0,AO28/U28)</f>
        <v>-162.44969381935348</v>
      </c>
      <c r="AW28" s="244">
        <f t="shared" si="34"/>
        <v>-0.15012528002451514</v>
      </c>
      <c r="AX28" s="244">
        <f t="shared" si="35"/>
        <v>-1.2157588221774696</v>
      </c>
      <c r="AY28" s="105"/>
      <c r="AZ28" s="100">
        <f t="shared" si="14"/>
        <v>-123949.11638416671</v>
      </c>
    </row>
    <row r="29" spans="1:52" outlineLevel="1">
      <c r="A29" s="95" t="s">
        <v>124</v>
      </c>
      <c r="B29" s="96">
        <v>207984029</v>
      </c>
      <c r="C29" s="96" t="s">
        <v>151</v>
      </c>
      <c r="D29" s="97" t="s">
        <v>84</v>
      </c>
      <c r="E29" s="242">
        <f>SUM(F29:J29)</f>
        <v>2</v>
      </c>
      <c r="F29" s="99"/>
      <c r="G29" s="99"/>
      <c r="H29" s="282">
        <v>2</v>
      </c>
      <c r="I29" s="99"/>
      <c r="J29" s="99"/>
      <c r="K29" s="99">
        <v>111.39</v>
      </c>
      <c r="L29" s="98">
        <f>E29*K29</f>
        <v>222.78</v>
      </c>
      <c r="M29" s="95"/>
      <c r="N29" s="95">
        <v>5</v>
      </c>
      <c r="O29" s="95">
        <v>496</v>
      </c>
      <c r="P29" s="95">
        <v>40</v>
      </c>
      <c r="Q29" s="243">
        <f t="shared" si="15"/>
        <v>0.15625</v>
      </c>
      <c r="R29" s="98">
        <f t="shared" si="16"/>
        <v>3.125E-2</v>
      </c>
      <c r="S29" s="99">
        <v>1</v>
      </c>
      <c r="T29" s="99">
        <v>0</v>
      </c>
      <c r="U29" s="98">
        <f t="shared" si="17"/>
        <v>1</v>
      </c>
      <c r="V29" s="99">
        <v>408</v>
      </c>
      <c r="W29" s="99">
        <v>0</v>
      </c>
      <c r="X29" s="98">
        <f t="shared" si="18"/>
        <v>408</v>
      </c>
      <c r="Y29" s="99">
        <v>508</v>
      </c>
      <c r="Z29" s="99">
        <v>0</v>
      </c>
      <c r="AA29" s="98">
        <f t="shared" si="19"/>
        <v>508</v>
      </c>
      <c r="AB29" s="98">
        <f t="shared" si="20"/>
        <v>992</v>
      </c>
      <c r="AC29" s="244">
        <f t="shared" si="21"/>
        <v>2.2627306235851308E-4</v>
      </c>
      <c r="AD29" s="98">
        <f t="shared" si="22"/>
        <v>111.39</v>
      </c>
      <c r="AE29" s="99">
        <v>192.32999999999998</v>
      </c>
      <c r="AF29" s="244">
        <f t="shared" si="23"/>
        <v>0.37860236220472437</v>
      </c>
      <c r="AG29" s="99">
        <v>351.62</v>
      </c>
      <c r="AH29" s="99"/>
      <c r="AI29" s="99"/>
      <c r="AJ29" s="99"/>
      <c r="AK29" s="99"/>
      <c r="AL29" s="128">
        <f t="shared" si="24"/>
        <v>6.4194079732633087</v>
      </c>
      <c r="AM29" s="99">
        <v>0</v>
      </c>
      <c r="AN29" s="100">
        <f t="shared" si="25"/>
        <v>23.296799999999998</v>
      </c>
      <c r="AO29" s="101">
        <f t="shared" si="26"/>
        <v>-177.05620797326327</v>
      </c>
      <c r="AP29" s="102"/>
      <c r="AQ29" s="103">
        <f t="shared" si="8"/>
        <v>508</v>
      </c>
      <c r="AR29" s="104">
        <f t="shared" si="37"/>
        <v>111.39</v>
      </c>
      <c r="AS29" s="104">
        <f t="shared" si="10"/>
        <v>192.32999999999998</v>
      </c>
      <c r="AT29" s="104">
        <f t="shared" si="11"/>
        <v>351.62</v>
      </c>
      <c r="AU29" s="104">
        <f t="shared" si="27"/>
        <v>0</v>
      </c>
      <c r="AV29" s="104">
        <f t="array" ref="AV29">_xlfn.IFS(U29=0,AO29,U29&lt;0,AO29/-U29,U29&gt;0,AO29/U29)</f>
        <v>-177.05620797326327</v>
      </c>
      <c r="AW29" s="244">
        <f>IF(AQ29=0,0,AV29/AQ29)</f>
        <v>-0.34853584246705366</v>
      </c>
      <c r="AX29" s="244">
        <f>IF(AR29=0,0,AV29/AR29)</f>
        <v>-1.5895161861321776</v>
      </c>
      <c r="AY29" s="105"/>
      <c r="AZ29" s="100">
        <f t="shared" si="14"/>
        <v>-354.11241594652654</v>
      </c>
    </row>
    <row r="30" spans="1:52" outlineLevel="1">
      <c r="A30" s="95" t="s">
        <v>124</v>
      </c>
      <c r="B30" s="96">
        <v>233496972</v>
      </c>
      <c r="C30" s="96" t="s">
        <v>152</v>
      </c>
      <c r="D30" s="97" t="s">
        <v>84</v>
      </c>
      <c r="E30" s="242">
        <f>SUM(F30:J30)</f>
        <v>0</v>
      </c>
      <c r="F30" s="99"/>
      <c r="G30" s="99"/>
      <c r="H30" s="282" t="s">
        <v>100</v>
      </c>
      <c r="I30" s="99"/>
      <c r="J30" s="99"/>
      <c r="K30" s="99">
        <v>111.39</v>
      </c>
      <c r="L30" s="98">
        <f>E30*K30</f>
        <v>0</v>
      </c>
      <c r="M30" s="95"/>
      <c r="N30" s="95">
        <v>45</v>
      </c>
      <c r="O30" s="95">
        <v>574</v>
      </c>
      <c r="P30" s="95">
        <v>43</v>
      </c>
      <c r="Q30" s="243">
        <f t="shared" si="15"/>
        <v>1.40625</v>
      </c>
      <c r="R30" s="98">
        <f t="shared" si="16"/>
        <v>0.53125</v>
      </c>
      <c r="S30" s="99">
        <v>17</v>
      </c>
      <c r="T30" s="99">
        <v>0</v>
      </c>
      <c r="U30" s="98">
        <f t="shared" si="17"/>
        <v>17</v>
      </c>
      <c r="V30" s="99">
        <v>7897.47</v>
      </c>
      <c r="W30" s="99">
        <v>0</v>
      </c>
      <c r="X30" s="98">
        <f t="shared" si="18"/>
        <v>7897.47</v>
      </c>
      <c r="Y30" s="99">
        <v>9731.7900000000009</v>
      </c>
      <c r="Z30" s="99">
        <v>0</v>
      </c>
      <c r="AA30" s="98">
        <f t="shared" si="19"/>
        <v>9731.7900000000009</v>
      </c>
      <c r="AB30" s="98">
        <f t="shared" si="20"/>
        <v>11106.9</v>
      </c>
      <c r="AC30" s="244">
        <f t="shared" si="21"/>
        <v>4.3347281998621142E-3</v>
      </c>
      <c r="AD30" s="98">
        <f t="shared" si="22"/>
        <v>1893.63</v>
      </c>
      <c r="AE30" s="99">
        <v>3680.4900000000007</v>
      </c>
      <c r="AF30" s="244">
        <f t="shared" si="23"/>
        <v>0.37819250107123153</v>
      </c>
      <c r="AG30" s="99">
        <v>3627.6300000000006</v>
      </c>
      <c r="AH30" s="99">
        <v>671</v>
      </c>
      <c r="AI30" s="99">
        <v>99</v>
      </c>
      <c r="AJ30" s="99">
        <v>1873</v>
      </c>
      <c r="AK30" s="99"/>
      <c r="AL30" s="128">
        <f t="shared" si="24"/>
        <v>0</v>
      </c>
      <c r="AM30" s="99">
        <v>0</v>
      </c>
      <c r="AN30" s="100">
        <f t="shared" si="25"/>
        <v>450.945537</v>
      </c>
      <c r="AO30" s="101">
        <f t="shared" si="26"/>
        <v>-690.90553700000055</v>
      </c>
      <c r="AP30" s="102"/>
      <c r="AQ30" s="103">
        <f t="shared" si="8"/>
        <v>572.45823529411769</v>
      </c>
      <c r="AR30" s="104">
        <f t="shared" si="37"/>
        <v>111.39</v>
      </c>
      <c r="AS30" s="104">
        <f t="shared" si="10"/>
        <v>216.49941176470591</v>
      </c>
      <c r="AT30" s="104">
        <f t="shared" si="11"/>
        <v>213.39000000000004</v>
      </c>
      <c r="AU30" s="104">
        <f t="shared" si="27"/>
        <v>155.47058823529412</v>
      </c>
      <c r="AV30" s="104">
        <f t="array" ref="AV30">_xlfn.IFS(U30=0,AO30,U30&lt;0,AO30/-U30,U30&gt;0,AO30/U30)</f>
        <v>-40.641502176470624</v>
      </c>
      <c r="AW30" s="244">
        <f>IF(AQ30=0,0,AV30/AQ30)</f>
        <v>-7.0994702618942723E-2</v>
      </c>
      <c r="AX30" s="244">
        <f>IF(AR30=0,0,AV30/AR30)</f>
        <v>-0.36485772669423311</v>
      </c>
      <c r="AY30" s="105"/>
      <c r="AZ30" s="100">
        <f t="shared" si="14"/>
        <v>0</v>
      </c>
    </row>
    <row r="31" spans="1:52" outlineLevel="1">
      <c r="A31" s="95" t="s">
        <v>124</v>
      </c>
      <c r="B31" s="96">
        <v>233497520</v>
      </c>
      <c r="C31" s="96" t="s">
        <v>153</v>
      </c>
      <c r="D31" s="97" t="s">
        <v>84</v>
      </c>
      <c r="E31" s="242">
        <f>SUM(F31:J31)</f>
        <v>1</v>
      </c>
      <c r="F31" s="99"/>
      <c r="G31" s="99"/>
      <c r="H31" s="282">
        <v>1</v>
      </c>
      <c r="I31" s="99"/>
      <c r="J31" s="99"/>
      <c r="K31" s="99">
        <v>105.54</v>
      </c>
      <c r="L31" s="98">
        <f>E31*K31</f>
        <v>105.54</v>
      </c>
      <c r="M31" s="95"/>
      <c r="N31" s="95">
        <v>46</v>
      </c>
      <c r="O31" s="95">
        <v>523</v>
      </c>
      <c r="P31" s="95">
        <v>37</v>
      </c>
      <c r="Q31" s="243">
        <f t="shared" si="15"/>
        <v>1.4375</v>
      </c>
      <c r="R31" s="98">
        <f t="shared" si="16"/>
        <v>0.53125</v>
      </c>
      <c r="S31" s="99">
        <v>17</v>
      </c>
      <c r="T31" s="99">
        <v>0</v>
      </c>
      <c r="U31" s="98">
        <f t="shared" si="17"/>
        <v>17</v>
      </c>
      <c r="V31" s="99">
        <v>6828</v>
      </c>
      <c r="W31" s="99">
        <v>0</v>
      </c>
      <c r="X31" s="98">
        <f t="shared" si="18"/>
        <v>6828</v>
      </c>
      <c r="Y31" s="99">
        <v>8783</v>
      </c>
      <c r="Z31" s="99">
        <v>0</v>
      </c>
      <c r="AA31" s="98">
        <f t="shared" si="19"/>
        <v>8783</v>
      </c>
      <c r="AB31" s="98">
        <f t="shared" si="20"/>
        <v>8901.4599999999991</v>
      </c>
      <c r="AC31" s="244">
        <f t="shared" si="21"/>
        <v>3.9121187139661822E-3</v>
      </c>
      <c r="AD31" s="98">
        <f t="shared" si="22"/>
        <v>1794.18</v>
      </c>
      <c r="AE31" s="99">
        <v>3322.79</v>
      </c>
      <c r="AF31" s="244">
        <f t="shared" si="23"/>
        <v>0.37832061937834455</v>
      </c>
      <c r="AG31" s="99">
        <v>3408.0600000000004</v>
      </c>
      <c r="AH31" s="99">
        <v>575</v>
      </c>
      <c r="AI31" s="99">
        <v>1007</v>
      </c>
      <c r="AJ31" s="99"/>
      <c r="AK31" s="99"/>
      <c r="AL31" s="128">
        <f t="shared" si="24"/>
        <v>3.2097039866316543</v>
      </c>
      <c r="AM31" s="99">
        <v>0</v>
      </c>
      <c r="AN31" s="100">
        <f t="shared" si="25"/>
        <v>389.87880000000001</v>
      </c>
      <c r="AO31" s="101">
        <f t="shared" si="26"/>
        <v>-1717.1185039866323</v>
      </c>
      <c r="AP31" s="102"/>
      <c r="AQ31" s="103">
        <f t="shared" si="8"/>
        <v>516.64705882352939</v>
      </c>
      <c r="AR31" s="104">
        <f t="shared" si="37"/>
        <v>105.54</v>
      </c>
      <c r="AS31" s="104">
        <f t="shared" si="10"/>
        <v>195.45823529411766</v>
      </c>
      <c r="AT31" s="104">
        <f t="shared" si="11"/>
        <v>200.47411764705885</v>
      </c>
      <c r="AU31" s="104">
        <f t="shared" si="27"/>
        <v>93.058823529411768</v>
      </c>
      <c r="AV31" s="104">
        <f t="array" ref="AV31">_xlfn.IFS(U31=0,AO31,U31&lt;0,AO31/-U31,U31&gt;0,AO31/U31)</f>
        <v>-101.00697082274307</v>
      </c>
      <c r="AW31" s="244">
        <f>IF(AQ31=0,0,AV31/AQ31)</f>
        <v>-0.19550478241906322</v>
      </c>
      <c r="AX31" s="244">
        <f>IF(AR31=0,0,AV31/AR31)</f>
        <v>-0.95704918346354995</v>
      </c>
      <c r="AY31" s="105"/>
      <c r="AZ31" s="100">
        <f t="shared" si="14"/>
        <v>-101.00697082274307</v>
      </c>
    </row>
    <row r="32" spans="1:52" outlineLevel="1">
      <c r="A32" s="95" t="s">
        <v>124</v>
      </c>
      <c r="B32" s="96">
        <v>233498313</v>
      </c>
      <c r="C32" s="96" t="s">
        <v>154</v>
      </c>
      <c r="D32" s="97" t="s">
        <v>84</v>
      </c>
      <c r="E32" s="242">
        <f t="shared" ref="E32" si="39">SUM(F32:J32)</f>
        <v>0</v>
      </c>
      <c r="F32" s="99"/>
      <c r="G32" s="99"/>
      <c r="H32" s="282" t="s">
        <v>100</v>
      </c>
      <c r="I32" s="99"/>
      <c r="J32" s="99"/>
      <c r="K32" s="99">
        <v>140.63999999999999</v>
      </c>
      <c r="L32" s="98">
        <f t="shared" ref="L32" si="40">E32*K32</f>
        <v>0</v>
      </c>
      <c r="M32" s="95"/>
      <c r="N32" s="95">
        <v>8</v>
      </c>
      <c r="O32" s="95">
        <v>539</v>
      </c>
      <c r="P32" s="95">
        <v>50</v>
      </c>
      <c r="Q32" s="243">
        <f t="shared" si="15"/>
        <v>0.25</v>
      </c>
      <c r="R32" s="98">
        <f t="shared" si="16"/>
        <v>0.125</v>
      </c>
      <c r="S32" s="99">
        <v>4</v>
      </c>
      <c r="T32" s="99">
        <v>0</v>
      </c>
      <c r="U32" s="98">
        <f t="shared" si="17"/>
        <v>4</v>
      </c>
      <c r="V32" s="99">
        <v>1713.76</v>
      </c>
      <c r="W32" s="99">
        <v>0</v>
      </c>
      <c r="X32" s="98">
        <f t="shared" si="18"/>
        <v>1713.76</v>
      </c>
      <c r="Y32" s="99">
        <v>2155.9899999999998</v>
      </c>
      <c r="Z32" s="99">
        <v>0</v>
      </c>
      <c r="AA32" s="98">
        <f t="shared" si="19"/>
        <v>2155.9899999999998</v>
      </c>
      <c r="AB32" s="98">
        <f t="shared" si="20"/>
        <v>2156</v>
      </c>
      <c r="AC32" s="244">
        <f t="shared" si="21"/>
        <v>9.6031980258726494E-4</v>
      </c>
      <c r="AD32" s="98">
        <f t="shared" si="22"/>
        <v>562.55999999999995</v>
      </c>
      <c r="AE32" s="99">
        <v>811.22999999999979</v>
      </c>
      <c r="AF32" s="244">
        <f t="shared" si="23"/>
        <v>0.37626797897949427</v>
      </c>
      <c r="AG32" s="99">
        <v>527.62000000000012</v>
      </c>
      <c r="AH32" s="99"/>
      <c r="AI32" s="99"/>
      <c r="AJ32" s="99"/>
      <c r="AK32" s="99"/>
      <c r="AL32" s="128">
        <f t="shared" si="24"/>
        <v>0</v>
      </c>
      <c r="AM32" s="99">
        <v>0</v>
      </c>
      <c r="AN32" s="100">
        <f t="shared" si="25"/>
        <v>97.855695999999995</v>
      </c>
      <c r="AO32" s="101">
        <f t="shared" si="26"/>
        <v>156.72430399999993</v>
      </c>
      <c r="AP32" s="102"/>
      <c r="AQ32" s="103">
        <f t="shared" si="8"/>
        <v>538.99749999999995</v>
      </c>
      <c r="AR32" s="104">
        <f t="shared" si="37"/>
        <v>140.63999999999999</v>
      </c>
      <c r="AS32" s="104">
        <f t="shared" si="10"/>
        <v>202.80749999999995</v>
      </c>
      <c r="AT32" s="104">
        <f t="shared" si="11"/>
        <v>131.90500000000003</v>
      </c>
      <c r="AU32" s="104">
        <f t="shared" si="27"/>
        <v>0</v>
      </c>
      <c r="AV32" s="104">
        <f t="array" ref="AV32">_xlfn.IFS(U32=0,AO32,U32&lt;0,AO32/-U32,U32&gt;0,AO32/U32)</f>
        <v>39.181075999999983</v>
      </c>
      <c r="AW32" s="244">
        <f t="shared" ref="AW32" si="41">IF(AQ32=0,0,AV32/AQ32)</f>
        <v>7.2692500429037216E-2</v>
      </c>
      <c r="AX32" s="244">
        <f t="shared" ref="AX32" si="42">IF(AR32=0,0,AV32/AR32)</f>
        <v>0.27859126848691684</v>
      </c>
      <c r="AY32" s="105"/>
      <c r="AZ32" s="100">
        <f t="shared" si="14"/>
        <v>0</v>
      </c>
    </row>
    <row r="33" spans="1:52" outlineLevel="1">
      <c r="A33" s="95" t="s">
        <v>124</v>
      </c>
      <c r="B33" s="96">
        <v>233499847</v>
      </c>
      <c r="C33" s="96" t="s">
        <v>155</v>
      </c>
      <c r="D33" s="97" t="s">
        <v>84</v>
      </c>
      <c r="E33" s="242">
        <f>SUM(F33:J33)</f>
        <v>157</v>
      </c>
      <c r="F33" s="99"/>
      <c r="G33" s="99"/>
      <c r="H33" s="282">
        <v>157</v>
      </c>
      <c r="I33" s="99"/>
      <c r="J33" s="99"/>
      <c r="K33" s="99">
        <v>123.09</v>
      </c>
      <c r="L33" s="98">
        <f>E33*K33</f>
        <v>19325.13</v>
      </c>
      <c r="M33" s="95"/>
      <c r="N33" s="95">
        <v>5</v>
      </c>
      <c r="O33" s="95">
        <v>440</v>
      </c>
      <c r="P33" s="95">
        <v>40</v>
      </c>
      <c r="Q33" s="243">
        <f t="shared" si="15"/>
        <v>0.15625</v>
      </c>
      <c r="R33" s="98">
        <f t="shared" si="16"/>
        <v>6.25E-2</v>
      </c>
      <c r="S33" s="99">
        <v>2</v>
      </c>
      <c r="T33" s="99">
        <v>0</v>
      </c>
      <c r="U33" s="98">
        <f t="shared" si="17"/>
        <v>2</v>
      </c>
      <c r="V33" s="99">
        <v>713.73</v>
      </c>
      <c r="W33" s="99">
        <v>0</v>
      </c>
      <c r="X33" s="98">
        <f t="shared" si="18"/>
        <v>713.73</v>
      </c>
      <c r="Y33" s="99">
        <v>871.67</v>
      </c>
      <c r="Z33" s="99">
        <v>0</v>
      </c>
      <c r="AA33" s="98">
        <f t="shared" si="19"/>
        <v>871.67</v>
      </c>
      <c r="AB33" s="98">
        <f t="shared" si="20"/>
        <v>880</v>
      </c>
      <c r="AC33" s="244">
        <f t="shared" si="21"/>
        <v>3.8825874068119113E-4</v>
      </c>
      <c r="AD33" s="98">
        <f t="shared" si="22"/>
        <v>246.18</v>
      </c>
      <c r="AE33" s="99">
        <v>323.53999999999996</v>
      </c>
      <c r="AF33" s="244">
        <f t="shared" si="23"/>
        <v>0.37117257677790905</v>
      </c>
      <c r="AG33" s="99">
        <v>322.81</v>
      </c>
      <c r="AH33" s="99"/>
      <c r="AI33" s="99"/>
      <c r="AJ33" s="99"/>
      <c r="AK33" s="99"/>
      <c r="AL33" s="128">
        <f t="shared" si="24"/>
        <v>503.92352590116974</v>
      </c>
      <c r="AM33" s="99">
        <v>0</v>
      </c>
      <c r="AN33" s="100">
        <f t="shared" si="25"/>
        <v>40.753982999999998</v>
      </c>
      <c r="AO33" s="101">
        <f t="shared" si="26"/>
        <v>-565.53750890116964</v>
      </c>
      <c r="AP33" s="102"/>
      <c r="AQ33" s="103">
        <f t="shared" si="8"/>
        <v>435.83499999999998</v>
      </c>
      <c r="AR33" s="104">
        <f t="shared" si="37"/>
        <v>123.09</v>
      </c>
      <c r="AS33" s="104">
        <f t="shared" si="10"/>
        <v>161.76999999999998</v>
      </c>
      <c r="AT33" s="104">
        <f t="shared" si="11"/>
        <v>161.405</v>
      </c>
      <c r="AU33" s="104">
        <f t="shared" si="27"/>
        <v>0</v>
      </c>
      <c r="AV33" s="104">
        <f t="array" ref="AV33">_xlfn.IFS(U33=0,AO33,U33&lt;0,AO33/-U33,U33&gt;0,AO33/U33)</f>
        <v>-282.76875445058482</v>
      </c>
      <c r="AW33" s="244">
        <f>IF(AQ33=0,0,AV33/AQ33)</f>
        <v>-0.64879772035422767</v>
      </c>
      <c r="AX33" s="244">
        <f>IF(AR33=0,0,AV33/AR33)</f>
        <v>-2.2972520468810207</v>
      </c>
      <c r="AY33" s="105"/>
      <c r="AZ33" s="100">
        <f t="shared" si="14"/>
        <v>-44394.694448741815</v>
      </c>
    </row>
    <row r="34" spans="1:52" outlineLevel="1">
      <c r="A34" s="95" t="s">
        <v>124</v>
      </c>
      <c r="B34" s="96">
        <v>233500274</v>
      </c>
      <c r="C34" s="96" t="s">
        <v>156</v>
      </c>
      <c r="D34" s="97" t="s">
        <v>84</v>
      </c>
      <c r="E34" s="242">
        <f>SUM(F34:J34)</f>
        <v>23</v>
      </c>
      <c r="F34" s="99"/>
      <c r="G34" s="99"/>
      <c r="H34" s="282">
        <v>23</v>
      </c>
      <c r="I34" s="99"/>
      <c r="J34" s="99"/>
      <c r="K34" s="99">
        <v>117.24</v>
      </c>
      <c r="L34" s="98">
        <f>E34*K34</f>
        <v>2696.52</v>
      </c>
      <c r="M34" s="95"/>
      <c r="N34" s="95">
        <v>6</v>
      </c>
      <c r="O34" s="95">
        <v>459</v>
      </c>
      <c r="P34" s="95">
        <v>33</v>
      </c>
      <c r="Q34" s="243">
        <f t="shared" si="15"/>
        <v>0.1875</v>
      </c>
      <c r="R34" s="98">
        <f t="shared" si="16"/>
        <v>3.125E-2</v>
      </c>
      <c r="S34" s="99">
        <v>1</v>
      </c>
      <c r="T34" s="99">
        <v>0</v>
      </c>
      <c r="U34" s="98">
        <f t="shared" si="17"/>
        <v>1</v>
      </c>
      <c r="V34" s="99">
        <v>308</v>
      </c>
      <c r="W34" s="99">
        <v>0</v>
      </c>
      <c r="X34" s="98">
        <f t="shared" si="18"/>
        <v>308</v>
      </c>
      <c r="Y34" s="99">
        <v>479</v>
      </c>
      <c r="Z34" s="99">
        <v>0</v>
      </c>
      <c r="AA34" s="98">
        <f t="shared" si="19"/>
        <v>479</v>
      </c>
      <c r="AB34" s="98">
        <f t="shared" si="20"/>
        <v>908.82</v>
      </c>
      <c r="AC34" s="244">
        <f t="shared" si="21"/>
        <v>2.133558993498578E-4</v>
      </c>
      <c r="AD34" s="98">
        <f t="shared" si="22"/>
        <v>117.24</v>
      </c>
      <c r="AE34" s="99">
        <v>178.85000000000002</v>
      </c>
      <c r="AF34" s="244">
        <f t="shared" si="23"/>
        <v>0.37338204592901886</v>
      </c>
      <c r="AG34" s="99">
        <v>252.25</v>
      </c>
      <c r="AH34" s="99"/>
      <c r="AI34" s="99"/>
      <c r="AJ34" s="99"/>
      <c r="AK34" s="99"/>
      <c r="AL34" s="128">
        <f t="shared" si="24"/>
        <v>73.823191692528042</v>
      </c>
      <c r="AM34" s="99">
        <v>0</v>
      </c>
      <c r="AN34" s="100">
        <f t="shared" si="25"/>
        <v>17.5868</v>
      </c>
      <c r="AO34" s="101">
        <f t="shared" si="26"/>
        <v>-160.74999169252808</v>
      </c>
      <c r="AP34" s="102"/>
      <c r="AQ34" s="103">
        <f t="shared" si="8"/>
        <v>479</v>
      </c>
      <c r="AR34" s="104">
        <f t="shared" si="37"/>
        <v>117.24</v>
      </c>
      <c r="AS34" s="104">
        <f t="shared" si="10"/>
        <v>178.85000000000002</v>
      </c>
      <c r="AT34" s="104">
        <f t="shared" si="11"/>
        <v>252.25</v>
      </c>
      <c r="AU34" s="104">
        <f t="shared" si="27"/>
        <v>0</v>
      </c>
      <c r="AV34" s="104">
        <f t="array" ref="AV34">_xlfn.IFS(U34=0,AO34,U34&lt;0,AO34/-U34,U34&gt;0,AO34/U34)</f>
        <v>-160.74999169252808</v>
      </c>
      <c r="AW34" s="244">
        <f>IF(AQ34=0,0,AV34/AQ34)</f>
        <v>-0.33559497221822149</v>
      </c>
      <c r="AX34" s="244">
        <f>IF(AR34=0,0,AV34/AR34)</f>
        <v>-1.3711190011304</v>
      </c>
      <c r="AY34" s="105"/>
      <c r="AZ34" s="100">
        <f t="shared" si="14"/>
        <v>-3697.2498089281457</v>
      </c>
    </row>
    <row r="35" spans="1:52" outlineLevel="1">
      <c r="A35" s="95" t="s">
        <v>124</v>
      </c>
      <c r="B35" s="96">
        <v>471878869</v>
      </c>
      <c r="C35" s="96" t="s">
        <v>157</v>
      </c>
      <c r="D35" s="97" t="s">
        <v>84</v>
      </c>
      <c r="E35" s="242">
        <f t="shared" ref="E35:E53" si="43">SUM(F35:J35)</f>
        <v>0</v>
      </c>
      <c r="F35" s="99"/>
      <c r="G35" s="99"/>
      <c r="H35" s="282">
        <v>0</v>
      </c>
      <c r="I35" s="99"/>
      <c r="J35" s="99"/>
      <c r="K35" s="99">
        <v>128.94</v>
      </c>
      <c r="L35" s="98">
        <f t="shared" ref="L35:L98" si="44">E35*K35</f>
        <v>0</v>
      </c>
      <c r="M35" s="95"/>
      <c r="N35" s="95">
        <v>0</v>
      </c>
      <c r="O35" s="95">
        <v>0</v>
      </c>
      <c r="P35" s="95">
        <v>0</v>
      </c>
      <c r="Q35" s="243">
        <f t="shared" si="15"/>
        <v>0</v>
      </c>
      <c r="R35" s="98">
        <f t="shared" si="16"/>
        <v>0</v>
      </c>
      <c r="S35" s="99">
        <v>0</v>
      </c>
      <c r="T35" s="99">
        <v>0</v>
      </c>
      <c r="U35" s="98">
        <f t="shared" si="17"/>
        <v>0</v>
      </c>
      <c r="V35" s="99">
        <v>0</v>
      </c>
      <c r="W35" s="99">
        <v>0</v>
      </c>
      <c r="X35" s="98">
        <f t="shared" si="18"/>
        <v>0</v>
      </c>
      <c r="Y35" s="99">
        <v>0</v>
      </c>
      <c r="Z35" s="99">
        <v>0</v>
      </c>
      <c r="AA35" s="98">
        <f t="shared" si="19"/>
        <v>0</v>
      </c>
      <c r="AB35" s="98">
        <f t="shared" si="20"/>
        <v>0</v>
      </c>
      <c r="AC35" s="244">
        <f t="shared" si="21"/>
        <v>0</v>
      </c>
      <c r="AD35" s="98">
        <f t="shared" si="22"/>
        <v>0</v>
      </c>
      <c r="AE35" s="99">
        <v>0</v>
      </c>
      <c r="AF35" s="244">
        <f t="shared" si="23"/>
        <v>0</v>
      </c>
      <c r="AG35" s="99">
        <v>0</v>
      </c>
      <c r="AH35" s="99"/>
      <c r="AI35" s="99"/>
      <c r="AJ35" s="99"/>
      <c r="AK35" s="99"/>
      <c r="AL35" s="128">
        <f t="shared" si="24"/>
        <v>0</v>
      </c>
      <c r="AM35" s="99">
        <v>0</v>
      </c>
      <c r="AN35" s="100">
        <f t="shared" si="25"/>
        <v>0</v>
      </c>
      <c r="AO35" s="101">
        <f t="shared" si="26"/>
        <v>0</v>
      </c>
      <c r="AP35" s="102"/>
      <c r="AQ35" s="103">
        <f t="shared" si="8"/>
        <v>0</v>
      </c>
      <c r="AR35" s="104">
        <f t="shared" si="37"/>
        <v>128.94</v>
      </c>
      <c r="AS35" s="104">
        <f t="shared" si="10"/>
        <v>0</v>
      </c>
      <c r="AT35" s="104">
        <f t="shared" si="11"/>
        <v>0</v>
      </c>
      <c r="AU35" s="104">
        <f t="shared" si="27"/>
        <v>0</v>
      </c>
      <c r="AV35" s="104">
        <f t="array" ref="AV35">_xlfn.IFS(U35=0,AO35,U35&lt;0,AO35/-U35,U35&gt;0,AO35/U35)</f>
        <v>0</v>
      </c>
      <c r="AW35" s="244">
        <f t="shared" ref="AW35:AW98" si="45">IF(AQ35=0,0,AV35/AQ35)</f>
        <v>0</v>
      </c>
      <c r="AX35" s="244">
        <f t="shared" ref="AX35:AX98" si="46">IF(AR35=0,0,AV35/AR35)</f>
        <v>0</v>
      </c>
      <c r="AY35" s="105"/>
      <c r="AZ35" s="100">
        <f t="shared" si="14"/>
        <v>0</v>
      </c>
    </row>
    <row r="36" spans="1:52" outlineLevel="1">
      <c r="A36" s="95" t="s">
        <v>124</v>
      </c>
      <c r="B36" s="96">
        <v>471878989</v>
      </c>
      <c r="C36" s="96" t="s">
        <v>158</v>
      </c>
      <c r="D36" s="97" t="s">
        <v>84</v>
      </c>
      <c r="E36" s="242">
        <f t="shared" si="43"/>
        <v>0</v>
      </c>
      <c r="F36" s="99"/>
      <c r="G36" s="99"/>
      <c r="H36" s="282">
        <v>0</v>
      </c>
      <c r="I36" s="99"/>
      <c r="J36" s="99"/>
      <c r="K36" s="99">
        <v>169.89</v>
      </c>
      <c r="L36" s="98">
        <f t="shared" si="44"/>
        <v>0</v>
      </c>
      <c r="M36" s="95"/>
      <c r="N36" s="95">
        <v>0</v>
      </c>
      <c r="O36" s="95">
        <v>0</v>
      </c>
      <c r="P36" s="95">
        <v>0</v>
      </c>
      <c r="Q36" s="243">
        <f t="shared" si="15"/>
        <v>0</v>
      </c>
      <c r="R36" s="98">
        <f t="shared" si="16"/>
        <v>0</v>
      </c>
      <c r="S36" s="99">
        <v>0</v>
      </c>
      <c r="T36" s="99">
        <v>0</v>
      </c>
      <c r="U36" s="98">
        <f t="shared" si="17"/>
        <v>0</v>
      </c>
      <c r="V36" s="99">
        <v>0</v>
      </c>
      <c r="W36" s="99">
        <v>0</v>
      </c>
      <c r="X36" s="98">
        <f t="shared" si="18"/>
        <v>0</v>
      </c>
      <c r="Y36" s="99">
        <v>0</v>
      </c>
      <c r="Z36" s="99">
        <v>0</v>
      </c>
      <c r="AA36" s="98">
        <f t="shared" si="19"/>
        <v>0</v>
      </c>
      <c r="AB36" s="98">
        <f t="shared" si="20"/>
        <v>0</v>
      </c>
      <c r="AC36" s="244">
        <f t="shared" si="21"/>
        <v>0</v>
      </c>
      <c r="AD36" s="98">
        <f t="shared" si="22"/>
        <v>0</v>
      </c>
      <c r="AE36" s="99">
        <v>0</v>
      </c>
      <c r="AF36" s="244">
        <f t="shared" si="23"/>
        <v>0</v>
      </c>
      <c r="AG36" s="99">
        <v>0</v>
      </c>
      <c r="AH36" s="99"/>
      <c r="AI36" s="99"/>
      <c r="AJ36" s="99"/>
      <c r="AK36" s="99"/>
      <c r="AL36" s="128">
        <f t="shared" si="24"/>
        <v>0</v>
      </c>
      <c r="AM36" s="99">
        <v>0</v>
      </c>
      <c r="AN36" s="100">
        <f t="shared" si="25"/>
        <v>0</v>
      </c>
      <c r="AO36" s="101">
        <f t="shared" si="26"/>
        <v>0</v>
      </c>
      <c r="AP36" s="102"/>
      <c r="AQ36" s="103">
        <f t="shared" si="8"/>
        <v>0</v>
      </c>
      <c r="AR36" s="104">
        <f t="shared" si="37"/>
        <v>169.89</v>
      </c>
      <c r="AS36" s="104">
        <f t="shared" si="10"/>
        <v>0</v>
      </c>
      <c r="AT36" s="104">
        <f t="shared" si="11"/>
        <v>0</v>
      </c>
      <c r="AU36" s="104">
        <f t="shared" si="27"/>
        <v>0</v>
      </c>
      <c r="AV36" s="104">
        <f t="array" ref="AV36">_xlfn.IFS(U36=0,AO36,U36&lt;0,AO36/-U36,U36&gt;0,AO36/U36)</f>
        <v>0</v>
      </c>
      <c r="AW36" s="244">
        <f t="shared" si="45"/>
        <v>0</v>
      </c>
      <c r="AX36" s="244">
        <f t="shared" si="46"/>
        <v>0</v>
      </c>
      <c r="AY36" s="105"/>
      <c r="AZ36" s="100">
        <f t="shared" si="14"/>
        <v>0</v>
      </c>
    </row>
    <row r="37" spans="1:52" outlineLevel="1">
      <c r="A37" s="95" t="s">
        <v>124</v>
      </c>
      <c r="B37" s="96">
        <v>471879283</v>
      </c>
      <c r="C37" s="96" t="s">
        <v>159</v>
      </c>
      <c r="D37" s="97" t="s">
        <v>84</v>
      </c>
      <c r="E37" s="242">
        <f t="shared" si="43"/>
        <v>16</v>
      </c>
      <c r="F37" s="99"/>
      <c r="G37" s="99"/>
      <c r="H37" s="282">
        <v>16</v>
      </c>
      <c r="I37" s="99"/>
      <c r="J37" s="99"/>
      <c r="K37" s="99">
        <v>169.89</v>
      </c>
      <c r="L37" s="98">
        <f t="shared" si="44"/>
        <v>2718.24</v>
      </c>
      <c r="M37" s="95"/>
      <c r="N37" s="95">
        <v>4</v>
      </c>
      <c r="O37" s="95">
        <v>1023</v>
      </c>
      <c r="P37" s="95">
        <v>50</v>
      </c>
      <c r="Q37" s="243">
        <f t="shared" si="15"/>
        <v>0.125</v>
      </c>
      <c r="R37" s="98">
        <f t="shared" si="16"/>
        <v>3.125E-2</v>
      </c>
      <c r="S37" s="99">
        <v>1</v>
      </c>
      <c r="T37" s="99">
        <v>0</v>
      </c>
      <c r="U37" s="98">
        <f t="shared" si="17"/>
        <v>1</v>
      </c>
      <c r="V37" s="99">
        <v>810</v>
      </c>
      <c r="W37" s="99">
        <v>0</v>
      </c>
      <c r="X37" s="98">
        <f t="shared" si="18"/>
        <v>810</v>
      </c>
      <c r="Y37" s="99">
        <v>1016.56</v>
      </c>
      <c r="Z37" s="99">
        <v>0</v>
      </c>
      <c r="AA37" s="98">
        <f t="shared" si="19"/>
        <v>1016.56</v>
      </c>
      <c r="AB37" s="98">
        <f t="shared" si="20"/>
        <v>2046</v>
      </c>
      <c r="AC37" s="244">
        <f t="shared" si="21"/>
        <v>4.5279555958891739E-4</v>
      </c>
      <c r="AD37" s="98">
        <f t="shared" si="22"/>
        <v>169.89</v>
      </c>
      <c r="AE37" s="99">
        <v>375.75</v>
      </c>
      <c r="AF37" s="244">
        <f t="shared" si="23"/>
        <v>0.36962894467616275</v>
      </c>
      <c r="AG37" s="99">
        <v>157.9</v>
      </c>
      <c r="AH37" s="99"/>
      <c r="AI37" s="99"/>
      <c r="AJ37" s="99"/>
      <c r="AK37" s="99"/>
      <c r="AL37" s="128">
        <f t="shared" si="24"/>
        <v>51.35526378610647</v>
      </c>
      <c r="AM37" s="99">
        <v>0</v>
      </c>
      <c r="AN37" s="100">
        <f t="shared" si="25"/>
        <v>46.250999999999998</v>
      </c>
      <c r="AO37" s="101">
        <f t="shared" si="26"/>
        <v>215.41373621389349</v>
      </c>
      <c r="AP37" s="102"/>
      <c r="AQ37" s="103">
        <f t="shared" si="8"/>
        <v>1016.56</v>
      </c>
      <c r="AR37" s="104">
        <f t="shared" si="37"/>
        <v>169.89</v>
      </c>
      <c r="AS37" s="104">
        <f t="shared" si="10"/>
        <v>375.75</v>
      </c>
      <c r="AT37" s="104">
        <f t="shared" si="11"/>
        <v>157.9</v>
      </c>
      <c r="AU37" s="104">
        <f t="shared" si="27"/>
        <v>0</v>
      </c>
      <c r="AV37" s="104">
        <f t="array" ref="AV37">_xlfn.IFS(U37=0,AO37,U37&lt;0,AO37/-U37,U37&gt;0,AO37/U37)</f>
        <v>215.41373621389349</v>
      </c>
      <c r="AW37" s="244">
        <f t="shared" si="45"/>
        <v>0.21190459610243714</v>
      </c>
      <c r="AX37" s="244">
        <f t="shared" si="46"/>
        <v>1.2679600695384867</v>
      </c>
      <c r="AY37" s="105"/>
      <c r="AZ37" s="100">
        <f t="shared" si="14"/>
        <v>3446.6197794222958</v>
      </c>
    </row>
    <row r="38" spans="1:52" outlineLevel="1">
      <c r="A38" s="95" t="s">
        <v>124</v>
      </c>
      <c r="B38" s="96">
        <v>507117329</v>
      </c>
      <c r="C38" s="96" t="s">
        <v>160</v>
      </c>
      <c r="D38" s="97" t="s">
        <v>84</v>
      </c>
      <c r="E38" s="242">
        <f t="shared" si="43"/>
        <v>47</v>
      </c>
      <c r="F38" s="99"/>
      <c r="G38" s="99"/>
      <c r="H38" s="282">
        <v>47</v>
      </c>
      <c r="I38" s="99"/>
      <c r="J38" s="99"/>
      <c r="K38" s="98">
        <v>105.54</v>
      </c>
      <c r="L38" s="98">
        <f t="shared" si="44"/>
        <v>4960.38</v>
      </c>
      <c r="M38" s="95"/>
      <c r="N38" s="95">
        <v>0</v>
      </c>
      <c r="O38" s="95">
        <v>0</v>
      </c>
      <c r="P38" s="95">
        <v>0</v>
      </c>
      <c r="Q38" s="243">
        <f t="shared" si="15"/>
        <v>0</v>
      </c>
      <c r="R38" s="98">
        <f t="shared" si="16"/>
        <v>0</v>
      </c>
      <c r="S38" s="99">
        <v>0</v>
      </c>
      <c r="T38" s="99">
        <v>0</v>
      </c>
      <c r="U38" s="98">
        <f t="shared" si="17"/>
        <v>0</v>
      </c>
      <c r="V38" s="99">
        <v>0</v>
      </c>
      <c r="W38" s="99">
        <v>0</v>
      </c>
      <c r="X38" s="98">
        <f t="shared" si="18"/>
        <v>0</v>
      </c>
      <c r="Y38" s="99">
        <v>0</v>
      </c>
      <c r="Z38" s="99">
        <v>0</v>
      </c>
      <c r="AA38" s="98">
        <f t="shared" si="19"/>
        <v>0</v>
      </c>
      <c r="AB38" s="98">
        <f t="shared" si="20"/>
        <v>0</v>
      </c>
      <c r="AC38" s="244">
        <f t="shared" si="21"/>
        <v>0</v>
      </c>
      <c r="AD38" s="98">
        <f t="shared" si="22"/>
        <v>0</v>
      </c>
      <c r="AE38" s="99">
        <v>0</v>
      </c>
      <c r="AF38" s="244">
        <f t="shared" si="23"/>
        <v>0</v>
      </c>
      <c r="AG38" s="99">
        <v>0</v>
      </c>
      <c r="AH38" s="99"/>
      <c r="AI38" s="99"/>
      <c r="AJ38" s="99"/>
      <c r="AK38" s="99"/>
      <c r="AL38" s="128">
        <f t="shared" si="24"/>
        <v>150.85608737168775</v>
      </c>
      <c r="AM38" s="99">
        <v>0</v>
      </c>
      <c r="AN38" s="100">
        <f t="shared" si="25"/>
        <v>0</v>
      </c>
      <c r="AO38" s="101">
        <f t="shared" si="26"/>
        <v>-150.85608737168775</v>
      </c>
      <c r="AP38" s="102"/>
      <c r="AQ38" s="103">
        <f t="shared" si="8"/>
        <v>0</v>
      </c>
      <c r="AR38" s="104">
        <f t="shared" si="37"/>
        <v>105.54</v>
      </c>
      <c r="AS38" s="104">
        <f t="shared" si="10"/>
        <v>0</v>
      </c>
      <c r="AT38" s="104">
        <f t="shared" si="11"/>
        <v>0</v>
      </c>
      <c r="AU38" s="104">
        <f t="shared" si="27"/>
        <v>0</v>
      </c>
      <c r="AV38" s="104">
        <f t="array" ref="AV38">_xlfn.IFS(U38=0,AO38,U38&lt;0,AO38/-U38,U38&gt;0,AO38/U38)</f>
        <v>-150.85608737168775</v>
      </c>
      <c r="AW38" s="244">
        <f t="shared" si="45"/>
        <v>0</v>
      </c>
      <c r="AX38" s="244">
        <f t="shared" si="46"/>
        <v>-1.4293735775221503</v>
      </c>
      <c r="AY38" s="105"/>
      <c r="AZ38" s="100">
        <f t="shared" si="14"/>
        <v>-7090.2361064693241</v>
      </c>
    </row>
    <row r="39" spans="1:52" outlineLevel="1">
      <c r="A39" s="95" t="s">
        <v>124</v>
      </c>
      <c r="B39" s="96">
        <v>507117646</v>
      </c>
      <c r="C39" s="96" t="s">
        <v>161</v>
      </c>
      <c r="D39" s="97" t="s">
        <v>84</v>
      </c>
      <c r="E39" s="242">
        <f t="shared" si="43"/>
        <v>49</v>
      </c>
      <c r="F39" s="99"/>
      <c r="G39" s="99"/>
      <c r="H39" s="282">
        <v>49</v>
      </c>
      <c r="I39" s="99"/>
      <c r="J39" s="99"/>
      <c r="K39" s="98">
        <v>105.54</v>
      </c>
      <c r="L39" s="98">
        <f t="shared" si="44"/>
        <v>5171.46</v>
      </c>
      <c r="M39" s="95"/>
      <c r="N39" s="95">
        <v>1</v>
      </c>
      <c r="O39" s="95">
        <v>1077</v>
      </c>
      <c r="P39" s="95">
        <v>0</v>
      </c>
      <c r="Q39" s="243">
        <f t="shared" si="15"/>
        <v>3.125E-2</v>
      </c>
      <c r="R39" s="98">
        <f t="shared" si="16"/>
        <v>0</v>
      </c>
      <c r="S39" s="99">
        <v>0</v>
      </c>
      <c r="T39" s="99">
        <v>0</v>
      </c>
      <c r="U39" s="98">
        <f t="shared" si="17"/>
        <v>0</v>
      </c>
      <c r="V39" s="99">
        <v>0</v>
      </c>
      <c r="W39" s="99">
        <v>0</v>
      </c>
      <c r="X39" s="98">
        <f t="shared" si="18"/>
        <v>0</v>
      </c>
      <c r="Y39" s="99">
        <v>0</v>
      </c>
      <c r="Z39" s="99">
        <v>0</v>
      </c>
      <c r="AA39" s="98">
        <f t="shared" si="19"/>
        <v>0</v>
      </c>
      <c r="AB39" s="98">
        <f t="shared" si="20"/>
        <v>0</v>
      </c>
      <c r="AC39" s="244">
        <f t="shared" si="21"/>
        <v>0</v>
      </c>
      <c r="AD39" s="98">
        <f t="shared" si="22"/>
        <v>0</v>
      </c>
      <c r="AE39" s="99">
        <v>0</v>
      </c>
      <c r="AF39" s="244">
        <f t="shared" si="23"/>
        <v>0</v>
      </c>
      <c r="AG39" s="99">
        <v>0</v>
      </c>
      <c r="AH39" s="99"/>
      <c r="AI39" s="99"/>
      <c r="AJ39" s="99"/>
      <c r="AK39" s="99"/>
      <c r="AL39" s="128">
        <f t="shared" si="24"/>
        <v>157.27549534495105</v>
      </c>
      <c r="AM39" s="99">
        <v>0</v>
      </c>
      <c r="AN39" s="100">
        <f t="shared" si="25"/>
        <v>0</v>
      </c>
      <c r="AO39" s="101">
        <f t="shared" si="26"/>
        <v>-157.27549534495105</v>
      </c>
      <c r="AP39" s="102"/>
      <c r="AQ39" s="103">
        <f t="shared" si="8"/>
        <v>0</v>
      </c>
      <c r="AR39" s="104">
        <f t="shared" si="37"/>
        <v>105.54</v>
      </c>
      <c r="AS39" s="104">
        <f t="shared" si="10"/>
        <v>0</v>
      </c>
      <c r="AT39" s="104">
        <f t="shared" si="11"/>
        <v>0</v>
      </c>
      <c r="AU39" s="104">
        <f t="shared" si="27"/>
        <v>0</v>
      </c>
      <c r="AV39" s="104">
        <f t="array" ref="AV39">_xlfn.IFS(U39=0,AO39,U39&lt;0,AO39/-U39,U39&gt;0,AO39/U39)</f>
        <v>-157.27549534495105</v>
      </c>
      <c r="AW39" s="244">
        <f t="shared" si="45"/>
        <v>0</v>
      </c>
      <c r="AX39" s="244">
        <f t="shared" si="46"/>
        <v>-1.4901979850762843</v>
      </c>
      <c r="AY39" s="105"/>
      <c r="AZ39" s="100">
        <f t="shared" si="14"/>
        <v>-7706.4992719026013</v>
      </c>
    </row>
    <row r="40" spans="1:52" outlineLevel="1">
      <c r="A40" s="95" t="s">
        <v>124</v>
      </c>
      <c r="B40" s="96">
        <v>507118076</v>
      </c>
      <c r="C40" s="96" t="s">
        <v>162</v>
      </c>
      <c r="D40" s="97" t="s">
        <v>84</v>
      </c>
      <c r="E40" s="242">
        <f t="shared" si="43"/>
        <v>47</v>
      </c>
      <c r="F40" s="99"/>
      <c r="G40" s="99"/>
      <c r="H40" s="282">
        <v>47</v>
      </c>
      <c r="I40" s="99"/>
      <c r="J40" s="99"/>
      <c r="K40" s="98">
        <v>105.54</v>
      </c>
      <c r="L40" s="98">
        <f t="shared" si="44"/>
        <v>4960.38</v>
      </c>
      <c r="M40" s="95"/>
      <c r="N40" s="95">
        <v>5</v>
      </c>
      <c r="O40" s="95">
        <v>1229</v>
      </c>
      <c r="P40" s="95">
        <v>25</v>
      </c>
      <c r="Q40" s="243">
        <f t="shared" si="15"/>
        <v>0.15625</v>
      </c>
      <c r="R40" s="98">
        <f t="shared" si="16"/>
        <v>3.125E-2</v>
      </c>
      <c r="S40" s="99">
        <v>1</v>
      </c>
      <c r="T40" s="99">
        <v>0</v>
      </c>
      <c r="U40" s="98">
        <f t="shared" si="17"/>
        <v>1</v>
      </c>
      <c r="V40" s="99">
        <v>848</v>
      </c>
      <c r="W40" s="99">
        <v>0</v>
      </c>
      <c r="X40" s="98">
        <f t="shared" si="18"/>
        <v>848</v>
      </c>
      <c r="Y40" s="99">
        <v>1237</v>
      </c>
      <c r="Z40" s="99">
        <v>0</v>
      </c>
      <c r="AA40" s="98">
        <f t="shared" si="19"/>
        <v>1237</v>
      </c>
      <c r="AB40" s="98">
        <f t="shared" si="20"/>
        <v>1536.25</v>
      </c>
      <c r="AC40" s="244">
        <f t="shared" si="21"/>
        <v>5.5098381523126119E-4</v>
      </c>
      <c r="AD40" s="98">
        <f t="shared" si="22"/>
        <v>105.54</v>
      </c>
      <c r="AE40" s="99">
        <v>454.28</v>
      </c>
      <c r="AF40" s="244">
        <f t="shared" si="23"/>
        <v>0.36724333063864184</v>
      </c>
      <c r="AG40" s="99">
        <v>356.48</v>
      </c>
      <c r="AH40" s="99"/>
      <c r="AI40" s="99"/>
      <c r="AJ40" s="99"/>
      <c r="AK40" s="99"/>
      <c r="AL40" s="128">
        <f t="shared" si="24"/>
        <v>150.85608737168775</v>
      </c>
      <c r="AM40" s="99">
        <v>0</v>
      </c>
      <c r="AN40" s="100">
        <f t="shared" si="25"/>
        <v>48.4208</v>
      </c>
      <c r="AO40" s="101">
        <f t="shared" si="26"/>
        <v>121.4231126283123</v>
      </c>
      <c r="AP40" s="102"/>
      <c r="AQ40" s="103">
        <f t="shared" si="8"/>
        <v>1237</v>
      </c>
      <c r="AR40" s="104">
        <f t="shared" si="37"/>
        <v>105.54</v>
      </c>
      <c r="AS40" s="104">
        <f t="shared" si="10"/>
        <v>454.28</v>
      </c>
      <c r="AT40" s="104">
        <f t="shared" si="11"/>
        <v>356.48</v>
      </c>
      <c r="AU40" s="104">
        <f t="shared" si="27"/>
        <v>0</v>
      </c>
      <c r="AV40" s="104">
        <f t="array" ref="AV40">_xlfn.IFS(U40=0,AO40,U40&lt;0,AO40/-U40,U40&gt;0,AO40/U40)</f>
        <v>121.4231126283123</v>
      </c>
      <c r="AW40" s="244">
        <f t="shared" si="45"/>
        <v>9.815934731472295E-2</v>
      </c>
      <c r="AX40" s="244">
        <f t="shared" si="46"/>
        <v>1.1504937713503154</v>
      </c>
      <c r="AY40" s="105"/>
      <c r="AZ40" s="100">
        <f t="shared" si="14"/>
        <v>5706.8862935306779</v>
      </c>
    </row>
    <row r="41" spans="1:52" outlineLevel="1">
      <c r="A41" s="95" t="s">
        <v>124</v>
      </c>
      <c r="B41" s="96">
        <v>507118377</v>
      </c>
      <c r="C41" s="96" t="s">
        <v>163</v>
      </c>
      <c r="D41" s="97" t="s">
        <v>84</v>
      </c>
      <c r="E41" s="242">
        <f t="shared" si="43"/>
        <v>47</v>
      </c>
      <c r="F41" s="99"/>
      <c r="G41" s="99"/>
      <c r="H41" s="282">
        <v>47</v>
      </c>
      <c r="I41" s="99"/>
      <c r="J41" s="99"/>
      <c r="K41" s="98">
        <v>123.09</v>
      </c>
      <c r="L41" s="98">
        <f t="shared" si="44"/>
        <v>5785.2300000000005</v>
      </c>
      <c r="M41" s="95"/>
      <c r="N41" s="95">
        <v>5</v>
      </c>
      <c r="O41" s="95">
        <v>1252</v>
      </c>
      <c r="P41" s="95">
        <v>40</v>
      </c>
      <c r="Q41" s="243">
        <f t="shared" si="15"/>
        <v>0.15625</v>
      </c>
      <c r="R41" s="98">
        <f t="shared" si="16"/>
        <v>6.25E-2</v>
      </c>
      <c r="S41" s="99">
        <v>2</v>
      </c>
      <c r="T41" s="99">
        <v>0</v>
      </c>
      <c r="U41" s="98">
        <f t="shared" si="17"/>
        <v>2</v>
      </c>
      <c r="V41" s="99">
        <v>1870</v>
      </c>
      <c r="W41" s="99">
        <v>0</v>
      </c>
      <c r="X41" s="98">
        <f t="shared" si="18"/>
        <v>1870</v>
      </c>
      <c r="Y41" s="99">
        <v>2520</v>
      </c>
      <c r="Z41" s="99">
        <v>0</v>
      </c>
      <c r="AA41" s="98">
        <f t="shared" si="19"/>
        <v>2520</v>
      </c>
      <c r="AB41" s="98">
        <f t="shared" si="20"/>
        <v>2504</v>
      </c>
      <c r="AC41" s="244">
        <f t="shared" si="21"/>
        <v>1.1224569235107342E-3</v>
      </c>
      <c r="AD41" s="98">
        <f t="shared" si="22"/>
        <v>246.18</v>
      </c>
      <c r="AE41" s="99">
        <v>912.52</v>
      </c>
      <c r="AF41" s="244">
        <f t="shared" si="23"/>
        <v>0.36211111111111111</v>
      </c>
      <c r="AG41" s="99">
        <v>338.43</v>
      </c>
      <c r="AH41" s="99"/>
      <c r="AI41" s="99"/>
      <c r="AJ41" s="99"/>
      <c r="AK41" s="99"/>
      <c r="AL41" s="128">
        <f t="shared" si="24"/>
        <v>150.85608737168775</v>
      </c>
      <c r="AM41" s="99">
        <v>0</v>
      </c>
      <c r="AN41" s="100">
        <f t="shared" si="25"/>
        <v>106.777</v>
      </c>
      <c r="AO41" s="101">
        <f t="shared" si="26"/>
        <v>765.23691262831233</v>
      </c>
      <c r="AP41" s="102"/>
      <c r="AQ41" s="103">
        <f t="shared" si="8"/>
        <v>1260</v>
      </c>
      <c r="AR41" s="104">
        <f t="shared" si="37"/>
        <v>123.09</v>
      </c>
      <c r="AS41" s="104">
        <f t="shared" si="10"/>
        <v>456.26</v>
      </c>
      <c r="AT41" s="104">
        <f t="shared" si="11"/>
        <v>169.215</v>
      </c>
      <c r="AU41" s="104">
        <f t="shared" si="27"/>
        <v>0</v>
      </c>
      <c r="AV41" s="104">
        <f t="array" ref="AV41">_xlfn.IFS(U41=0,AO41,U41&lt;0,AO41/-U41,U41&gt;0,AO41/U41)</f>
        <v>382.61845631415616</v>
      </c>
      <c r="AW41" s="244">
        <f t="shared" si="45"/>
        <v>0.30366544151917158</v>
      </c>
      <c r="AX41" s="244">
        <f t="shared" si="46"/>
        <v>3.108444685304705</v>
      </c>
      <c r="AY41" s="105"/>
      <c r="AZ41" s="100">
        <f t="shared" si="14"/>
        <v>17983.067446765341</v>
      </c>
    </row>
    <row r="42" spans="1:52" outlineLevel="1">
      <c r="A42" s="95" t="s">
        <v>124</v>
      </c>
      <c r="B42" s="96">
        <v>507119317</v>
      </c>
      <c r="C42" s="96" t="s">
        <v>164</v>
      </c>
      <c r="D42" s="97" t="s">
        <v>84</v>
      </c>
      <c r="E42" s="242">
        <f t="shared" si="43"/>
        <v>48</v>
      </c>
      <c r="F42" s="99"/>
      <c r="G42" s="99"/>
      <c r="H42" s="282">
        <v>48</v>
      </c>
      <c r="I42" s="99"/>
      <c r="J42" s="99"/>
      <c r="K42" s="98">
        <v>123.09</v>
      </c>
      <c r="L42" s="98">
        <f t="shared" si="44"/>
        <v>5908.32</v>
      </c>
      <c r="M42" s="95"/>
      <c r="N42" s="95">
        <v>1</v>
      </c>
      <c r="O42" s="95">
        <v>1218</v>
      </c>
      <c r="P42" s="95">
        <v>0</v>
      </c>
      <c r="Q42" s="243">
        <f t="shared" si="15"/>
        <v>3.125E-2</v>
      </c>
      <c r="R42" s="98">
        <f t="shared" si="16"/>
        <v>0</v>
      </c>
      <c r="S42" s="99">
        <v>0</v>
      </c>
      <c r="T42" s="99">
        <v>0</v>
      </c>
      <c r="U42" s="98">
        <f t="shared" si="17"/>
        <v>0</v>
      </c>
      <c r="V42" s="99">
        <v>0</v>
      </c>
      <c r="W42" s="99">
        <v>0</v>
      </c>
      <c r="X42" s="98">
        <f t="shared" si="18"/>
        <v>0</v>
      </c>
      <c r="Y42" s="99">
        <v>0</v>
      </c>
      <c r="Z42" s="99">
        <v>0</v>
      </c>
      <c r="AA42" s="98">
        <f t="shared" si="19"/>
        <v>0</v>
      </c>
      <c r="AB42" s="98">
        <f t="shared" si="20"/>
        <v>0</v>
      </c>
      <c r="AC42" s="244">
        <f t="shared" si="21"/>
        <v>0</v>
      </c>
      <c r="AD42" s="98">
        <f t="shared" si="22"/>
        <v>0</v>
      </c>
      <c r="AE42" s="99">
        <v>0</v>
      </c>
      <c r="AF42" s="244">
        <f t="shared" si="23"/>
        <v>0</v>
      </c>
      <c r="AG42" s="99">
        <v>84.8</v>
      </c>
      <c r="AH42" s="99"/>
      <c r="AI42" s="99"/>
      <c r="AJ42" s="99"/>
      <c r="AK42" s="99"/>
      <c r="AL42" s="128">
        <f t="shared" si="24"/>
        <v>154.06579135831939</v>
      </c>
      <c r="AM42" s="99">
        <v>0</v>
      </c>
      <c r="AN42" s="100">
        <f t="shared" si="25"/>
        <v>0</v>
      </c>
      <c r="AO42" s="101">
        <f t="shared" si="26"/>
        <v>-238.86579135831937</v>
      </c>
      <c r="AP42" s="102"/>
      <c r="AQ42" s="103">
        <f t="shared" si="8"/>
        <v>0</v>
      </c>
      <c r="AR42" s="104">
        <f t="shared" si="37"/>
        <v>123.09</v>
      </c>
      <c r="AS42" s="104">
        <f t="shared" si="10"/>
        <v>0</v>
      </c>
      <c r="AT42" s="104">
        <f t="shared" si="11"/>
        <v>84.8</v>
      </c>
      <c r="AU42" s="104">
        <f t="shared" si="27"/>
        <v>0</v>
      </c>
      <c r="AV42" s="104">
        <f t="array" ref="AV42">_xlfn.IFS(U42=0,AO42,U42&lt;0,AO42/-U42,U42&gt;0,AO42/U42)</f>
        <v>-238.86579135831937</v>
      </c>
      <c r="AW42" s="244">
        <f t="shared" si="45"/>
        <v>0</v>
      </c>
      <c r="AX42" s="244">
        <f t="shared" si="46"/>
        <v>-1.9405783683347093</v>
      </c>
      <c r="AY42" s="105"/>
      <c r="AZ42" s="100">
        <f t="shared" si="14"/>
        <v>-11465.55798519933</v>
      </c>
    </row>
    <row r="43" spans="1:52" outlineLevel="1">
      <c r="A43" s="95" t="s">
        <v>124</v>
      </c>
      <c r="B43" s="96">
        <v>507119522</v>
      </c>
      <c r="C43" s="96" t="s">
        <v>165</v>
      </c>
      <c r="D43" s="97" t="s">
        <v>84</v>
      </c>
      <c r="E43" s="242">
        <f t="shared" si="43"/>
        <v>48</v>
      </c>
      <c r="F43" s="99"/>
      <c r="G43" s="99"/>
      <c r="H43" s="282">
        <v>48</v>
      </c>
      <c r="I43" s="99"/>
      <c r="J43" s="99"/>
      <c r="K43" s="98">
        <v>123.09</v>
      </c>
      <c r="L43" s="98">
        <f t="shared" si="44"/>
        <v>5908.32</v>
      </c>
      <c r="M43" s="95"/>
      <c r="N43" s="95">
        <v>1</v>
      </c>
      <c r="O43" s="95">
        <v>1260</v>
      </c>
      <c r="P43" s="95">
        <v>0</v>
      </c>
      <c r="Q43" s="243">
        <f t="shared" si="15"/>
        <v>3.125E-2</v>
      </c>
      <c r="R43" s="98">
        <f t="shared" si="16"/>
        <v>0</v>
      </c>
      <c r="S43" s="99">
        <v>1</v>
      </c>
      <c r="T43" s="99">
        <v>-1</v>
      </c>
      <c r="U43" s="98">
        <f t="shared" si="17"/>
        <v>0</v>
      </c>
      <c r="V43" s="99">
        <v>1011</v>
      </c>
      <c r="W43" s="99">
        <v>-1011</v>
      </c>
      <c r="X43" s="98">
        <f t="shared" si="18"/>
        <v>0</v>
      </c>
      <c r="Y43" s="99">
        <v>1260</v>
      </c>
      <c r="Z43" s="99">
        <v>-1260</v>
      </c>
      <c r="AA43" s="98">
        <f t="shared" si="19"/>
        <v>0</v>
      </c>
      <c r="AB43" s="98">
        <f t="shared" si="20"/>
        <v>0</v>
      </c>
      <c r="AC43" s="244">
        <f t="shared" si="21"/>
        <v>0</v>
      </c>
      <c r="AD43" s="98">
        <f t="shared" si="22"/>
        <v>0</v>
      </c>
      <c r="AE43" s="99">
        <v>0</v>
      </c>
      <c r="AF43" s="244">
        <f t="shared" si="23"/>
        <v>0</v>
      </c>
      <c r="AG43" s="99">
        <v>107.11</v>
      </c>
      <c r="AH43" s="99"/>
      <c r="AI43" s="99"/>
      <c r="AJ43" s="99"/>
      <c r="AK43" s="99"/>
      <c r="AL43" s="128">
        <f t="shared" si="24"/>
        <v>154.06579135831939</v>
      </c>
      <c r="AM43" s="99">
        <v>0</v>
      </c>
      <c r="AN43" s="100">
        <f t="shared" si="25"/>
        <v>0</v>
      </c>
      <c r="AO43" s="101">
        <f t="shared" si="26"/>
        <v>-261.17579135831937</v>
      </c>
      <c r="AP43" s="102"/>
      <c r="AQ43" s="103">
        <f t="shared" si="8"/>
        <v>0</v>
      </c>
      <c r="AR43" s="104">
        <f t="shared" si="37"/>
        <v>123.09</v>
      </c>
      <c r="AS43" s="104">
        <f t="shared" si="10"/>
        <v>0</v>
      </c>
      <c r="AT43" s="104">
        <f t="shared" si="11"/>
        <v>107.11</v>
      </c>
      <c r="AU43" s="104">
        <f t="shared" si="27"/>
        <v>0</v>
      </c>
      <c r="AV43" s="104">
        <f t="array" ref="AV43">_xlfn.IFS(U43=0,AO43,U43&lt;0,AO43/-U43,U43&gt;0,AO43/U43)</f>
        <v>-261.17579135831937</v>
      </c>
      <c r="AW43" s="244">
        <f t="shared" si="45"/>
        <v>0</v>
      </c>
      <c r="AX43" s="244">
        <f t="shared" si="46"/>
        <v>-2.1218278605761585</v>
      </c>
      <c r="AY43" s="105"/>
      <c r="AZ43" s="100">
        <f t="shared" si="14"/>
        <v>-12536.437985199329</v>
      </c>
    </row>
    <row r="44" spans="1:52" outlineLevel="1">
      <c r="A44" s="95" t="s">
        <v>124</v>
      </c>
      <c r="B44" s="96">
        <v>386597215</v>
      </c>
      <c r="C44" s="96" t="s">
        <v>166</v>
      </c>
      <c r="D44" s="97" t="s">
        <v>84</v>
      </c>
      <c r="E44" s="242">
        <f t="shared" si="43"/>
        <v>219</v>
      </c>
      <c r="F44" s="99"/>
      <c r="G44" s="99"/>
      <c r="H44" s="282">
        <v>219</v>
      </c>
      <c r="I44" s="99"/>
      <c r="J44" s="99"/>
      <c r="K44" s="98">
        <v>111.39</v>
      </c>
      <c r="L44" s="98">
        <f t="shared" si="44"/>
        <v>24394.41</v>
      </c>
      <c r="M44" s="95"/>
      <c r="N44" s="95">
        <v>8</v>
      </c>
      <c r="O44" s="95">
        <v>1128</v>
      </c>
      <c r="P44" s="95">
        <v>13</v>
      </c>
      <c r="Q44" s="243">
        <f t="shared" si="15"/>
        <v>0.25</v>
      </c>
      <c r="R44" s="98">
        <f t="shared" si="16"/>
        <v>3.125E-2</v>
      </c>
      <c r="S44" s="99">
        <v>1</v>
      </c>
      <c r="T44" s="99">
        <v>0</v>
      </c>
      <c r="U44" s="98">
        <f t="shared" si="17"/>
        <v>1</v>
      </c>
      <c r="V44" s="99">
        <v>752</v>
      </c>
      <c r="W44" s="99">
        <v>0</v>
      </c>
      <c r="X44" s="98">
        <f t="shared" si="18"/>
        <v>752</v>
      </c>
      <c r="Y44" s="99">
        <v>1048</v>
      </c>
      <c r="Z44" s="99">
        <v>0</v>
      </c>
      <c r="AA44" s="98">
        <f t="shared" si="19"/>
        <v>1048</v>
      </c>
      <c r="AB44" s="98">
        <f t="shared" si="20"/>
        <v>1173.1199999999999</v>
      </c>
      <c r="AC44" s="244">
        <f t="shared" si="21"/>
        <v>4.6679954596795612E-4</v>
      </c>
      <c r="AD44" s="98">
        <f t="shared" si="22"/>
        <v>111.39</v>
      </c>
      <c r="AE44" s="99">
        <v>372.42999999999995</v>
      </c>
      <c r="AF44" s="244">
        <f t="shared" si="23"/>
        <v>0.35537213740458012</v>
      </c>
      <c r="AG44" s="99">
        <v>645.46</v>
      </c>
      <c r="AH44" s="99"/>
      <c r="AI44" s="99"/>
      <c r="AJ44" s="99"/>
      <c r="AK44" s="99"/>
      <c r="AL44" s="128">
        <f t="shared" si="24"/>
        <v>702.92517307233231</v>
      </c>
      <c r="AM44" s="99">
        <v>0</v>
      </c>
      <c r="AN44" s="100">
        <f t="shared" si="25"/>
        <v>42.9392</v>
      </c>
      <c r="AO44" s="101">
        <f t="shared" si="26"/>
        <v>-827.14437307233231</v>
      </c>
      <c r="AP44" s="102"/>
      <c r="AQ44" s="103">
        <f t="shared" si="8"/>
        <v>1048</v>
      </c>
      <c r="AR44" s="104">
        <f t="shared" si="37"/>
        <v>111.39</v>
      </c>
      <c r="AS44" s="104">
        <f t="shared" si="10"/>
        <v>372.42999999999995</v>
      </c>
      <c r="AT44" s="104">
        <f t="shared" si="11"/>
        <v>645.46</v>
      </c>
      <c r="AU44" s="104">
        <f t="shared" si="27"/>
        <v>0</v>
      </c>
      <c r="AV44" s="104">
        <f t="array" ref="AV44">_xlfn.IFS(U44=0,AO44,U44&lt;0,AO44/-U44,U44&gt;0,AO44/U44)</f>
        <v>-827.14437307233231</v>
      </c>
      <c r="AW44" s="244">
        <f t="shared" si="45"/>
        <v>-0.7892598979697828</v>
      </c>
      <c r="AX44" s="244">
        <f t="shared" si="46"/>
        <v>-7.4256609486698295</v>
      </c>
      <c r="AY44" s="105"/>
      <c r="AZ44" s="100">
        <f t="shared" si="14"/>
        <v>-181144.61770284077</v>
      </c>
    </row>
    <row r="45" spans="1:52" outlineLevel="1">
      <c r="A45" s="95" t="s">
        <v>124</v>
      </c>
      <c r="B45" s="96">
        <v>386777272</v>
      </c>
      <c r="C45" s="96" t="s">
        <v>167</v>
      </c>
      <c r="D45" s="97" t="s">
        <v>84</v>
      </c>
      <c r="E45" s="242">
        <f t="shared" si="43"/>
        <v>296</v>
      </c>
      <c r="F45" s="99"/>
      <c r="G45" s="99"/>
      <c r="H45" s="282">
        <v>296</v>
      </c>
      <c r="I45" s="99"/>
      <c r="J45" s="99"/>
      <c r="K45" s="98">
        <v>107.88</v>
      </c>
      <c r="L45" s="98">
        <f t="shared" si="44"/>
        <v>31932.48</v>
      </c>
      <c r="M45" s="95"/>
      <c r="N45" s="95">
        <v>30</v>
      </c>
      <c r="O45" s="95">
        <v>1016</v>
      </c>
      <c r="P45" s="95">
        <v>52</v>
      </c>
      <c r="Q45" s="243">
        <f t="shared" si="15"/>
        <v>0.9375</v>
      </c>
      <c r="R45" s="98">
        <f t="shared" si="16"/>
        <v>0.375</v>
      </c>
      <c r="S45" s="99">
        <v>13</v>
      </c>
      <c r="T45" s="99">
        <v>-1</v>
      </c>
      <c r="U45" s="98">
        <f t="shared" si="17"/>
        <v>12</v>
      </c>
      <c r="V45" s="99">
        <v>9560.64</v>
      </c>
      <c r="W45" s="99">
        <v>-672</v>
      </c>
      <c r="X45" s="98">
        <f t="shared" si="18"/>
        <v>8888.64</v>
      </c>
      <c r="Y45" s="99">
        <v>13245.34</v>
      </c>
      <c r="Z45" s="99">
        <v>-998</v>
      </c>
      <c r="AA45" s="98">
        <f t="shared" si="19"/>
        <v>12247.34</v>
      </c>
      <c r="AB45" s="98">
        <f t="shared" si="20"/>
        <v>15849.6</v>
      </c>
      <c r="AC45" s="244">
        <f t="shared" si="21"/>
        <v>5.4552030069801409E-3</v>
      </c>
      <c r="AD45" s="98">
        <f t="shared" si="22"/>
        <v>1294.56</v>
      </c>
      <c r="AE45" s="99">
        <v>4591.45</v>
      </c>
      <c r="AF45" s="244">
        <f t="shared" si="23"/>
        <v>0.3748936503763266</v>
      </c>
      <c r="AG45" s="99">
        <v>1342.38</v>
      </c>
      <c r="AH45" s="99"/>
      <c r="AI45" s="99"/>
      <c r="AJ45" s="99"/>
      <c r="AK45" s="99"/>
      <c r="AL45" s="128">
        <f t="shared" si="24"/>
        <v>950.0723800429696</v>
      </c>
      <c r="AM45" s="99">
        <v>0</v>
      </c>
      <c r="AN45" s="100">
        <f t="shared" si="25"/>
        <v>507.54134399999992</v>
      </c>
      <c r="AO45" s="101">
        <f t="shared" si="26"/>
        <v>3561.3362759570314</v>
      </c>
      <c r="AP45" s="102"/>
      <c r="AQ45" s="103">
        <f t="shared" si="8"/>
        <v>1020.6116666666667</v>
      </c>
      <c r="AR45" s="104">
        <f t="shared" si="37"/>
        <v>107.88</v>
      </c>
      <c r="AS45" s="104">
        <f t="shared" si="10"/>
        <v>382.62083333333334</v>
      </c>
      <c r="AT45" s="104">
        <f t="shared" si="11"/>
        <v>103.26</v>
      </c>
      <c r="AU45" s="104">
        <f t="shared" si="27"/>
        <v>0</v>
      </c>
      <c r="AV45" s="104">
        <f t="array" ref="AV45">_xlfn.IFS(U45=0,AO45,U45&lt;0,AO45/-U45,U45&gt;0,AO45/U45)</f>
        <v>296.77802299641928</v>
      </c>
      <c r="AW45" s="244">
        <f t="shared" si="45"/>
        <v>0.29078447042027339</v>
      </c>
      <c r="AX45" s="244">
        <f t="shared" si="46"/>
        <v>2.7510013255137125</v>
      </c>
      <c r="AY45" s="105"/>
      <c r="AZ45" s="100">
        <f t="shared" si="14"/>
        <v>87846.294806940103</v>
      </c>
    </row>
    <row r="46" spans="1:52" outlineLevel="1">
      <c r="A46" s="95" t="s">
        <v>124</v>
      </c>
      <c r="B46" s="96">
        <v>386777270</v>
      </c>
      <c r="C46" s="96" t="s">
        <v>168</v>
      </c>
      <c r="D46" s="97" t="s">
        <v>84</v>
      </c>
      <c r="E46" s="242">
        <f t="shared" si="43"/>
        <v>0</v>
      </c>
      <c r="F46" s="99"/>
      <c r="G46" s="99"/>
      <c r="H46" s="282">
        <v>0</v>
      </c>
      <c r="I46" s="99"/>
      <c r="J46" s="99"/>
      <c r="K46" s="98">
        <v>107.88</v>
      </c>
      <c r="L46" s="98">
        <f t="shared" si="44"/>
        <v>0</v>
      </c>
      <c r="M46" s="95"/>
      <c r="N46" s="95">
        <v>0</v>
      </c>
      <c r="O46" s="95">
        <v>0</v>
      </c>
      <c r="P46" s="95">
        <v>0</v>
      </c>
      <c r="Q46" s="243">
        <f t="shared" si="15"/>
        <v>0</v>
      </c>
      <c r="R46" s="98">
        <f t="shared" si="16"/>
        <v>0</v>
      </c>
      <c r="S46" s="99">
        <v>0</v>
      </c>
      <c r="T46" s="99">
        <v>0</v>
      </c>
      <c r="U46" s="98">
        <f t="shared" si="17"/>
        <v>0</v>
      </c>
      <c r="V46" s="99">
        <v>0</v>
      </c>
      <c r="W46" s="99">
        <v>0</v>
      </c>
      <c r="X46" s="98">
        <f t="shared" si="18"/>
        <v>0</v>
      </c>
      <c r="Y46" s="99">
        <v>0</v>
      </c>
      <c r="Z46" s="99">
        <v>0</v>
      </c>
      <c r="AA46" s="98">
        <f t="shared" si="19"/>
        <v>0</v>
      </c>
      <c r="AB46" s="98">
        <f t="shared" si="20"/>
        <v>0</v>
      </c>
      <c r="AC46" s="244">
        <f t="shared" si="21"/>
        <v>0</v>
      </c>
      <c r="AD46" s="98">
        <f t="shared" si="22"/>
        <v>0</v>
      </c>
      <c r="AE46" s="99">
        <v>0</v>
      </c>
      <c r="AF46" s="244">
        <f t="shared" si="23"/>
        <v>0</v>
      </c>
      <c r="AG46" s="99">
        <v>0</v>
      </c>
      <c r="AH46" s="99"/>
      <c r="AI46" s="99"/>
      <c r="AJ46" s="99"/>
      <c r="AK46" s="99"/>
      <c r="AL46" s="128">
        <f t="shared" si="24"/>
        <v>0</v>
      </c>
      <c r="AM46" s="99">
        <v>0</v>
      </c>
      <c r="AN46" s="100">
        <f t="shared" si="25"/>
        <v>0</v>
      </c>
      <c r="AO46" s="101">
        <f t="shared" si="26"/>
        <v>0</v>
      </c>
      <c r="AP46" s="102"/>
      <c r="AQ46" s="103">
        <f t="shared" si="8"/>
        <v>0</v>
      </c>
      <c r="AR46" s="104">
        <f t="shared" si="37"/>
        <v>107.88</v>
      </c>
      <c r="AS46" s="104">
        <f t="shared" si="10"/>
        <v>0</v>
      </c>
      <c r="AT46" s="104">
        <f t="shared" si="11"/>
        <v>0</v>
      </c>
      <c r="AU46" s="104">
        <f t="shared" si="27"/>
        <v>0</v>
      </c>
      <c r="AV46" s="104">
        <f t="array" ref="AV46">_xlfn.IFS(U46=0,AO46,U46&lt;0,AO46/-U46,U46&gt;0,AO46/U46)</f>
        <v>0</v>
      </c>
      <c r="AW46" s="244">
        <f t="shared" si="45"/>
        <v>0</v>
      </c>
      <c r="AX46" s="244">
        <f t="shared" si="46"/>
        <v>0</v>
      </c>
      <c r="AY46" s="105"/>
      <c r="AZ46" s="100">
        <f t="shared" si="14"/>
        <v>0</v>
      </c>
    </row>
    <row r="47" spans="1:52" outlineLevel="1">
      <c r="A47" s="95" t="s">
        <v>124</v>
      </c>
      <c r="B47" s="96">
        <v>386777273</v>
      </c>
      <c r="C47" s="96" t="s">
        <v>169</v>
      </c>
      <c r="D47" s="97" t="s">
        <v>84</v>
      </c>
      <c r="E47" s="242">
        <f t="shared" si="43"/>
        <v>170</v>
      </c>
      <c r="F47" s="99"/>
      <c r="G47" s="99"/>
      <c r="H47" s="282">
        <v>170</v>
      </c>
      <c r="I47" s="99"/>
      <c r="J47" s="99"/>
      <c r="K47" s="98">
        <v>123.09</v>
      </c>
      <c r="L47" s="98">
        <f t="shared" si="44"/>
        <v>20925.3</v>
      </c>
      <c r="M47" s="95"/>
      <c r="N47" s="95">
        <v>14</v>
      </c>
      <c r="O47" s="95">
        <v>968</v>
      </c>
      <c r="P47" s="95">
        <v>57</v>
      </c>
      <c r="Q47" s="243">
        <f t="shared" si="15"/>
        <v>0.4375</v>
      </c>
      <c r="R47" s="98">
        <f t="shared" si="16"/>
        <v>0.1875</v>
      </c>
      <c r="S47" s="99">
        <v>6</v>
      </c>
      <c r="T47" s="99">
        <v>0</v>
      </c>
      <c r="U47" s="98">
        <f t="shared" si="17"/>
        <v>6</v>
      </c>
      <c r="V47" s="99">
        <v>4518.4799999999996</v>
      </c>
      <c r="W47" s="99">
        <v>0</v>
      </c>
      <c r="X47" s="98">
        <f t="shared" si="18"/>
        <v>4518.4799999999996</v>
      </c>
      <c r="Y47" s="99">
        <v>5847.58</v>
      </c>
      <c r="Z47" s="99">
        <v>0</v>
      </c>
      <c r="AA47" s="98">
        <f t="shared" si="19"/>
        <v>5847.58</v>
      </c>
      <c r="AB47" s="98">
        <f t="shared" si="20"/>
        <v>7724.64</v>
      </c>
      <c r="AC47" s="244">
        <f t="shared" si="21"/>
        <v>2.6046256574535315E-3</v>
      </c>
      <c r="AD47" s="98">
        <f t="shared" si="22"/>
        <v>738.54</v>
      </c>
      <c r="AE47" s="99">
        <v>2187.6</v>
      </c>
      <c r="AF47" s="244">
        <f t="shared" si="23"/>
        <v>0.37410347528379262</v>
      </c>
      <c r="AG47" s="99">
        <v>826.83999999999992</v>
      </c>
      <c r="AH47" s="99"/>
      <c r="AI47" s="99"/>
      <c r="AJ47" s="99"/>
      <c r="AK47" s="99"/>
      <c r="AL47" s="128">
        <f t="shared" si="24"/>
        <v>545.64967772738123</v>
      </c>
      <c r="AM47" s="99">
        <v>0</v>
      </c>
      <c r="AN47" s="100">
        <f t="shared" si="25"/>
        <v>258.00520799999998</v>
      </c>
      <c r="AO47" s="101">
        <f t="shared" si="26"/>
        <v>1290.9451142726191</v>
      </c>
      <c r="AP47" s="102"/>
      <c r="AQ47" s="103">
        <f t="shared" si="8"/>
        <v>974.59666666666669</v>
      </c>
      <c r="AR47" s="104">
        <f t="shared" si="37"/>
        <v>123.09</v>
      </c>
      <c r="AS47" s="104">
        <f t="shared" si="10"/>
        <v>364.59999999999997</v>
      </c>
      <c r="AT47" s="104">
        <f t="shared" si="11"/>
        <v>137.80666666666664</v>
      </c>
      <c r="AU47" s="104">
        <f t="shared" si="27"/>
        <v>0</v>
      </c>
      <c r="AV47" s="104">
        <f t="array" ref="AV47">_xlfn.IFS(U47=0,AO47,U47&lt;0,AO47/-U47,U47&gt;0,AO47/U47)</f>
        <v>215.15751904543652</v>
      </c>
      <c r="AW47" s="244">
        <f t="shared" si="45"/>
        <v>0.22076570380783486</v>
      </c>
      <c r="AX47" s="244">
        <f t="shared" si="46"/>
        <v>1.7479691205251158</v>
      </c>
      <c r="AY47" s="105"/>
      <c r="AZ47" s="100">
        <f t="shared" si="14"/>
        <v>36576.778237724211</v>
      </c>
    </row>
    <row r="48" spans="1:52" outlineLevel="1">
      <c r="A48" s="95" t="s">
        <v>124</v>
      </c>
      <c r="B48" s="96">
        <v>386777271</v>
      </c>
      <c r="C48" s="96" t="s">
        <v>170</v>
      </c>
      <c r="D48" s="97" t="s">
        <v>84</v>
      </c>
      <c r="E48" s="242">
        <f t="shared" si="43"/>
        <v>408</v>
      </c>
      <c r="F48" s="99"/>
      <c r="G48" s="99"/>
      <c r="H48" s="282">
        <v>408</v>
      </c>
      <c r="I48" s="99"/>
      <c r="J48" s="99"/>
      <c r="K48" s="98">
        <v>107.88</v>
      </c>
      <c r="L48" s="98">
        <f t="shared" si="44"/>
        <v>44015.040000000001</v>
      </c>
      <c r="M48" s="95"/>
      <c r="N48" s="95">
        <v>30</v>
      </c>
      <c r="O48" s="95">
        <v>1084</v>
      </c>
      <c r="P48" s="95">
        <v>63</v>
      </c>
      <c r="Q48" s="243">
        <f t="shared" si="15"/>
        <v>0.9375</v>
      </c>
      <c r="R48" s="98">
        <f t="shared" si="16"/>
        <v>0.40625</v>
      </c>
      <c r="S48" s="99">
        <v>13</v>
      </c>
      <c r="T48" s="99">
        <v>0</v>
      </c>
      <c r="U48" s="98">
        <f t="shared" si="17"/>
        <v>13</v>
      </c>
      <c r="V48" s="99">
        <v>9845</v>
      </c>
      <c r="W48" s="99">
        <v>0</v>
      </c>
      <c r="X48" s="98">
        <f t="shared" si="18"/>
        <v>9845</v>
      </c>
      <c r="Y48" s="99">
        <v>13990.69</v>
      </c>
      <c r="Z48" s="99">
        <v>0</v>
      </c>
      <c r="AA48" s="98">
        <f t="shared" si="19"/>
        <v>13990.69</v>
      </c>
      <c r="AB48" s="98">
        <f t="shared" si="20"/>
        <v>20487.599999999999</v>
      </c>
      <c r="AC48" s="244">
        <f t="shared" si="21"/>
        <v>6.2317249425366643E-3</v>
      </c>
      <c r="AD48" s="98">
        <f t="shared" si="22"/>
        <v>1402.44</v>
      </c>
      <c r="AE48" s="99">
        <v>5188.93</v>
      </c>
      <c r="AF48" s="244">
        <f t="shared" si="23"/>
        <v>0.37088449533225309</v>
      </c>
      <c r="AG48" s="99">
        <v>1435.1699999999998</v>
      </c>
      <c r="AH48" s="99"/>
      <c r="AI48" s="99">
        <v>3453</v>
      </c>
      <c r="AJ48" s="99"/>
      <c r="AK48" s="99"/>
      <c r="AL48" s="128">
        <f t="shared" si="24"/>
        <v>1309.5592265457149</v>
      </c>
      <c r="AM48" s="99">
        <v>0</v>
      </c>
      <c r="AN48" s="100">
        <f t="shared" si="25"/>
        <v>562.14949999999999</v>
      </c>
      <c r="AO48" s="101">
        <f t="shared" si="26"/>
        <v>639.44127345428478</v>
      </c>
      <c r="AP48" s="102"/>
      <c r="AQ48" s="103">
        <f t="shared" si="8"/>
        <v>1076.2069230769232</v>
      </c>
      <c r="AR48" s="104">
        <f t="shared" si="37"/>
        <v>107.88</v>
      </c>
      <c r="AS48" s="104">
        <f t="shared" si="10"/>
        <v>399.14846153846156</v>
      </c>
      <c r="AT48" s="104">
        <f t="shared" si="11"/>
        <v>110.3976923076923</v>
      </c>
      <c r="AU48" s="104">
        <f t="shared" si="27"/>
        <v>265.61538461538464</v>
      </c>
      <c r="AV48" s="104">
        <f t="array" ref="AV48">_xlfn.IFS(U48=0,AO48,U48&lt;0,AO48/-U48,U48&gt;0,AO48/U48)</f>
        <v>49.187790265714213</v>
      </c>
      <c r="AW48" s="244">
        <f t="shared" si="45"/>
        <v>4.5704770347587194E-2</v>
      </c>
      <c r="AX48" s="244">
        <f t="shared" si="46"/>
        <v>0.45594911258541171</v>
      </c>
      <c r="AY48" s="105"/>
      <c r="AZ48" s="100">
        <f t="shared" si="14"/>
        <v>20068.618428411399</v>
      </c>
    </row>
    <row r="49" spans="1:52" outlineLevel="1">
      <c r="A49" s="95" t="s">
        <v>124</v>
      </c>
      <c r="B49" s="96">
        <v>386753444</v>
      </c>
      <c r="C49" s="96" t="s">
        <v>171</v>
      </c>
      <c r="D49" s="97" t="s">
        <v>84</v>
      </c>
      <c r="E49" s="242">
        <f t="shared" si="43"/>
        <v>213</v>
      </c>
      <c r="F49" s="99"/>
      <c r="G49" s="99"/>
      <c r="H49" s="282">
        <v>213</v>
      </c>
      <c r="I49" s="99"/>
      <c r="J49" s="99"/>
      <c r="K49" s="98">
        <v>123.09</v>
      </c>
      <c r="L49" s="98">
        <f t="shared" si="44"/>
        <v>26218.170000000002</v>
      </c>
      <c r="M49" s="95"/>
      <c r="N49" s="95">
        <v>101</v>
      </c>
      <c r="O49" s="95">
        <v>1267</v>
      </c>
      <c r="P49" s="95">
        <v>39</v>
      </c>
      <c r="Q49" s="243">
        <f t="shared" si="15"/>
        <v>3.15625</v>
      </c>
      <c r="R49" s="98">
        <f t="shared" si="16"/>
        <v>1</v>
      </c>
      <c r="S49" s="99">
        <v>35</v>
      </c>
      <c r="T49" s="99">
        <v>-3</v>
      </c>
      <c r="U49" s="98">
        <f t="shared" si="17"/>
        <v>32</v>
      </c>
      <c r="V49" s="99">
        <v>34412.629999999997</v>
      </c>
      <c r="W49" s="99">
        <v>-2821</v>
      </c>
      <c r="X49" s="98">
        <f t="shared" si="18"/>
        <v>31591.629999999997</v>
      </c>
      <c r="Y49" s="99">
        <v>44403.44</v>
      </c>
      <c r="Z49" s="99">
        <v>-3774</v>
      </c>
      <c r="AA49" s="98">
        <f t="shared" si="19"/>
        <v>40629.440000000002</v>
      </c>
      <c r="AB49" s="98">
        <f t="shared" si="20"/>
        <v>49907.13</v>
      </c>
      <c r="AC49" s="244">
        <f t="shared" si="21"/>
        <v>1.809714135966824E-2</v>
      </c>
      <c r="AD49" s="98">
        <f t="shared" si="22"/>
        <v>3938.88</v>
      </c>
      <c r="AE49" s="99">
        <v>14990.630000000005</v>
      </c>
      <c r="AF49" s="244">
        <f t="shared" si="23"/>
        <v>0.36895979860908751</v>
      </c>
      <c r="AG49" s="99">
        <v>6465.0399999999945</v>
      </c>
      <c r="AH49" s="99">
        <v>2000</v>
      </c>
      <c r="AI49" s="99">
        <v>12112</v>
      </c>
      <c r="AJ49" s="99"/>
      <c r="AK49" s="99"/>
      <c r="AL49" s="128">
        <f t="shared" si="24"/>
        <v>683.66694915254232</v>
      </c>
      <c r="AM49" s="99">
        <v>0</v>
      </c>
      <c r="AN49" s="100">
        <f t="shared" si="25"/>
        <v>1803.8820729999998</v>
      </c>
      <c r="AO49" s="101">
        <f t="shared" si="26"/>
        <v>-1364.6590221525353</v>
      </c>
      <c r="AP49" s="102"/>
      <c r="AQ49" s="103">
        <f t="shared" si="8"/>
        <v>1269.67</v>
      </c>
      <c r="AR49" s="104">
        <f t="shared" si="37"/>
        <v>123.09</v>
      </c>
      <c r="AS49" s="104">
        <f t="shared" si="10"/>
        <v>468.45718750000015</v>
      </c>
      <c r="AT49" s="104">
        <f t="shared" si="11"/>
        <v>184.71542857142842</v>
      </c>
      <c r="AU49" s="104">
        <f t="shared" si="27"/>
        <v>403.2</v>
      </c>
      <c r="AV49" s="104">
        <f t="array" ref="AV49">_xlfn.IFS(U49=0,AO49,U49&lt;0,AO49/-U49,U49&gt;0,AO49/U49)</f>
        <v>-42.645594442266727</v>
      </c>
      <c r="AW49" s="244">
        <f t="shared" si="45"/>
        <v>-3.3587935796125547E-2</v>
      </c>
      <c r="AX49" s="244">
        <f t="shared" si="46"/>
        <v>-0.34645864361253331</v>
      </c>
      <c r="AY49" s="105"/>
      <c r="AZ49" s="100">
        <f t="shared" si="14"/>
        <v>-9083.5116162028135</v>
      </c>
    </row>
    <row r="50" spans="1:52" outlineLevel="1">
      <c r="A50" s="95" t="s">
        <v>124</v>
      </c>
      <c r="B50" s="96">
        <v>386733628</v>
      </c>
      <c r="C50" s="96" t="s">
        <v>172</v>
      </c>
      <c r="D50" s="97" t="s">
        <v>84</v>
      </c>
      <c r="E50" s="242">
        <f t="shared" si="43"/>
        <v>250</v>
      </c>
      <c r="F50" s="99"/>
      <c r="G50" s="99"/>
      <c r="H50" s="282">
        <v>250</v>
      </c>
      <c r="I50" s="99"/>
      <c r="J50" s="99"/>
      <c r="K50" s="98">
        <v>134.79</v>
      </c>
      <c r="L50" s="98">
        <f t="shared" si="44"/>
        <v>33697.5</v>
      </c>
      <c r="M50" s="95"/>
      <c r="N50" s="95">
        <v>53</v>
      </c>
      <c r="O50" s="95">
        <v>1146</v>
      </c>
      <c r="P50" s="95">
        <v>64</v>
      </c>
      <c r="Q50" s="243">
        <f t="shared" si="15"/>
        <v>1.65625</v>
      </c>
      <c r="R50" s="98">
        <f t="shared" si="16"/>
        <v>0.8125</v>
      </c>
      <c r="S50" s="99">
        <v>27</v>
      </c>
      <c r="T50" s="99">
        <v>-1</v>
      </c>
      <c r="U50" s="98">
        <f t="shared" si="17"/>
        <v>26</v>
      </c>
      <c r="V50" s="99">
        <v>23429.49</v>
      </c>
      <c r="W50" s="99">
        <v>-891</v>
      </c>
      <c r="X50" s="98">
        <f t="shared" si="18"/>
        <v>22538.49</v>
      </c>
      <c r="Y50" s="99">
        <v>30799.43</v>
      </c>
      <c r="Z50" s="99">
        <v>-1138</v>
      </c>
      <c r="AA50" s="98">
        <f t="shared" si="19"/>
        <v>29661.43</v>
      </c>
      <c r="AB50" s="98">
        <f t="shared" si="20"/>
        <v>38872.32</v>
      </c>
      <c r="AC50" s="244">
        <f t="shared" si="21"/>
        <v>1.3211776771717856E-2</v>
      </c>
      <c r="AD50" s="98">
        <f t="shared" si="22"/>
        <v>3504.54</v>
      </c>
      <c r="AE50" s="99">
        <v>10971.44</v>
      </c>
      <c r="AF50" s="244">
        <f t="shared" si="23"/>
        <v>0.36988911188705331</v>
      </c>
      <c r="AG50" s="99">
        <v>2912.09</v>
      </c>
      <c r="AH50" s="99">
        <v>8502</v>
      </c>
      <c r="AI50" s="99">
        <f>110+4419</f>
        <v>4529</v>
      </c>
      <c r="AJ50" s="99"/>
      <c r="AK50" s="99"/>
      <c r="AL50" s="128">
        <f t="shared" si="24"/>
        <v>802.42599665791363</v>
      </c>
      <c r="AM50" s="99">
        <v>0</v>
      </c>
      <c r="AN50" s="100">
        <f t="shared" si="25"/>
        <v>1286.9477790000001</v>
      </c>
      <c r="AO50" s="101">
        <f t="shared" si="26"/>
        <v>-2847.0137756579152</v>
      </c>
      <c r="AP50" s="102"/>
      <c r="AQ50" s="103">
        <f t="shared" si="8"/>
        <v>1140.8242307692308</v>
      </c>
      <c r="AR50" s="104">
        <f t="shared" si="37"/>
        <v>134.79</v>
      </c>
      <c r="AS50" s="104">
        <f t="shared" si="10"/>
        <v>421.97846153846154</v>
      </c>
      <c r="AT50" s="104">
        <f t="shared" si="11"/>
        <v>107.85518518518519</v>
      </c>
      <c r="AU50" s="104">
        <f t="shared" si="27"/>
        <v>482.62962962962962</v>
      </c>
      <c r="AV50" s="104">
        <f t="array" ref="AV50">_xlfn.IFS(U50=0,AO50,U50&lt;0,AO50/-U50,U50&gt;0,AO50/U50)</f>
        <v>-109.50052983299673</v>
      </c>
      <c r="AW50" s="244">
        <f t="shared" si="45"/>
        <v>-9.5983699223466806E-2</v>
      </c>
      <c r="AX50" s="244">
        <f t="shared" si="46"/>
        <v>-0.81237873605606303</v>
      </c>
      <c r="AY50" s="105"/>
      <c r="AZ50" s="100">
        <f t="shared" si="14"/>
        <v>-27375.132458249183</v>
      </c>
    </row>
    <row r="51" spans="1:52" outlineLevel="1">
      <c r="A51" s="95" t="s">
        <v>124</v>
      </c>
      <c r="B51" s="96">
        <v>386787535</v>
      </c>
      <c r="C51" s="96" t="s">
        <v>173</v>
      </c>
      <c r="D51" s="97" t="s">
        <v>84</v>
      </c>
      <c r="E51" s="242">
        <f t="shared" si="43"/>
        <v>32</v>
      </c>
      <c r="F51" s="99"/>
      <c r="G51" s="99"/>
      <c r="H51" s="282">
        <v>32</v>
      </c>
      <c r="I51" s="99"/>
      <c r="J51" s="99"/>
      <c r="K51" s="98">
        <v>144.15</v>
      </c>
      <c r="L51" s="98">
        <f t="shared" si="44"/>
        <v>4612.8</v>
      </c>
      <c r="M51" s="95"/>
      <c r="N51" s="95">
        <v>53</v>
      </c>
      <c r="O51" s="95">
        <v>1183</v>
      </c>
      <c r="P51" s="95">
        <v>27</v>
      </c>
      <c r="Q51" s="243">
        <f t="shared" si="15"/>
        <v>1.65625</v>
      </c>
      <c r="R51" s="98">
        <f t="shared" si="16"/>
        <v>0.375</v>
      </c>
      <c r="S51" s="99">
        <v>12</v>
      </c>
      <c r="T51" s="99">
        <v>0</v>
      </c>
      <c r="U51" s="98">
        <f t="shared" si="17"/>
        <v>12</v>
      </c>
      <c r="V51" s="99">
        <v>10065.91</v>
      </c>
      <c r="W51" s="99">
        <v>0</v>
      </c>
      <c r="X51" s="98">
        <f t="shared" si="18"/>
        <v>10065.91</v>
      </c>
      <c r="Y51" s="99">
        <v>14171.07</v>
      </c>
      <c r="Z51" s="99">
        <v>0</v>
      </c>
      <c r="AA51" s="98">
        <f t="shared" si="19"/>
        <v>14171.07</v>
      </c>
      <c r="AB51" s="98">
        <f t="shared" si="20"/>
        <v>16928.73</v>
      </c>
      <c r="AC51" s="244">
        <f t="shared" si="21"/>
        <v>6.3120696964504997E-3</v>
      </c>
      <c r="AD51" s="98">
        <f t="shared" si="22"/>
        <v>1729.8000000000002</v>
      </c>
      <c r="AE51" s="99">
        <v>5271.8799999999992</v>
      </c>
      <c r="AF51" s="244">
        <f t="shared" si="23"/>
        <v>0.37201707422234165</v>
      </c>
      <c r="AG51" s="99">
        <v>3122.0900000000006</v>
      </c>
      <c r="AH51" s="99">
        <v>3000</v>
      </c>
      <c r="AI51" s="99">
        <v>12527</v>
      </c>
      <c r="AJ51" s="99"/>
      <c r="AK51" s="99"/>
      <c r="AL51" s="128">
        <f t="shared" si="24"/>
        <v>102.71052757221294</v>
      </c>
      <c r="AM51" s="99">
        <v>0</v>
      </c>
      <c r="AN51" s="100">
        <f t="shared" si="25"/>
        <v>574.76346100000001</v>
      </c>
      <c r="AO51" s="101">
        <f t="shared" si="26"/>
        <v>-12157.173988572213</v>
      </c>
      <c r="AP51" s="102"/>
      <c r="AQ51" s="103">
        <f t="shared" si="8"/>
        <v>1180.9224999999999</v>
      </c>
      <c r="AR51" s="104">
        <f t="shared" si="37"/>
        <v>144.15</v>
      </c>
      <c r="AS51" s="104">
        <f t="shared" si="10"/>
        <v>439.32333333333327</v>
      </c>
      <c r="AT51" s="104">
        <f t="shared" si="11"/>
        <v>260.17416666666674</v>
      </c>
      <c r="AU51" s="104">
        <f t="shared" si="27"/>
        <v>1293.9166666666667</v>
      </c>
      <c r="AV51" s="104">
        <f t="array" ref="AV51">_xlfn.IFS(U51=0,AO51,U51&lt;0,AO51/-U51,U51&gt;0,AO51/U51)</f>
        <v>-1013.0978323810177</v>
      </c>
      <c r="AW51" s="244">
        <f t="shared" si="45"/>
        <v>-0.85788680661179528</v>
      </c>
      <c r="AX51" s="244">
        <f t="shared" si="46"/>
        <v>-7.02808069636502</v>
      </c>
      <c r="AY51" s="105"/>
      <c r="AZ51" s="100">
        <f t="shared" si="14"/>
        <v>-32419.130636192567</v>
      </c>
    </row>
    <row r="52" spans="1:52" outlineLevel="1">
      <c r="A52" s="95" t="s">
        <v>124</v>
      </c>
      <c r="B52" s="96">
        <v>507114655</v>
      </c>
      <c r="C52" s="96" t="s">
        <v>174</v>
      </c>
      <c r="D52" s="97" t="s">
        <v>84</v>
      </c>
      <c r="E52" s="242">
        <f t="shared" si="43"/>
        <v>49</v>
      </c>
      <c r="F52" s="99"/>
      <c r="G52" s="99"/>
      <c r="H52" s="282">
        <v>49</v>
      </c>
      <c r="I52" s="99"/>
      <c r="J52" s="99"/>
      <c r="K52" s="98">
        <v>96.18</v>
      </c>
      <c r="L52" s="98">
        <f t="shared" si="44"/>
        <v>4712.8200000000006</v>
      </c>
      <c r="M52" s="95"/>
      <c r="N52" s="95">
        <v>1</v>
      </c>
      <c r="O52" s="95">
        <v>1106</v>
      </c>
      <c r="P52" s="95">
        <v>0</v>
      </c>
      <c r="Q52" s="243">
        <f t="shared" si="15"/>
        <v>3.125E-2</v>
      </c>
      <c r="R52" s="98">
        <f t="shared" si="16"/>
        <v>0</v>
      </c>
      <c r="S52" s="99">
        <v>0</v>
      </c>
      <c r="T52" s="99">
        <v>0</v>
      </c>
      <c r="U52" s="98">
        <f t="shared" si="17"/>
        <v>0</v>
      </c>
      <c r="V52" s="99">
        <v>0</v>
      </c>
      <c r="W52" s="99">
        <v>0</v>
      </c>
      <c r="X52" s="98">
        <f t="shared" si="18"/>
        <v>0</v>
      </c>
      <c r="Y52" s="99">
        <v>0</v>
      </c>
      <c r="Z52" s="99">
        <v>0</v>
      </c>
      <c r="AA52" s="98">
        <f t="shared" si="19"/>
        <v>0</v>
      </c>
      <c r="AB52" s="98">
        <f t="shared" si="20"/>
        <v>0</v>
      </c>
      <c r="AC52" s="244">
        <f t="shared" si="21"/>
        <v>0</v>
      </c>
      <c r="AD52" s="98">
        <f t="shared" si="22"/>
        <v>0</v>
      </c>
      <c r="AE52" s="99">
        <v>0</v>
      </c>
      <c r="AF52" s="244">
        <f t="shared" si="23"/>
        <v>0</v>
      </c>
      <c r="AG52" s="99">
        <v>108.58</v>
      </c>
      <c r="AH52" s="99"/>
      <c r="AI52" s="99"/>
      <c r="AJ52" s="99"/>
      <c r="AK52" s="99"/>
      <c r="AL52" s="128">
        <f t="shared" si="24"/>
        <v>157.27549534495105</v>
      </c>
      <c r="AM52" s="99">
        <v>0</v>
      </c>
      <c r="AN52" s="100">
        <f t="shared" si="25"/>
        <v>0</v>
      </c>
      <c r="AO52" s="101">
        <f t="shared" si="26"/>
        <v>-265.85549534495107</v>
      </c>
      <c r="AP52" s="102"/>
      <c r="AQ52" s="103">
        <f t="shared" si="8"/>
        <v>0</v>
      </c>
      <c r="AR52" s="104">
        <f t="shared" si="37"/>
        <v>96.18</v>
      </c>
      <c r="AS52" s="104">
        <f t="shared" si="10"/>
        <v>0</v>
      </c>
      <c r="AT52" s="104">
        <f t="shared" si="11"/>
        <v>108.58</v>
      </c>
      <c r="AU52" s="104">
        <f t="shared" si="27"/>
        <v>0</v>
      </c>
      <c r="AV52" s="104">
        <f t="array" ref="AV52">_xlfn.IFS(U52=0,AO52,U52&lt;0,AO52/-U52,U52&gt;0,AO52/U52)</f>
        <v>-265.85549534495107</v>
      </c>
      <c r="AW52" s="244">
        <f t="shared" si="45"/>
        <v>0</v>
      </c>
      <c r="AX52" s="244">
        <f t="shared" si="46"/>
        <v>-2.7641453040647854</v>
      </c>
      <c r="AY52" s="105"/>
      <c r="AZ52" s="100">
        <f t="shared" si="14"/>
        <v>-13026.919271902601</v>
      </c>
    </row>
    <row r="53" spans="1:52" outlineLevel="1">
      <c r="A53" s="95" t="s">
        <v>124</v>
      </c>
      <c r="B53" s="96">
        <v>507115073</v>
      </c>
      <c r="C53" s="96" t="s">
        <v>175</v>
      </c>
      <c r="D53" s="97" t="s">
        <v>84</v>
      </c>
      <c r="E53" s="242">
        <f t="shared" si="43"/>
        <v>49</v>
      </c>
      <c r="F53" s="99"/>
      <c r="G53" s="99"/>
      <c r="H53" s="282">
        <v>49</v>
      </c>
      <c r="I53" s="99"/>
      <c r="J53" s="99"/>
      <c r="K53" s="98">
        <v>96.18</v>
      </c>
      <c r="L53" s="98">
        <f t="shared" si="44"/>
        <v>4712.8200000000006</v>
      </c>
      <c r="M53" s="95"/>
      <c r="N53" s="95">
        <v>4</v>
      </c>
      <c r="O53" s="95">
        <v>1166</v>
      </c>
      <c r="P53" s="95">
        <v>25</v>
      </c>
      <c r="Q53" s="243">
        <f t="shared" si="15"/>
        <v>0.125</v>
      </c>
      <c r="R53" s="98">
        <f t="shared" si="16"/>
        <v>3.125E-2</v>
      </c>
      <c r="S53" s="99">
        <v>1</v>
      </c>
      <c r="T53" s="99">
        <v>0</v>
      </c>
      <c r="U53" s="98">
        <f t="shared" si="17"/>
        <v>1</v>
      </c>
      <c r="V53" s="99">
        <v>1059</v>
      </c>
      <c r="W53" s="99">
        <v>0</v>
      </c>
      <c r="X53" s="98">
        <f t="shared" si="18"/>
        <v>1059</v>
      </c>
      <c r="Y53" s="99">
        <v>1225</v>
      </c>
      <c r="Z53" s="99">
        <v>0</v>
      </c>
      <c r="AA53" s="98">
        <f t="shared" si="19"/>
        <v>1225</v>
      </c>
      <c r="AB53" s="98">
        <f t="shared" si="20"/>
        <v>1166</v>
      </c>
      <c r="AC53" s="244">
        <f t="shared" si="21"/>
        <v>5.4563878226216247E-4</v>
      </c>
      <c r="AD53" s="98">
        <f t="shared" si="22"/>
        <v>96.18</v>
      </c>
      <c r="AE53" s="99">
        <v>459.75</v>
      </c>
      <c r="AF53" s="244">
        <f t="shared" si="23"/>
        <v>0.3753061224489796</v>
      </c>
      <c r="AG53" s="99">
        <v>380.16</v>
      </c>
      <c r="AH53" s="99"/>
      <c r="AI53" s="99"/>
      <c r="AJ53" s="99"/>
      <c r="AK53" s="99"/>
      <c r="AL53" s="128">
        <f t="shared" si="24"/>
        <v>157.27549534495105</v>
      </c>
      <c r="AM53" s="99">
        <v>0</v>
      </c>
      <c r="AN53" s="100">
        <f t="shared" si="25"/>
        <v>60.468899999999998</v>
      </c>
      <c r="AO53" s="101">
        <f t="shared" si="26"/>
        <v>71.165604655048867</v>
      </c>
      <c r="AP53" s="102"/>
      <c r="AQ53" s="103">
        <f t="shared" si="8"/>
        <v>1225</v>
      </c>
      <c r="AR53" s="104">
        <f t="shared" si="37"/>
        <v>96.18</v>
      </c>
      <c r="AS53" s="104">
        <f t="shared" si="10"/>
        <v>459.75</v>
      </c>
      <c r="AT53" s="104">
        <f t="shared" si="11"/>
        <v>380.16</v>
      </c>
      <c r="AU53" s="104">
        <f t="shared" si="27"/>
        <v>0</v>
      </c>
      <c r="AV53" s="104">
        <f t="array" ref="AV53">_xlfn.IFS(U53=0,AO53,U53&lt;0,AO53/-U53,U53&gt;0,AO53/U53)</f>
        <v>71.165604655048867</v>
      </c>
      <c r="AW53" s="244">
        <f t="shared" si="45"/>
        <v>5.8094371146978664E-2</v>
      </c>
      <c r="AX53" s="244">
        <f t="shared" si="46"/>
        <v>0.7399210298923774</v>
      </c>
      <c r="AY53" s="105"/>
      <c r="AZ53" s="100">
        <f t="shared" si="14"/>
        <v>3487.1146280973944</v>
      </c>
    </row>
    <row r="54" spans="1:52" outlineLevel="1">
      <c r="A54" s="95" t="s">
        <v>124</v>
      </c>
      <c r="B54" s="96">
        <v>431398576</v>
      </c>
      <c r="C54" s="96" t="s">
        <v>176</v>
      </c>
      <c r="D54" s="97" t="s">
        <v>84</v>
      </c>
      <c r="E54" s="242">
        <f t="shared" ref="E54:E98" si="47">SUM(F54:J54)</f>
        <v>55</v>
      </c>
      <c r="F54" s="99"/>
      <c r="G54" s="99"/>
      <c r="H54" s="282">
        <v>55</v>
      </c>
      <c r="I54" s="99"/>
      <c r="J54" s="99"/>
      <c r="K54" s="99">
        <v>123.09</v>
      </c>
      <c r="L54" s="98">
        <f t="shared" si="44"/>
        <v>6769.95</v>
      </c>
      <c r="M54" s="95"/>
      <c r="N54" s="95">
        <v>5</v>
      </c>
      <c r="O54" s="95">
        <v>998</v>
      </c>
      <c r="P54" s="95">
        <v>60</v>
      </c>
      <c r="Q54" s="243">
        <f t="shared" si="15"/>
        <v>0.15625</v>
      </c>
      <c r="R54" s="98">
        <f t="shared" si="16"/>
        <v>3.125E-2</v>
      </c>
      <c r="S54" s="99">
        <v>1</v>
      </c>
      <c r="T54" s="99">
        <v>0</v>
      </c>
      <c r="U54" s="98">
        <f t="shared" si="17"/>
        <v>1</v>
      </c>
      <c r="V54" s="99">
        <v>709</v>
      </c>
      <c r="W54" s="99">
        <v>0</v>
      </c>
      <c r="X54" s="98">
        <f t="shared" si="18"/>
        <v>709</v>
      </c>
      <c r="Y54" s="99">
        <v>968.06</v>
      </c>
      <c r="Z54" s="99">
        <v>0</v>
      </c>
      <c r="AA54" s="98">
        <f t="shared" si="19"/>
        <v>968.06</v>
      </c>
      <c r="AB54" s="98">
        <f t="shared" si="20"/>
        <v>2994</v>
      </c>
      <c r="AC54" s="244">
        <f t="shared" si="21"/>
        <v>4.3119271800547669E-4</v>
      </c>
      <c r="AD54" s="98">
        <f t="shared" si="22"/>
        <v>123.09</v>
      </c>
      <c r="AE54" s="99">
        <v>364.28</v>
      </c>
      <c r="AF54" s="244">
        <f t="shared" si="23"/>
        <v>0.3762989897320414</v>
      </c>
      <c r="AG54" s="99">
        <v>158.75</v>
      </c>
      <c r="AH54" s="99"/>
      <c r="AI54" s="99"/>
      <c r="AJ54" s="99"/>
      <c r="AK54" s="99"/>
      <c r="AL54" s="128">
        <f t="shared" si="24"/>
        <v>176.53371926474099</v>
      </c>
      <c r="AM54" s="99">
        <v>0</v>
      </c>
      <c r="AN54" s="100">
        <f t="shared" si="25"/>
        <v>40.483899999999998</v>
      </c>
      <c r="AO54" s="101">
        <f t="shared" si="26"/>
        <v>104.92238073525894</v>
      </c>
      <c r="AP54" s="102"/>
      <c r="AQ54" s="103">
        <f t="shared" si="8"/>
        <v>968.06</v>
      </c>
      <c r="AR54" s="104">
        <f t="shared" si="37"/>
        <v>123.09</v>
      </c>
      <c r="AS54" s="104">
        <f t="shared" si="10"/>
        <v>364.28</v>
      </c>
      <c r="AT54" s="104">
        <f t="shared" si="11"/>
        <v>158.75</v>
      </c>
      <c r="AU54" s="104">
        <f t="shared" si="27"/>
        <v>0</v>
      </c>
      <c r="AV54" s="104">
        <f t="array" ref="AV54">_xlfn.IFS(U54=0,AO54,U54&lt;0,AO54/-U54,U54&gt;0,AO54/U54)</f>
        <v>104.92238073525894</v>
      </c>
      <c r="AW54" s="244">
        <f t="shared" si="45"/>
        <v>0.10838417116217894</v>
      </c>
      <c r="AX54" s="244">
        <f t="shared" si="46"/>
        <v>0.85240377557282421</v>
      </c>
      <c r="AY54" s="105"/>
      <c r="AZ54" s="100">
        <f t="shared" si="14"/>
        <v>5770.7309404392417</v>
      </c>
    </row>
    <row r="55" spans="1:52" outlineLevel="1">
      <c r="A55" s="95" t="s">
        <v>124</v>
      </c>
      <c r="B55" s="96">
        <v>431391163</v>
      </c>
      <c r="C55" s="96" t="s">
        <v>177</v>
      </c>
      <c r="D55" s="97" t="s">
        <v>84</v>
      </c>
      <c r="E55" s="242">
        <f t="shared" si="47"/>
        <v>1</v>
      </c>
      <c r="F55" s="99"/>
      <c r="G55" s="99"/>
      <c r="H55" s="282">
        <v>1</v>
      </c>
      <c r="I55" s="99"/>
      <c r="J55" s="99"/>
      <c r="K55" s="99">
        <v>158.19</v>
      </c>
      <c r="L55" s="98">
        <f t="shared" si="44"/>
        <v>158.19</v>
      </c>
      <c r="M55" s="95"/>
      <c r="N55" s="95">
        <v>1</v>
      </c>
      <c r="O55" s="95">
        <v>1049</v>
      </c>
      <c r="P55" s="95">
        <v>0</v>
      </c>
      <c r="Q55" s="243">
        <f t="shared" si="15"/>
        <v>3.125E-2</v>
      </c>
      <c r="R55" s="98">
        <f t="shared" si="16"/>
        <v>0</v>
      </c>
      <c r="S55" s="99">
        <v>0</v>
      </c>
      <c r="T55" s="99">
        <v>0</v>
      </c>
      <c r="U55" s="98">
        <f t="shared" si="17"/>
        <v>0</v>
      </c>
      <c r="V55" s="99">
        <v>0</v>
      </c>
      <c r="W55" s="99">
        <v>0</v>
      </c>
      <c r="X55" s="98">
        <f t="shared" si="18"/>
        <v>0</v>
      </c>
      <c r="Y55" s="99">
        <v>0</v>
      </c>
      <c r="Z55" s="99">
        <v>0</v>
      </c>
      <c r="AA55" s="98">
        <f t="shared" si="19"/>
        <v>0</v>
      </c>
      <c r="AB55" s="98">
        <f t="shared" si="20"/>
        <v>0</v>
      </c>
      <c r="AC55" s="244">
        <f t="shared" si="21"/>
        <v>0</v>
      </c>
      <c r="AD55" s="98">
        <f t="shared" si="22"/>
        <v>0</v>
      </c>
      <c r="AE55" s="99">
        <v>0</v>
      </c>
      <c r="AF55" s="244">
        <f t="shared" si="23"/>
        <v>0</v>
      </c>
      <c r="AG55" s="99">
        <v>93.93</v>
      </c>
      <c r="AH55" s="99"/>
      <c r="AI55" s="99"/>
      <c r="AJ55" s="99"/>
      <c r="AK55" s="99"/>
      <c r="AL55" s="128">
        <f t="shared" si="24"/>
        <v>3.2097039866316543</v>
      </c>
      <c r="AM55" s="99">
        <v>0</v>
      </c>
      <c r="AN55" s="100">
        <f t="shared" si="25"/>
        <v>0</v>
      </c>
      <c r="AO55" s="101">
        <f t="shared" si="26"/>
        <v>-97.139703986631659</v>
      </c>
      <c r="AP55" s="102"/>
      <c r="AQ55" s="103">
        <f t="shared" si="8"/>
        <v>0</v>
      </c>
      <c r="AR55" s="104">
        <f t="shared" si="37"/>
        <v>158.19</v>
      </c>
      <c r="AS55" s="104">
        <f t="shared" si="10"/>
        <v>0</v>
      </c>
      <c r="AT55" s="104">
        <f t="shared" si="11"/>
        <v>93.93</v>
      </c>
      <c r="AU55" s="104">
        <f t="shared" si="27"/>
        <v>0</v>
      </c>
      <c r="AV55" s="104">
        <f t="array" ref="AV55">_xlfn.IFS(U55=0,AO55,U55&lt;0,AO55/-U55,U55&gt;0,AO55/U55)</f>
        <v>-97.139703986631659</v>
      </c>
      <c r="AW55" s="244">
        <f t="shared" si="45"/>
        <v>0</v>
      </c>
      <c r="AX55" s="244">
        <f t="shared" si="46"/>
        <v>-0.61406981469518718</v>
      </c>
      <c r="AY55" s="105"/>
      <c r="AZ55" s="100">
        <f t="shared" si="14"/>
        <v>-97.139703986631659</v>
      </c>
    </row>
    <row r="56" spans="1:52" outlineLevel="1">
      <c r="A56" s="95" t="s">
        <v>124</v>
      </c>
      <c r="B56" s="96">
        <v>431392656</v>
      </c>
      <c r="C56" s="96" t="s">
        <v>178</v>
      </c>
      <c r="D56" s="97" t="s">
        <v>84</v>
      </c>
      <c r="E56" s="242">
        <f t="shared" si="47"/>
        <v>2</v>
      </c>
      <c r="F56" s="99"/>
      <c r="G56" s="99"/>
      <c r="H56" s="282">
        <v>2</v>
      </c>
      <c r="I56" s="99"/>
      <c r="J56" s="99"/>
      <c r="K56" s="99">
        <v>152.34</v>
      </c>
      <c r="L56" s="98">
        <f t="shared" si="44"/>
        <v>304.68</v>
      </c>
      <c r="M56" s="95"/>
      <c r="N56" s="95">
        <v>6</v>
      </c>
      <c r="O56" s="95">
        <v>1049</v>
      </c>
      <c r="P56" s="95">
        <v>0</v>
      </c>
      <c r="Q56" s="243">
        <f t="shared" si="15"/>
        <v>0.1875</v>
      </c>
      <c r="R56" s="98">
        <f t="shared" si="16"/>
        <v>0</v>
      </c>
      <c r="S56" s="99">
        <v>0</v>
      </c>
      <c r="T56" s="99">
        <v>0</v>
      </c>
      <c r="U56" s="98">
        <f t="shared" si="17"/>
        <v>0</v>
      </c>
      <c r="V56" s="99">
        <v>0</v>
      </c>
      <c r="W56" s="99">
        <v>0</v>
      </c>
      <c r="X56" s="98">
        <f t="shared" si="18"/>
        <v>0</v>
      </c>
      <c r="Y56" s="99">
        <v>0</v>
      </c>
      <c r="Z56" s="99">
        <v>0</v>
      </c>
      <c r="AA56" s="98">
        <f t="shared" si="19"/>
        <v>0</v>
      </c>
      <c r="AB56" s="98">
        <f t="shared" si="20"/>
        <v>0</v>
      </c>
      <c r="AC56" s="244">
        <f t="shared" si="21"/>
        <v>0</v>
      </c>
      <c r="AD56" s="98">
        <f t="shared" si="22"/>
        <v>0</v>
      </c>
      <c r="AE56" s="99">
        <v>0</v>
      </c>
      <c r="AF56" s="244">
        <f t="shared" si="23"/>
        <v>0</v>
      </c>
      <c r="AG56" s="99">
        <v>402.44</v>
      </c>
      <c r="AH56" s="99"/>
      <c r="AI56" s="99"/>
      <c r="AJ56" s="99"/>
      <c r="AK56" s="99"/>
      <c r="AL56" s="128">
        <f t="shared" si="24"/>
        <v>6.4194079732633087</v>
      </c>
      <c r="AM56" s="99">
        <v>0</v>
      </c>
      <c r="AN56" s="100">
        <f t="shared" si="25"/>
        <v>0</v>
      </c>
      <c r="AO56" s="101">
        <f t="shared" si="26"/>
        <v>-408.85940797326333</v>
      </c>
      <c r="AP56" s="102"/>
      <c r="AQ56" s="103">
        <f t="shared" si="8"/>
        <v>0</v>
      </c>
      <c r="AR56" s="104">
        <f t="shared" si="37"/>
        <v>152.34</v>
      </c>
      <c r="AS56" s="104">
        <f t="shared" si="10"/>
        <v>0</v>
      </c>
      <c r="AT56" s="104">
        <f t="shared" si="11"/>
        <v>402.44</v>
      </c>
      <c r="AU56" s="104">
        <f t="shared" si="27"/>
        <v>0</v>
      </c>
      <c r="AV56" s="104">
        <f t="array" ref="AV56">_xlfn.IFS(U56=0,AO56,U56&lt;0,AO56/-U56,U56&gt;0,AO56/U56)</f>
        <v>-408.85940797326333</v>
      </c>
      <c r="AW56" s="244">
        <f t="shared" si="45"/>
        <v>0</v>
      </c>
      <c r="AX56" s="244">
        <f t="shared" si="46"/>
        <v>-2.6838611525092775</v>
      </c>
      <c r="AY56" s="105"/>
      <c r="AZ56" s="100">
        <f t="shared" si="14"/>
        <v>-817.71881594652666</v>
      </c>
    </row>
    <row r="57" spans="1:52" outlineLevel="1">
      <c r="A57" s="95" t="s">
        <v>124</v>
      </c>
      <c r="B57" s="96">
        <v>431394484</v>
      </c>
      <c r="C57" s="96" t="s">
        <v>179</v>
      </c>
      <c r="D57" s="97" t="s">
        <v>84</v>
      </c>
      <c r="E57" s="242">
        <f t="shared" si="47"/>
        <v>0</v>
      </c>
      <c r="F57" s="99"/>
      <c r="G57" s="99"/>
      <c r="H57" s="282">
        <v>0</v>
      </c>
      <c r="I57" s="99"/>
      <c r="J57" s="99"/>
      <c r="K57" s="99">
        <v>93.84</v>
      </c>
      <c r="L57" s="98">
        <f t="shared" si="44"/>
        <v>0</v>
      </c>
      <c r="M57" s="95"/>
      <c r="N57" s="95">
        <v>0</v>
      </c>
      <c r="O57" s="95">
        <v>0</v>
      </c>
      <c r="P57" s="95">
        <v>0</v>
      </c>
      <c r="Q57" s="243">
        <f t="shared" si="15"/>
        <v>0</v>
      </c>
      <c r="R57" s="98">
        <f t="shared" si="16"/>
        <v>0</v>
      </c>
      <c r="S57" s="99">
        <v>0</v>
      </c>
      <c r="T57" s="99">
        <v>0</v>
      </c>
      <c r="U57" s="98">
        <f t="shared" si="17"/>
        <v>0</v>
      </c>
      <c r="V57" s="99">
        <v>0</v>
      </c>
      <c r="W57" s="99">
        <v>0</v>
      </c>
      <c r="X57" s="98">
        <f t="shared" si="18"/>
        <v>0</v>
      </c>
      <c r="Y57" s="99">
        <v>0</v>
      </c>
      <c r="Z57" s="99">
        <v>0</v>
      </c>
      <c r="AA57" s="98">
        <f t="shared" si="19"/>
        <v>0</v>
      </c>
      <c r="AB57" s="98">
        <f t="shared" si="20"/>
        <v>0</v>
      </c>
      <c r="AC57" s="244">
        <f t="shared" si="21"/>
        <v>0</v>
      </c>
      <c r="AD57" s="98">
        <f t="shared" si="22"/>
        <v>0</v>
      </c>
      <c r="AE57" s="99">
        <v>0</v>
      </c>
      <c r="AF57" s="244">
        <f t="shared" si="23"/>
        <v>0</v>
      </c>
      <c r="AG57" s="99">
        <v>0</v>
      </c>
      <c r="AH57" s="99"/>
      <c r="AI57" s="99"/>
      <c r="AJ57" s="99"/>
      <c r="AK57" s="99"/>
      <c r="AL57" s="128">
        <f t="shared" si="24"/>
        <v>0</v>
      </c>
      <c r="AM57" s="99">
        <v>0</v>
      </c>
      <c r="AN57" s="100">
        <f t="shared" si="25"/>
        <v>0</v>
      </c>
      <c r="AO57" s="101">
        <f t="shared" si="26"/>
        <v>0</v>
      </c>
      <c r="AP57" s="102"/>
      <c r="AQ57" s="103">
        <f t="shared" si="8"/>
        <v>0</v>
      </c>
      <c r="AR57" s="104">
        <f t="shared" si="37"/>
        <v>93.84</v>
      </c>
      <c r="AS57" s="104">
        <f t="shared" si="10"/>
        <v>0</v>
      </c>
      <c r="AT57" s="104">
        <f t="shared" si="11"/>
        <v>0</v>
      </c>
      <c r="AU57" s="104">
        <f t="shared" si="27"/>
        <v>0</v>
      </c>
      <c r="AV57" s="104">
        <f t="array" ref="AV57">_xlfn.IFS(U57=0,AO57,U57&lt;0,AO57/-U57,U57&gt;0,AO57/U57)</f>
        <v>0</v>
      </c>
      <c r="AW57" s="244">
        <f t="shared" si="45"/>
        <v>0</v>
      </c>
      <c r="AX57" s="244">
        <f t="shared" si="46"/>
        <v>0</v>
      </c>
      <c r="AY57" s="105"/>
      <c r="AZ57" s="100">
        <f t="shared" si="14"/>
        <v>0</v>
      </c>
    </row>
    <row r="58" spans="1:52" outlineLevel="1">
      <c r="A58" s="95" t="s">
        <v>124</v>
      </c>
      <c r="B58" s="96">
        <v>431397787</v>
      </c>
      <c r="C58" s="96" t="s">
        <v>180</v>
      </c>
      <c r="D58" s="97" t="s">
        <v>84</v>
      </c>
      <c r="E58" s="242">
        <f t="shared" si="47"/>
        <v>50</v>
      </c>
      <c r="F58" s="99"/>
      <c r="G58" s="99"/>
      <c r="H58" s="282">
        <v>50</v>
      </c>
      <c r="I58" s="99"/>
      <c r="J58" s="99"/>
      <c r="K58" s="99">
        <v>169.89</v>
      </c>
      <c r="L58" s="98">
        <f t="shared" si="44"/>
        <v>8494.5</v>
      </c>
      <c r="M58" s="95"/>
      <c r="N58" s="95">
        <v>2</v>
      </c>
      <c r="O58" s="95">
        <v>1039</v>
      </c>
      <c r="P58" s="95">
        <v>100</v>
      </c>
      <c r="Q58" s="243">
        <f t="shared" si="15"/>
        <v>6.25E-2</v>
      </c>
      <c r="R58" s="98">
        <f t="shared" si="16"/>
        <v>3.125E-2</v>
      </c>
      <c r="S58" s="99">
        <v>1</v>
      </c>
      <c r="T58" s="99">
        <v>0</v>
      </c>
      <c r="U58" s="98">
        <f t="shared" si="17"/>
        <v>1</v>
      </c>
      <c r="V58" s="99">
        <v>704</v>
      </c>
      <c r="W58" s="99">
        <v>0</v>
      </c>
      <c r="X58" s="98">
        <f t="shared" si="18"/>
        <v>704</v>
      </c>
      <c r="Y58" s="99">
        <v>1039</v>
      </c>
      <c r="Z58" s="99">
        <v>0</v>
      </c>
      <c r="AA58" s="98">
        <f t="shared" si="19"/>
        <v>1039</v>
      </c>
      <c r="AB58" s="98">
        <f t="shared" si="20"/>
        <v>2078</v>
      </c>
      <c r="AC58" s="244">
        <f t="shared" si="21"/>
        <v>4.6279077124113208E-4</v>
      </c>
      <c r="AD58" s="98">
        <f t="shared" si="22"/>
        <v>169.89</v>
      </c>
      <c r="AE58" s="99">
        <v>369.05999999999995</v>
      </c>
      <c r="AF58" s="244">
        <f t="shared" si="23"/>
        <v>0.35520692974013468</v>
      </c>
      <c r="AG58" s="99">
        <v>46.4</v>
      </c>
      <c r="AH58" s="99"/>
      <c r="AI58" s="99"/>
      <c r="AJ58" s="99"/>
      <c r="AK58" s="99"/>
      <c r="AL58" s="128">
        <f t="shared" si="24"/>
        <v>160.48519933158272</v>
      </c>
      <c r="AM58" s="99">
        <v>0</v>
      </c>
      <c r="AN58" s="100">
        <f t="shared" si="25"/>
        <v>40.198399999999999</v>
      </c>
      <c r="AO58" s="101">
        <f t="shared" si="26"/>
        <v>252.96640066841735</v>
      </c>
      <c r="AP58" s="102"/>
      <c r="AQ58" s="103">
        <f t="shared" si="8"/>
        <v>1039</v>
      </c>
      <c r="AR58" s="104">
        <f t="shared" si="37"/>
        <v>169.89</v>
      </c>
      <c r="AS58" s="104">
        <f t="shared" si="10"/>
        <v>369.05999999999995</v>
      </c>
      <c r="AT58" s="104">
        <f t="shared" si="11"/>
        <v>46.4</v>
      </c>
      <c r="AU58" s="104">
        <f t="shared" si="27"/>
        <v>0</v>
      </c>
      <c r="AV58" s="104">
        <f t="array" ref="AV58">_xlfn.IFS(U58=0,AO58,U58&lt;0,AO58/-U58,U58&gt;0,AO58/U58)</f>
        <v>252.96640066841735</v>
      </c>
      <c r="AW58" s="244">
        <f t="shared" si="45"/>
        <v>0.24347103047970872</v>
      </c>
      <c r="AX58" s="244">
        <f t="shared" si="46"/>
        <v>1.4890011223051232</v>
      </c>
      <c r="AY58" s="105"/>
      <c r="AZ58" s="100">
        <f t="shared" si="14"/>
        <v>12648.320033420867</v>
      </c>
    </row>
    <row r="59" spans="1:52" outlineLevel="1">
      <c r="A59" s="95" t="s">
        <v>124</v>
      </c>
      <c r="B59" s="96">
        <v>431399167</v>
      </c>
      <c r="C59" s="96" t="s">
        <v>181</v>
      </c>
      <c r="D59" s="97" t="s">
        <v>84</v>
      </c>
      <c r="E59" s="242">
        <f t="shared" si="47"/>
        <v>0</v>
      </c>
      <c r="F59" s="99"/>
      <c r="G59" s="99"/>
      <c r="H59" s="282">
        <v>0</v>
      </c>
      <c r="I59" s="99"/>
      <c r="J59" s="99"/>
      <c r="K59" s="99">
        <v>158.19</v>
      </c>
      <c r="L59" s="98">
        <f t="shared" si="44"/>
        <v>0</v>
      </c>
      <c r="M59" s="95"/>
      <c r="N59" s="95">
        <v>0</v>
      </c>
      <c r="O59" s="95">
        <v>0</v>
      </c>
      <c r="P59" s="95">
        <v>0</v>
      </c>
      <c r="Q59" s="243">
        <f t="shared" si="15"/>
        <v>0</v>
      </c>
      <c r="R59" s="98">
        <f t="shared" si="16"/>
        <v>0</v>
      </c>
      <c r="S59" s="99">
        <v>0</v>
      </c>
      <c r="T59" s="99">
        <v>0</v>
      </c>
      <c r="U59" s="98">
        <f t="shared" si="17"/>
        <v>0</v>
      </c>
      <c r="V59" s="99">
        <v>0</v>
      </c>
      <c r="W59" s="99">
        <v>0</v>
      </c>
      <c r="X59" s="98">
        <f t="shared" si="18"/>
        <v>0</v>
      </c>
      <c r="Y59" s="99">
        <v>0</v>
      </c>
      <c r="Z59" s="99">
        <v>0</v>
      </c>
      <c r="AA59" s="98">
        <f t="shared" si="19"/>
        <v>0</v>
      </c>
      <c r="AB59" s="98">
        <f t="shared" si="20"/>
        <v>0</v>
      </c>
      <c r="AC59" s="244">
        <f t="shared" si="21"/>
        <v>0</v>
      </c>
      <c r="AD59" s="98">
        <f t="shared" si="22"/>
        <v>0</v>
      </c>
      <c r="AE59" s="99">
        <v>0</v>
      </c>
      <c r="AF59" s="244">
        <f t="shared" si="23"/>
        <v>0</v>
      </c>
      <c r="AG59" s="99">
        <v>0</v>
      </c>
      <c r="AH59" s="99"/>
      <c r="AI59" s="99"/>
      <c r="AJ59" s="99"/>
      <c r="AK59" s="99"/>
      <c r="AL59" s="128">
        <f t="shared" si="24"/>
        <v>0</v>
      </c>
      <c r="AM59" s="99">
        <v>0</v>
      </c>
      <c r="AN59" s="100">
        <f t="shared" si="25"/>
        <v>0</v>
      </c>
      <c r="AO59" s="101">
        <f t="shared" si="26"/>
        <v>0</v>
      </c>
      <c r="AP59" s="102"/>
      <c r="AQ59" s="103">
        <f t="shared" si="8"/>
        <v>0</v>
      </c>
      <c r="AR59" s="104">
        <f t="shared" si="37"/>
        <v>158.19</v>
      </c>
      <c r="AS59" s="104">
        <f t="shared" si="10"/>
        <v>0</v>
      </c>
      <c r="AT59" s="104">
        <f t="shared" si="11"/>
        <v>0</v>
      </c>
      <c r="AU59" s="104">
        <f t="shared" si="27"/>
        <v>0</v>
      </c>
      <c r="AV59" s="104">
        <f t="array" ref="AV59">_xlfn.IFS(U59=0,AO59,U59&lt;0,AO59/-U59,U59&gt;0,AO59/U59)</f>
        <v>0</v>
      </c>
      <c r="AW59" s="244">
        <f t="shared" si="45"/>
        <v>0</v>
      </c>
      <c r="AX59" s="244">
        <f t="shared" si="46"/>
        <v>0</v>
      </c>
      <c r="AY59" s="105"/>
      <c r="AZ59" s="100">
        <f t="shared" si="14"/>
        <v>0</v>
      </c>
    </row>
    <row r="60" spans="1:52" outlineLevel="1">
      <c r="A60" s="95" t="s">
        <v>124</v>
      </c>
      <c r="B60" s="96">
        <v>431399543</v>
      </c>
      <c r="C60" s="96" t="s">
        <v>182</v>
      </c>
      <c r="D60" s="97" t="s">
        <v>84</v>
      </c>
      <c r="E60" s="242">
        <f t="shared" si="47"/>
        <v>28</v>
      </c>
      <c r="F60" s="99"/>
      <c r="G60" s="99"/>
      <c r="H60" s="282">
        <v>28</v>
      </c>
      <c r="I60" s="99"/>
      <c r="J60" s="99"/>
      <c r="K60" s="99">
        <v>158.19</v>
      </c>
      <c r="L60" s="98">
        <f t="shared" si="44"/>
        <v>4429.32</v>
      </c>
      <c r="M60" s="95"/>
      <c r="N60" s="95">
        <v>4</v>
      </c>
      <c r="O60" s="95">
        <v>1048</v>
      </c>
      <c r="P60" s="95">
        <v>0</v>
      </c>
      <c r="Q60" s="243">
        <f t="shared" si="15"/>
        <v>0.125</v>
      </c>
      <c r="R60" s="98">
        <f t="shared" si="16"/>
        <v>0</v>
      </c>
      <c r="S60" s="99">
        <v>0</v>
      </c>
      <c r="T60" s="99">
        <v>0</v>
      </c>
      <c r="U60" s="98">
        <f t="shared" si="17"/>
        <v>0</v>
      </c>
      <c r="V60" s="99">
        <v>0</v>
      </c>
      <c r="W60" s="99">
        <v>0</v>
      </c>
      <c r="X60" s="98">
        <f t="shared" si="18"/>
        <v>0</v>
      </c>
      <c r="Y60" s="99">
        <v>0</v>
      </c>
      <c r="Z60" s="99">
        <v>0</v>
      </c>
      <c r="AA60" s="98">
        <f t="shared" si="19"/>
        <v>0</v>
      </c>
      <c r="AB60" s="98">
        <f t="shared" si="20"/>
        <v>0</v>
      </c>
      <c r="AC60" s="244">
        <f t="shared" si="21"/>
        <v>0</v>
      </c>
      <c r="AD60" s="98">
        <f t="shared" si="22"/>
        <v>0</v>
      </c>
      <c r="AE60" s="99">
        <v>0</v>
      </c>
      <c r="AF60" s="244">
        <f t="shared" si="23"/>
        <v>0</v>
      </c>
      <c r="AG60" s="99">
        <v>187.4</v>
      </c>
      <c r="AH60" s="99"/>
      <c r="AI60" s="99"/>
      <c r="AJ60" s="99"/>
      <c r="AK60" s="99"/>
      <c r="AL60" s="128">
        <f t="shared" si="24"/>
        <v>89.871711625686331</v>
      </c>
      <c r="AM60" s="99">
        <v>0</v>
      </c>
      <c r="AN60" s="100">
        <f t="shared" si="25"/>
        <v>0</v>
      </c>
      <c r="AO60" s="101">
        <f t="shared" si="26"/>
        <v>-277.27171162568635</v>
      </c>
      <c r="AP60" s="102"/>
      <c r="AQ60" s="103">
        <f t="shared" si="8"/>
        <v>0</v>
      </c>
      <c r="AR60" s="104">
        <f t="shared" si="37"/>
        <v>158.19</v>
      </c>
      <c r="AS60" s="104">
        <f t="shared" si="10"/>
        <v>0</v>
      </c>
      <c r="AT60" s="104">
        <f t="shared" si="11"/>
        <v>187.4</v>
      </c>
      <c r="AU60" s="104">
        <f t="shared" si="27"/>
        <v>0</v>
      </c>
      <c r="AV60" s="104">
        <f t="array" ref="AV60">_xlfn.IFS(U60=0,AO60,U60&lt;0,AO60/-U60,U60&gt;0,AO60/U60)</f>
        <v>-277.27171162568635</v>
      </c>
      <c r="AW60" s="244">
        <f t="shared" si="45"/>
        <v>0</v>
      </c>
      <c r="AX60" s="244">
        <f t="shared" si="46"/>
        <v>-1.7527764816087386</v>
      </c>
      <c r="AY60" s="105"/>
      <c r="AZ60" s="100">
        <f t="shared" si="14"/>
        <v>-7763.607925519218</v>
      </c>
    </row>
    <row r="61" spans="1:52" outlineLevel="1">
      <c r="A61" s="95" t="s">
        <v>124</v>
      </c>
      <c r="B61" s="96">
        <v>431399941</v>
      </c>
      <c r="C61" s="96" t="s">
        <v>183</v>
      </c>
      <c r="D61" s="97" t="s">
        <v>84</v>
      </c>
      <c r="E61" s="242">
        <f t="shared" si="47"/>
        <v>163</v>
      </c>
      <c r="F61" s="99"/>
      <c r="G61" s="99"/>
      <c r="H61" s="282">
        <v>163</v>
      </c>
      <c r="I61" s="99"/>
      <c r="J61" s="99"/>
      <c r="K61" s="99">
        <v>128.94</v>
      </c>
      <c r="L61" s="98">
        <f t="shared" si="44"/>
        <v>21017.22</v>
      </c>
      <c r="M61" s="95"/>
      <c r="N61" s="95">
        <v>1</v>
      </c>
      <c r="O61" s="95">
        <v>948</v>
      </c>
      <c r="P61" s="95">
        <v>0</v>
      </c>
      <c r="Q61" s="243">
        <f t="shared" si="15"/>
        <v>3.125E-2</v>
      </c>
      <c r="R61" s="98">
        <f t="shared" si="16"/>
        <v>0</v>
      </c>
      <c r="S61" s="99">
        <v>0</v>
      </c>
      <c r="T61" s="99">
        <v>0</v>
      </c>
      <c r="U61" s="98">
        <f t="shared" si="17"/>
        <v>0</v>
      </c>
      <c r="V61" s="99">
        <v>0</v>
      </c>
      <c r="W61" s="99">
        <v>0</v>
      </c>
      <c r="X61" s="98">
        <f t="shared" si="18"/>
        <v>0</v>
      </c>
      <c r="Y61" s="99">
        <v>0</v>
      </c>
      <c r="Z61" s="99">
        <v>0</v>
      </c>
      <c r="AA61" s="98">
        <f t="shared" si="19"/>
        <v>0</v>
      </c>
      <c r="AB61" s="98">
        <f t="shared" si="20"/>
        <v>0</v>
      </c>
      <c r="AC61" s="244">
        <f t="shared" si="21"/>
        <v>0</v>
      </c>
      <c r="AD61" s="98">
        <f t="shared" si="22"/>
        <v>0</v>
      </c>
      <c r="AE61" s="99">
        <v>0</v>
      </c>
      <c r="AF61" s="244">
        <f t="shared" si="23"/>
        <v>0</v>
      </c>
      <c r="AG61" s="99">
        <v>0</v>
      </c>
      <c r="AH61" s="99"/>
      <c r="AI61" s="99"/>
      <c r="AJ61" s="99"/>
      <c r="AK61" s="99"/>
      <c r="AL61" s="128">
        <f t="shared" si="24"/>
        <v>523.18174982095968</v>
      </c>
      <c r="AM61" s="99">
        <v>0</v>
      </c>
      <c r="AN61" s="100">
        <f t="shared" si="25"/>
        <v>0</v>
      </c>
      <c r="AO61" s="101">
        <f t="shared" si="26"/>
        <v>-523.18174982095968</v>
      </c>
      <c r="AP61" s="102"/>
      <c r="AQ61" s="103">
        <f t="shared" si="8"/>
        <v>0</v>
      </c>
      <c r="AR61" s="104">
        <f t="shared" si="37"/>
        <v>128.94</v>
      </c>
      <c r="AS61" s="104">
        <f t="shared" si="10"/>
        <v>0</v>
      </c>
      <c r="AT61" s="104">
        <f t="shared" si="11"/>
        <v>0</v>
      </c>
      <c r="AU61" s="104">
        <f t="shared" si="27"/>
        <v>0</v>
      </c>
      <c r="AV61" s="104">
        <f t="array" ref="AV61">_xlfn.IFS(U61=0,AO61,U61&lt;0,AO61/-U61,U61&gt;0,AO61/U61)</f>
        <v>-523.18174982095968</v>
      </c>
      <c r="AW61" s="244">
        <f t="shared" si="45"/>
        <v>0</v>
      </c>
      <c r="AX61" s="244">
        <f t="shared" si="46"/>
        <v>-4.0575597163095987</v>
      </c>
      <c r="AY61" s="105"/>
      <c r="AZ61" s="100">
        <f t="shared" si="14"/>
        <v>-85278.625220816422</v>
      </c>
    </row>
    <row r="62" spans="1:52" outlineLevel="1">
      <c r="A62" s="95" t="s">
        <v>124</v>
      </c>
      <c r="B62" s="96">
        <v>431401135</v>
      </c>
      <c r="C62" s="96" t="s">
        <v>184</v>
      </c>
      <c r="D62" s="97" t="s">
        <v>84</v>
      </c>
      <c r="E62" s="242">
        <f t="shared" si="47"/>
        <v>0</v>
      </c>
      <c r="F62" s="99"/>
      <c r="G62" s="99"/>
      <c r="H62" s="282">
        <v>0</v>
      </c>
      <c r="I62" s="99"/>
      <c r="J62" s="99"/>
      <c r="K62" s="99">
        <v>175.74</v>
      </c>
      <c r="L62" s="98">
        <f t="shared" si="44"/>
        <v>0</v>
      </c>
      <c r="M62" s="95"/>
      <c r="N62" s="95">
        <v>0</v>
      </c>
      <c r="O62" s="95">
        <v>0</v>
      </c>
      <c r="P62" s="95">
        <v>0</v>
      </c>
      <c r="Q62" s="243">
        <f t="shared" si="15"/>
        <v>0</v>
      </c>
      <c r="R62" s="98">
        <f t="shared" si="16"/>
        <v>0</v>
      </c>
      <c r="S62" s="99">
        <v>0</v>
      </c>
      <c r="T62" s="99">
        <v>0</v>
      </c>
      <c r="U62" s="98">
        <f t="shared" si="17"/>
        <v>0</v>
      </c>
      <c r="V62" s="99">
        <v>0</v>
      </c>
      <c r="W62" s="99">
        <v>0</v>
      </c>
      <c r="X62" s="98">
        <f t="shared" si="18"/>
        <v>0</v>
      </c>
      <c r="Y62" s="99">
        <v>0</v>
      </c>
      <c r="Z62" s="99">
        <v>0</v>
      </c>
      <c r="AA62" s="98">
        <f t="shared" si="19"/>
        <v>0</v>
      </c>
      <c r="AB62" s="98">
        <f t="shared" si="20"/>
        <v>0</v>
      </c>
      <c r="AC62" s="244">
        <f t="shared" si="21"/>
        <v>0</v>
      </c>
      <c r="AD62" s="98">
        <f t="shared" si="22"/>
        <v>0</v>
      </c>
      <c r="AE62" s="99">
        <v>0</v>
      </c>
      <c r="AF62" s="244">
        <f t="shared" si="23"/>
        <v>0</v>
      </c>
      <c r="AG62" s="99">
        <v>0</v>
      </c>
      <c r="AH62" s="99"/>
      <c r="AI62" s="99"/>
      <c r="AJ62" s="99"/>
      <c r="AK62" s="99"/>
      <c r="AL62" s="128">
        <f t="shared" si="24"/>
        <v>0</v>
      </c>
      <c r="AM62" s="99">
        <v>0</v>
      </c>
      <c r="AN62" s="100">
        <f t="shared" si="25"/>
        <v>0</v>
      </c>
      <c r="AO62" s="101">
        <f t="shared" si="26"/>
        <v>0</v>
      </c>
      <c r="AP62" s="102"/>
      <c r="AQ62" s="103">
        <f t="shared" si="8"/>
        <v>0</v>
      </c>
      <c r="AR62" s="104">
        <f t="shared" si="37"/>
        <v>175.74</v>
      </c>
      <c r="AS62" s="104">
        <f t="shared" si="10"/>
        <v>0</v>
      </c>
      <c r="AT62" s="104">
        <f t="shared" si="11"/>
        <v>0</v>
      </c>
      <c r="AU62" s="104">
        <f t="shared" si="27"/>
        <v>0</v>
      </c>
      <c r="AV62" s="104">
        <f t="array" ref="AV62">_xlfn.IFS(U62=0,AO62,U62&lt;0,AO62/-U62,U62&gt;0,AO62/U62)</f>
        <v>0</v>
      </c>
      <c r="AW62" s="244">
        <f t="shared" si="45"/>
        <v>0</v>
      </c>
      <c r="AX62" s="244">
        <f t="shared" si="46"/>
        <v>0</v>
      </c>
      <c r="AY62" s="105"/>
      <c r="AZ62" s="100">
        <f t="shared" si="14"/>
        <v>0</v>
      </c>
    </row>
    <row r="63" spans="1:52" outlineLevel="1">
      <c r="A63" s="95" t="s">
        <v>124</v>
      </c>
      <c r="B63" s="96">
        <v>431401715</v>
      </c>
      <c r="C63" s="96" t="s">
        <v>185</v>
      </c>
      <c r="D63" s="97" t="s">
        <v>84</v>
      </c>
      <c r="E63" s="242">
        <f t="shared" si="47"/>
        <v>0</v>
      </c>
      <c r="F63" s="99"/>
      <c r="G63" s="99"/>
      <c r="H63" s="282">
        <v>0</v>
      </c>
      <c r="I63" s="99"/>
      <c r="J63" s="99"/>
      <c r="K63" s="99">
        <v>140.63999999999999</v>
      </c>
      <c r="L63" s="98">
        <f t="shared" si="44"/>
        <v>0</v>
      </c>
      <c r="M63" s="95"/>
      <c r="N63" s="95">
        <v>0</v>
      </c>
      <c r="O63" s="95">
        <v>0</v>
      </c>
      <c r="P63" s="95">
        <v>0</v>
      </c>
      <c r="Q63" s="243">
        <f t="shared" si="15"/>
        <v>0</v>
      </c>
      <c r="R63" s="98">
        <f t="shared" si="16"/>
        <v>0</v>
      </c>
      <c r="S63" s="99">
        <v>0</v>
      </c>
      <c r="T63" s="99">
        <v>0</v>
      </c>
      <c r="U63" s="98">
        <f t="shared" si="17"/>
        <v>0</v>
      </c>
      <c r="V63" s="99">
        <v>0</v>
      </c>
      <c r="W63" s="99">
        <v>0</v>
      </c>
      <c r="X63" s="98">
        <f t="shared" si="18"/>
        <v>0</v>
      </c>
      <c r="Y63" s="99">
        <v>0</v>
      </c>
      <c r="Z63" s="99">
        <v>0</v>
      </c>
      <c r="AA63" s="98">
        <f t="shared" si="19"/>
        <v>0</v>
      </c>
      <c r="AB63" s="98">
        <f t="shared" si="20"/>
        <v>0</v>
      </c>
      <c r="AC63" s="244">
        <f t="shared" si="21"/>
        <v>0</v>
      </c>
      <c r="AD63" s="98">
        <f t="shared" si="22"/>
        <v>0</v>
      </c>
      <c r="AE63" s="99">
        <v>0</v>
      </c>
      <c r="AF63" s="244">
        <f t="shared" si="23"/>
        <v>0</v>
      </c>
      <c r="AG63" s="99">
        <v>0</v>
      </c>
      <c r="AH63" s="99"/>
      <c r="AI63" s="99"/>
      <c r="AJ63" s="99"/>
      <c r="AK63" s="99"/>
      <c r="AL63" s="128">
        <f t="shared" si="24"/>
        <v>0</v>
      </c>
      <c r="AM63" s="99">
        <v>0</v>
      </c>
      <c r="AN63" s="100">
        <f t="shared" si="25"/>
        <v>0</v>
      </c>
      <c r="AO63" s="101">
        <f t="shared" si="26"/>
        <v>0</v>
      </c>
      <c r="AP63" s="102"/>
      <c r="AQ63" s="103">
        <f t="shared" si="8"/>
        <v>0</v>
      </c>
      <c r="AR63" s="104">
        <f t="shared" si="37"/>
        <v>140.63999999999999</v>
      </c>
      <c r="AS63" s="104">
        <f t="shared" si="10"/>
        <v>0</v>
      </c>
      <c r="AT63" s="104">
        <f t="shared" si="11"/>
        <v>0</v>
      </c>
      <c r="AU63" s="104">
        <f t="shared" si="27"/>
        <v>0</v>
      </c>
      <c r="AV63" s="104">
        <f t="array" ref="AV63">_xlfn.IFS(U63=0,AO63,U63&lt;0,AO63/-U63,U63&gt;0,AO63/U63)</f>
        <v>0</v>
      </c>
      <c r="AW63" s="244">
        <f t="shared" si="45"/>
        <v>0</v>
      </c>
      <c r="AX63" s="244">
        <f t="shared" si="46"/>
        <v>0</v>
      </c>
      <c r="AY63" s="105"/>
      <c r="AZ63" s="100">
        <f t="shared" si="14"/>
        <v>0</v>
      </c>
    </row>
    <row r="64" spans="1:52" outlineLevel="1">
      <c r="A64" s="95" t="s">
        <v>124</v>
      </c>
      <c r="B64" s="96">
        <v>431402918</v>
      </c>
      <c r="C64" s="96" t="s">
        <v>186</v>
      </c>
      <c r="D64" s="97" t="s">
        <v>84</v>
      </c>
      <c r="E64" s="242">
        <f t="shared" si="47"/>
        <v>0</v>
      </c>
      <c r="F64" s="99"/>
      <c r="G64" s="99"/>
      <c r="H64" s="282">
        <v>0</v>
      </c>
      <c r="I64" s="99"/>
      <c r="J64" s="99"/>
      <c r="K64" s="99">
        <v>99.69</v>
      </c>
      <c r="L64" s="98">
        <f t="shared" si="44"/>
        <v>0</v>
      </c>
      <c r="M64" s="95"/>
      <c r="N64" s="95">
        <v>0</v>
      </c>
      <c r="O64" s="95">
        <v>0</v>
      </c>
      <c r="P64" s="95">
        <v>0</v>
      </c>
      <c r="Q64" s="243">
        <f t="shared" si="15"/>
        <v>0</v>
      </c>
      <c r="R64" s="98">
        <f t="shared" si="16"/>
        <v>0</v>
      </c>
      <c r="S64" s="99">
        <v>0</v>
      </c>
      <c r="T64" s="99">
        <v>0</v>
      </c>
      <c r="U64" s="98">
        <f t="shared" si="17"/>
        <v>0</v>
      </c>
      <c r="V64" s="99">
        <v>0</v>
      </c>
      <c r="W64" s="99">
        <v>0</v>
      </c>
      <c r="X64" s="98">
        <f t="shared" si="18"/>
        <v>0</v>
      </c>
      <c r="Y64" s="99">
        <v>0</v>
      </c>
      <c r="Z64" s="99">
        <v>0</v>
      </c>
      <c r="AA64" s="98">
        <f t="shared" si="19"/>
        <v>0</v>
      </c>
      <c r="AB64" s="98">
        <f t="shared" si="20"/>
        <v>0</v>
      </c>
      <c r="AC64" s="244">
        <f t="shared" si="21"/>
        <v>0</v>
      </c>
      <c r="AD64" s="98">
        <f t="shared" si="22"/>
        <v>0</v>
      </c>
      <c r="AE64" s="99">
        <v>0</v>
      </c>
      <c r="AF64" s="244">
        <f t="shared" si="23"/>
        <v>0</v>
      </c>
      <c r="AG64" s="99">
        <v>0</v>
      </c>
      <c r="AH64" s="99"/>
      <c r="AI64" s="99"/>
      <c r="AJ64" s="99"/>
      <c r="AK64" s="99"/>
      <c r="AL64" s="128">
        <f t="shared" si="24"/>
        <v>0</v>
      </c>
      <c r="AM64" s="99">
        <v>0</v>
      </c>
      <c r="AN64" s="100">
        <f t="shared" si="25"/>
        <v>0</v>
      </c>
      <c r="AO64" s="101">
        <f t="shared" si="26"/>
        <v>0</v>
      </c>
      <c r="AP64" s="102"/>
      <c r="AQ64" s="103">
        <f t="shared" si="8"/>
        <v>0</v>
      </c>
      <c r="AR64" s="104">
        <f t="shared" si="37"/>
        <v>99.69</v>
      </c>
      <c r="AS64" s="104">
        <f t="shared" si="10"/>
        <v>0</v>
      </c>
      <c r="AT64" s="104">
        <f t="shared" si="11"/>
        <v>0</v>
      </c>
      <c r="AU64" s="104">
        <f t="shared" si="27"/>
        <v>0</v>
      </c>
      <c r="AV64" s="104">
        <f t="array" ref="AV64">_xlfn.IFS(U64=0,AO64,U64&lt;0,AO64/-U64,U64&gt;0,AO64/U64)</f>
        <v>0</v>
      </c>
      <c r="AW64" s="244">
        <f t="shared" si="45"/>
        <v>0</v>
      </c>
      <c r="AX64" s="244">
        <f t="shared" si="46"/>
        <v>0</v>
      </c>
      <c r="AY64" s="105"/>
      <c r="AZ64" s="100">
        <f t="shared" si="14"/>
        <v>0</v>
      </c>
    </row>
    <row r="65" spans="1:52" outlineLevel="1">
      <c r="A65" s="95" t="s">
        <v>124</v>
      </c>
      <c r="B65" s="96">
        <v>431405619</v>
      </c>
      <c r="C65" s="96" t="s">
        <v>187</v>
      </c>
      <c r="D65" s="97" t="s">
        <v>84</v>
      </c>
      <c r="E65" s="242">
        <f t="shared" si="47"/>
        <v>0</v>
      </c>
      <c r="F65" s="99"/>
      <c r="G65" s="99"/>
      <c r="H65" s="282" t="s">
        <v>100</v>
      </c>
      <c r="I65" s="99"/>
      <c r="J65" s="99"/>
      <c r="K65" s="99">
        <v>99.69</v>
      </c>
      <c r="L65" s="98">
        <f t="shared" si="44"/>
        <v>0</v>
      </c>
      <c r="M65" s="95"/>
      <c r="N65" s="95">
        <v>1</v>
      </c>
      <c r="O65" s="95">
        <v>998</v>
      </c>
      <c r="P65" s="95">
        <v>0</v>
      </c>
      <c r="Q65" s="243">
        <f t="shared" si="15"/>
        <v>3.125E-2</v>
      </c>
      <c r="R65" s="98">
        <f t="shared" si="16"/>
        <v>0</v>
      </c>
      <c r="S65" s="99">
        <v>0</v>
      </c>
      <c r="T65" s="99">
        <v>0</v>
      </c>
      <c r="U65" s="98">
        <f t="shared" si="17"/>
        <v>0</v>
      </c>
      <c r="V65" s="99">
        <v>0</v>
      </c>
      <c r="W65" s="99">
        <v>0</v>
      </c>
      <c r="X65" s="98">
        <f t="shared" si="18"/>
        <v>0</v>
      </c>
      <c r="Y65" s="99">
        <v>0</v>
      </c>
      <c r="Z65" s="99">
        <v>0</v>
      </c>
      <c r="AA65" s="98">
        <f t="shared" si="19"/>
        <v>0</v>
      </c>
      <c r="AB65" s="98">
        <f t="shared" si="20"/>
        <v>0</v>
      </c>
      <c r="AC65" s="244">
        <f t="shared" si="21"/>
        <v>0</v>
      </c>
      <c r="AD65" s="98">
        <f t="shared" si="22"/>
        <v>0</v>
      </c>
      <c r="AE65" s="99">
        <v>0</v>
      </c>
      <c r="AF65" s="244">
        <f t="shared" si="23"/>
        <v>0</v>
      </c>
      <c r="AG65" s="99">
        <v>96.86</v>
      </c>
      <c r="AH65" s="99"/>
      <c r="AI65" s="99"/>
      <c r="AJ65" s="99"/>
      <c r="AK65" s="99"/>
      <c r="AL65" s="128">
        <f t="shared" si="24"/>
        <v>0</v>
      </c>
      <c r="AM65" s="99">
        <v>0</v>
      </c>
      <c r="AN65" s="100">
        <f t="shared" si="25"/>
        <v>0</v>
      </c>
      <c r="AO65" s="101">
        <f t="shared" si="26"/>
        <v>-96.86</v>
      </c>
      <c r="AP65" s="102"/>
      <c r="AQ65" s="103">
        <f t="shared" si="8"/>
        <v>0</v>
      </c>
      <c r="AR65" s="104">
        <f t="shared" si="37"/>
        <v>99.69</v>
      </c>
      <c r="AS65" s="104">
        <f t="shared" si="10"/>
        <v>0</v>
      </c>
      <c r="AT65" s="104">
        <f t="shared" si="11"/>
        <v>96.86</v>
      </c>
      <c r="AU65" s="104">
        <f t="shared" si="27"/>
        <v>0</v>
      </c>
      <c r="AV65" s="104">
        <f t="array" ref="AV65">_xlfn.IFS(U65=0,AO65,U65&lt;0,AO65/-U65,U65&gt;0,AO65/U65)</f>
        <v>-96.86</v>
      </c>
      <c r="AW65" s="244">
        <f t="shared" si="45"/>
        <v>0</v>
      </c>
      <c r="AX65" s="244">
        <f t="shared" si="46"/>
        <v>-0.97161199719129299</v>
      </c>
      <c r="AY65" s="105"/>
      <c r="AZ65" s="100">
        <f t="shared" si="14"/>
        <v>0</v>
      </c>
    </row>
    <row r="66" spans="1:52" outlineLevel="1">
      <c r="A66" s="95" t="s">
        <v>124</v>
      </c>
      <c r="B66" s="96">
        <v>431408292</v>
      </c>
      <c r="C66" s="96" t="s">
        <v>188</v>
      </c>
      <c r="D66" s="97" t="s">
        <v>84</v>
      </c>
      <c r="E66" s="242">
        <f t="shared" si="47"/>
        <v>2</v>
      </c>
      <c r="F66" s="99"/>
      <c r="G66" s="99"/>
      <c r="H66" s="282">
        <v>2</v>
      </c>
      <c r="I66" s="99"/>
      <c r="J66" s="99"/>
      <c r="K66" s="99">
        <v>97.35</v>
      </c>
      <c r="L66" s="98">
        <f t="shared" si="44"/>
        <v>194.7</v>
      </c>
      <c r="M66" s="95"/>
      <c r="N66" s="95">
        <v>1</v>
      </c>
      <c r="O66" s="95">
        <v>998</v>
      </c>
      <c r="P66" s="95">
        <v>0</v>
      </c>
      <c r="Q66" s="243">
        <f t="shared" si="15"/>
        <v>3.125E-2</v>
      </c>
      <c r="R66" s="98">
        <f t="shared" si="16"/>
        <v>0</v>
      </c>
      <c r="S66" s="99">
        <v>0</v>
      </c>
      <c r="T66" s="99">
        <v>0</v>
      </c>
      <c r="U66" s="98">
        <f t="shared" si="17"/>
        <v>0</v>
      </c>
      <c r="V66" s="99">
        <v>0</v>
      </c>
      <c r="W66" s="99">
        <v>0</v>
      </c>
      <c r="X66" s="98">
        <f t="shared" si="18"/>
        <v>0</v>
      </c>
      <c r="Y66" s="99">
        <v>0</v>
      </c>
      <c r="Z66" s="99">
        <v>0</v>
      </c>
      <c r="AA66" s="98">
        <f t="shared" si="19"/>
        <v>0</v>
      </c>
      <c r="AB66" s="98">
        <f t="shared" si="20"/>
        <v>0</v>
      </c>
      <c r="AC66" s="244">
        <f t="shared" si="21"/>
        <v>0</v>
      </c>
      <c r="AD66" s="98">
        <f t="shared" si="22"/>
        <v>0</v>
      </c>
      <c r="AE66" s="99">
        <v>0</v>
      </c>
      <c r="AF66" s="244">
        <f t="shared" si="23"/>
        <v>0</v>
      </c>
      <c r="AG66" s="99">
        <v>195.75</v>
      </c>
      <c r="AH66" s="99"/>
      <c r="AI66" s="99"/>
      <c r="AJ66" s="99"/>
      <c r="AK66" s="99"/>
      <c r="AL66" s="128">
        <f t="shared" si="24"/>
        <v>6.4194079732633087</v>
      </c>
      <c r="AM66" s="99">
        <v>0</v>
      </c>
      <c r="AN66" s="100">
        <f t="shared" si="25"/>
        <v>0</v>
      </c>
      <c r="AO66" s="101">
        <f t="shared" si="26"/>
        <v>-202.1694079732633</v>
      </c>
      <c r="AP66" s="102"/>
      <c r="AQ66" s="103">
        <f t="shared" si="8"/>
        <v>0</v>
      </c>
      <c r="AR66" s="104">
        <f t="shared" si="37"/>
        <v>97.35</v>
      </c>
      <c r="AS66" s="104">
        <f t="shared" si="10"/>
        <v>0</v>
      </c>
      <c r="AT66" s="104">
        <f t="shared" si="11"/>
        <v>195.75</v>
      </c>
      <c r="AU66" s="104">
        <f t="shared" si="27"/>
        <v>0</v>
      </c>
      <c r="AV66" s="104">
        <f t="array" ref="AV66">_xlfn.IFS(U66=0,AO66,U66&lt;0,AO66/-U66,U66&gt;0,AO66/U66)</f>
        <v>-202.1694079732633</v>
      </c>
      <c r="AW66" s="244">
        <f t="shared" si="45"/>
        <v>0</v>
      </c>
      <c r="AX66" s="244">
        <f t="shared" si="46"/>
        <v>-2.0767273546303371</v>
      </c>
      <c r="AY66" s="105"/>
      <c r="AZ66" s="100">
        <f t="shared" si="14"/>
        <v>-404.33881594652661</v>
      </c>
    </row>
    <row r="67" spans="1:52" outlineLevel="1">
      <c r="A67" s="95" t="s">
        <v>124</v>
      </c>
      <c r="B67" s="96">
        <v>431411210</v>
      </c>
      <c r="C67" s="96" t="s">
        <v>189</v>
      </c>
      <c r="D67" s="97" t="s">
        <v>84</v>
      </c>
      <c r="E67" s="242">
        <f t="shared" si="47"/>
        <v>10</v>
      </c>
      <c r="F67" s="99"/>
      <c r="G67" s="99"/>
      <c r="H67" s="282">
        <v>10</v>
      </c>
      <c r="I67" s="99"/>
      <c r="J67" s="99"/>
      <c r="K67" s="99">
        <v>161.69999999999999</v>
      </c>
      <c r="L67" s="98">
        <f t="shared" si="44"/>
        <v>1617</v>
      </c>
      <c r="M67" s="95"/>
      <c r="N67" s="95">
        <v>10</v>
      </c>
      <c r="O67" s="95">
        <v>1049</v>
      </c>
      <c r="P67" s="95">
        <v>40</v>
      </c>
      <c r="Q67" s="243">
        <f t="shared" si="15"/>
        <v>0.3125</v>
      </c>
      <c r="R67" s="98">
        <f t="shared" si="16"/>
        <v>9.375E-2</v>
      </c>
      <c r="S67" s="99">
        <v>4</v>
      </c>
      <c r="T67" s="99">
        <v>-1</v>
      </c>
      <c r="U67" s="98">
        <f t="shared" si="17"/>
        <v>3</v>
      </c>
      <c r="V67" s="99">
        <v>2820</v>
      </c>
      <c r="W67" s="99">
        <v>-729</v>
      </c>
      <c r="X67" s="98">
        <f t="shared" si="18"/>
        <v>2091</v>
      </c>
      <c r="Y67" s="99">
        <v>4196</v>
      </c>
      <c r="Z67" s="99">
        <v>-1049</v>
      </c>
      <c r="AA67" s="98">
        <f t="shared" si="19"/>
        <v>3147</v>
      </c>
      <c r="AB67" s="98">
        <f t="shared" si="20"/>
        <v>4196</v>
      </c>
      <c r="AC67" s="244">
        <f t="shared" si="21"/>
        <v>1.4017348961461429E-3</v>
      </c>
      <c r="AD67" s="98">
        <f t="shared" si="22"/>
        <v>485.09999999999997</v>
      </c>
      <c r="AE67" s="99">
        <v>1177.2700000000004</v>
      </c>
      <c r="AF67" s="244">
        <f t="shared" si="23"/>
        <v>0.37409278678106145</v>
      </c>
      <c r="AG67" s="99">
        <v>417.26</v>
      </c>
      <c r="AH67" s="99"/>
      <c r="AI67" s="99"/>
      <c r="AJ67" s="99"/>
      <c r="AK67" s="99"/>
      <c r="AL67" s="128">
        <f t="shared" si="24"/>
        <v>32.097039866316543</v>
      </c>
      <c r="AM67" s="99">
        <v>0</v>
      </c>
      <c r="AN67" s="100">
        <f t="shared" si="25"/>
        <v>119.39609999999999</v>
      </c>
      <c r="AO67" s="101">
        <f t="shared" si="26"/>
        <v>915.87686013368329</v>
      </c>
      <c r="AP67" s="102"/>
      <c r="AQ67" s="103">
        <f t="shared" si="8"/>
        <v>1049</v>
      </c>
      <c r="AR67" s="104">
        <f t="shared" si="37"/>
        <v>161.69999999999999</v>
      </c>
      <c r="AS67" s="104">
        <f t="shared" si="10"/>
        <v>392.42333333333346</v>
      </c>
      <c r="AT67" s="104">
        <f t="shared" si="11"/>
        <v>104.315</v>
      </c>
      <c r="AU67" s="104">
        <f t="shared" si="27"/>
        <v>0</v>
      </c>
      <c r="AV67" s="104">
        <f t="array" ref="AV67">_xlfn.IFS(U67=0,AO67,U67&lt;0,AO67/-U67,U67&gt;0,AO67/U67)</f>
        <v>305.29228671122775</v>
      </c>
      <c r="AW67" s="244">
        <f t="shared" si="45"/>
        <v>0.29103173185055076</v>
      </c>
      <c r="AX67" s="244">
        <f t="shared" si="46"/>
        <v>1.8880166154064797</v>
      </c>
      <c r="AY67" s="105"/>
      <c r="AZ67" s="100">
        <f t="shared" si="14"/>
        <v>3052.9228671122773</v>
      </c>
    </row>
    <row r="68" spans="1:52" outlineLevel="1">
      <c r="A68" s="95" t="s">
        <v>124</v>
      </c>
      <c r="B68" s="96">
        <v>431412693</v>
      </c>
      <c r="C68" s="96" t="s">
        <v>190</v>
      </c>
      <c r="D68" s="97" t="s">
        <v>84</v>
      </c>
      <c r="E68" s="242">
        <f t="shared" si="47"/>
        <v>0</v>
      </c>
      <c r="F68" s="99"/>
      <c r="G68" s="99"/>
      <c r="H68" s="282">
        <v>0</v>
      </c>
      <c r="I68" s="99"/>
      <c r="J68" s="99"/>
      <c r="K68" s="99">
        <v>161.69999999999999</v>
      </c>
      <c r="L68" s="98">
        <f t="shared" si="44"/>
        <v>0</v>
      </c>
      <c r="M68" s="95"/>
      <c r="N68" s="95">
        <v>0</v>
      </c>
      <c r="O68" s="95">
        <v>0</v>
      </c>
      <c r="P68" s="95">
        <v>0</v>
      </c>
      <c r="Q68" s="243">
        <f t="shared" ref="Q68:Q98" si="48">N68/32</f>
        <v>0</v>
      </c>
      <c r="R68" s="98">
        <f t="shared" ref="R68:R98" si="49">U68/32</f>
        <v>0</v>
      </c>
      <c r="S68" s="99">
        <v>0</v>
      </c>
      <c r="T68" s="99">
        <v>0</v>
      </c>
      <c r="U68" s="98">
        <f t="shared" ref="U68:U98" si="50">S68+T68</f>
        <v>0</v>
      </c>
      <c r="V68" s="99">
        <v>0</v>
      </c>
      <c r="W68" s="99">
        <v>0</v>
      </c>
      <c r="X68" s="98">
        <f t="shared" ref="X68:X98" si="51">V68+W68</f>
        <v>0</v>
      </c>
      <c r="Y68" s="99">
        <v>0</v>
      </c>
      <c r="Z68" s="99">
        <v>0</v>
      </c>
      <c r="AA68" s="98">
        <f t="shared" ref="AA68:AA98" si="52">Y68+Z68</f>
        <v>0</v>
      </c>
      <c r="AB68" s="98">
        <f t="shared" ref="AB68:AB98" si="53">N68*O68*P68/100</f>
        <v>0</v>
      </c>
      <c r="AC68" s="244">
        <f t="shared" ref="AC68:AC98" si="54">AA68/$AA$121</f>
        <v>0</v>
      </c>
      <c r="AD68" s="98">
        <f t="shared" ref="AD68:AD98" si="55">U68*K68</f>
        <v>0</v>
      </c>
      <c r="AE68" s="99">
        <v>0</v>
      </c>
      <c r="AF68" s="244">
        <f t="shared" ref="AF68:AF98" si="56">IF(AA68=0,0,AE68/AA68)</f>
        <v>0</v>
      </c>
      <c r="AG68" s="99">
        <v>0</v>
      </c>
      <c r="AH68" s="99"/>
      <c r="AI68" s="99"/>
      <c r="AJ68" s="99"/>
      <c r="AK68" s="99"/>
      <c r="AL68" s="128">
        <f t="shared" ref="AL68:AL98" si="57">IFERROR($AL$121*H68/$H$121,0)</f>
        <v>0</v>
      </c>
      <c r="AM68" s="99">
        <v>0</v>
      </c>
      <c r="AN68" s="100">
        <f t="shared" ref="AN68:AN98" si="58">X68*5.71%</f>
        <v>0</v>
      </c>
      <c r="AO68" s="101">
        <f t="shared" ref="AO68:AO98" si="59">AA68-AD68-AE68-AG68-AH68-AI68-AK68-AL68-AN68-AM68</f>
        <v>0</v>
      </c>
      <c r="AP68" s="102"/>
      <c r="AQ68" s="103">
        <f t="shared" si="8"/>
        <v>0</v>
      </c>
      <c r="AR68" s="104">
        <f t="shared" si="37"/>
        <v>161.69999999999999</v>
      </c>
      <c r="AS68" s="104">
        <f t="shared" si="10"/>
        <v>0</v>
      </c>
      <c r="AT68" s="104">
        <f t="shared" si="11"/>
        <v>0</v>
      </c>
      <c r="AU68" s="104">
        <f t="shared" si="27"/>
        <v>0</v>
      </c>
      <c r="AV68" s="104">
        <f t="array" ref="AV68">_xlfn.IFS(U68=0,AO68,U68&lt;0,AO68/-U68,U68&gt;0,AO68/U68)</f>
        <v>0</v>
      </c>
      <c r="AW68" s="244">
        <f t="shared" si="45"/>
        <v>0</v>
      </c>
      <c r="AX68" s="244">
        <f t="shared" si="46"/>
        <v>0</v>
      </c>
      <c r="AY68" s="105"/>
      <c r="AZ68" s="100">
        <f t="shared" si="14"/>
        <v>0</v>
      </c>
    </row>
    <row r="69" spans="1:52" outlineLevel="1">
      <c r="A69" s="95" t="s">
        <v>124</v>
      </c>
      <c r="B69" s="96">
        <v>431417660</v>
      </c>
      <c r="C69" s="96" t="s">
        <v>191</v>
      </c>
      <c r="D69" s="97" t="s">
        <v>84</v>
      </c>
      <c r="E69" s="242">
        <f t="shared" si="47"/>
        <v>12</v>
      </c>
      <c r="F69" s="99"/>
      <c r="G69" s="99"/>
      <c r="H69" s="282">
        <v>12</v>
      </c>
      <c r="I69" s="99"/>
      <c r="J69" s="99"/>
      <c r="K69" s="99">
        <v>140.63999999999999</v>
      </c>
      <c r="L69" s="98">
        <f t="shared" si="44"/>
        <v>1687.6799999999998</v>
      </c>
      <c r="M69" s="95"/>
      <c r="N69" s="95">
        <v>0</v>
      </c>
      <c r="O69" s="95">
        <v>0</v>
      </c>
      <c r="P69" s="95">
        <v>0</v>
      </c>
      <c r="Q69" s="243">
        <f t="shared" si="48"/>
        <v>0</v>
      </c>
      <c r="R69" s="98">
        <f t="shared" si="49"/>
        <v>0</v>
      </c>
      <c r="S69" s="99">
        <v>0</v>
      </c>
      <c r="T69" s="99">
        <v>0</v>
      </c>
      <c r="U69" s="98">
        <f t="shared" si="50"/>
        <v>0</v>
      </c>
      <c r="V69" s="99">
        <v>0</v>
      </c>
      <c r="W69" s="99">
        <v>0</v>
      </c>
      <c r="X69" s="98">
        <f t="shared" si="51"/>
        <v>0</v>
      </c>
      <c r="Y69" s="99">
        <v>0</v>
      </c>
      <c r="Z69" s="99">
        <v>0</v>
      </c>
      <c r="AA69" s="98">
        <f t="shared" si="52"/>
        <v>0</v>
      </c>
      <c r="AB69" s="98">
        <f t="shared" si="53"/>
        <v>0</v>
      </c>
      <c r="AC69" s="244">
        <f t="shared" si="54"/>
        <v>0</v>
      </c>
      <c r="AD69" s="98">
        <f t="shared" si="55"/>
        <v>0</v>
      </c>
      <c r="AE69" s="99">
        <v>0</v>
      </c>
      <c r="AF69" s="244">
        <f t="shared" si="56"/>
        <v>0</v>
      </c>
      <c r="AG69" s="99">
        <v>0</v>
      </c>
      <c r="AH69" s="99"/>
      <c r="AI69" s="99"/>
      <c r="AJ69" s="99"/>
      <c r="AK69" s="99"/>
      <c r="AL69" s="128">
        <f t="shared" si="57"/>
        <v>38.516447839579847</v>
      </c>
      <c r="AM69" s="99">
        <v>0</v>
      </c>
      <c r="AN69" s="100">
        <f t="shared" si="58"/>
        <v>0</v>
      </c>
      <c r="AO69" s="101">
        <f t="shared" si="59"/>
        <v>-38.516447839579847</v>
      </c>
      <c r="AP69" s="102"/>
      <c r="AQ69" s="103">
        <f t="shared" si="8"/>
        <v>0</v>
      </c>
      <c r="AR69" s="104">
        <f t="shared" si="37"/>
        <v>140.63999999999999</v>
      </c>
      <c r="AS69" s="104">
        <f t="shared" si="10"/>
        <v>0</v>
      </c>
      <c r="AT69" s="104">
        <f t="shared" si="11"/>
        <v>0</v>
      </c>
      <c r="AU69" s="104">
        <f t="shared" si="27"/>
        <v>0</v>
      </c>
      <c r="AV69" s="104">
        <f t="array" ref="AV69">_xlfn.IFS(U69=0,AO69,U69&lt;0,AO69/-U69,U69&gt;0,AO69/U69)</f>
        <v>-38.516447839579847</v>
      </c>
      <c r="AW69" s="244">
        <f t="shared" si="45"/>
        <v>0</v>
      </c>
      <c r="AX69" s="244">
        <f t="shared" si="46"/>
        <v>-0.27386552786959506</v>
      </c>
      <c r="AY69" s="105"/>
      <c r="AZ69" s="100">
        <f t="shared" si="14"/>
        <v>-462.19737407495813</v>
      </c>
    </row>
    <row r="70" spans="1:52" outlineLevel="1">
      <c r="A70" s="95" t="s">
        <v>124</v>
      </c>
      <c r="B70" s="96">
        <v>431421164</v>
      </c>
      <c r="C70" s="96" t="s">
        <v>192</v>
      </c>
      <c r="D70" s="97" t="s">
        <v>84</v>
      </c>
      <c r="E70" s="242">
        <f t="shared" si="47"/>
        <v>9</v>
      </c>
      <c r="F70" s="99"/>
      <c r="G70" s="99"/>
      <c r="H70" s="282">
        <v>9</v>
      </c>
      <c r="I70" s="99"/>
      <c r="J70" s="99"/>
      <c r="K70" s="99">
        <v>117.24</v>
      </c>
      <c r="L70" s="98">
        <f t="shared" si="44"/>
        <v>1055.1599999999999</v>
      </c>
      <c r="M70" s="95"/>
      <c r="N70" s="95">
        <v>2</v>
      </c>
      <c r="O70" s="95">
        <v>1073</v>
      </c>
      <c r="P70" s="95">
        <v>100</v>
      </c>
      <c r="Q70" s="243">
        <f t="shared" si="48"/>
        <v>6.25E-2</v>
      </c>
      <c r="R70" s="98">
        <f t="shared" si="49"/>
        <v>6.25E-2</v>
      </c>
      <c r="S70" s="99">
        <v>2</v>
      </c>
      <c r="T70" s="99">
        <v>0</v>
      </c>
      <c r="U70" s="98">
        <f t="shared" si="50"/>
        <v>2</v>
      </c>
      <c r="V70" s="99">
        <v>1570</v>
      </c>
      <c r="W70" s="99">
        <v>0</v>
      </c>
      <c r="X70" s="98">
        <f t="shared" si="51"/>
        <v>1570</v>
      </c>
      <c r="Y70" s="99">
        <v>2146</v>
      </c>
      <c r="Z70" s="99">
        <v>0</v>
      </c>
      <c r="AA70" s="98">
        <f t="shared" si="52"/>
        <v>2146</v>
      </c>
      <c r="AB70" s="98">
        <f t="shared" si="53"/>
        <v>2146</v>
      </c>
      <c r="AC70" s="244">
        <f t="shared" si="54"/>
        <v>9.5587006264049028E-4</v>
      </c>
      <c r="AD70" s="98">
        <f t="shared" si="55"/>
        <v>234.48</v>
      </c>
      <c r="AE70" s="99">
        <v>797.76</v>
      </c>
      <c r="AF70" s="244">
        <f t="shared" si="56"/>
        <v>0.37174277726001864</v>
      </c>
      <c r="AG70" s="99">
        <v>90.33</v>
      </c>
      <c r="AH70" s="99"/>
      <c r="AI70" s="99"/>
      <c r="AJ70" s="99"/>
      <c r="AK70" s="99"/>
      <c r="AL70" s="128">
        <f t="shared" si="57"/>
        <v>28.887335879684887</v>
      </c>
      <c r="AM70" s="99">
        <v>0</v>
      </c>
      <c r="AN70" s="100">
        <f t="shared" si="58"/>
        <v>89.646999999999991</v>
      </c>
      <c r="AO70" s="101">
        <f t="shared" si="59"/>
        <v>904.89566412031513</v>
      </c>
      <c r="AP70" s="102"/>
      <c r="AQ70" s="103">
        <f t="shared" si="8"/>
        <v>1073</v>
      </c>
      <c r="AR70" s="104">
        <f t="shared" si="37"/>
        <v>117.24</v>
      </c>
      <c r="AS70" s="104">
        <f t="shared" si="10"/>
        <v>398.88</v>
      </c>
      <c r="AT70" s="104">
        <f t="shared" si="11"/>
        <v>45.164999999999999</v>
      </c>
      <c r="AU70" s="104">
        <f t="shared" si="27"/>
        <v>0</v>
      </c>
      <c r="AV70" s="104">
        <f t="array" ref="AV70">_xlfn.IFS(U70=0,AO70,U70&lt;0,AO70/-U70,U70&gt;0,AO70/U70)</f>
        <v>452.44783206015757</v>
      </c>
      <c r="AW70" s="244">
        <f t="shared" si="45"/>
        <v>0.42166619949688494</v>
      </c>
      <c r="AX70" s="244">
        <f t="shared" si="46"/>
        <v>3.8591592635632685</v>
      </c>
      <c r="AY70" s="105"/>
      <c r="AZ70" s="100">
        <f t="shared" si="14"/>
        <v>4072.030488541418</v>
      </c>
    </row>
    <row r="71" spans="1:52" outlineLevel="1">
      <c r="A71" s="95" t="s">
        <v>124</v>
      </c>
      <c r="B71" s="96">
        <v>471621229</v>
      </c>
      <c r="C71" s="96" t="s">
        <v>193</v>
      </c>
      <c r="D71" s="97" t="s">
        <v>84</v>
      </c>
      <c r="E71" s="242">
        <f t="shared" si="47"/>
        <v>21</v>
      </c>
      <c r="F71" s="99"/>
      <c r="G71" s="99"/>
      <c r="H71" s="282">
        <v>21</v>
      </c>
      <c r="I71" s="99"/>
      <c r="J71" s="99"/>
      <c r="K71" s="99">
        <v>123.09</v>
      </c>
      <c r="L71" s="98">
        <f t="shared" si="44"/>
        <v>2584.89</v>
      </c>
      <c r="M71" s="95"/>
      <c r="N71" s="95">
        <v>8</v>
      </c>
      <c r="O71" s="95">
        <v>807</v>
      </c>
      <c r="P71" s="95">
        <v>13</v>
      </c>
      <c r="Q71" s="243">
        <f t="shared" si="48"/>
        <v>0.25</v>
      </c>
      <c r="R71" s="98">
        <f t="shared" si="49"/>
        <v>3.125E-2</v>
      </c>
      <c r="S71" s="99">
        <v>1</v>
      </c>
      <c r="T71" s="99">
        <v>0</v>
      </c>
      <c r="U71" s="98">
        <f t="shared" si="50"/>
        <v>1</v>
      </c>
      <c r="V71" s="99">
        <v>571</v>
      </c>
      <c r="W71" s="99">
        <v>0</v>
      </c>
      <c r="X71" s="98">
        <f t="shared" si="51"/>
        <v>571</v>
      </c>
      <c r="Y71" s="99">
        <v>807</v>
      </c>
      <c r="Z71" s="99">
        <v>0</v>
      </c>
      <c r="AA71" s="98">
        <f t="shared" si="52"/>
        <v>807</v>
      </c>
      <c r="AB71" s="98">
        <f t="shared" si="53"/>
        <v>839.28</v>
      </c>
      <c r="AC71" s="244">
        <f t="shared" si="54"/>
        <v>3.5945346717188985E-4</v>
      </c>
      <c r="AD71" s="98">
        <f t="shared" si="55"/>
        <v>123.09</v>
      </c>
      <c r="AE71" s="99">
        <v>286.74</v>
      </c>
      <c r="AF71" s="244">
        <f t="shared" si="56"/>
        <v>0.35531598513011153</v>
      </c>
      <c r="AG71" s="99">
        <v>543.36</v>
      </c>
      <c r="AH71" s="99"/>
      <c r="AI71" s="99"/>
      <c r="AJ71" s="99"/>
      <c r="AK71" s="99"/>
      <c r="AL71" s="128">
        <f t="shared" si="57"/>
        <v>67.403783719264737</v>
      </c>
      <c r="AM71" s="99">
        <v>0</v>
      </c>
      <c r="AN71" s="100">
        <f t="shared" si="58"/>
        <v>32.604099999999995</v>
      </c>
      <c r="AO71" s="101">
        <f t="shared" si="59"/>
        <v>-246.19788371926478</v>
      </c>
      <c r="AP71" s="102"/>
      <c r="AQ71" s="103">
        <f t="shared" si="8"/>
        <v>807</v>
      </c>
      <c r="AR71" s="104">
        <f t="shared" si="37"/>
        <v>123.09</v>
      </c>
      <c r="AS71" s="104">
        <f t="shared" si="10"/>
        <v>286.74</v>
      </c>
      <c r="AT71" s="104">
        <f t="shared" si="11"/>
        <v>543.36</v>
      </c>
      <c r="AU71" s="104">
        <f t="shared" ref="AU71:AU98" si="60">IF(S71=0,0,(AH71+AI71+AJ71)/S71)</f>
        <v>0</v>
      </c>
      <c r="AV71" s="104">
        <f t="array" ref="AV71">_xlfn.IFS(U71=0,AO71,U71&lt;0,AO71/-U71,U71&gt;0,AO71/U71)</f>
        <v>-246.19788371926478</v>
      </c>
      <c r="AW71" s="244">
        <f t="shared" si="45"/>
        <v>-0.30507792282436774</v>
      </c>
      <c r="AX71" s="244">
        <f t="shared" si="46"/>
        <v>-2.0001452897819871</v>
      </c>
      <c r="AY71" s="105"/>
      <c r="AZ71" s="100">
        <f t="shared" si="14"/>
        <v>-5170.1555581045604</v>
      </c>
    </row>
    <row r="72" spans="1:52" outlineLevel="1">
      <c r="A72" s="95" t="s">
        <v>124</v>
      </c>
      <c r="B72" s="96">
        <v>471653850</v>
      </c>
      <c r="C72" s="96" t="s">
        <v>194</v>
      </c>
      <c r="D72" s="97" t="s">
        <v>84</v>
      </c>
      <c r="E72" s="242">
        <f t="shared" si="47"/>
        <v>13</v>
      </c>
      <c r="F72" s="99"/>
      <c r="G72" s="99"/>
      <c r="H72" s="282">
        <v>13</v>
      </c>
      <c r="I72" s="99"/>
      <c r="J72" s="99"/>
      <c r="K72" s="99">
        <v>123.09</v>
      </c>
      <c r="L72" s="98">
        <f t="shared" si="44"/>
        <v>1600.17</v>
      </c>
      <c r="M72" s="95"/>
      <c r="N72" s="95">
        <v>10</v>
      </c>
      <c r="O72" s="95">
        <v>849</v>
      </c>
      <c r="P72" s="95">
        <v>30</v>
      </c>
      <c r="Q72" s="243">
        <f t="shared" si="48"/>
        <v>0.3125</v>
      </c>
      <c r="R72" s="98">
        <f t="shared" si="49"/>
        <v>6.25E-2</v>
      </c>
      <c r="S72" s="99">
        <v>2</v>
      </c>
      <c r="T72" s="99">
        <v>0</v>
      </c>
      <c r="U72" s="98">
        <f t="shared" si="50"/>
        <v>2</v>
      </c>
      <c r="V72" s="99">
        <v>1447</v>
      </c>
      <c r="W72" s="99">
        <v>0</v>
      </c>
      <c r="X72" s="98">
        <f t="shared" si="51"/>
        <v>1447</v>
      </c>
      <c r="Y72" s="99">
        <v>1734</v>
      </c>
      <c r="Z72" s="99">
        <v>0</v>
      </c>
      <c r="AA72" s="98">
        <f t="shared" si="52"/>
        <v>1734</v>
      </c>
      <c r="AB72" s="98">
        <f t="shared" si="53"/>
        <v>2547</v>
      </c>
      <c r="AC72" s="244">
        <f t="shared" si="54"/>
        <v>7.7235726403476713E-4</v>
      </c>
      <c r="AD72" s="98">
        <f t="shared" si="55"/>
        <v>246.18</v>
      </c>
      <c r="AE72" s="99">
        <v>646.09000000000015</v>
      </c>
      <c r="AF72" s="244">
        <f t="shared" si="56"/>
        <v>0.37260092272203005</v>
      </c>
      <c r="AG72" s="99">
        <v>614.20000000000005</v>
      </c>
      <c r="AH72" s="99"/>
      <c r="AI72" s="99"/>
      <c r="AJ72" s="99"/>
      <c r="AK72" s="99"/>
      <c r="AL72" s="128">
        <f t="shared" si="57"/>
        <v>41.726151826211499</v>
      </c>
      <c r="AM72" s="99">
        <v>0</v>
      </c>
      <c r="AN72" s="100">
        <f t="shared" si="58"/>
        <v>82.623699999999999</v>
      </c>
      <c r="AO72" s="101">
        <f t="shared" si="59"/>
        <v>103.18014817378825</v>
      </c>
      <c r="AP72" s="102"/>
      <c r="AQ72" s="103">
        <f t="shared" si="8"/>
        <v>867</v>
      </c>
      <c r="AR72" s="104">
        <f t="shared" si="37"/>
        <v>123.09</v>
      </c>
      <c r="AS72" s="104">
        <f t="shared" si="10"/>
        <v>323.04500000000007</v>
      </c>
      <c r="AT72" s="104">
        <f t="shared" si="11"/>
        <v>307.10000000000002</v>
      </c>
      <c r="AU72" s="104">
        <f t="shared" si="60"/>
        <v>0</v>
      </c>
      <c r="AV72" s="104">
        <f t="array" ref="AV72">_xlfn.IFS(U72=0,AO72,U72&lt;0,AO72/-U72,U72&gt;0,AO72/U72)</f>
        <v>51.590074086894127</v>
      </c>
      <c r="AW72" s="244">
        <f t="shared" si="45"/>
        <v>5.9504122360892878E-2</v>
      </c>
      <c r="AX72" s="244">
        <f t="shared" si="46"/>
        <v>0.41912481994389572</v>
      </c>
      <c r="AY72" s="105"/>
      <c r="AZ72" s="100">
        <f t="shared" si="14"/>
        <v>670.6709631296236</v>
      </c>
    </row>
    <row r="73" spans="1:52" outlineLevel="1">
      <c r="A73" s="95" t="s">
        <v>124</v>
      </c>
      <c r="B73" s="96">
        <v>471686887</v>
      </c>
      <c r="C73" s="96" t="s">
        <v>195</v>
      </c>
      <c r="D73" s="97" t="s">
        <v>84</v>
      </c>
      <c r="E73" s="242">
        <f t="shared" si="47"/>
        <v>16</v>
      </c>
      <c r="F73" s="99"/>
      <c r="G73" s="99"/>
      <c r="H73" s="282">
        <v>16</v>
      </c>
      <c r="I73" s="99"/>
      <c r="J73" s="99"/>
      <c r="K73" s="99">
        <v>123.09</v>
      </c>
      <c r="L73" s="98">
        <f t="shared" si="44"/>
        <v>1969.44</v>
      </c>
      <c r="M73" s="95"/>
      <c r="N73" s="95">
        <v>4</v>
      </c>
      <c r="O73" s="95">
        <v>807</v>
      </c>
      <c r="P73" s="95">
        <v>50</v>
      </c>
      <c r="Q73" s="243">
        <f t="shared" si="48"/>
        <v>0.125</v>
      </c>
      <c r="R73" s="98">
        <f t="shared" si="49"/>
        <v>3.125E-2</v>
      </c>
      <c r="S73" s="99">
        <v>1</v>
      </c>
      <c r="T73" s="99">
        <v>0</v>
      </c>
      <c r="U73" s="98">
        <f t="shared" si="50"/>
        <v>1</v>
      </c>
      <c r="V73" s="99">
        <v>594</v>
      </c>
      <c r="W73" s="99">
        <v>0</v>
      </c>
      <c r="X73" s="98">
        <f t="shared" si="51"/>
        <v>594</v>
      </c>
      <c r="Y73" s="99">
        <v>807</v>
      </c>
      <c r="Z73" s="99">
        <v>0</v>
      </c>
      <c r="AA73" s="98">
        <f t="shared" si="52"/>
        <v>807</v>
      </c>
      <c r="AB73" s="98">
        <f t="shared" si="53"/>
        <v>1614</v>
      </c>
      <c r="AC73" s="244">
        <f t="shared" si="54"/>
        <v>3.5945346717188985E-4</v>
      </c>
      <c r="AD73" s="98">
        <f t="shared" si="55"/>
        <v>123.09</v>
      </c>
      <c r="AE73" s="99">
        <v>303.76</v>
      </c>
      <c r="AF73" s="244">
        <f t="shared" si="56"/>
        <v>0.37640644361833953</v>
      </c>
      <c r="AG73" s="99">
        <v>153.51</v>
      </c>
      <c r="AH73" s="99"/>
      <c r="AI73" s="99"/>
      <c r="AJ73" s="99"/>
      <c r="AK73" s="99"/>
      <c r="AL73" s="128">
        <f t="shared" si="57"/>
        <v>51.35526378610647</v>
      </c>
      <c r="AM73" s="99">
        <v>0</v>
      </c>
      <c r="AN73" s="100">
        <f t="shared" si="58"/>
        <v>33.917400000000001</v>
      </c>
      <c r="AO73" s="101">
        <f t="shared" si="59"/>
        <v>141.36733621389351</v>
      </c>
      <c r="AP73" s="102"/>
      <c r="AQ73" s="103">
        <f t="shared" si="8"/>
        <v>807</v>
      </c>
      <c r="AR73" s="104">
        <f t="shared" si="37"/>
        <v>123.09</v>
      </c>
      <c r="AS73" s="104">
        <f t="shared" si="10"/>
        <v>303.76</v>
      </c>
      <c r="AT73" s="104">
        <f t="shared" si="11"/>
        <v>153.51</v>
      </c>
      <c r="AU73" s="104">
        <f t="shared" si="60"/>
        <v>0</v>
      </c>
      <c r="AV73" s="104">
        <f t="array" ref="AV73">_xlfn.IFS(U73=0,AO73,U73&lt;0,AO73/-U73,U73&gt;0,AO73/U73)</f>
        <v>141.36733621389351</v>
      </c>
      <c r="AW73" s="244">
        <f t="shared" si="45"/>
        <v>0.1751763769688891</v>
      </c>
      <c r="AX73" s="244">
        <f t="shared" si="46"/>
        <v>1.1484875799325169</v>
      </c>
      <c r="AY73" s="105"/>
      <c r="AZ73" s="100">
        <f t="shared" si="14"/>
        <v>2261.8773794222961</v>
      </c>
    </row>
    <row r="74" spans="1:52" outlineLevel="1">
      <c r="A74" s="95" t="s">
        <v>124</v>
      </c>
      <c r="B74" s="96">
        <v>471743752</v>
      </c>
      <c r="C74" s="96" t="s">
        <v>196</v>
      </c>
      <c r="D74" s="97" t="s">
        <v>84</v>
      </c>
      <c r="E74" s="242">
        <f t="shared" si="47"/>
        <v>2</v>
      </c>
      <c r="F74" s="99"/>
      <c r="G74" s="99"/>
      <c r="H74" s="282">
        <v>2</v>
      </c>
      <c r="I74" s="99"/>
      <c r="J74" s="99"/>
      <c r="K74" s="99">
        <v>134.79</v>
      </c>
      <c r="L74" s="98">
        <f t="shared" si="44"/>
        <v>269.58</v>
      </c>
      <c r="M74" s="95"/>
      <c r="N74" s="95">
        <v>10</v>
      </c>
      <c r="O74" s="95">
        <v>798</v>
      </c>
      <c r="P74" s="95">
        <v>67</v>
      </c>
      <c r="Q74" s="243">
        <f t="shared" si="48"/>
        <v>0.3125</v>
      </c>
      <c r="R74" s="98">
        <f t="shared" si="49"/>
        <v>0.1875</v>
      </c>
      <c r="S74" s="99">
        <v>6</v>
      </c>
      <c r="T74" s="99">
        <v>0</v>
      </c>
      <c r="U74" s="98">
        <f t="shared" si="50"/>
        <v>6</v>
      </c>
      <c r="V74" s="99">
        <v>3791.89</v>
      </c>
      <c r="W74" s="99">
        <v>0</v>
      </c>
      <c r="X74" s="98">
        <f t="shared" si="51"/>
        <v>3791.89</v>
      </c>
      <c r="Y74" s="99">
        <v>4830.6200000000008</v>
      </c>
      <c r="Z74" s="99">
        <v>0</v>
      </c>
      <c r="AA74" s="98">
        <f t="shared" si="52"/>
        <v>4830.6200000000008</v>
      </c>
      <c r="AB74" s="98">
        <f t="shared" si="53"/>
        <v>5346.6</v>
      </c>
      <c r="AC74" s="244">
        <f t="shared" si="54"/>
        <v>2.1516519300989775E-3</v>
      </c>
      <c r="AD74" s="98">
        <f t="shared" si="55"/>
        <v>808.74</v>
      </c>
      <c r="AE74" s="99">
        <v>1815.1200000000008</v>
      </c>
      <c r="AF74" s="244">
        <f t="shared" si="56"/>
        <v>0.37575300893053076</v>
      </c>
      <c r="AG74" s="99">
        <v>619.94000000000005</v>
      </c>
      <c r="AH74" s="99"/>
      <c r="AI74" s="99"/>
      <c r="AJ74" s="99"/>
      <c r="AK74" s="99"/>
      <c r="AL74" s="128">
        <f t="shared" si="57"/>
        <v>6.4194079732633087</v>
      </c>
      <c r="AM74" s="99">
        <v>0</v>
      </c>
      <c r="AN74" s="100">
        <f t="shared" si="58"/>
        <v>216.51691899999997</v>
      </c>
      <c r="AO74" s="101">
        <f t="shared" si="59"/>
        <v>1363.8836730267369</v>
      </c>
      <c r="AP74" s="102"/>
      <c r="AQ74" s="103">
        <f t="shared" si="8"/>
        <v>805.10333333333347</v>
      </c>
      <c r="AR74" s="104">
        <f t="shared" si="37"/>
        <v>134.79</v>
      </c>
      <c r="AS74" s="104">
        <f t="shared" si="10"/>
        <v>302.52000000000015</v>
      </c>
      <c r="AT74" s="104">
        <f t="shared" si="11"/>
        <v>103.32333333333334</v>
      </c>
      <c r="AU74" s="104">
        <f t="shared" si="60"/>
        <v>0</v>
      </c>
      <c r="AV74" s="104">
        <f t="array" ref="AV74">_xlfn.IFS(U74=0,AO74,U74&lt;0,AO74/-U74,U74&gt;0,AO74/U74)</f>
        <v>227.31394550445614</v>
      </c>
      <c r="AW74" s="244">
        <f t="shared" si="45"/>
        <v>0.28234132948291041</v>
      </c>
      <c r="AX74" s="244">
        <f t="shared" si="46"/>
        <v>1.686430339820878</v>
      </c>
      <c r="AY74" s="105"/>
      <c r="AZ74" s="100">
        <f t="shared" si="14"/>
        <v>454.62789100891229</v>
      </c>
    </row>
    <row r="75" spans="1:52" outlineLevel="1">
      <c r="A75" s="95" t="s">
        <v>124</v>
      </c>
      <c r="B75" s="96">
        <v>471808801</v>
      </c>
      <c r="C75" s="96" t="s">
        <v>197</v>
      </c>
      <c r="D75" s="97" t="s">
        <v>84</v>
      </c>
      <c r="E75" s="242">
        <f t="shared" si="47"/>
        <v>0</v>
      </c>
      <c r="F75" s="99"/>
      <c r="G75" s="99"/>
      <c r="H75" s="282" t="s">
        <v>100</v>
      </c>
      <c r="I75" s="99"/>
      <c r="J75" s="99"/>
      <c r="K75" s="99">
        <v>134.79</v>
      </c>
      <c r="L75" s="98">
        <f t="shared" si="44"/>
        <v>0</v>
      </c>
      <c r="M75" s="95"/>
      <c r="N75" s="95">
        <v>46</v>
      </c>
      <c r="O75" s="95">
        <v>890</v>
      </c>
      <c r="P75" s="95">
        <v>52</v>
      </c>
      <c r="Q75" s="243">
        <f t="shared" si="48"/>
        <v>1.4375</v>
      </c>
      <c r="R75" s="98">
        <f t="shared" si="49"/>
        <v>0.71875</v>
      </c>
      <c r="S75" s="99">
        <v>25</v>
      </c>
      <c r="T75" s="99">
        <v>-2</v>
      </c>
      <c r="U75" s="98">
        <f t="shared" si="50"/>
        <v>23</v>
      </c>
      <c r="V75" s="99">
        <v>16548</v>
      </c>
      <c r="W75" s="99">
        <v>-1187</v>
      </c>
      <c r="X75" s="98">
        <f t="shared" si="51"/>
        <v>15361</v>
      </c>
      <c r="Y75" s="99">
        <v>21553.310000000005</v>
      </c>
      <c r="Z75" s="99">
        <v>-1503.1100000000001</v>
      </c>
      <c r="AA75" s="98">
        <f t="shared" si="52"/>
        <v>20050.200000000004</v>
      </c>
      <c r="AB75" s="98">
        <f t="shared" si="53"/>
        <v>21288.799999999999</v>
      </c>
      <c r="AC75" s="244">
        <f t="shared" si="54"/>
        <v>8.9307483364186226E-3</v>
      </c>
      <c r="AD75" s="98">
        <f t="shared" si="55"/>
        <v>3100.1699999999996</v>
      </c>
      <c r="AE75" s="99">
        <v>7496.8800000000028</v>
      </c>
      <c r="AF75" s="244">
        <f t="shared" si="56"/>
        <v>0.37390549720202299</v>
      </c>
      <c r="AG75" s="99">
        <v>3364.4500000000003</v>
      </c>
      <c r="AH75" s="99"/>
      <c r="AI75" s="99">
        <v>4124</v>
      </c>
      <c r="AJ75" s="99"/>
      <c r="AK75" s="99"/>
      <c r="AL75" s="128">
        <f t="shared" si="57"/>
        <v>0</v>
      </c>
      <c r="AM75" s="99">
        <v>0</v>
      </c>
      <c r="AN75" s="100">
        <f t="shared" si="58"/>
        <v>877.11309999999992</v>
      </c>
      <c r="AO75" s="101">
        <f t="shared" si="59"/>
        <v>1087.5869000000025</v>
      </c>
      <c r="AP75" s="102"/>
      <c r="AQ75" s="103">
        <f t="shared" si="8"/>
        <v>871.74782608695671</v>
      </c>
      <c r="AR75" s="104">
        <f t="shared" si="37"/>
        <v>134.79</v>
      </c>
      <c r="AS75" s="104">
        <f t="shared" si="10"/>
        <v>325.95130434782624</v>
      </c>
      <c r="AT75" s="104">
        <f t="shared" si="11"/>
        <v>134.578</v>
      </c>
      <c r="AU75" s="104">
        <f t="shared" si="60"/>
        <v>164.96</v>
      </c>
      <c r="AV75" s="104">
        <f t="array" ref="AV75">_xlfn.IFS(U75=0,AO75,U75&lt;0,AO75/-U75,U75&gt;0,AO75/U75)</f>
        <v>47.286386956521845</v>
      </c>
      <c r="AW75" s="244">
        <f t="shared" si="45"/>
        <v>5.424319458160029E-2</v>
      </c>
      <c r="AX75" s="244">
        <f t="shared" si="46"/>
        <v>0.35081524561556382</v>
      </c>
      <c r="AY75" s="105"/>
      <c r="AZ75" s="100">
        <f t="shared" si="14"/>
        <v>0</v>
      </c>
    </row>
    <row r="76" spans="1:52" outlineLevel="1">
      <c r="A76" s="95" t="s">
        <v>124</v>
      </c>
      <c r="B76" s="96">
        <v>507102638</v>
      </c>
      <c r="C76" s="96" t="s">
        <v>198</v>
      </c>
      <c r="D76" s="97" t="s">
        <v>84</v>
      </c>
      <c r="E76" s="242">
        <f t="shared" si="47"/>
        <v>50</v>
      </c>
      <c r="F76" s="99"/>
      <c r="G76" s="99"/>
      <c r="H76" s="282">
        <v>50</v>
      </c>
      <c r="I76" s="99"/>
      <c r="J76" s="99"/>
      <c r="K76" s="99">
        <v>123.09</v>
      </c>
      <c r="L76" s="98">
        <f t="shared" si="44"/>
        <v>6154.5</v>
      </c>
      <c r="M76" s="95"/>
      <c r="N76" s="95">
        <v>0</v>
      </c>
      <c r="O76" s="95">
        <v>0</v>
      </c>
      <c r="P76" s="95">
        <v>0</v>
      </c>
      <c r="Q76" s="243">
        <f t="shared" si="48"/>
        <v>0</v>
      </c>
      <c r="R76" s="98">
        <f t="shared" si="49"/>
        <v>0</v>
      </c>
      <c r="S76" s="99">
        <v>0</v>
      </c>
      <c r="T76" s="99">
        <v>0</v>
      </c>
      <c r="U76" s="98">
        <f t="shared" si="50"/>
        <v>0</v>
      </c>
      <c r="V76" s="99">
        <v>0</v>
      </c>
      <c r="W76" s="99">
        <v>0</v>
      </c>
      <c r="X76" s="98">
        <f t="shared" si="51"/>
        <v>0</v>
      </c>
      <c r="Y76" s="99">
        <v>0</v>
      </c>
      <c r="Z76" s="99">
        <v>0</v>
      </c>
      <c r="AA76" s="98">
        <f t="shared" si="52"/>
        <v>0</v>
      </c>
      <c r="AB76" s="98">
        <f t="shared" si="53"/>
        <v>0</v>
      </c>
      <c r="AC76" s="244">
        <f t="shared" si="54"/>
        <v>0</v>
      </c>
      <c r="AD76" s="98">
        <f t="shared" si="55"/>
        <v>0</v>
      </c>
      <c r="AE76" s="99">
        <v>0</v>
      </c>
      <c r="AF76" s="244">
        <f t="shared" si="56"/>
        <v>0</v>
      </c>
      <c r="AG76" s="99">
        <v>0</v>
      </c>
      <c r="AH76" s="99"/>
      <c r="AI76" s="99"/>
      <c r="AJ76" s="99"/>
      <c r="AK76" s="99"/>
      <c r="AL76" s="128">
        <f t="shared" si="57"/>
        <v>160.48519933158272</v>
      </c>
      <c r="AM76" s="99">
        <v>0</v>
      </c>
      <c r="AN76" s="100">
        <f t="shared" si="58"/>
        <v>0</v>
      </c>
      <c r="AO76" s="101">
        <f t="shared" si="59"/>
        <v>-160.48519933158272</v>
      </c>
      <c r="AP76" s="102"/>
      <c r="AQ76" s="103">
        <f t="shared" si="8"/>
        <v>0</v>
      </c>
      <c r="AR76" s="104">
        <f t="shared" si="37"/>
        <v>123.09</v>
      </c>
      <c r="AS76" s="104">
        <f t="shared" si="10"/>
        <v>0</v>
      </c>
      <c r="AT76" s="104">
        <f t="shared" si="11"/>
        <v>0</v>
      </c>
      <c r="AU76" s="104">
        <f t="shared" si="60"/>
        <v>0</v>
      </c>
      <c r="AV76" s="104">
        <f t="array" ref="AV76">_xlfn.IFS(U76=0,AO76,U76&lt;0,AO76/-U76,U76&gt;0,AO76/U76)</f>
        <v>-160.48519933158272</v>
      </c>
      <c r="AW76" s="244">
        <f t="shared" si="45"/>
        <v>0</v>
      </c>
      <c r="AX76" s="244">
        <f t="shared" si="46"/>
        <v>-1.3038037154243458</v>
      </c>
      <c r="AY76" s="105"/>
      <c r="AZ76" s="100">
        <f t="shared" si="14"/>
        <v>-8024.2599665791358</v>
      </c>
    </row>
    <row r="77" spans="1:52" outlineLevel="1">
      <c r="A77" s="95" t="s">
        <v>124</v>
      </c>
      <c r="B77" s="96">
        <v>507103278</v>
      </c>
      <c r="C77" s="96" t="s">
        <v>199</v>
      </c>
      <c r="D77" s="97" t="s">
        <v>84</v>
      </c>
      <c r="E77" s="242">
        <f t="shared" si="47"/>
        <v>39</v>
      </c>
      <c r="F77" s="99"/>
      <c r="G77" s="99"/>
      <c r="H77" s="282">
        <v>39</v>
      </c>
      <c r="I77" s="99"/>
      <c r="J77" s="99"/>
      <c r="K77" s="99">
        <v>123.09</v>
      </c>
      <c r="L77" s="98">
        <f t="shared" si="44"/>
        <v>4800.51</v>
      </c>
      <c r="M77" s="95"/>
      <c r="N77" s="95">
        <v>0</v>
      </c>
      <c r="O77" s="95">
        <v>0</v>
      </c>
      <c r="P77" s="95">
        <v>0</v>
      </c>
      <c r="Q77" s="243">
        <f t="shared" si="48"/>
        <v>0</v>
      </c>
      <c r="R77" s="98">
        <f t="shared" si="49"/>
        <v>0</v>
      </c>
      <c r="S77" s="99">
        <v>0</v>
      </c>
      <c r="T77" s="99">
        <v>0</v>
      </c>
      <c r="U77" s="98">
        <f t="shared" si="50"/>
        <v>0</v>
      </c>
      <c r="V77" s="99">
        <v>0</v>
      </c>
      <c r="W77" s="99">
        <v>0</v>
      </c>
      <c r="X77" s="98">
        <f t="shared" si="51"/>
        <v>0</v>
      </c>
      <c r="Y77" s="99">
        <v>0</v>
      </c>
      <c r="Z77" s="99">
        <v>0</v>
      </c>
      <c r="AA77" s="98">
        <f t="shared" si="52"/>
        <v>0</v>
      </c>
      <c r="AB77" s="98">
        <f t="shared" si="53"/>
        <v>0</v>
      </c>
      <c r="AC77" s="244">
        <f t="shared" si="54"/>
        <v>0</v>
      </c>
      <c r="AD77" s="98">
        <f t="shared" si="55"/>
        <v>0</v>
      </c>
      <c r="AE77" s="99">
        <v>0</v>
      </c>
      <c r="AF77" s="244">
        <f t="shared" si="56"/>
        <v>0</v>
      </c>
      <c r="AG77" s="99">
        <v>0</v>
      </c>
      <c r="AH77" s="99"/>
      <c r="AI77" s="99"/>
      <c r="AJ77" s="99"/>
      <c r="AK77" s="99"/>
      <c r="AL77" s="128">
        <f t="shared" si="57"/>
        <v>125.17845547863452</v>
      </c>
      <c r="AM77" s="99">
        <v>0</v>
      </c>
      <c r="AN77" s="100">
        <f t="shared" si="58"/>
        <v>0</v>
      </c>
      <c r="AO77" s="101">
        <f t="shared" si="59"/>
        <v>-125.17845547863452</v>
      </c>
      <c r="AP77" s="102"/>
      <c r="AQ77" s="103">
        <f t="shared" si="8"/>
        <v>0</v>
      </c>
      <c r="AR77" s="104">
        <f t="shared" si="37"/>
        <v>123.09</v>
      </c>
      <c r="AS77" s="104">
        <f t="shared" si="10"/>
        <v>0</v>
      </c>
      <c r="AT77" s="104">
        <f t="shared" si="11"/>
        <v>0</v>
      </c>
      <c r="AU77" s="104">
        <f t="shared" si="60"/>
        <v>0</v>
      </c>
      <c r="AV77" s="104">
        <f t="array" ref="AV77">_xlfn.IFS(U77=0,AO77,U77&lt;0,AO77/-U77,U77&gt;0,AO77/U77)</f>
        <v>-125.17845547863452</v>
      </c>
      <c r="AW77" s="244">
        <f t="shared" si="45"/>
        <v>0</v>
      </c>
      <c r="AX77" s="244">
        <f t="shared" si="46"/>
        <v>-1.0169668980309896</v>
      </c>
      <c r="AY77" s="105"/>
      <c r="AZ77" s="100">
        <f t="shared" si="14"/>
        <v>-4881.9597636667459</v>
      </c>
    </row>
    <row r="78" spans="1:52" outlineLevel="1">
      <c r="A78" s="95" t="s">
        <v>124</v>
      </c>
      <c r="B78" s="96">
        <v>507103836</v>
      </c>
      <c r="C78" s="96" t="s">
        <v>200</v>
      </c>
      <c r="D78" s="97" t="s">
        <v>84</v>
      </c>
      <c r="E78" s="242">
        <f t="shared" si="47"/>
        <v>30</v>
      </c>
      <c r="F78" s="99"/>
      <c r="G78" s="99"/>
      <c r="H78" s="282">
        <v>30</v>
      </c>
      <c r="I78" s="99"/>
      <c r="J78" s="99"/>
      <c r="K78" s="99">
        <v>123.09</v>
      </c>
      <c r="L78" s="98">
        <f t="shared" si="44"/>
        <v>3692.7000000000003</v>
      </c>
      <c r="M78" s="95"/>
      <c r="N78" s="95">
        <v>5</v>
      </c>
      <c r="O78" s="95">
        <v>1150</v>
      </c>
      <c r="P78" s="95">
        <v>40</v>
      </c>
      <c r="Q78" s="243">
        <f t="shared" si="48"/>
        <v>0.15625</v>
      </c>
      <c r="R78" s="98">
        <f t="shared" si="49"/>
        <v>3.125E-2</v>
      </c>
      <c r="S78" s="99">
        <v>1</v>
      </c>
      <c r="T78" s="99">
        <v>0</v>
      </c>
      <c r="U78" s="98">
        <f t="shared" si="50"/>
        <v>1</v>
      </c>
      <c r="V78" s="99">
        <v>867</v>
      </c>
      <c r="W78" s="99">
        <v>0</v>
      </c>
      <c r="X78" s="98">
        <f t="shared" si="51"/>
        <v>867</v>
      </c>
      <c r="Y78" s="99">
        <v>1150</v>
      </c>
      <c r="Z78" s="99">
        <v>0</v>
      </c>
      <c r="AA78" s="98">
        <f t="shared" si="52"/>
        <v>1150</v>
      </c>
      <c r="AB78" s="98">
        <f t="shared" si="53"/>
        <v>2300</v>
      </c>
      <c r="AC78" s="244">
        <f t="shared" si="54"/>
        <v>5.1223232620529536E-4</v>
      </c>
      <c r="AD78" s="98">
        <f t="shared" si="55"/>
        <v>123.09</v>
      </c>
      <c r="AE78" s="99">
        <v>424.02</v>
      </c>
      <c r="AF78" s="244">
        <f t="shared" si="56"/>
        <v>0.36871304347826084</v>
      </c>
      <c r="AG78" s="99">
        <v>154.86000000000001</v>
      </c>
      <c r="AH78" s="99"/>
      <c r="AI78" s="99"/>
      <c r="AJ78" s="99"/>
      <c r="AK78" s="99"/>
      <c r="AL78" s="128">
        <f t="shared" si="57"/>
        <v>96.291119598949635</v>
      </c>
      <c r="AM78" s="99">
        <v>0</v>
      </c>
      <c r="AN78" s="100">
        <f t="shared" si="58"/>
        <v>49.505699999999997</v>
      </c>
      <c r="AO78" s="101">
        <f t="shared" si="59"/>
        <v>302.23318040105045</v>
      </c>
      <c r="AP78" s="102"/>
      <c r="AQ78" s="103">
        <f t="shared" si="8"/>
        <v>1150</v>
      </c>
      <c r="AR78" s="104">
        <f t="shared" si="37"/>
        <v>123.09</v>
      </c>
      <c r="AS78" s="104">
        <f t="shared" si="10"/>
        <v>424.02</v>
      </c>
      <c r="AT78" s="104">
        <f t="shared" si="11"/>
        <v>154.86000000000001</v>
      </c>
      <c r="AU78" s="104">
        <f t="shared" si="60"/>
        <v>0</v>
      </c>
      <c r="AV78" s="104">
        <f t="array" ref="AV78">_xlfn.IFS(U78=0,AO78,U78&lt;0,AO78/-U78,U78&gt;0,AO78/U78)</f>
        <v>302.23318040105045</v>
      </c>
      <c r="AW78" s="244">
        <f t="shared" si="45"/>
        <v>0.26281146121830473</v>
      </c>
      <c r="AX78" s="244">
        <f t="shared" si="46"/>
        <v>2.455383706239747</v>
      </c>
      <c r="AY78" s="105"/>
      <c r="AZ78" s="100">
        <f t="shared" si="14"/>
        <v>9066.9954120315142</v>
      </c>
    </row>
    <row r="79" spans="1:52" outlineLevel="1">
      <c r="A79" s="95" t="s">
        <v>124</v>
      </c>
      <c r="B79" s="96">
        <v>507100961</v>
      </c>
      <c r="C79" s="96" t="s">
        <v>201</v>
      </c>
      <c r="D79" s="97" t="s">
        <v>84</v>
      </c>
      <c r="E79" s="242">
        <f t="shared" si="47"/>
        <v>49</v>
      </c>
      <c r="F79" s="99"/>
      <c r="G79" s="99"/>
      <c r="H79" s="282">
        <v>49</v>
      </c>
      <c r="I79" s="99"/>
      <c r="J79" s="99"/>
      <c r="K79" s="99">
        <v>164.04</v>
      </c>
      <c r="L79" s="98">
        <f t="shared" si="44"/>
        <v>8037.96</v>
      </c>
      <c r="M79" s="95"/>
      <c r="N79" s="95">
        <v>3</v>
      </c>
      <c r="O79" s="95">
        <v>1500</v>
      </c>
      <c r="P79" s="95">
        <v>0</v>
      </c>
      <c r="Q79" s="243">
        <f t="shared" si="48"/>
        <v>9.375E-2</v>
      </c>
      <c r="R79" s="98">
        <f t="shared" si="49"/>
        <v>0</v>
      </c>
      <c r="S79" s="99">
        <v>0</v>
      </c>
      <c r="T79" s="99">
        <v>0</v>
      </c>
      <c r="U79" s="98">
        <f t="shared" si="50"/>
        <v>0</v>
      </c>
      <c r="V79" s="99">
        <v>0</v>
      </c>
      <c r="W79" s="99">
        <v>0</v>
      </c>
      <c r="X79" s="98">
        <f t="shared" si="51"/>
        <v>0</v>
      </c>
      <c r="Y79" s="99">
        <v>0</v>
      </c>
      <c r="Z79" s="99">
        <v>0</v>
      </c>
      <c r="AA79" s="98">
        <f t="shared" si="52"/>
        <v>0</v>
      </c>
      <c r="AB79" s="98">
        <f t="shared" si="53"/>
        <v>0</v>
      </c>
      <c r="AC79" s="244">
        <f t="shared" si="54"/>
        <v>0</v>
      </c>
      <c r="AD79" s="98">
        <f t="shared" si="55"/>
        <v>0</v>
      </c>
      <c r="AE79" s="99">
        <v>0</v>
      </c>
      <c r="AF79" s="244">
        <f t="shared" si="56"/>
        <v>0</v>
      </c>
      <c r="AG79" s="99">
        <v>85.14</v>
      </c>
      <c r="AH79" s="99"/>
      <c r="AI79" s="99"/>
      <c r="AJ79" s="99"/>
      <c r="AK79" s="99"/>
      <c r="AL79" s="128">
        <f t="shared" si="57"/>
        <v>157.27549534495105</v>
      </c>
      <c r="AM79" s="99">
        <v>0</v>
      </c>
      <c r="AN79" s="100">
        <f t="shared" si="58"/>
        <v>0</v>
      </c>
      <c r="AO79" s="101">
        <f t="shared" si="59"/>
        <v>-242.41549534495107</v>
      </c>
      <c r="AP79" s="102"/>
      <c r="AQ79" s="103">
        <f t="shared" si="8"/>
        <v>0</v>
      </c>
      <c r="AR79" s="104">
        <f t="shared" si="37"/>
        <v>164.04</v>
      </c>
      <c r="AS79" s="104">
        <f t="shared" si="10"/>
        <v>0</v>
      </c>
      <c r="AT79" s="104">
        <f t="shared" si="11"/>
        <v>85.14</v>
      </c>
      <c r="AU79" s="104">
        <f t="shared" si="60"/>
        <v>0</v>
      </c>
      <c r="AV79" s="104">
        <f t="array" ref="AV79">_xlfn.IFS(U79=0,AO79,U79&lt;0,AO79/-U79,U79&gt;0,AO79/U79)</f>
        <v>-242.41549534495107</v>
      </c>
      <c r="AW79" s="244">
        <f t="shared" si="45"/>
        <v>0</v>
      </c>
      <c r="AX79" s="244">
        <f t="shared" si="46"/>
        <v>-1.4777828294620281</v>
      </c>
      <c r="AY79" s="105"/>
      <c r="AZ79" s="100">
        <f t="shared" si="14"/>
        <v>-11878.359271902602</v>
      </c>
    </row>
    <row r="80" spans="1:52" outlineLevel="1">
      <c r="A80" s="95" t="s">
        <v>124</v>
      </c>
      <c r="B80" s="96">
        <v>507101212</v>
      </c>
      <c r="C80" s="96" t="s">
        <v>202</v>
      </c>
      <c r="D80" s="97" t="s">
        <v>84</v>
      </c>
      <c r="E80" s="242">
        <f t="shared" si="47"/>
        <v>49</v>
      </c>
      <c r="F80" s="99"/>
      <c r="G80" s="99"/>
      <c r="H80" s="282">
        <v>49</v>
      </c>
      <c r="I80" s="99"/>
      <c r="J80" s="99"/>
      <c r="K80" s="99">
        <v>164.04</v>
      </c>
      <c r="L80" s="98">
        <f t="shared" si="44"/>
        <v>8037.96</v>
      </c>
      <c r="M80" s="95"/>
      <c r="N80" s="95">
        <v>0</v>
      </c>
      <c r="O80" s="95">
        <v>0</v>
      </c>
      <c r="P80" s="95">
        <v>0</v>
      </c>
      <c r="Q80" s="243">
        <f t="shared" si="48"/>
        <v>0</v>
      </c>
      <c r="R80" s="98">
        <f t="shared" si="49"/>
        <v>0</v>
      </c>
      <c r="S80" s="99">
        <v>0</v>
      </c>
      <c r="T80" s="99">
        <v>0</v>
      </c>
      <c r="U80" s="98">
        <f t="shared" si="50"/>
        <v>0</v>
      </c>
      <c r="V80" s="99">
        <v>0</v>
      </c>
      <c r="W80" s="99">
        <v>0</v>
      </c>
      <c r="X80" s="98">
        <f t="shared" si="51"/>
        <v>0</v>
      </c>
      <c r="Y80" s="99">
        <v>0</v>
      </c>
      <c r="Z80" s="99">
        <v>0</v>
      </c>
      <c r="AA80" s="98">
        <f t="shared" si="52"/>
        <v>0</v>
      </c>
      <c r="AB80" s="98">
        <f t="shared" si="53"/>
        <v>0</v>
      </c>
      <c r="AC80" s="244">
        <f t="shared" si="54"/>
        <v>0</v>
      </c>
      <c r="AD80" s="98">
        <f t="shared" si="55"/>
        <v>0</v>
      </c>
      <c r="AE80" s="99">
        <v>0</v>
      </c>
      <c r="AF80" s="244">
        <f t="shared" si="56"/>
        <v>0</v>
      </c>
      <c r="AG80" s="99">
        <v>0</v>
      </c>
      <c r="AH80" s="99"/>
      <c r="AI80" s="99"/>
      <c r="AJ80" s="99"/>
      <c r="AK80" s="99"/>
      <c r="AL80" s="128">
        <f t="shared" si="57"/>
        <v>157.27549534495105</v>
      </c>
      <c r="AM80" s="99">
        <v>0</v>
      </c>
      <c r="AN80" s="100">
        <f t="shared" si="58"/>
        <v>0</v>
      </c>
      <c r="AO80" s="101">
        <f t="shared" si="59"/>
        <v>-157.27549534495105</v>
      </c>
      <c r="AP80" s="102"/>
      <c r="AQ80" s="103">
        <f t="shared" si="8"/>
        <v>0</v>
      </c>
      <c r="AR80" s="104">
        <f t="shared" si="37"/>
        <v>164.04</v>
      </c>
      <c r="AS80" s="104">
        <f t="shared" si="10"/>
        <v>0</v>
      </c>
      <c r="AT80" s="104">
        <f t="shared" si="11"/>
        <v>0</v>
      </c>
      <c r="AU80" s="104">
        <f t="shared" si="60"/>
        <v>0</v>
      </c>
      <c r="AV80" s="104">
        <f t="array" ref="AV80">_xlfn.IFS(U80=0,AO80,U80&lt;0,AO80/-U80,U80&gt;0,AO80/U80)</f>
        <v>-157.27549534495105</v>
      </c>
      <c r="AW80" s="244">
        <f t="shared" si="45"/>
        <v>0</v>
      </c>
      <c r="AX80" s="244">
        <f t="shared" si="46"/>
        <v>-0.95876307818185236</v>
      </c>
      <c r="AY80" s="105"/>
      <c r="AZ80" s="100">
        <f t="shared" si="14"/>
        <v>-7706.4992719026013</v>
      </c>
    </row>
    <row r="81" spans="1:52" outlineLevel="1">
      <c r="A81" s="95" t="s">
        <v>124</v>
      </c>
      <c r="B81" s="96">
        <v>507102032</v>
      </c>
      <c r="C81" s="96" t="s">
        <v>203</v>
      </c>
      <c r="D81" s="97" t="s">
        <v>84</v>
      </c>
      <c r="E81" s="242">
        <f t="shared" si="47"/>
        <v>49</v>
      </c>
      <c r="F81" s="99"/>
      <c r="G81" s="99"/>
      <c r="H81" s="282">
        <v>49</v>
      </c>
      <c r="I81" s="99"/>
      <c r="J81" s="99"/>
      <c r="K81" s="99">
        <v>128.94</v>
      </c>
      <c r="L81" s="98">
        <f t="shared" si="44"/>
        <v>6318.0599999999995</v>
      </c>
      <c r="M81" s="95"/>
      <c r="N81" s="95">
        <v>2</v>
      </c>
      <c r="O81" s="95">
        <v>1345</v>
      </c>
      <c r="P81" s="95">
        <v>0</v>
      </c>
      <c r="Q81" s="243">
        <f t="shared" si="48"/>
        <v>6.25E-2</v>
      </c>
      <c r="R81" s="98">
        <f t="shared" si="49"/>
        <v>0</v>
      </c>
      <c r="S81" s="99">
        <v>0</v>
      </c>
      <c r="T81" s="99">
        <v>0</v>
      </c>
      <c r="U81" s="98">
        <f t="shared" si="50"/>
        <v>0</v>
      </c>
      <c r="V81" s="99">
        <v>0</v>
      </c>
      <c r="W81" s="99">
        <v>0</v>
      </c>
      <c r="X81" s="98">
        <f t="shared" si="51"/>
        <v>0</v>
      </c>
      <c r="Y81" s="99">
        <v>0</v>
      </c>
      <c r="Z81" s="99">
        <v>0</v>
      </c>
      <c r="AA81" s="98">
        <f t="shared" si="52"/>
        <v>0</v>
      </c>
      <c r="AB81" s="98">
        <f t="shared" si="53"/>
        <v>0</v>
      </c>
      <c r="AC81" s="244">
        <f t="shared" si="54"/>
        <v>0</v>
      </c>
      <c r="AD81" s="98">
        <f t="shared" si="55"/>
        <v>0</v>
      </c>
      <c r="AE81" s="99">
        <v>0</v>
      </c>
      <c r="AF81" s="244">
        <f t="shared" si="56"/>
        <v>0</v>
      </c>
      <c r="AG81" s="99">
        <v>108</v>
      </c>
      <c r="AH81" s="99"/>
      <c r="AI81" s="99"/>
      <c r="AJ81" s="99"/>
      <c r="AK81" s="99"/>
      <c r="AL81" s="128">
        <f t="shared" si="57"/>
        <v>157.27549534495105</v>
      </c>
      <c r="AM81" s="99">
        <v>0</v>
      </c>
      <c r="AN81" s="100">
        <f t="shared" si="58"/>
        <v>0</v>
      </c>
      <c r="AO81" s="101">
        <f t="shared" si="59"/>
        <v>-265.27549534495108</v>
      </c>
      <c r="AP81" s="102"/>
      <c r="AQ81" s="103">
        <f t="shared" si="8"/>
        <v>0</v>
      </c>
      <c r="AR81" s="104">
        <f t="shared" si="37"/>
        <v>128.94</v>
      </c>
      <c r="AS81" s="104">
        <f t="shared" si="10"/>
        <v>0</v>
      </c>
      <c r="AT81" s="104">
        <f t="shared" si="11"/>
        <v>108</v>
      </c>
      <c r="AU81" s="104">
        <f t="shared" si="60"/>
        <v>0</v>
      </c>
      <c r="AV81" s="104">
        <f t="array" ref="AV81">_xlfn.IFS(U81=0,AO81,U81&lt;0,AO81/-U81,U81&gt;0,AO81/U81)</f>
        <v>-265.27549534495108</v>
      </c>
      <c r="AW81" s="244">
        <f t="shared" si="45"/>
        <v>0</v>
      </c>
      <c r="AX81" s="244">
        <f t="shared" si="46"/>
        <v>-2.0573560985338224</v>
      </c>
      <c r="AY81" s="105"/>
      <c r="AZ81" s="100">
        <f t="shared" si="14"/>
        <v>-12998.499271902603</v>
      </c>
    </row>
    <row r="82" spans="1:52" outlineLevel="1">
      <c r="A82" s="95" t="s">
        <v>124</v>
      </c>
      <c r="B82" s="96">
        <v>507102327</v>
      </c>
      <c r="C82" s="96" t="s">
        <v>204</v>
      </c>
      <c r="D82" s="97" t="s">
        <v>84</v>
      </c>
      <c r="E82" s="242">
        <f t="shared" si="47"/>
        <v>49</v>
      </c>
      <c r="F82" s="99"/>
      <c r="G82" s="99"/>
      <c r="H82" s="282">
        <v>49</v>
      </c>
      <c r="I82" s="99"/>
      <c r="J82" s="99"/>
      <c r="K82" s="99">
        <v>128.94</v>
      </c>
      <c r="L82" s="98">
        <f t="shared" si="44"/>
        <v>6318.0599999999995</v>
      </c>
      <c r="M82" s="95"/>
      <c r="N82" s="95">
        <v>0</v>
      </c>
      <c r="O82" s="95">
        <v>0</v>
      </c>
      <c r="P82" s="95">
        <v>0</v>
      </c>
      <c r="Q82" s="243">
        <f t="shared" si="48"/>
        <v>0</v>
      </c>
      <c r="R82" s="98">
        <f t="shared" si="49"/>
        <v>0</v>
      </c>
      <c r="S82" s="99">
        <v>0</v>
      </c>
      <c r="T82" s="99">
        <v>0</v>
      </c>
      <c r="U82" s="98">
        <f t="shared" si="50"/>
        <v>0</v>
      </c>
      <c r="V82" s="99">
        <v>0</v>
      </c>
      <c r="W82" s="99">
        <v>0</v>
      </c>
      <c r="X82" s="98">
        <f t="shared" si="51"/>
        <v>0</v>
      </c>
      <c r="Y82" s="99">
        <v>0</v>
      </c>
      <c r="Z82" s="99">
        <v>0</v>
      </c>
      <c r="AA82" s="98">
        <f t="shared" si="52"/>
        <v>0</v>
      </c>
      <c r="AB82" s="98">
        <f t="shared" si="53"/>
        <v>0</v>
      </c>
      <c r="AC82" s="244">
        <f t="shared" si="54"/>
        <v>0</v>
      </c>
      <c r="AD82" s="98">
        <f t="shared" si="55"/>
        <v>0</v>
      </c>
      <c r="AE82" s="99">
        <v>0</v>
      </c>
      <c r="AF82" s="244">
        <f t="shared" si="56"/>
        <v>0</v>
      </c>
      <c r="AG82" s="99">
        <v>0</v>
      </c>
      <c r="AH82" s="99"/>
      <c r="AI82" s="99"/>
      <c r="AJ82" s="99"/>
      <c r="AK82" s="99"/>
      <c r="AL82" s="128">
        <f t="shared" si="57"/>
        <v>157.27549534495105</v>
      </c>
      <c r="AM82" s="99">
        <v>0</v>
      </c>
      <c r="AN82" s="100">
        <f t="shared" si="58"/>
        <v>0</v>
      </c>
      <c r="AO82" s="101">
        <f t="shared" si="59"/>
        <v>-157.27549534495105</v>
      </c>
      <c r="AP82" s="102"/>
      <c r="AQ82" s="103">
        <f t="shared" si="8"/>
        <v>0</v>
      </c>
      <c r="AR82" s="104">
        <f t="shared" si="37"/>
        <v>128.94</v>
      </c>
      <c r="AS82" s="104">
        <f t="shared" si="10"/>
        <v>0</v>
      </c>
      <c r="AT82" s="104">
        <f t="shared" si="11"/>
        <v>0</v>
      </c>
      <c r="AU82" s="104">
        <f t="shared" si="60"/>
        <v>0</v>
      </c>
      <c r="AV82" s="104">
        <f t="array" ref="AV82">_xlfn.IFS(U82=0,AO82,U82&lt;0,AO82/-U82,U82&gt;0,AO82/U82)</f>
        <v>-157.27549534495105</v>
      </c>
      <c r="AW82" s="244">
        <f t="shared" si="45"/>
        <v>0</v>
      </c>
      <c r="AX82" s="244">
        <f t="shared" si="46"/>
        <v>-1.2197572153323333</v>
      </c>
      <c r="AY82" s="105"/>
      <c r="AZ82" s="100">
        <f t="shared" si="14"/>
        <v>-7706.4992719026013</v>
      </c>
    </row>
    <row r="83" spans="1:52" outlineLevel="1">
      <c r="A83" s="95" t="s">
        <v>124</v>
      </c>
      <c r="B83" s="96">
        <v>507098553</v>
      </c>
      <c r="C83" s="96" t="s">
        <v>205</v>
      </c>
      <c r="D83" s="97" t="s">
        <v>84</v>
      </c>
      <c r="E83" s="242">
        <f t="shared" si="47"/>
        <v>48</v>
      </c>
      <c r="F83" s="99"/>
      <c r="G83" s="99"/>
      <c r="H83" s="282">
        <v>48</v>
      </c>
      <c r="I83" s="99"/>
      <c r="J83" s="99"/>
      <c r="K83" s="99">
        <v>123.09</v>
      </c>
      <c r="L83" s="98">
        <f t="shared" si="44"/>
        <v>5908.32</v>
      </c>
      <c r="M83" s="95"/>
      <c r="N83" s="95">
        <v>1</v>
      </c>
      <c r="O83" s="95">
        <v>1375</v>
      </c>
      <c r="P83" s="95">
        <v>0</v>
      </c>
      <c r="Q83" s="243">
        <f t="shared" si="48"/>
        <v>3.125E-2</v>
      </c>
      <c r="R83" s="98">
        <f t="shared" si="49"/>
        <v>0</v>
      </c>
      <c r="S83" s="99">
        <v>0</v>
      </c>
      <c r="T83" s="99">
        <v>0</v>
      </c>
      <c r="U83" s="98">
        <f t="shared" si="50"/>
        <v>0</v>
      </c>
      <c r="V83" s="99">
        <v>0</v>
      </c>
      <c r="W83" s="99">
        <v>0</v>
      </c>
      <c r="X83" s="98">
        <f t="shared" si="51"/>
        <v>0</v>
      </c>
      <c r="Y83" s="99">
        <v>0</v>
      </c>
      <c r="Z83" s="99">
        <v>0</v>
      </c>
      <c r="AA83" s="98">
        <f t="shared" si="52"/>
        <v>0</v>
      </c>
      <c r="AB83" s="98">
        <f t="shared" si="53"/>
        <v>0</v>
      </c>
      <c r="AC83" s="244">
        <f t="shared" si="54"/>
        <v>0</v>
      </c>
      <c r="AD83" s="98">
        <f t="shared" si="55"/>
        <v>0</v>
      </c>
      <c r="AE83" s="99">
        <v>0</v>
      </c>
      <c r="AF83" s="244">
        <f t="shared" si="56"/>
        <v>0</v>
      </c>
      <c r="AG83" s="99">
        <v>85.14</v>
      </c>
      <c r="AH83" s="99"/>
      <c r="AI83" s="99"/>
      <c r="AJ83" s="99"/>
      <c r="AK83" s="99"/>
      <c r="AL83" s="128">
        <f t="shared" si="57"/>
        <v>154.06579135831939</v>
      </c>
      <c r="AM83" s="99">
        <v>0</v>
      </c>
      <c r="AN83" s="100">
        <f t="shared" si="58"/>
        <v>0</v>
      </c>
      <c r="AO83" s="101">
        <f t="shared" si="59"/>
        <v>-239.2057913583194</v>
      </c>
      <c r="AP83" s="102"/>
      <c r="AQ83" s="103">
        <f t="shared" si="8"/>
        <v>0</v>
      </c>
      <c r="AR83" s="104">
        <f t="shared" si="37"/>
        <v>123.09</v>
      </c>
      <c r="AS83" s="104">
        <f t="shared" si="10"/>
        <v>0</v>
      </c>
      <c r="AT83" s="104">
        <f t="shared" si="11"/>
        <v>85.14</v>
      </c>
      <c r="AU83" s="104">
        <f t="shared" si="60"/>
        <v>0</v>
      </c>
      <c r="AV83" s="104">
        <f t="array" ref="AV83">_xlfn.IFS(U83=0,AO83,U83&lt;0,AO83/-U83,U83&gt;0,AO83/U83)</f>
        <v>-239.2057913583194</v>
      </c>
      <c r="AW83" s="244">
        <f t="shared" si="45"/>
        <v>0</v>
      </c>
      <c r="AX83" s="244">
        <f t="shared" si="46"/>
        <v>-1.9433405748502672</v>
      </c>
      <c r="AY83" s="105"/>
      <c r="AZ83" s="100">
        <f t="shared" si="14"/>
        <v>-11481.877985199331</v>
      </c>
    </row>
    <row r="84" spans="1:52" outlineLevel="1">
      <c r="A84" s="95" t="s">
        <v>124</v>
      </c>
      <c r="B84" s="96">
        <v>507097715</v>
      </c>
      <c r="C84" s="96" t="s">
        <v>206</v>
      </c>
      <c r="D84" s="97" t="s">
        <v>84</v>
      </c>
      <c r="E84" s="242">
        <f t="shared" si="47"/>
        <v>46</v>
      </c>
      <c r="F84" s="99"/>
      <c r="G84" s="99"/>
      <c r="H84" s="282">
        <v>46</v>
      </c>
      <c r="I84" s="99"/>
      <c r="J84" s="99"/>
      <c r="K84" s="99">
        <v>146.49</v>
      </c>
      <c r="L84" s="98">
        <f t="shared" si="44"/>
        <v>6738.5400000000009</v>
      </c>
      <c r="M84" s="95"/>
      <c r="N84" s="95">
        <v>3</v>
      </c>
      <c r="O84" s="95">
        <v>1459</v>
      </c>
      <c r="P84" s="95">
        <v>0</v>
      </c>
      <c r="Q84" s="243">
        <f t="shared" si="48"/>
        <v>9.375E-2</v>
      </c>
      <c r="R84" s="98">
        <f t="shared" si="49"/>
        <v>0</v>
      </c>
      <c r="S84" s="99">
        <v>0</v>
      </c>
      <c r="T84" s="99">
        <v>0</v>
      </c>
      <c r="U84" s="98">
        <f t="shared" si="50"/>
        <v>0</v>
      </c>
      <c r="V84" s="99">
        <v>0</v>
      </c>
      <c r="W84" s="99">
        <v>0</v>
      </c>
      <c r="X84" s="98">
        <f t="shared" si="51"/>
        <v>0</v>
      </c>
      <c r="Y84" s="99">
        <v>0</v>
      </c>
      <c r="Z84" s="99">
        <v>0</v>
      </c>
      <c r="AA84" s="98">
        <f t="shared" si="52"/>
        <v>0</v>
      </c>
      <c r="AB84" s="98">
        <f t="shared" si="53"/>
        <v>0</v>
      </c>
      <c r="AC84" s="244">
        <f t="shared" si="54"/>
        <v>0</v>
      </c>
      <c r="AD84" s="98">
        <f t="shared" si="55"/>
        <v>0</v>
      </c>
      <c r="AE84" s="99">
        <v>0</v>
      </c>
      <c r="AF84" s="244">
        <f t="shared" si="56"/>
        <v>0</v>
      </c>
      <c r="AG84" s="99">
        <v>310.65999999999997</v>
      </c>
      <c r="AH84" s="99"/>
      <c r="AI84" s="99"/>
      <c r="AJ84" s="99"/>
      <c r="AK84" s="99"/>
      <c r="AL84" s="128">
        <f t="shared" si="57"/>
        <v>147.64638338505608</v>
      </c>
      <c r="AM84" s="99">
        <v>0</v>
      </c>
      <c r="AN84" s="100">
        <f t="shared" si="58"/>
        <v>0</v>
      </c>
      <c r="AO84" s="101">
        <f t="shared" si="59"/>
        <v>-458.30638338505605</v>
      </c>
      <c r="AP84" s="102"/>
      <c r="AQ84" s="103">
        <f t="shared" si="8"/>
        <v>0</v>
      </c>
      <c r="AR84" s="104">
        <f t="shared" si="37"/>
        <v>146.49</v>
      </c>
      <c r="AS84" s="104">
        <f t="shared" si="10"/>
        <v>0</v>
      </c>
      <c r="AT84" s="104">
        <f t="shared" si="11"/>
        <v>310.65999999999997</v>
      </c>
      <c r="AU84" s="104">
        <f t="shared" si="60"/>
        <v>0</v>
      </c>
      <c r="AV84" s="104">
        <f t="array" ref="AV84">_xlfn.IFS(U84=0,AO84,U84&lt;0,AO84/-U84,U84&gt;0,AO84/U84)</f>
        <v>-458.30638338505605</v>
      </c>
      <c r="AW84" s="244">
        <f t="shared" si="45"/>
        <v>0</v>
      </c>
      <c r="AX84" s="244">
        <f t="shared" si="46"/>
        <v>-3.1285847729200356</v>
      </c>
      <c r="AY84" s="105"/>
      <c r="AZ84" s="100">
        <f t="shared" si="14"/>
        <v>-21082.093635712579</v>
      </c>
    </row>
    <row r="85" spans="1:52" outlineLevel="1">
      <c r="A85" s="95" t="s">
        <v>124</v>
      </c>
      <c r="B85" s="96">
        <v>507115441</v>
      </c>
      <c r="C85" s="96" t="s">
        <v>207</v>
      </c>
      <c r="D85" s="97" t="s">
        <v>84</v>
      </c>
      <c r="E85" s="242">
        <f t="shared" si="47"/>
        <v>42</v>
      </c>
      <c r="F85" s="99"/>
      <c r="G85" s="99"/>
      <c r="H85" s="282">
        <v>42</v>
      </c>
      <c r="I85" s="99"/>
      <c r="J85" s="99"/>
      <c r="K85" s="99">
        <v>103.2</v>
      </c>
      <c r="L85" s="98">
        <f t="shared" si="44"/>
        <v>4334.4000000000005</v>
      </c>
      <c r="M85" s="95"/>
      <c r="N85" s="95">
        <v>35</v>
      </c>
      <c r="O85" s="95">
        <v>1018</v>
      </c>
      <c r="P85" s="95">
        <v>12</v>
      </c>
      <c r="Q85" s="243">
        <f t="shared" si="48"/>
        <v>1.09375</v>
      </c>
      <c r="R85" s="98">
        <f t="shared" si="49"/>
        <v>0.1875</v>
      </c>
      <c r="S85" s="99">
        <v>6</v>
      </c>
      <c r="T85" s="99">
        <v>0</v>
      </c>
      <c r="U85" s="98">
        <f t="shared" si="50"/>
        <v>6</v>
      </c>
      <c r="V85" s="99">
        <v>4330</v>
      </c>
      <c r="W85" s="99">
        <v>0</v>
      </c>
      <c r="X85" s="98">
        <f t="shared" si="51"/>
        <v>4330</v>
      </c>
      <c r="Y85" s="99">
        <v>6017.76</v>
      </c>
      <c r="Z85" s="99">
        <v>0</v>
      </c>
      <c r="AA85" s="98">
        <f t="shared" si="52"/>
        <v>6017.76</v>
      </c>
      <c r="AB85" s="98">
        <f t="shared" si="53"/>
        <v>4275.6000000000004</v>
      </c>
      <c r="AC85" s="244">
        <f t="shared" si="54"/>
        <v>2.6804271333436334E-3</v>
      </c>
      <c r="AD85" s="98">
        <f t="shared" si="55"/>
        <v>619.20000000000005</v>
      </c>
      <c r="AE85" s="99">
        <v>2271.9499999999998</v>
      </c>
      <c r="AF85" s="244">
        <f t="shared" si="56"/>
        <v>0.37754081252824967</v>
      </c>
      <c r="AG85" s="99">
        <v>2549.4800000000005</v>
      </c>
      <c r="AH85" s="99">
        <v>2308</v>
      </c>
      <c r="AI85" s="99">
        <v>5861</v>
      </c>
      <c r="AJ85" s="99"/>
      <c r="AK85" s="99"/>
      <c r="AL85" s="128">
        <f t="shared" si="57"/>
        <v>134.80756743852947</v>
      </c>
      <c r="AM85" s="99">
        <v>0</v>
      </c>
      <c r="AN85" s="100">
        <f t="shared" si="58"/>
        <v>247.24299999999999</v>
      </c>
      <c r="AO85" s="101">
        <f t="shared" si="59"/>
        <v>-7973.9205674385294</v>
      </c>
      <c r="AP85" s="102"/>
      <c r="AQ85" s="103">
        <f t="shared" si="8"/>
        <v>1002.96</v>
      </c>
      <c r="AR85" s="104">
        <f t="shared" si="37"/>
        <v>103.2</v>
      </c>
      <c r="AS85" s="104">
        <f t="shared" si="10"/>
        <v>378.6583333333333</v>
      </c>
      <c r="AT85" s="104">
        <f t="shared" si="11"/>
        <v>424.91333333333341</v>
      </c>
      <c r="AU85" s="104">
        <f t="shared" si="60"/>
        <v>1361.5</v>
      </c>
      <c r="AV85" s="104">
        <f t="array" ref="AV85">_xlfn.IFS(U85=0,AO85,U85&lt;0,AO85/-U85,U85&gt;0,AO85/U85)</f>
        <v>-1328.986761239755</v>
      </c>
      <c r="AW85" s="244">
        <f t="shared" si="45"/>
        <v>-1.3250645701122228</v>
      </c>
      <c r="AX85" s="244">
        <f t="shared" si="46"/>
        <v>-12.877778694183672</v>
      </c>
      <c r="AY85" s="105"/>
      <c r="AZ85" s="100">
        <f t="shared" si="14"/>
        <v>-55817.443972069712</v>
      </c>
    </row>
    <row r="86" spans="1:52" outlineLevel="1">
      <c r="A86" s="95" t="s">
        <v>124</v>
      </c>
      <c r="B86" s="96">
        <v>507115668</v>
      </c>
      <c r="C86" s="96" t="s">
        <v>208</v>
      </c>
      <c r="D86" s="97" t="s">
        <v>84</v>
      </c>
      <c r="E86" s="242">
        <f t="shared" si="47"/>
        <v>49</v>
      </c>
      <c r="F86" s="99"/>
      <c r="G86" s="99"/>
      <c r="H86" s="282">
        <v>49</v>
      </c>
      <c r="I86" s="99"/>
      <c r="J86" s="99"/>
      <c r="K86" s="99">
        <v>150</v>
      </c>
      <c r="L86" s="98">
        <f t="shared" si="44"/>
        <v>7350</v>
      </c>
      <c r="M86" s="95"/>
      <c r="N86" s="95">
        <v>2</v>
      </c>
      <c r="O86" s="95">
        <v>1460</v>
      </c>
      <c r="P86" s="95">
        <v>100</v>
      </c>
      <c r="Q86" s="243">
        <f t="shared" si="48"/>
        <v>6.25E-2</v>
      </c>
      <c r="R86" s="98">
        <f t="shared" si="49"/>
        <v>6.25E-2</v>
      </c>
      <c r="S86" s="99">
        <v>2</v>
      </c>
      <c r="T86" s="99">
        <v>0</v>
      </c>
      <c r="U86" s="98">
        <f t="shared" si="50"/>
        <v>2</v>
      </c>
      <c r="V86" s="99">
        <v>2225</v>
      </c>
      <c r="W86" s="99">
        <v>0</v>
      </c>
      <c r="X86" s="98">
        <f t="shared" si="51"/>
        <v>2225</v>
      </c>
      <c r="Y86" s="99">
        <v>2873.19</v>
      </c>
      <c r="Z86" s="99">
        <v>0</v>
      </c>
      <c r="AA86" s="98">
        <f t="shared" si="52"/>
        <v>2873.19</v>
      </c>
      <c r="AB86" s="98">
        <f t="shared" si="53"/>
        <v>2920</v>
      </c>
      <c r="AC86" s="244">
        <f t="shared" si="54"/>
        <v>1.2797746063737327E-3</v>
      </c>
      <c r="AD86" s="98">
        <f t="shared" si="55"/>
        <v>300</v>
      </c>
      <c r="AE86" s="99">
        <v>1049.23</v>
      </c>
      <c r="AF86" s="244">
        <f t="shared" si="56"/>
        <v>0.36517946950949987</v>
      </c>
      <c r="AG86" s="99">
        <v>115.68</v>
      </c>
      <c r="AH86" s="99"/>
      <c r="AI86" s="99"/>
      <c r="AJ86" s="99"/>
      <c r="AK86" s="99"/>
      <c r="AL86" s="128">
        <f t="shared" si="57"/>
        <v>157.27549534495105</v>
      </c>
      <c r="AM86" s="99">
        <v>0</v>
      </c>
      <c r="AN86" s="100">
        <f t="shared" si="58"/>
        <v>127.0475</v>
      </c>
      <c r="AO86" s="101">
        <f t="shared" si="59"/>
        <v>1123.9570046550491</v>
      </c>
      <c r="AP86" s="102"/>
      <c r="AQ86" s="103">
        <f t="shared" si="8"/>
        <v>1436.595</v>
      </c>
      <c r="AR86" s="104">
        <f t="shared" si="37"/>
        <v>150</v>
      </c>
      <c r="AS86" s="104">
        <f t="shared" si="10"/>
        <v>524.61500000000001</v>
      </c>
      <c r="AT86" s="104">
        <f t="shared" si="11"/>
        <v>57.84</v>
      </c>
      <c r="AU86" s="104">
        <f t="shared" si="60"/>
        <v>0</v>
      </c>
      <c r="AV86" s="104">
        <f t="array" ref="AV86">_xlfn.IFS(U86=0,AO86,U86&lt;0,AO86/-U86,U86&gt;0,AO86/U86)</f>
        <v>561.97850232752455</v>
      </c>
      <c r="AW86" s="244">
        <f t="shared" si="45"/>
        <v>0.39118784509727833</v>
      </c>
      <c r="AX86" s="244">
        <f t="shared" si="46"/>
        <v>3.7465233488501637</v>
      </c>
      <c r="AY86" s="105"/>
      <c r="AZ86" s="100">
        <f t="shared" si="14"/>
        <v>27536.946614048702</v>
      </c>
    </row>
    <row r="87" spans="1:52" outlineLevel="1">
      <c r="A87" s="95" t="s">
        <v>124</v>
      </c>
      <c r="B87" s="96">
        <v>507116209</v>
      </c>
      <c r="C87" s="96" t="s">
        <v>209</v>
      </c>
      <c r="D87" s="97" t="s">
        <v>84</v>
      </c>
      <c r="E87" s="242">
        <f t="shared" si="47"/>
        <v>46</v>
      </c>
      <c r="F87" s="99"/>
      <c r="G87" s="99"/>
      <c r="H87" s="282">
        <v>46</v>
      </c>
      <c r="I87" s="99"/>
      <c r="J87" s="99"/>
      <c r="K87" s="99">
        <v>150</v>
      </c>
      <c r="L87" s="98">
        <f t="shared" si="44"/>
        <v>6900</v>
      </c>
      <c r="M87" s="95"/>
      <c r="N87" s="95">
        <v>4</v>
      </c>
      <c r="O87" s="95">
        <v>1505</v>
      </c>
      <c r="P87" s="95">
        <v>50</v>
      </c>
      <c r="Q87" s="243">
        <f t="shared" si="48"/>
        <v>0.125</v>
      </c>
      <c r="R87" s="98">
        <f t="shared" si="49"/>
        <v>6.25E-2</v>
      </c>
      <c r="S87" s="99">
        <v>2</v>
      </c>
      <c r="T87" s="99">
        <v>0</v>
      </c>
      <c r="U87" s="98">
        <f t="shared" si="50"/>
        <v>2</v>
      </c>
      <c r="V87" s="99">
        <v>2591</v>
      </c>
      <c r="W87" s="99">
        <v>0</v>
      </c>
      <c r="X87" s="98">
        <f t="shared" si="51"/>
        <v>2591</v>
      </c>
      <c r="Y87" s="99">
        <v>3054</v>
      </c>
      <c r="Z87" s="99">
        <v>0</v>
      </c>
      <c r="AA87" s="98">
        <f t="shared" si="52"/>
        <v>3054</v>
      </c>
      <c r="AB87" s="98">
        <f t="shared" si="53"/>
        <v>3010</v>
      </c>
      <c r="AC87" s="244">
        <f t="shared" si="54"/>
        <v>1.3603108906356277E-3</v>
      </c>
      <c r="AD87" s="98">
        <f t="shared" si="55"/>
        <v>300</v>
      </c>
      <c r="AE87" s="99">
        <v>1138.8800000000001</v>
      </c>
      <c r="AF87" s="244">
        <f t="shared" si="56"/>
        <v>0.37291421087098892</v>
      </c>
      <c r="AG87" s="99">
        <v>325.14999999999998</v>
      </c>
      <c r="AH87" s="99"/>
      <c r="AI87" s="99"/>
      <c r="AJ87" s="99"/>
      <c r="AK87" s="99"/>
      <c r="AL87" s="128">
        <f t="shared" si="57"/>
        <v>147.64638338505608</v>
      </c>
      <c r="AM87" s="99">
        <v>0</v>
      </c>
      <c r="AN87" s="100">
        <f t="shared" si="58"/>
        <v>147.9461</v>
      </c>
      <c r="AO87" s="101">
        <f t="shared" si="59"/>
        <v>994.3775166149436</v>
      </c>
      <c r="AP87" s="102"/>
      <c r="AQ87" s="103">
        <f t="shared" si="8"/>
        <v>1527</v>
      </c>
      <c r="AR87" s="104">
        <f t="shared" si="37"/>
        <v>150</v>
      </c>
      <c r="AS87" s="104">
        <f t="shared" si="10"/>
        <v>569.44000000000005</v>
      </c>
      <c r="AT87" s="104">
        <f t="shared" si="11"/>
        <v>162.57499999999999</v>
      </c>
      <c r="AU87" s="104">
        <f t="shared" si="60"/>
        <v>0</v>
      </c>
      <c r="AV87" s="104">
        <f t="array" ref="AV87">_xlfn.IFS(U87=0,AO87,U87&lt;0,AO87/-U87,U87&gt;0,AO87/U87)</f>
        <v>497.1887583074718</v>
      </c>
      <c r="AW87" s="244">
        <f t="shared" si="45"/>
        <v>0.32559840098721138</v>
      </c>
      <c r="AX87" s="244">
        <f t="shared" si="46"/>
        <v>3.314591722049812</v>
      </c>
      <c r="AY87" s="105"/>
      <c r="AZ87" s="100">
        <f t="shared" si="14"/>
        <v>22870.682882143701</v>
      </c>
    </row>
    <row r="88" spans="1:52" outlineLevel="1">
      <c r="A88" s="95" t="s">
        <v>124</v>
      </c>
      <c r="B88" s="96">
        <v>507115918</v>
      </c>
      <c r="C88" s="96" t="s">
        <v>210</v>
      </c>
      <c r="D88" s="97" t="s">
        <v>84</v>
      </c>
      <c r="E88" s="242">
        <f t="shared" si="47"/>
        <v>31</v>
      </c>
      <c r="F88" s="99"/>
      <c r="G88" s="99"/>
      <c r="H88" s="282">
        <v>31</v>
      </c>
      <c r="I88" s="99"/>
      <c r="J88" s="99"/>
      <c r="K88" s="99">
        <v>150</v>
      </c>
      <c r="L88" s="98">
        <f t="shared" si="44"/>
        <v>4650</v>
      </c>
      <c r="M88" s="95"/>
      <c r="N88" s="95">
        <v>49</v>
      </c>
      <c r="O88" s="95">
        <v>1287</v>
      </c>
      <c r="P88" s="95">
        <v>35</v>
      </c>
      <c r="Q88" s="243">
        <f t="shared" si="48"/>
        <v>1.53125</v>
      </c>
      <c r="R88" s="98">
        <f t="shared" si="49"/>
        <v>0.53125</v>
      </c>
      <c r="S88" s="99">
        <v>19</v>
      </c>
      <c r="T88" s="99">
        <v>-2</v>
      </c>
      <c r="U88" s="98">
        <f t="shared" si="50"/>
        <v>17</v>
      </c>
      <c r="V88" s="99">
        <v>18653</v>
      </c>
      <c r="W88" s="99">
        <v>-1762</v>
      </c>
      <c r="X88" s="98">
        <f t="shared" si="51"/>
        <v>16891</v>
      </c>
      <c r="Y88" s="99">
        <v>24244.160000000003</v>
      </c>
      <c r="Z88" s="99">
        <v>-2476.29</v>
      </c>
      <c r="AA88" s="98">
        <f t="shared" si="52"/>
        <v>21767.870000000003</v>
      </c>
      <c r="AB88" s="98">
        <f t="shared" si="53"/>
        <v>22072.05</v>
      </c>
      <c r="AC88" s="244">
        <f t="shared" si="54"/>
        <v>9.6958319014212729E-3</v>
      </c>
      <c r="AD88" s="98">
        <f t="shared" si="55"/>
        <v>2550</v>
      </c>
      <c r="AE88" s="99">
        <v>8054.9400000000041</v>
      </c>
      <c r="AF88" s="244">
        <f t="shared" si="56"/>
        <v>0.37003804230730902</v>
      </c>
      <c r="AG88" s="99">
        <v>3659.1500000000005</v>
      </c>
      <c r="AH88" s="99"/>
      <c r="AI88" s="99">
        <v>9791</v>
      </c>
      <c r="AJ88" s="99"/>
      <c r="AK88" s="99"/>
      <c r="AL88" s="128">
        <f t="shared" si="57"/>
        <v>99.500823585581273</v>
      </c>
      <c r="AM88" s="99">
        <v>0</v>
      </c>
      <c r="AN88" s="100">
        <f t="shared" si="58"/>
        <v>964.47609999999997</v>
      </c>
      <c r="AO88" s="101">
        <f t="shared" si="59"/>
        <v>-3351.1969235855831</v>
      </c>
      <c r="AP88" s="102"/>
      <c r="AQ88" s="103">
        <f t="shared" si="8"/>
        <v>1280.4629411764708</v>
      </c>
      <c r="AR88" s="104">
        <f t="shared" si="37"/>
        <v>150</v>
      </c>
      <c r="AS88" s="104">
        <f t="shared" si="10"/>
        <v>473.82000000000022</v>
      </c>
      <c r="AT88" s="104">
        <f t="shared" si="11"/>
        <v>192.58684210526317</v>
      </c>
      <c r="AU88" s="104">
        <f t="shared" si="60"/>
        <v>515.31578947368416</v>
      </c>
      <c r="AV88" s="104">
        <f t="array" ref="AV88">_xlfn.IFS(U88=0,AO88,U88&lt;0,AO88/-U88,U88&gt;0,AO88/U88)</f>
        <v>-197.12923079915194</v>
      </c>
      <c r="AW88" s="244">
        <f t="shared" si="45"/>
        <v>-0.1539515314812879</v>
      </c>
      <c r="AX88" s="244">
        <f t="shared" si="46"/>
        <v>-1.3141948719943464</v>
      </c>
      <c r="AY88" s="105"/>
      <c r="AZ88" s="100">
        <f t="shared" si="14"/>
        <v>-6111.0061547737105</v>
      </c>
    </row>
    <row r="89" spans="1:52" outlineLevel="1">
      <c r="A89" s="95" t="s">
        <v>124</v>
      </c>
      <c r="B89" s="96">
        <v>507113512</v>
      </c>
      <c r="C89" s="96" t="s">
        <v>211</v>
      </c>
      <c r="D89" s="97" t="s">
        <v>84</v>
      </c>
      <c r="E89" s="242">
        <f t="shared" si="47"/>
        <v>46</v>
      </c>
      <c r="F89" s="99"/>
      <c r="G89" s="99"/>
      <c r="H89" s="282">
        <v>46</v>
      </c>
      <c r="I89" s="99"/>
      <c r="J89" s="99"/>
      <c r="K89" s="99">
        <v>169.89</v>
      </c>
      <c r="L89" s="98">
        <f t="shared" si="44"/>
        <v>7814.94</v>
      </c>
      <c r="M89" s="95"/>
      <c r="N89" s="95">
        <v>1</v>
      </c>
      <c r="O89" s="95">
        <v>1504</v>
      </c>
      <c r="P89" s="95">
        <v>0</v>
      </c>
      <c r="Q89" s="243">
        <f t="shared" si="48"/>
        <v>3.125E-2</v>
      </c>
      <c r="R89" s="98">
        <f t="shared" si="49"/>
        <v>0</v>
      </c>
      <c r="S89" s="99">
        <v>0</v>
      </c>
      <c r="T89" s="99">
        <v>0</v>
      </c>
      <c r="U89" s="98">
        <f t="shared" si="50"/>
        <v>0</v>
      </c>
      <c r="V89" s="99">
        <v>0</v>
      </c>
      <c r="W89" s="99">
        <v>0</v>
      </c>
      <c r="X89" s="98">
        <f t="shared" si="51"/>
        <v>0</v>
      </c>
      <c r="Y89" s="99">
        <v>0</v>
      </c>
      <c r="Z89" s="99">
        <v>0</v>
      </c>
      <c r="AA89" s="98">
        <f t="shared" si="52"/>
        <v>0</v>
      </c>
      <c r="AB89" s="98">
        <f t="shared" si="53"/>
        <v>0</v>
      </c>
      <c r="AC89" s="244">
        <f t="shared" si="54"/>
        <v>0</v>
      </c>
      <c r="AD89" s="98">
        <f t="shared" si="55"/>
        <v>0</v>
      </c>
      <c r="AE89" s="99">
        <v>0</v>
      </c>
      <c r="AF89" s="244">
        <f t="shared" si="56"/>
        <v>0</v>
      </c>
      <c r="AG89" s="99">
        <v>108</v>
      </c>
      <c r="AH89" s="99"/>
      <c r="AI89" s="99"/>
      <c r="AJ89" s="99"/>
      <c r="AK89" s="99"/>
      <c r="AL89" s="128">
        <f t="shared" si="57"/>
        <v>147.64638338505608</v>
      </c>
      <c r="AM89" s="99">
        <v>0</v>
      </c>
      <c r="AN89" s="100">
        <f t="shared" si="58"/>
        <v>0</v>
      </c>
      <c r="AO89" s="101">
        <f t="shared" si="59"/>
        <v>-255.64638338505608</v>
      </c>
      <c r="AP89" s="102"/>
      <c r="AQ89" s="103">
        <f t="shared" si="8"/>
        <v>0</v>
      </c>
      <c r="AR89" s="104">
        <f t="shared" si="37"/>
        <v>169.89</v>
      </c>
      <c r="AS89" s="104">
        <f t="shared" si="10"/>
        <v>0</v>
      </c>
      <c r="AT89" s="104">
        <f t="shared" si="11"/>
        <v>108</v>
      </c>
      <c r="AU89" s="104">
        <f t="shared" si="60"/>
        <v>0</v>
      </c>
      <c r="AV89" s="104">
        <f t="array" ref="AV89">_xlfn.IFS(U89=0,AO89,U89&lt;0,AO89/-U89,U89&gt;0,AO89/U89)</f>
        <v>-255.64638338505608</v>
      </c>
      <c r="AW89" s="244">
        <f t="shared" si="45"/>
        <v>0</v>
      </c>
      <c r="AX89" s="244">
        <f t="shared" si="46"/>
        <v>-1.5047759337515811</v>
      </c>
      <c r="AY89" s="105"/>
      <c r="AZ89" s="100">
        <f t="shared" si="14"/>
        <v>-11759.733635712581</v>
      </c>
    </row>
    <row r="90" spans="1:52" outlineLevel="1">
      <c r="A90" s="95" t="s">
        <v>124</v>
      </c>
      <c r="B90" s="96">
        <v>507114447</v>
      </c>
      <c r="C90" s="96" t="s">
        <v>212</v>
      </c>
      <c r="D90" s="97" t="s">
        <v>84</v>
      </c>
      <c r="E90" s="242">
        <f t="shared" si="47"/>
        <v>50</v>
      </c>
      <c r="F90" s="99"/>
      <c r="G90" s="99"/>
      <c r="H90" s="282">
        <v>50</v>
      </c>
      <c r="I90" s="99"/>
      <c r="J90" s="99"/>
      <c r="K90" s="99">
        <v>107.88</v>
      </c>
      <c r="L90" s="98">
        <f t="shared" si="44"/>
        <v>5394</v>
      </c>
      <c r="M90" s="95"/>
      <c r="N90" s="95">
        <v>0</v>
      </c>
      <c r="O90" s="95">
        <v>0</v>
      </c>
      <c r="P90" s="95">
        <v>0</v>
      </c>
      <c r="Q90" s="243">
        <f t="shared" si="48"/>
        <v>0</v>
      </c>
      <c r="R90" s="98">
        <f t="shared" si="49"/>
        <v>0</v>
      </c>
      <c r="S90" s="99">
        <v>0</v>
      </c>
      <c r="T90" s="99">
        <v>0</v>
      </c>
      <c r="U90" s="98">
        <f t="shared" si="50"/>
        <v>0</v>
      </c>
      <c r="V90" s="99">
        <v>0</v>
      </c>
      <c r="W90" s="99">
        <v>0</v>
      </c>
      <c r="X90" s="98">
        <f t="shared" si="51"/>
        <v>0</v>
      </c>
      <c r="Y90" s="99">
        <v>0</v>
      </c>
      <c r="Z90" s="99">
        <v>0</v>
      </c>
      <c r="AA90" s="98">
        <f t="shared" si="52"/>
        <v>0</v>
      </c>
      <c r="AB90" s="98">
        <f t="shared" si="53"/>
        <v>0</v>
      </c>
      <c r="AC90" s="244">
        <f t="shared" si="54"/>
        <v>0</v>
      </c>
      <c r="AD90" s="98">
        <f t="shared" si="55"/>
        <v>0</v>
      </c>
      <c r="AE90" s="99">
        <v>0</v>
      </c>
      <c r="AF90" s="244">
        <f t="shared" si="56"/>
        <v>0</v>
      </c>
      <c r="AG90" s="99">
        <v>0</v>
      </c>
      <c r="AH90" s="99"/>
      <c r="AI90" s="99"/>
      <c r="AJ90" s="99"/>
      <c r="AK90" s="99"/>
      <c r="AL90" s="128">
        <f t="shared" si="57"/>
        <v>160.48519933158272</v>
      </c>
      <c r="AM90" s="99">
        <v>0</v>
      </c>
      <c r="AN90" s="100">
        <f t="shared" si="58"/>
        <v>0</v>
      </c>
      <c r="AO90" s="101">
        <f t="shared" si="59"/>
        <v>-160.48519933158272</v>
      </c>
      <c r="AP90" s="102"/>
      <c r="AQ90" s="103">
        <f t="shared" si="8"/>
        <v>0</v>
      </c>
      <c r="AR90" s="104">
        <f t="shared" si="37"/>
        <v>107.88</v>
      </c>
      <c r="AS90" s="104">
        <f t="shared" si="10"/>
        <v>0</v>
      </c>
      <c r="AT90" s="104">
        <f t="shared" si="11"/>
        <v>0</v>
      </c>
      <c r="AU90" s="104">
        <f t="shared" si="60"/>
        <v>0</v>
      </c>
      <c r="AV90" s="104">
        <f t="array" ref="AV90">_xlfn.IFS(U90=0,AO90,U90&lt;0,AO90/-U90,U90&gt;0,AO90/U90)</f>
        <v>-160.48519933158272</v>
      </c>
      <c r="AW90" s="244">
        <f t="shared" si="45"/>
        <v>0</v>
      </c>
      <c r="AX90" s="244">
        <f t="shared" si="46"/>
        <v>-1.4876269867592022</v>
      </c>
      <c r="AY90" s="105"/>
      <c r="AZ90" s="100">
        <f t="shared" si="14"/>
        <v>-8024.2599665791358</v>
      </c>
    </row>
    <row r="91" spans="1:52" outlineLevel="1">
      <c r="A91" s="95" t="s">
        <v>124</v>
      </c>
      <c r="B91" s="96">
        <v>507096642</v>
      </c>
      <c r="C91" s="96" t="s">
        <v>213</v>
      </c>
      <c r="D91" s="97" t="s">
        <v>84</v>
      </c>
      <c r="E91" s="242">
        <f t="shared" si="47"/>
        <v>37</v>
      </c>
      <c r="F91" s="99"/>
      <c r="G91" s="99"/>
      <c r="H91" s="282">
        <v>37</v>
      </c>
      <c r="I91" s="99"/>
      <c r="J91" s="99"/>
      <c r="K91" s="99">
        <v>93.84</v>
      </c>
      <c r="L91" s="98">
        <f t="shared" si="44"/>
        <v>3472.08</v>
      </c>
      <c r="M91" s="95"/>
      <c r="N91" s="95">
        <v>1</v>
      </c>
      <c r="O91" s="95">
        <v>1075</v>
      </c>
      <c r="P91" s="95">
        <v>0</v>
      </c>
      <c r="Q91" s="243">
        <f t="shared" si="48"/>
        <v>3.125E-2</v>
      </c>
      <c r="R91" s="98">
        <f t="shared" si="49"/>
        <v>0</v>
      </c>
      <c r="S91" s="99">
        <v>0</v>
      </c>
      <c r="T91" s="99">
        <v>0</v>
      </c>
      <c r="U91" s="98">
        <f t="shared" si="50"/>
        <v>0</v>
      </c>
      <c r="V91" s="99">
        <v>0</v>
      </c>
      <c r="W91" s="99">
        <v>0</v>
      </c>
      <c r="X91" s="98">
        <f t="shared" si="51"/>
        <v>0</v>
      </c>
      <c r="Y91" s="99">
        <v>0</v>
      </c>
      <c r="Z91" s="99">
        <v>0</v>
      </c>
      <c r="AA91" s="98">
        <f t="shared" si="52"/>
        <v>0</v>
      </c>
      <c r="AB91" s="98">
        <f t="shared" si="53"/>
        <v>0</v>
      </c>
      <c r="AC91" s="244">
        <f t="shared" si="54"/>
        <v>0</v>
      </c>
      <c r="AD91" s="98">
        <f t="shared" si="55"/>
        <v>0</v>
      </c>
      <c r="AE91" s="99">
        <v>0</v>
      </c>
      <c r="AF91" s="244">
        <f t="shared" si="56"/>
        <v>0</v>
      </c>
      <c r="AG91" s="99">
        <v>0</v>
      </c>
      <c r="AH91" s="99"/>
      <c r="AI91" s="99"/>
      <c r="AJ91" s="99"/>
      <c r="AK91" s="99"/>
      <c r="AL91" s="128">
        <f t="shared" si="57"/>
        <v>118.7590475053712</v>
      </c>
      <c r="AM91" s="99">
        <v>0</v>
      </c>
      <c r="AN91" s="100">
        <f t="shared" si="58"/>
        <v>0</v>
      </c>
      <c r="AO91" s="101">
        <f t="shared" si="59"/>
        <v>-118.7590475053712</v>
      </c>
      <c r="AP91" s="102"/>
      <c r="AQ91" s="103">
        <f t="shared" si="8"/>
        <v>0</v>
      </c>
      <c r="AR91" s="104">
        <f t="shared" si="37"/>
        <v>93.84</v>
      </c>
      <c r="AS91" s="104">
        <f t="shared" si="10"/>
        <v>0</v>
      </c>
      <c r="AT91" s="104">
        <f t="shared" si="11"/>
        <v>0</v>
      </c>
      <c r="AU91" s="104">
        <f t="shared" si="60"/>
        <v>0</v>
      </c>
      <c r="AV91" s="104">
        <f t="array" ref="AV91">_xlfn.IFS(U91=0,AO91,U91&lt;0,AO91/-U91,U91&gt;0,AO91/U91)</f>
        <v>-118.7590475053712</v>
      </c>
      <c r="AW91" s="244">
        <f t="shared" si="45"/>
        <v>0</v>
      </c>
      <c r="AX91" s="244">
        <f t="shared" si="46"/>
        <v>-1.2655482470734356</v>
      </c>
      <c r="AY91" s="105"/>
      <c r="AZ91" s="100">
        <f t="shared" si="14"/>
        <v>-4394.0847576987344</v>
      </c>
    </row>
    <row r="92" spans="1:52" outlineLevel="1">
      <c r="A92" s="95" t="s">
        <v>124</v>
      </c>
      <c r="B92" s="96">
        <v>507100232</v>
      </c>
      <c r="C92" s="96" t="s">
        <v>214</v>
      </c>
      <c r="D92" s="97" t="s">
        <v>84</v>
      </c>
      <c r="E92" s="242">
        <f t="shared" si="47"/>
        <v>49</v>
      </c>
      <c r="F92" s="99"/>
      <c r="G92" s="99"/>
      <c r="H92" s="282">
        <v>49</v>
      </c>
      <c r="I92" s="99"/>
      <c r="J92" s="99"/>
      <c r="K92" s="99">
        <v>139.47</v>
      </c>
      <c r="L92" s="98">
        <f t="shared" si="44"/>
        <v>6834.03</v>
      </c>
      <c r="M92" s="95"/>
      <c r="N92" s="95">
        <v>1</v>
      </c>
      <c r="O92" s="95">
        <v>1403</v>
      </c>
      <c r="P92" s="95">
        <v>0</v>
      </c>
      <c r="Q92" s="243">
        <f t="shared" si="48"/>
        <v>3.125E-2</v>
      </c>
      <c r="R92" s="98">
        <f t="shared" si="49"/>
        <v>0</v>
      </c>
      <c r="S92" s="99">
        <v>1</v>
      </c>
      <c r="T92" s="99">
        <v>-1</v>
      </c>
      <c r="U92" s="98">
        <f t="shared" si="50"/>
        <v>0</v>
      </c>
      <c r="V92" s="99">
        <v>1072.01</v>
      </c>
      <c r="W92" s="99">
        <v>-1072.01</v>
      </c>
      <c r="X92" s="98">
        <f t="shared" si="51"/>
        <v>0</v>
      </c>
      <c r="Y92" s="99">
        <v>1403.38</v>
      </c>
      <c r="Z92" s="99">
        <v>-1403.38</v>
      </c>
      <c r="AA92" s="98">
        <f t="shared" si="52"/>
        <v>0</v>
      </c>
      <c r="AB92" s="98">
        <f t="shared" si="53"/>
        <v>0</v>
      </c>
      <c r="AC92" s="244">
        <f t="shared" si="54"/>
        <v>0</v>
      </c>
      <c r="AD92" s="98">
        <f t="shared" si="55"/>
        <v>0</v>
      </c>
      <c r="AE92" s="99">
        <v>0</v>
      </c>
      <c r="AF92" s="244">
        <f t="shared" si="56"/>
        <v>0</v>
      </c>
      <c r="AG92" s="99">
        <v>96.4</v>
      </c>
      <c r="AH92" s="99"/>
      <c r="AI92" s="99"/>
      <c r="AJ92" s="99"/>
      <c r="AK92" s="99"/>
      <c r="AL92" s="128">
        <f t="shared" si="57"/>
        <v>157.27549534495105</v>
      </c>
      <c r="AM92" s="99">
        <v>0</v>
      </c>
      <c r="AN92" s="100">
        <f t="shared" si="58"/>
        <v>0</v>
      </c>
      <c r="AO92" s="101">
        <f t="shared" si="59"/>
        <v>-253.67549534495106</v>
      </c>
      <c r="AP92" s="102"/>
      <c r="AQ92" s="103">
        <f t="shared" si="8"/>
        <v>0</v>
      </c>
      <c r="AR92" s="104">
        <f t="shared" si="37"/>
        <v>139.47</v>
      </c>
      <c r="AS92" s="104">
        <f t="shared" si="10"/>
        <v>0</v>
      </c>
      <c r="AT92" s="104">
        <f t="shared" si="11"/>
        <v>96.4</v>
      </c>
      <c r="AU92" s="104">
        <f t="shared" si="60"/>
        <v>0</v>
      </c>
      <c r="AV92" s="104">
        <f t="array" ref="AV92">_xlfn.IFS(U92=0,AO92,U92&lt;0,AO92/-U92,U92&gt;0,AO92/U92)</f>
        <v>-253.67549534495106</v>
      </c>
      <c r="AW92" s="244">
        <f t="shared" si="45"/>
        <v>0</v>
      </c>
      <c r="AX92" s="244">
        <f t="shared" si="46"/>
        <v>-1.8188534835086474</v>
      </c>
      <c r="AY92" s="105"/>
      <c r="AZ92" s="100">
        <f t="shared" si="14"/>
        <v>-12430.099271902602</v>
      </c>
    </row>
    <row r="93" spans="1:52" outlineLevel="1">
      <c r="A93" s="95" t="s">
        <v>124</v>
      </c>
      <c r="B93" s="96">
        <v>507099885</v>
      </c>
      <c r="C93" s="96" t="s">
        <v>215</v>
      </c>
      <c r="D93" s="97" t="s">
        <v>84</v>
      </c>
      <c r="E93" s="242">
        <f t="shared" si="47"/>
        <v>47</v>
      </c>
      <c r="F93" s="99"/>
      <c r="G93" s="99"/>
      <c r="H93" s="282">
        <v>47</v>
      </c>
      <c r="I93" s="99"/>
      <c r="J93" s="99"/>
      <c r="K93" s="99">
        <v>139.47</v>
      </c>
      <c r="L93" s="98">
        <f t="shared" si="44"/>
        <v>6555.09</v>
      </c>
      <c r="M93" s="95"/>
      <c r="N93" s="95">
        <v>1</v>
      </c>
      <c r="O93" s="95">
        <v>1296</v>
      </c>
      <c r="P93" s="95">
        <v>0</v>
      </c>
      <c r="Q93" s="243">
        <f t="shared" si="48"/>
        <v>3.125E-2</v>
      </c>
      <c r="R93" s="98">
        <f t="shared" si="49"/>
        <v>0</v>
      </c>
      <c r="S93" s="99">
        <v>1</v>
      </c>
      <c r="T93" s="99">
        <v>-1</v>
      </c>
      <c r="U93" s="98">
        <f t="shared" si="50"/>
        <v>0</v>
      </c>
      <c r="V93" s="99">
        <v>1040</v>
      </c>
      <c r="W93" s="99">
        <v>-1040</v>
      </c>
      <c r="X93" s="98">
        <f t="shared" si="51"/>
        <v>0</v>
      </c>
      <c r="Y93" s="99">
        <v>1296</v>
      </c>
      <c r="Z93" s="99">
        <v>-1296</v>
      </c>
      <c r="AA93" s="98">
        <f t="shared" si="52"/>
        <v>0</v>
      </c>
      <c r="AB93" s="98">
        <f t="shared" si="53"/>
        <v>0</v>
      </c>
      <c r="AC93" s="244">
        <f t="shared" si="54"/>
        <v>0</v>
      </c>
      <c r="AD93" s="98">
        <f t="shared" si="55"/>
        <v>0</v>
      </c>
      <c r="AE93" s="99">
        <v>0</v>
      </c>
      <c r="AF93" s="244">
        <f t="shared" si="56"/>
        <v>0</v>
      </c>
      <c r="AG93" s="99">
        <v>107.11</v>
      </c>
      <c r="AH93" s="99"/>
      <c r="AI93" s="99"/>
      <c r="AJ93" s="99"/>
      <c r="AK93" s="99"/>
      <c r="AL93" s="128">
        <f t="shared" si="57"/>
        <v>150.85608737168775</v>
      </c>
      <c r="AM93" s="99">
        <v>0</v>
      </c>
      <c r="AN93" s="100">
        <f t="shared" si="58"/>
        <v>0</v>
      </c>
      <c r="AO93" s="101">
        <f t="shared" si="59"/>
        <v>-257.96608737168776</v>
      </c>
      <c r="AP93" s="102"/>
      <c r="AQ93" s="103">
        <f t="shared" si="8"/>
        <v>0</v>
      </c>
      <c r="AR93" s="104">
        <f t="shared" si="37"/>
        <v>139.47</v>
      </c>
      <c r="AS93" s="104">
        <f t="shared" si="10"/>
        <v>0</v>
      </c>
      <c r="AT93" s="104">
        <f t="shared" si="11"/>
        <v>107.11</v>
      </c>
      <c r="AU93" s="104">
        <f t="shared" si="60"/>
        <v>0</v>
      </c>
      <c r="AV93" s="104">
        <f t="array" ref="AV93">_xlfn.IFS(U93=0,AO93,U93&lt;0,AO93/-U93,U93&gt;0,AO93/U93)</f>
        <v>-257.96608737168776</v>
      </c>
      <c r="AW93" s="244">
        <f t="shared" si="45"/>
        <v>0</v>
      </c>
      <c r="AX93" s="244">
        <f t="shared" si="46"/>
        <v>-1.8496170314167044</v>
      </c>
      <c r="AY93" s="105"/>
      <c r="AZ93" s="100">
        <f t="shared" si="14"/>
        <v>-12124.406106469325</v>
      </c>
    </row>
    <row r="94" spans="1:52" outlineLevel="1">
      <c r="A94" s="95" t="s">
        <v>124</v>
      </c>
      <c r="B94" s="96">
        <v>342776517</v>
      </c>
      <c r="C94" s="96" t="s">
        <v>216</v>
      </c>
      <c r="D94" s="97" t="s">
        <v>84</v>
      </c>
      <c r="E94" s="242">
        <f t="shared" si="47"/>
        <v>2</v>
      </c>
      <c r="F94" s="99"/>
      <c r="G94" s="99"/>
      <c r="H94" s="282">
        <v>2</v>
      </c>
      <c r="I94" s="99"/>
      <c r="J94" s="99"/>
      <c r="K94" s="99">
        <v>400.08</v>
      </c>
      <c r="L94" s="98">
        <f t="shared" si="44"/>
        <v>800.16</v>
      </c>
      <c r="M94" s="95"/>
      <c r="N94" s="95">
        <v>0</v>
      </c>
      <c r="O94" s="95">
        <v>0</v>
      </c>
      <c r="P94" s="95">
        <v>0</v>
      </c>
      <c r="Q94" s="243">
        <f t="shared" si="48"/>
        <v>0</v>
      </c>
      <c r="R94" s="98">
        <f t="shared" si="49"/>
        <v>0</v>
      </c>
      <c r="S94" s="99">
        <v>0</v>
      </c>
      <c r="T94" s="99">
        <v>0</v>
      </c>
      <c r="U94" s="98">
        <f t="shared" si="50"/>
        <v>0</v>
      </c>
      <c r="V94" s="99">
        <v>0</v>
      </c>
      <c r="W94" s="99">
        <v>0</v>
      </c>
      <c r="X94" s="98">
        <f t="shared" si="51"/>
        <v>0</v>
      </c>
      <c r="Y94" s="99">
        <v>0</v>
      </c>
      <c r="Z94" s="99">
        <v>0</v>
      </c>
      <c r="AA94" s="98">
        <f t="shared" si="52"/>
        <v>0</v>
      </c>
      <c r="AB94" s="98">
        <f t="shared" si="53"/>
        <v>0</v>
      </c>
      <c r="AC94" s="244">
        <f t="shared" si="54"/>
        <v>0</v>
      </c>
      <c r="AD94" s="98">
        <f t="shared" si="55"/>
        <v>0</v>
      </c>
      <c r="AE94" s="99">
        <v>0</v>
      </c>
      <c r="AF94" s="244">
        <f t="shared" si="56"/>
        <v>0</v>
      </c>
      <c r="AG94" s="99">
        <v>0</v>
      </c>
      <c r="AH94" s="99"/>
      <c r="AI94" s="99"/>
      <c r="AJ94" s="99"/>
      <c r="AK94" s="99"/>
      <c r="AL94" s="128">
        <f t="shared" si="57"/>
        <v>6.4194079732633087</v>
      </c>
      <c r="AM94" s="99">
        <v>0</v>
      </c>
      <c r="AN94" s="100">
        <f t="shared" si="58"/>
        <v>0</v>
      </c>
      <c r="AO94" s="101">
        <f t="shared" si="59"/>
        <v>-6.4194079732633087</v>
      </c>
      <c r="AP94" s="102"/>
      <c r="AQ94" s="103">
        <f t="shared" si="8"/>
        <v>0</v>
      </c>
      <c r="AR94" s="104">
        <f t="shared" si="37"/>
        <v>400.08</v>
      </c>
      <c r="AS94" s="104">
        <f t="shared" si="10"/>
        <v>0</v>
      </c>
      <c r="AT94" s="104">
        <f t="shared" si="11"/>
        <v>0</v>
      </c>
      <c r="AU94" s="104">
        <f t="shared" si="60"/>
        <v>0</v>
      </c>
      <c r="AV94" s="104">
        <f t="array" ref="AV94">_xlfn.IFS(U94=0,AO94,U94&lt;0,AO94/-U94,U94&gt;0,AO94/U94)</f>
        <v>-6.4194079732633087</v>
      </c>
      <c r="AW94" s="244">
        <f t="shared" si="45"/>
        <v>0</v>
      </c>
      <c r="AX94" s="244">
        <f t="shared" si="46"/>
        <v>-1.6045310870984077E-2</v>
      </c>
      <c r="AY94" s="105"/>
      <c r="AZ94" s="100">
        <f t="shared" si="14"/>
        <v>-12.838815946526617</v>
      </c>
    </row>
    <row r="95" spans="1:52" outlineLevel="1">
      <c r="A95" s="95" t="s">
        <v>124</v>
      </c>
      <c r="B95" s="96">
        <v>342751979</v>
      </c>
      <c r="C95" s="96" t="s">
        <v>217</v>
      </c>
      <c r="D95" s="97" t="s">
        <v>84</v>
      </c>
      <c r="E95" s="242">
        <f t="shared" si="47"/>
        <v>1</v>
      </c>
      <c r="F95" s="99"/>
      <c r="G95" s="99"/>
      <c r="H95" s="282">
        <v>1</v>
      </c>
      <c r="I95" s="99"/>
      <c r="J95" s="99"/>
      <c r="K95" s="99">
        <v>400.08</v>
      </c>
      <c r="L95" s="98">
        <f t="shared" si="44"/>
        <v>400.08</v>
      </c>
      <c r="M95" s="95"/>
      <c r="N95" s="95">
        <v>1</v>
      </c>
      <c r="O95" s="95">
        <v>1647</v>
      </c>
      <c r="P95" s="95">
        <v>100</v>
      </c>
      <c r="Q95" s="243">
        <f t="shared" si="48"/>
        <v>3.125E-2</v>
      </c>
      <c r="R95" s="98">
        <f t="shared" si="49"/>
        <v>0</v>
      </c>
      <c r="S95" s="99">
        <v>0</v>
      </c>
      <c r="T95" s="99">
        <v>0</v>
      </c>
      <c r="U95" s="98">
        <f t="shared" si="50"/>
        <v>0</v>
      </c>
      <c r="V95" s="99">
        <v>0</v>
      </c>
      <c r="W95" s="99">
        <v>0</v>
      </c>
      <c r="X95" s="98">
        <f t="shared" si="51"/>
        <v>0</v>
      </c>
      <c r="Y95" s="99">
        <v>0</v>
      </c>
      <c r="Z95" s="99">
        <v>0</v>
      </c>
      <c r="AA95" s="98">
        <f t="shared" si="52"/>
        <v>0</v>
      </c>
      <c r="AB95" s="98">
        <f t="shared" si="53"/>
        <v>1647</v>
      </c>
      <c r="AC95" s="244">
        <f t="shared" si="54"/>
        <v>0</v>
      </c>
      <c r="AD95" s="98">
        <f t="shared" si="55"/>
        <v>0</v>
      </c>
      <c r="AE95" s="99">
        <v>0</v>
      </c>
      <c r="AF95" s="244">
        <f t="shared" si="56"/>
        <v>0</v>
      </c>
      <c r="AG95" s="99">
        <v>0</v>
      </c>
      <c r="AH95" s="99"/>
      <c r="AI95" s="99"/>
      <c r="AJ95" s="99"/>
      <c r="AK95" s="99"/>
      <c r="AL95" s="128">
        <f t="shared" si="57"/>
        <v>3.2097039866316543</v>
      </c>
      <c r="AM95" s="99">
        <v>0</v>
      </c>
      <c r="AN95" s="100">
        <f t="shared" si="58"/>
        <v>0</v>
      </c>
      <c r="AO95" s="101">
        <f t="shared" si="59"/>
        <v>-3.2097039866316543</v>
      </c>
      <c r="AP95" s="102"/>
      <c r="AQ95" s="103">
        <f t="shared" si="8"/>
        <v>0</v>
      </c>
      <c r="AR95" s="104">
        <f t="shared" si="37"/>
        <v>400.08</v>
      </c>
      <c r="AS95" s="104">
        <f t="shared" si="10"/>
        <v>0</v>
      </c>
      <c r="AT95" s="104">
        <f t="shared" si="11"/>
        <v>0</v>
      </c>
      <c r="AU95" s="104">
        <f t="shared" si="60"/>
        <v>0</v>
      </c>
      <c r="AV95" s="104">
        <f t="array" ref="AV95">_xlfn.IFS(U95=0,AO95,U95&lt;0,AO95/-U95,U95&gt;0,AO95/U95)</f>
        <v>-3.2097039866316543</v>
      </c>
      <c r="AW95" s="244">
        <f t="shared" si="45"/>
        <v>0</v>
      </c>
      <c r="AX95" s="244">
        <f t="shared" si="46"/>
        <v>-8.0226554354920383E-3</v>
      </c>
      <c r="AY95" s="105"/>
      <c r="AZ95" s="100">
        <f t="shared" si="14"/>
        <v>-3.2097039866316543</v>
      </c>
    </row>
    <row r="96" spans="1:52" outlineLevel="1">
      <c r="A96" s="95" t="s">
        <v>124</v>
      </c>
      <c r="B96" s="96">
        <v>342792174</v>
      </c>
      <c r="C96" s="96" t="s">
        <v>218</v>
      </c>
      <c r="D96" s="97" t="s">
        <v>84</v>
      </c>
      <c r="E96" s="242">
        <f t="shared" si="47"/>
        <v>1</v>
      </c>
      <c r="F96" s="99"/>
      <c r="G96" s="99"/>
      <c r="H96" s="282">
        <v>1</v>
      </c>
      <c r="I96" s="99"/>
      <c r="J96" s="99"/>
      <c r="K96" s="99">
        <v>300.08</v>
      </c>
      <c r="L96" s="98">
        <f t="shared" si="44"/>
        <v>300.08</v>
      </c>
      <c r="M96" s="95"/>
      <c r="N96" s="95">
        <v>1</v>
      </c>
      <c r="O96" s="95">
        <v>998</v>
      </c>
      <c r="P96" s="95">
        <v>100</v>
      </c>
      <c r="Q96" s="243">
        <f t="shared" si="48"/>
        <v>3.125E-2</v>
      </c>
      <c r="R96" s="98">
        <f t="shared" si="49"/>
        <v>3.125E-2</v>
      </c>
      <c r="S96" s="99">
        <v>1</v>
      </c>
      <c r="T96" s="99">
        <v>0</v>
      </c>
      <c r="U96" s="98">
        <f t="shared" si="50"/>
        <v>1</v>
      </c>
      <c r="V96" s="99">
        <v>684</v>
      </c>
      <c r="W96" s="99">
        <v>0</v>
      </c>
      <c r="X96" s="98">
        <f t="shared" si="51"/>
        <v>684</v>
      </c>
      <c r="Y96" s="99">
        <v>998</v>
      </c>
      <c r="Z96" s="99">
        <v>0</v>
      </c>
      <c r="AA96" s="98">
        <f t="shared" si="52"/>
        <v>998</v>
      </c>
      <c r="AB96" s="98">
        <f t="shared" si="53"/>
        <v>998</v>
      </c>
      <c r="AC96" s="244">
        <f t="shared" si="54"/>
        <v>4.4452857526337808E-4</v>
      </c>
      <c r="AD96" s="98">
        <f t="shared" si="55"/>
        <v>300.08</v>
      </c>
      <c r="AE96" s="99">
        <v>378.91999999999996</v>
      </c>
      <c r="AF96" s="244">
        <f t="shared" si="56"/>
        <v>0.37967935871743486</v>
      </c>
      <c r="AG96" s="99">
        <v>163.6</v>
      </c>
      <c r="AH96" s="99"/>
      <c r="AI96" s="99"/>
      <c r="AJ96" s="99"/>
      <c r="AK96" s="99"/>
      <c r="AL96" s="128">
        <f t="shared" si="57"/>
        <v>3.2097039866316543</v>
      </c>
      <c r="AM96" s="99">
        <v>0</v>
      </c>
      <c r="AN96" s="100">
        <f t="shared" si="58"/>
        <v>39.056399999999996</v>
      </c>
      <c r="AO96" s="101">
        <f t="shared" si="59"/>
        <v>113.13389601336846</v>
      </c>
      <c r="AP96" s="102"/>
      <c r="AQ96" s="103">
        <f t="shared" si="8"/>
        <v>998</v>
      </c>
      <c r="AR96" s="104">
        <f t="shared" si="37"/>
        <v>300.08</v>
      </c>
      <c r="AS96" s="104">
        <f t="shared" si="10"/>
        <v>378.91999999999996</v>
      </c>
      <c r="AT96" s="104">
        <f t="shared" si="11"/>
        <v>163.6</v>
      </c>
      <c r="AU96" s="104">
        <f t="shared" si="60"/>
        <v>0</v>
      </c>
      <c r="AV96" s="104">
        <f t="array" ref="AV96">_xlfn.IFS(U96=0,AO96,U96&lt;0,AO96/-U96,U96&gt;0,AO96/U96)</f>
        <v>113.13389601336846</v>
      </c>
      <c r="AW96" s="244">
        <f t="shared" si="45"/>
        <v>0.11336061724786418</v>
      </c>
      <c r="AX96" s="244">
        <f t="shared" si="46"/>
        <v>0.37701245005787942</v>
      </c>
      <c r="AY96" s="105"/>
      <c r="AZ96" s="100">
        <f t="shared" si="14"/>
        <v>113.13389601336846</v>
      </c>
    </row>
    <row r="97" spans="1:52" outlineLevel="1">
      <c r="A97" s="95" t="s">
        <v>124</v>
      </c>
      <c r="B97" s="96">
        <v>342807082</v>
      </c>
      <c r="C97" s="96" t="s">
        <v>219</v>
      </c>
      <c r="D97" s="97" t="s">
        <v>84</v>
      </c>
      <c r="E97" s="242">
        <f t="shared" si="47"/>
        <v>4</v>
      </c>
      <c r="F97" s="99"/>
      <c r="G97" s="99"/>
      <c r="H97" s="282">
        <v>4</v>
      </c>
      <c r="I97" s="99"/>
      <c r="J97" s="99"/>
      <c r="K97" s="99">
        <v>400.08</v>
      </c>
      <c r="L97" s="98">
        <f t="shared" si="44"/>
        <v>1600.32</v>
      </c>
      <c r="M97" s="95"/>
      <c r="N97" s="95">
        <v>0</v>
      </c>
      <c r="O97" s="95">
        <v>0</v>
      </c>
      <c r="P97" s="95">
        <v>0</v>
      </c>
      <c r="Q97" s="243">
        <f t="shared" si="48"/>
        <v>0</v>
      </c>
      <c r="R97" s="98">
        <f t="shared" si="49"/>
        <v>0</v>
      </c>
      <c r="S97" s="99">
        <v>0</v>
      </c>
      <c r="T97" s="99">
        <v>0</v>
      </c>
      <c r="U97" s="98">
        <f t="shared" si="50"/>
        <v>0</v>
      </c>
      <c r="V97" s="99">
        <v>0</v>
      </c>
      <c r="W97" s="99">
        <v>0</v>
      </c>
      <c r="X97" s="98">
        <f t="shared" si="51"/>
        <v>0</v>
      </c>
      <c r="Y97" s="99">
        <v>0</v>
      </c>
      <c r="Z97" s="99">
        <v>0</v>
      </c>
      <c r="AA97" s="98">
        <f t="shared" si="52"/>
        <v>0</v>
      </c>
      <c r="AB97" s="98">
        <f t="shared" si="53"/>
        <v>0</v>
      </c>
      <c r="AC97" s="244">
        <f t="shared" si="54"/>
        <v>0</v>
      </c>
      <c r="AD97" s="98">
        <f t="shared" si="55"/>
        <v>0</v>
      </c>
      <c r="AE97" s="99">
        <v>0</v>
      </c>
      <c r="AF97" s="244">
        <f t="shared" si="56"/>
        <v>0</v>
      </c>
      <c r="AG97" s="99">
        <v>0</v>
      </c>
      <c r="AH97" s="99"/>
      <c r="AI97" s="99"/>
      <c r="AJ97" s="99"/>
      <c r="AK97" s="99"/>
      <c r="AL97" s="128">
        <f t="shared" si="57"/>
        <v>12.838815946526617</v>
      </c>
      <c r="AM97" s="99">
        <v>0</v>
      </c>
      <c r="AN97" s="100">
        <f t="shared" si="58"/>
        <v>0</v>
      </c>
      <c r="AO97" s="101">
        <f t="shared" si="59"/>
        <v>-12.838815946526617</v>
      </c>
      <c r="AP97" s="102"/>
      <c r="AQ97" s="103">
        <f t="shared" si="8"/>
        <v>0</v>
      </c>
      <c r="AR97" s="104">
        <f t="shared" si="37"/>
        <v>400.08</v>
      </c>
      <c r="AS97" s="104">
        <f t="shared" si="10"/>
        <v>0</v>
      </c>
      <c r="AT97" s="104">
        <f t="shared" si="11"/>
        <v>0</v>
      </c>
      <c r="AU97" s="104">
        <f t="shared" si="60"/>
        <v>0</v>
      </c>
      <c r="AV97" s="104">
        <f t="array" ref="AV97">_xlfn.IFS(U97=0,AO97,U97&lt;0,AO97/-U97,U97&gt;0,AO97/U97)</f>
        <v>-12.838815946526617</v>
      </c>
      <c r="AW97" s="244">
        <f t="shared" si="45"/>
        <v>0</v>
      </c>
      <c r="AX97" s="244">
        <f t="shared" si="46"/>
        <v>-3.2090621741968153E-2</v>
      </c>
      <c r="AY97" s="105"/>
      <c r="AZ97" s="100">
        <f t="shared" si="14"/>
        <v>-51.35526378610647</v>
      </c>
    </row>
    <row r="98" spans="1:52" outlineLevel="1">
      <c r="A98" s="95" t="s">
        <v>124</v>
      </c>
      <c r="B98" s="96">
        <v>342820134</v>
      </c>
      <c r="C98" s="96" t="s">
        <v>220</v>
      </c>
      <c r="D98" s="97" t="s">
        <v>84</v>
      </c>
      <c r="E98" s="242">
        <f t="shared" si="47"/>
        <v>16</v>
      </c>
      <c r="F98" s="99"/>
      <c r="G98" s="99"/>
      <c r="H98" s="282">
        <v>16</v>
      </c>
      <c r="I98" s="99"/>
      <c r="J98" s="99"/>
      <c r="K98" s="99">
        <v>300.08</v>
      </c>
      <c r="L98" s="98">
        <f t="shared" si="44"/>
        <v>4801.28</v>
      </c>
      <c r="M98" s="95"/>
      <c r="N98" s="95">
        <v>0</v>
      </c>
      <c r="O98" s="95">
        <v>0</v>
      </c>
      <c r="P98" s="95">
        <v>0</v>
      </c>
      <c r="Q98" s="243">
        <f t="shared" si="48"/>
        <v>0</v>
      </c>
      <c r="R98" s="98">
        <f t="shared" si="49"/>
        <v>0</v>
      </c>
      <c r="S98" s="99">
        <v>0</v>
      </c>
      <c r="T98" s="99">
        <v>0</v>
      </c>
      <c r="U98" s="98">
        <f t="shared" si="50"/>
        <v>0</v>
      </c>
      <c r="V98" s="99">
        <v>0</v>
      </c>
      <c r="W98" s="99">
        <v>0</v>
      </c>
      <c r="X98" s="98">
        <f t="shared" si="51"/>
        <v>0</v>
      </c>
      <c r="Y98" s="99">
        <v>0</v>
      </c>
      <c r="Z98" s="99">
        <v>0</v>
      </c>
      <c r="AA98" s="98">
        <f t="shared" si="52"/>
        <v>0</v>
      </c>
      <c r="AB98" s="98">
        <f t="shared" si="53"/>
        <v>0</v>
      </c>
      <c r="AC98" s="244">
        <f t="shared" si="54"/>
        <v>0</v>
      </c>
      <c r="AD98" s="98">
        <f t="shared" si="55"/>
        <v>0</v>
      </c>
      <c r="AE98" s="99">
        <v>0</v>
      </c>
      <c r="AF98" s="244">
        <f t="shared" si="56"/>
        <v>0</v>
      </c>
      <c r="AG98" s="99">
        <v>0</v>
      </c>
      <c r="AH98" s="99"/>
      <c r="AI98" s="99"/>
      <c r="AJ98" s="99"/>
      <c r="AK98" s="99"/>
      <c r="AL98" s="128">
        <f t="shared" si="57"/>
        <v>51.35526378610647</v>
      </c>
      <c r="AM98" s="99">
        <v>0</v>
      </c>
      <c r="AN98" s="100">
        <f t="shared" si="58"/>
        <v>0</v>
      </c>
      <c r="AO98" s="101">
        <f t="shared" si="59"/>
        <v>-51.35526378610647</v>
      </c>
      <c r="AP98" s="102"/>
      <c r="AQ98" s="103">
        <f t="shared" ref="AQ98" si="61">IF(U98=0,0,AA98/U98)</f>
        <v>0</v>
      </c>
      <c r="AR98" s="104">
        <f t="shared" si="37"/>
        <v>300.08</v>
      </c>
      <c r="AS98" s="104">
        <f t="shared" ref="AS98" si="62">IF(U98=0,0,AE98/U98)</f>
        <v>0</v>
      </c>
      <c r="AT98" s="104">
        <f t="shared" ref="AT98" si="63">IF(S98=0,AG98/1,AG98/S98)</f>
        <v>0</v>
      </c>
      <c r="AU98" s="104">
        <f t="shared" si="60"/>
        <v>0</v>
      </c>
      <c r="AV98" s="104">
        <f t="array" ref="AV98">_xlfn.IFS(U98=0,AO98,U98&lt;0,AO98/-U98,U98&gt;0,AO98/U98)</f>
        <v>-51.35526378610647</v>
      </c>
      <c r="AW98" s="244">
        <f t="shared" si="45"/>
        <v>0</v>
      </c>
      <c r="AX98" s="244">
        <f t="shared" si="46"/>
        <v>-0.17113857566684376</v>
      </c>
      <c r="AY98" s="105"/>
      <c r="AZ98" s="100">
        <f t="shared" ref="AZ98" si="64">AV98*E98</f>
        <v>-821.68422057770351</v>
      </c>
    </row>
    <row r="99" spans="1:52" s="119" customFormat="1" outlineLevel="1">
      <c r="A99" s="107"/>
      <c r="B99" s="108"/>
      <c r="C99" s="109" t="s">
        <v>221</v>
      </c>
      <c r="D99" s="110"/>
      <c r="E99" s="245"/>
      <c r="F99" s="111"/>
      <c r="G99" s="111"/>
      <c r="H99" s="112"/>
      <c r="I99" s="112"/>
      <c r="J99" s="112"/>
      <c r="K99" s="111"/>
      <c r="L99" s="111"/>
      <c r="M99" s="109"/>
      <c r="N99" s="109"/>
      <c r="O99" s="109"/>
      <c r="P99" s="109"/>
      <c r="Q99" s="246"/>
      <c r="R99" s="111"/>
      <c r="S99" s="112"/>
      <c r="T99" s="112"/>
      <c r="U99" s="111"/>
      <c r="V99" s="112"/>
      <c r="W99" s="112"/>
      <c r="X99" s="111"/>
      <c r="Y99" s="112"/>
      <c r="Z99" s="112"/>
      <c r="AA99" s="111"/>
      <c r="AB99" s="111"/>
      <c r="AC99" s="247"/>
      <c r="AD99" s="111"/>
      <c r="AE99" s="112"/>
      <c r="AF99" s="247"/>
      <c r="AG99" s="112"/>
      <c r="AH99" s="112"/>
      <c r="AI99" s="112"/>
      <c r="AJ99" s="112"/>
      <c r="AK99" s="112"/>
      <c r="AL99" s="113"/>
      <c r="AM99" s="112"/>
      <c r="AN99" s="114"/>
      <c r="AO99" s="115"/>
      <c r="AP99" s="116"/>
      <c r="AQ99" s="117">
        <f t="shared" ref="AQ99:AX99" si="65">AVERAGE(AQ7:AQ98)</f>
        <v>525.68763795174016</v>
      </c>
      <c r="AR99" s="117">
        <f t="shared" si="65"/>
        <v>141.22217391304349</v>
      </c>
      <c r="AS99" s="117">
        <f t="shared" si="65"/>
        <v>194.94664698038267</v>
      </c>
      <c r="AT99" s="117">
        <f t="shared" si="65"/>
        <v>125.43023823461296</v>
      </c>
      <c r="AU99" s="117">
        <f t="shared" si="65"/>
        <v>106.69528959877279</v>
      </c>
      <c r="AV99" s="117">
        <f t="shared" si="65"/>
        <v>-70.214967172774337</v>
      </c>
      <c r="AW99" s="118">
        <f t="shared" si="65"/>
        <v>-2.8339836461785312E-2</v>
      </c>
      <c r="AX99" s="118">
        <f t="shared" si="65"/>
        <v>-0.57341473897201978</v>
      </c>
      <c r="AY99" s="105"/>
      <c r="AZ99" s="114"/>
    </row>
    <row r="100" spans="1:52" s="126" customFormat="1">
      <c r="A100" s="120" t="s">
        <v>85</v>
      </c>
      <c r="B100" s="121"/>
      <c r="C100" s="122"/>
      <c r="D100" s="122"/>
      <c r="E100" s="248">
        <f t="shared" ref="E100:J100" si="66">SUM(E3:E98)</f>
        <v>12566</v>
      </c>
      <c r="F100" s="122">
        <f t="shared" si="66"/>
        <v>0</v>
      </c>
      <c r="G100" s="122">
        <f t="shared" si="66"/>
        <v>0</v>
      </c>
      <c r="H100" s="122">
        <f t="shared" si="66"/>
        <v>12566</v>
      </c>
      <c r="I100" s="122">
        <f t="shared" si="66"/>
        <v>0</v>
      </c>
      <c r="J100" s="122">
        <f t="shared" si="66"/>
        <v>0</v>
      </c>
      <c r="K100" s="122"/>
      <c r="L100" s="122">
        <f>SUM(L3:L98)</f>
        <v>1597964.3499999996</v>
      </c>
      <c r="M100" s="122"/>
      <c r="N100" s="122">
        <f>SUM(N3:N98)</f>
        <v>4961</v>
      </c>
      <c r="O100" s="122"/>
      <c r="P100" s="122"/>
      <c r="Q100" s="221"/>
      <c r="R100" s="122"/>
      <c r="S100" s="122">
        <f t="shared" ref="S100:AE100" si="67">SUM(S3:S98)</f>
        <v>2362</v>
      </c>
      <c r="T100" s="122">
        <f t="shared" si="67"/>
        <v>-53</v>
      </c>
      <c r="U100" s="122">
        <f t="shared" si="67"/>
        <v>2309</v>
      </c>
      <c r="V100" s="122">
        <f t="shared" si="67"/>
        <v>1728382.78</v>
      </c>
      <c r="W100" s="122">
        <f t="shared" si="67"/>
        <v>-44657.88</v>
      </c>
      <c r="X100" s="122">
        <f t="shared" si="67"/>
        <v>1683724.9</v>
      </c>
      <c r="Y100" s="122">
        <f t="shared" si="67"/>
        <v>2303342.0599999991</v>
      </c>
      <c r="Z100" s="122">
        <f t="shared" si="67"/>
        <v>-58267.040000000001</v>
      </c>
      <c r="AA100" s="122">
        <f t="shared" si="67"/>
        <v>2245075.02</v>
      </c>
      <c r="AB100" s="122">
        <f t="shared" si="67"/>
        <v>2920148.8499999992</v>
      </c>
      <c r="AC100" s="249">
        <f t="shared" si="67"/>
        <v>1.0000000000000002</v>
      </c>
      <c r="AD100" s="123">
        <f t="shared" si="67"/>
        <v>292876.64000000007</v>
      </c>
      <c r="AE100" s="122">
        <f t="shared" si="67"/>
        <v>833669.77000000118</v>
      </c>
      <c r="AF100" s="249">
        <f>AE100/AA100</f>
        <v>0.3713327004992471</v>
      </c>
      <c r="AG100" s="122">
        <f t="shared" ref="AG100:AO100" si="68">SUM(AG3:AG98)</f>
        <v>276475.65000000008</v>
      </c>
      <c r="AH100" s="123">
        <f t="shared" si="68"/>
        <v>113446</v>
      </c>
      <c r="AI100" s="123">
        <f t="shared" si="68"/>
        <v>404487</v>
      </c>
      <c r="AJ100" s="123">
        <f>SUM(AJ3:AJ98)</f>
        <v>1873</v>
      </c>
      <c r="AK100" s="123">
        <f t="shared" si="68"/>
        <v>0</v>
      </c>
      <c r="AL100" s="123">
        <f t="shared" si="68"/>
        <v>40333.140296013356</v>
      </c>
      <c r="AM100" s="122">
        <f t="shared" si="68"/>
        <v>0</v>
      </c>
      <c r="AN100" s="123">
        <f t="shared" si="68"/>
        <v>96140.691790000041</v>
      </c>
      <c r="AO100" s="123">
        <f t="shared" si="68"/>
        <v>187646.12791398581</v>
      </c>
      <c r="AP100" s="124"/>
      <c r="AQ100" s="122"/>
      <c r="AR100" s="122"/>
      <c r="AS100" s="122"/>
      <c r="AT100" s="122"/>
      <c r="AU100" s="250">
        <f>(AH100+AI100+AJ100)/S100</f>
        <v>220.07027942421678</v>
      </c>
      <c r="AV100" s="122"/>
      <c r="AW100" s="122"/>
      <c r="AX100" s="122"/>
      <c r="AY100" s="125"/>
      <c r="AZ100" s="122">
        <f>SUM(AZ3:AZ98)</f>
        <v>-416623.22376924305</v>
      </c>
    </row>
    <row r="101" spans="1:52">
      <c r="A101" s="95"/>
      <c r="B101" s="96"/>
      <c r="C101" s="96"/>
      <c r="D101" s="127"/>
      <c r="E101" s="251"/>
      <c r="F101" s="99"/>
      <c r="G101" s="99"/>
      <c r="H101" s="99"/>
      <c r="I101" s="99"/>
      <c r="J101" s="99"/>
      <c r="K101" s="99"/>
      <c r="L101" s="99"/>
      <c r="M101" s="95"/>
      <c r="N101" s="95"/>
      <c r="O101" s="95"/>
      <c r="P101" s="95"/>
      <c r="Q101" s="252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253"/>
      <c r="AD101" s="99"/>
      <c r="AE101" s="99"/>
      <c r="AF101" s="253"/>
      <c r="AG101" s="99"/>
      <c r="AH101" s="350"/>
      <c r="AI101" s="350"/>
      <c r="AJ101" s="226"/>
      <c r="AK101" s="226"/>
      <c r="AL101" s="128"/>
      <c r="AM101" s="99"/>
      <c r="AN101" s="129"/>
      <c r="AO101" s="130"/>
      <c r="AP101" s="102"/>
      <c r="AQ101" s="131"/>
      <c r="AR101" s="132"/>
      <c r="AS101" s="132"/>
      <c r="AT101" s="132"/>
      <c r="AU101" s="132"/>
      <c r="AV101" s="132"/>
      <c r="AW101" s="254"/>
      <c r="AX101" s="254"/>
      <c r="AY101" s="105"/>
      <c r="AZ101" s="129"/>
    </row>
    <row r="102" spans="1:52">
      <c r="A102" s="95" t="s">
        <v>222</v>
      </c>
      <c r="B102" s="96">
        <v>437023601</v>
      </c>
      <c r="C102" s="96" t="s">
        <v>223</v>
      </c>
      <c r="D102" s="127" t="s">
        <v>224</v>
      </c>
      <c r="E102" s="242">
        <f t="shared" ref="E102:E106" si="69">SUM(F102:J102)</f>
        <v>1</v>
      </c>
      <c r="F102" s="99"/>
      <c r="G102" s="99"/>
      <c r="H102" s="282">
        <v>0</v>
      </c>
      <c r="I102" s="99">
        <v>0</v>
      </c>
      <c r="J102" s="99">
        <v>1</v>
      </c>
      <c r="K102" s="99">
        <v>579.17999999999995</v>
      </c>
      <c r="L102" s="98">
        <f>E102*K102</f>
        <v>579.17999999999995</v>
      </c>
      <c r="M102" s="95"/>
      <c r="N102" s="95">
        <v>0</v>
      </c>
      <c r="O102" s="95">
        <v>0</v>
      </c>
      <c r="P102" s="95">
        <v>0</v>
      </c>
      <c r="Q102" s="243">
        <f t="shared" ref="Q102:Q106" si="70">N102/32</f>
        <v>0</v>
      </c>
      <c r="R102" s="98">
        <f t="shared" ref="R102:R106" si="71">U102/32</f>
        <v>0</v>
      </c>
      <c r="S102" s="99">
        <v>0</v>
      </c>
      <c r="T102" s="99">
        <v>0</v>
      </c>
      <c r="U102" s="98">
        <f t="shared" ref="U102" si="72">S102+T102</f>
        <v>0</v>
      </c>
      <c r="V102" s="99">
        <v>0</v>
      </c>
      <c r="W102" s="99">
        <v>0</v>
      </c>
      <c r="X102" s="98">
        <f t="shared" ref="X102" si="73">V102+W102</f>
        <v>0</v>
      </c>
      <c r="Y102" s="99">
        <v>0</v>
      </c>
      <c r="Z102" s="99">
        <v>0</v>
      </c>
      <c r="AA102" s="98">
        <f t="shared" ref="AA102" si="74">Y102+Z102</f>
        <v>0</v>
      </c>
      <c r="AB102" s="98">
        <f t="shared" ref="AB102" si="75">N102*O102*P102/100</f>
        <v>0</v>
      </c>
      <c r="AC102" s="244">
        <f t="shared" ref="AC102" si="76">AA102/$AA$121</f>
        <v>0</v>
      </c>
      <c r="AD102" s="98">
        <f t="shared" ref="AD102" si="77">U102*K102</f>
        <v>0</v>
      </c>
      <c r="AE102" s="99">
        <v>0</v>
      </c>
      <c r="AF102" s="244">
        <f t="shared" ref="AF102" si="78">IF(AA102=0,0,AE102/AA102)</f>
        <v>0</v>
      </c>
      <c r="AG102" s="99">
        <v>0</v>
      </c>
      <c r="AH102" s="99"/>
      <c r="AI102" s="99"/>
      <c r="AJ102" s="99"/>
      <c r="AK102" s="99"/>
      <c r="AL102" s="128">
        <f t="shared" ref="AL102" si="79">IFERROR($AL$121*H102/$H$121,0)</f>
        <v>0</v>
      </c>
      <c r="AM102" s="99">
        <v>0</v>
      </c>
      <c r="AN102" s="100">
        <f t="shared" ref="AN102" si="80">X102*5.71%</f>
        <v>0</v>
      </c>
      <c r="AO102" s="101">
        <f t="shared" ref="AO102:AO106" si="81">AA102-AD102-AE102-AG102-AH102-AI102-AK102-AL102-AN102-AM102</f>
        <v>0</v>
      </c>
      <c r="AP102" s="102"/>
      <c r="AQ102" s="103">
        <f t="shared" ref="AQ102:AQ106" si="82">IF(U102=0,0,AA102/U102)</f>
        <v>0</v>
      </c>
      <c r="AR102" s="104">
        <f t="shared" ref="AR102:AR106" si="83">K102</f>
        <v>579.17999999999995</v>
      </c>
      <c r="AS102" s="104">
        <f t="shared" ref="AS102:AS106" si="84">IF(U102=0,0,AE102/U102)</f>
        <v>0</v>
      </c>
      <c r="AT102" s="104">
        <f t="shared" ref="AT102:AT106" si="85">IF(S102=0,AG102/1,AG102/S102)</f>
        <v>0</v>
      </c>
      <c r="AU102" s="104">
        <f t="shared" ref="AU102:AU106" si="86">IF(S102=0,0,(AH102+AI102+AJ102)/S102)</f>
        <v>0</v>
      </c>
      <c r="AV102" s="104">
        <f t="array" ref="AV102">_xlfn.IFS(U102=0,AO102,U102&lt;0,AO102/-U102,U102&gt;0,AO102/U102)</f>
        <v>0</v>
      </c>
      <c r="AW102" s="244">
        <f t="shared" ref="AW102:AW106" si="87">IF(AQ102=0,0,AV102/AQ102)</f>
        <v>0</v>
      </c>
      <c r="AX102" s="244">
        <f t="shared" ref="AX102:AX106" si="88">IF(AR102=0,0,AV102/AR102)</f>
        <v>0</v>
      </c>
      <c r="AY102" s="105"/>
      <c r="AZ102" s="100">
        <f t="shared" ref="AZ102:AZ106" si="89">AV102*E102</f>
        <v>0</v>
      </c>
    </row>
    <row r="103" spans="1:52">
      <c r="A103" s="95" t="s">
        <v>222</v>
      </c>
      <c r="B103" s="96">
        <v>437027509</v>
      </c>
      <c r="C103" s="96" t="s">
        <v>225</v>
      </c>
      <c r="D103" s="127" t="s">
        <v>224</v>
      </c>
      <c r="E103" s="242">
        <f t="shared" si="69"/>
        <v>2</v>
      </c>
      <c r="F103" s="99"/>
      <c r="G103" s="99"/>
      <c r="H103" s="282">
        <v>1</v>
      </c>
      <c r="I103" s="99">
        <v>0</v>
      </c>
      <c r="J103" s="99">
        <v>1</v>
      </c>
      <c r="K103" s="99">
        <v>579.17999999999995</v>
      </c>
      <c r="L103" s="98">
        <f t="shared" ref="L103:L106" si="90">E103*K103</f>
        <v>1158.3599999999999</v>
      </c>
      <c r="M103" s="95"/>
      <c r="N103" s="95">
        <v>1</v>
      </c>
      <c r="O103" s="95">
        <v>2277</v>
      </c>
      <c r="P103" s="95">
        <v>0</v>
      </c>
      <c r="Q103" s="243">
        <f t="shared" si="70"/>
        <v>3.125E-2</v>
      </c>
      <c r="R103" s="98">
        <f t="shared" si="71"/>
        <v>0</v>
      </c>
      <c r="S103" s="99">
        <v>0</v>
      </c>
      <c r="T103" s="99">
        <v>0</v>
      </c>
      <c r="U103" s="98">
        <f t="shared" ref="U103:U106" si="91">S103+T103</f>
        <v>0</v>
      </c>
      <c r="V103" s="99">
        <v>0</v>
      </c>
      <c r="W103" s="99">
        <v>0</v>
      </c>
      <c r="X103" s="98">
        <f t="shared" ref="X103:X106" si="92">V103+W103</f>
        <v>0</v>
      </c>
      <c r="Y103" s="99">
        <v>0</v>
      </c>
      <c r="Z103" s="99">
        <v>0</v>
      </c>
      <c r="AA103" s="98">
        <f t="shared" ref="AA103:AA106" si="93">Y103+Z103</f>
        <v>0</v>
      </c>
      <c r="AB103" s="98">
        <f t="shared" ref="AB103:AB106" si="94">N103*O103*P103/100</f>
        <v>0</v>
      </c>
      <c r="AC103" s="244">
        <f t="shared" ref="AC103:AC106" si="95">AA103/$AA$121</f>
        <v>0</v>
      </c>
      <c r="AD103" s="98">
        <f t="shared" ref="AD103:AD106" si="96">U103*K103</f>
        <v>0</v>
      </c>
      <c r="AE103" s="99">
        <v>0</v>
      </c>
      <c r="AF103" s="244">
        <f t="shared" ref="AF103:AF106" si="97">IF(AA103=0,0,AE103/AA103)</f>
        <v>0</v>
      </c>
      <c r="AG103" s="99">
        <v>183.22</v>
      </c>
      <c r="AH103" s="99"/>
      <c r="AI103" s="99"/>
      <c r="AJ103" s="99"/>
      <c r="AK103" s="99"/>
      <c r="AL103" s="128">
        <f t="shared" ref="AL103:AL106" si="98">IFERROR($AL$121*H103/$H$121,0)</f>
        <v>3.2097039866316543</v>
      </c>
      <c r="AM103" s="99">
        <v>0</v>
      </c>
      <c r="AN103" s="100">
        <f t="shared" ref="AN103:AN106" si="99">X103*5.71%</f>
        <v>0</v>
      </c>
      <c r="AO103" s="101">
        <f t="shared" si="81"/>
        <v>-186.42970398663167</v>
      </c>
      <c r="AP103" s="102"/>
      <c r="AQ103" s="103">
        <f t="shared" si="82"/>
        <v>0</v>
      </c>
      <c r="AR103" s="104">
        <f t="shared" si="83"/>
        <v>579.17999999999995</v>
      </c>
      <c r="AS103" s="104">
        <f t="shared" si="84"/>
        <v>0</v>
      </c>
      <c r="AT103" s="104">
        <f t="shared" si="85"/>
        <v>183.22</v>
      </c>
      <c r="AU103" s="104">
        <f t="shared" si="86"/>
        <v>0</v>
      </c>
      <c r="AV103" s="104">
        <f t="array" ref="AV103">_xlfn.IFS(U103=0,AO103,U103&lt;0,AO103/-U103,U103&gt;0,AO103/U103)</f>
        <v>-186.42970398663167</v>
      </c>
      <c r="AW103" s="244">
        <f t="shared" si="87"/>
        <v>0</v>
      </c>
      <c r="AX103" s="244">
        <f t="shared" si="88"/>
        <v>-0.3218856037615796</v>
      </c>
      <c r="AY103" s="105"/>
      <c r="AZ103" s="100">
        <f t="shared" si="89"/>
        <v>-372.85940797326333</v>
      </c>
    </row>
    <row r="104" spans="1:52">
      <c r="A104" s="95" t="s">
        <v>222</v>
      </c>
      <c r="B104" s="96">
        <v>437097997</v>
      </c>
      <c r="C104" s="96" t="s">
        <v>226</v>
      </c>
      <c r="D104" s="127" t="s">
        <v>224</v>
      </c>
      <c r="E104" s="242">
        <f t="shared" si="69"/>
        <v>2</v>
      </c>
      <c r="F104" s="99"/>
      <c r="G104" s="99"/>
      <c r="H104" s="282">
        <v>0</v>
      </c>
      <c r="I104" s="99">
        <v>0</v>
      </c>
      <c r="J104" s="99">
        <v>2</v>
      </c>
      <c r="K104" s="99">
        <v>541.67999999999995</v>
      </c>
      <c r="L104" s="98">
        <f t="shared" si="90"/>
        <v>1083.3599999999999</v>
      </c>
      <c r="M104" s="95"/>
      <c r="N104" s="95">
        <v>0</v>
      </c>
      <c r="O104" s="95">
        <v>0</v>
      </c>
      <c r="P104" s="95">
        <v>0</v>
      </c>
      <c r="Q104" s="243">
        <f t="shared" si="70"/>
        <v>0</v>
      </c>
      <c r="R104" s="98">
        <f t="shared" si="71"/>
        <v>0</v>
      </c>
      <c r="S104" s="99">
        <v>0</v>
      </c>
      <c r="T104" s="99">
        <v>0</v>
      </c>
      <c r="U104" s="98">
        <f t="shared" si="91"/>
        <v>0</v>
      </c>
      <c r="V104" s="99">
        <v>0</v>
      </c>
      <c r="W104" s="99">
        <v>0</v>
      </c>
      <c r="X104" s="98">
        <f t="shared" si="92"/>
        <v>0</v>
      </c>
      <c r="Y104" s="99">
        <v>0</v>
      </c>
      <c r="Z104" s="99">
        <v>0</v>
      </c>
      <c r="AA104" s="98">
        <f t="shared" si="93"/>
        <v>0</v>
      </c>
      <c r="AB104" s="98">
        <f t="shared" si="94"/>
        <v>0</v>
      </c>
      <c r="AC104" s="244">
        <f t="shared" si="95"/>
        <v>0</v>
      </c>
      <c r="AD104" s="98">
        <f t="shared" si="96"/>
        <v>0</v>
      </c>
      <c r="AE104" s="99">
        <v>0</v>
      </c>
      <c r="AF104" s="244">
        <f t="shared" si="97"/>
        <v>0</v>
      </c>
      <c r="AG104" s="99">
        <v>0</v>
      </c>
      <c r="AH104" s="99"/>
      <c r="AI104" s="99"/>
      <c r="AJ104" s="99"/>
      <c r="AK104" s="99"/>
      <c r="AL104" s="128">
        <f t="shared" si="98"/>
        <v>0</v>
      </c>
      <c r="AM104" s="99">
        <v>0</v>
      </c>
      <c r="AN104" s="100">
        <f t="shared" si="99"/>
        <v>0</v>
      </c>
      <c r="AO104" s="101">
        <f>AA104-AD104-AE104-AG104-AH104-AI104-AK104-AL104-AN104-AM104</f>
        <v>0</v>
      </c>
      <c r="AP104" s="102"/>
      <c r="AQ104" s="103">
        <f t="shared" si="82"/>
        <v>0</v>
      </c>
      <c r="AR104" s="104">
        <f t="shared" si="83"/>
        <v>541.67999999999995</v>
      </c>
      <c r="AS104" s="104">
        <f t="shared" si="84"/>
        <v>0</v>
      </c>
      <c r="AT104" s="104">
        <f t="shared" si="85"/>
        <v>0</v>
      </c>
      <c r="AU104" s="104">
        <f t="shared" si="86"/>
        <v>0</v>
      </c>
      <c r="AV104" s="104">
        <f t="array" ref="AV104">_xlfn.IFS(U104=0,AO104,U104&lt;0,AO104/-U104,U104&gt;0,AO104/U104)</f>
        <v>0</v>
      </c>
      <c r="AW104" s="244">
        <f t="shared" si="87"/>
        <v>0</v>
      </c>
      <c r="AX104" s="244">
        <f t="shared" si="88"/>
        <v>0</v>
      </c>
      <c r="AY104" s="105"/>
      <c r="AZ104" s="100">
        <f t="shared" si="89"/>
        <v>0</v>
      </c>
    </row>
    <row r="105" spans="1:52">
      <c r="A105" s="95" t="s">
        <v>222</v>
      </c>
      <c r="B105" s="96">
        <v>437061068</v>
      </c>
      <c r="C105" s="96" t="s">
        <v>227</v>
      </c>
      <c r="D105" s="127" t="s">
        <v>224</v>
      </c>
      <c r="E105" s="242">
        <f t="shared" si="69"/>
        <v>1</v>
      </c>
      <c r="F105" s="99"/>
      <c r="G105" s="99"/>
      <c r="H105" s="282">
        <v>0</v>
      </c>
      <c r="I105" s="99">
        <v>0</v>
      </c>
      <c r="J105" s="99">
        <v>1</v>
      </c>
      <c r="K105" s="99">
        <v>541.67999999999995</v>
      </c>
      <c r="L105" s="98">
        <f t="shared" si="90"/>
        <v>541.67999999999995</v>
      </c>
      <c r="M105" s="95"/>
      <c r="N105" s="95">
        <v>0</v>
      </c>
      <c r="O105" s="95">
        <v>0</v>
      </c>
      <c r="P105" s="95">
        <v>0</v>
      </c>
      <c r="Q105" s="243">
        <f t="shared" si="70"/>
        <v>0</v>
      </c>
      <c r="R105" s="98">
        <f t="shared" si="71"/>
        <v>0</v>
      </c>
      <c r="S105" s="99">
        <v>0</v>
      </c>
      <c r="T105" s="99">
        <v>0</v>
      </c>
      <c r="U105" s="98">
        <f t="shared" si="91"/>
        <v>0</v>
      </c>
      <c r="V105" s="99">
        <v>0</v>
      </c>
      <c r="W105" s="99">
        <v>0</v>
      </c>
      <c r="X105" s="98">
        <f t="shared" si="92"/>
        <v>0</v>
      </c>
      <c r="Y105" s="99">
        <v>0</v>
      </c>
      <c r="Z105" s="99">
        <v>0</v>
      </c>
      <c r="AA105" s="98">
        <f t="shared" si="93"/>
        <v>0</v>
      </c>
      <c r="AB105" s="98">
        <f t="shared" si="94"/>
        <v>0</v>
      </c>
      <c r="AC105" s="244">
        <f t="shared" si="95"/>
        <v>0</v>
      </c>
      <c r="AD105" s="98">
        <f t="shared" si="96"/>
        <v>0</v>
      </c>
      <c r="AE105" s="99">
        <v>0</v>
      </c>
      <c r="AF105" s="244">
        <f t="shared" si="97"/>
        <v>0</v>
      </c>
      <c r="AG105" s="99">
        <v>0</v>
      </c>
      <c r="AH105" s="99"/>
      <c r="AI105" s="99"/>
      <c r="AJ105" s="99"/>
      <c r="AK105" s="99"/>
      <c r="AL105" s="128">
        <f t="shared" si="98"/>
        <v>0</v>
      </c>
      <c r="AM105" s="99">
        <v>0</v>
      </c>
      <c r="AN105" s="100">
        <f t="shared" si="99"/>
        <v>0</v>
      </c>
      <c r="AO105" s="101">
        <f t="shared" si="81"/>
        <v>0</v>
      </c>
      <c r="AP105" s="102"/>
      <c r="AQ105" s="103">
        <f t="shared" si="82"/>
        <v>0</v>
      </c>
      <c r="AR105" s="104">
        <f t="shared" si="83"/>
        <v>541.67999999999995</v>
      </c>
      <c r="AS105" s="104">
        <f t="shared" si="84"/>
        <v>0</v>
      </c>
      <c r="AT105" s="104">
        <f t="shared" si="85"/>
        <v>0</v>
      </c>
      <c r="AU105" s="104">
        <f t="shared" si="86"/>
        <v>0</v>
      </c>
      <c r="AV105" s="104">
        <f t="array" ref="AV105">_xlfn.IFS(U105=0,AO105,U105&lt;0,AO105/-U105,U105&gt;0,AO105/U105)</f>
        <v>0</v>
      </c>
      <c r="AW105" s="244">
        <f t="shared" si="87"/>
        <v>0</v>
      </c>
      <c r="AX105" s="244">
        <f t="shared" si="88"/>
        <v>0</v>
      </c>
      <c r="AY105" s="105"/>
      <c r="AZ105" s="100">
        <f t="shared" si="89"/>
        <v>0</v>
      </c>
    </row>
    <row r="106" spans="1:52">
      <c r="A106" s="95" t="s">
        <v>222</v>
      </c>
      <c r="B106" s="96">
        <v>437095304</v>
      </c>
      <c r="C106" s="96" t="s">
        <v>228</v>
      </c>
      <c r="D106" s="127" t="s">
        <v>224</v>
      </c>
      <c r="E106" s="242">
        <f t="shared" si="69"/>
        <v>1</v>
      </c>
      <c r="F106" s="99"/>
      <c r="G106" s="99"/>
      <c r="H106" s="282">
        <v>0</v>
      </c>
      <c r="I106" s="99">
        <v>0</v>
      </c>
      <c r="J106" s="99">
        <v>1</v>
      </c>
      <c r="K106" s="99">
        <v>541.67999999999995</v>
      </c>
      <c r="L106" s="98">
        <f t="shared" si="90"/>
        <v>541.67999999999995</v>
      </c>
      <c r="M106" s="95"/>
      <c r="N106" s="95">
        <v>0</v>
      </c>
      <c r="O106" s="95">
        <v>0</v>
      </c>
      <c r="P106" s="95">
        <v>0</v>
      </c>
      <c r="Q106" s="243">
        <f t="shared" si="70"/>
        <v>0</v>
      </c>
      <c r="R106" s="98">
        <f t="shared" si="71"/>
        <v>0</v>
      </c>
      <c r="S106" s="99">
        <v>0</v>
      </c>
      <c r="T106" s="99">
        <v>0</v>
      </c>
      <c r="U106" s="98">
        <f t="shared" si="91"/>
        <v>0</v>
      </c>
      <c r="V106" s="99">
        <v>0</v>
      </c>
      <c r="W106" s="99">
        <v>0</v>
      </c>
      <c r="X106" s="98">
        <f t="shared" si="92"/>
        <v>0</v>
      </c>
      <c r="Y106" s="99">
        <v>0</v>
      </c>
      <c r="Z106" s="99">
        <v>0</v>
      </c>
      <c r="AA106" s="98">
        <f t="shared" si="93"/>
        <v>0</v>
      </c>
      <c r="AB106" s="98">
        <f t="shared" si="94"/>
        <v>0</v>
      </c>
      <c r="AC106" s="244">
        <f t="shared" si="95"/>
        <v>0</v>
      </c>
      <c r="AD106" s="98">
        <f t="shared" si="96"/>
        <v>0</v>
      </c>
      <c r="AE106" s="99">
        <v>0</v>
      </c>
      <c r="AF106" s="244">
        <f t="shared" si="97"/>
        <v>0</v>
      </c>
      <c r="AG106" s="99">
        <v>0</v>
      </c>
      <c r="AH106" s="99"/>
      <c r="AI106" s="99"/>
      <c r="AJ106" s="99"/>
      <c r="AK106" s="99"/>
      <c r="AL106" s="128">
        <f t="shared" si="98"/>
        <v>0</v>
      </c>
      <c r="AM106" s="99">
        <v>0</v>
      </c>
      <c r="AN106" s="100">
        <f t="shared" si="99"/>
        <v>0</v>
      </c>
      <c r="AO106" s="101">
        <f t="shared" si="81"/>
        <v>0</v>
      </c>
      <c r="AP106" s="102"/>
      <c r="AQ106" s="103">
        <f t="shared" si="82"/>
        <v>0</v>
      </c>
      <c r="AR106" s="104">
        <f t="shared" si="83"/>
        <v>541.67999999999995</v>
      </c>
      <c r="AS106" s="104">
        <f t="shared" si="84"/>
        <v>0</v>
      </c>
      <c r="AT106" s="104">
        <f t="shared" si="85"/>
        <v>0</v>
      </c>
      <c r="AU106" s="104">
        <f t="shared" si="86"/>
        <v>0</v>
      </c>
      <c r="AV106" s="104">
        <f t="array" ref="AV106">_xlfn.IFS(U106=0,AO106,U106&lt;0,AO106/-U106,U106&gt;0,AO106/U106)</f>
        <v>0</v>
      </c>
      <c r="AW106" s="244">
        <f t="shared" si="87"/>
        <v>0</v>
      </c>
      <c r="AX106" s="244">
        <f t="shared" si="88"/>
        <v>0</v>
      </c>
      <c r="AY106" s="105"/>
      <c r="AZ106" s="100">
        <f t="shared" si="89"/>
        <v>0</v>
      </c>
    </row>
    <row r="107" spans="1:52">
      <c r="A107" s="95"/>
      <c r="B107" s="106"/>
      <c r="C107" s="106"/>
      <c r="D107" s="106"/>
      <c r="E107" s="106"/>
      <c r="H107" s="280"/>
      <c r="K107" s="99"/>
      <c r="L107" s="99"/>
      <c r="M107" s="95"/>
      <c r="N107" s="95"/>
      <c r="O107" s="95"/>
      <c r="P107" s="95"/>
      <c r="Q107" s="252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253"/>
      <c r="AD107" s="99"/>
      <c r="AE107" s="99"/>
      <c r="AF107" s="253"/>
      <c r="AG107" s="99"/>
      <c r="AH107" s="226"/>
      <c r="AI107" s="226"/>
      <c r="AJ107" s="226"/>
      <c r="AK107" s="226"/>
      <c r="AL107" s="128"/>
      <c r="AM107" s="99"/>
      <c r="AN107" s="129"/>
      <c r="AO107" s="130"/>
      <c r="AP107" s="102"/>
      <c r="AQ107" s="255">
        <f>AVERAGE(AQ102:AQ106)</f>
        <v>0</v>
      </c>
      <c r="AR107" s="255">
        <f>AVERAGE(AR102:AR106)</f>
        <v>556.67999999999995</v>
      </c>
      <c r="AS107" s="255">
        <f t="shared" ref="AS107:AX107" si="100">AVERAGE(AS102:AS106)</f>
        <v>0</v>
      </c>
      <c r="AT107" s="255">
        <f t="shared" si="100"/>
        <v>36.643999999999998</v>
      </c>
      <c r="AU107" s="255">
        <f t="shared" si="100"/>
        <v>0</v>
      </c>
      <c r="AV107" s="255">
        <f t="shared" si="100"/>
        <v>-37.285940797326333</v>
      </c>
      <c r="AW107" s="256">
        <f t="shared" si="100"/>
        <v>0</v>
      </c>
      <c r="AX107" s="256">
        <f t="shared" si="100"/>
        <v>-6.4377120752315914E-2</v>
      </c>
      <c r="AY107" s="105"/>
      <c r="AZ107" s="129"/>
    </row>
    <row r="108" spans="1:52" s="126" customFormat="1">
      <c r="A108" s="257" t="s">
        <v>229</v>
      </c>
      <c r="B108" s="258"/>
      <c r="C108" s="259"/>
      <c r="D108" s="259"/>
      <c r="E108" s="260">
        <f t="shared" ref="E108:J108" si="101">SUM(E102:E106)</f>
        <v>7</v>
      </c>
      <c r="F108" s="259">
        <f t="shared" si="101"/>
        <v>0</v>
      </c>
      <c r="G108" s="259">
        <f t="shared" si="101"/>
        <v>0</v>
      </c>
      <c r="H108" s="259">
        <f t="shared" si="101"/>
        <v>1</v>
      </c>
      <c r="I108" s="259">
        <f t="shared" si="101"/>
        <v>0</v>
      </c>
      <c r="J108" s="259">
        <f t="shared" si="101"/>
        <v>6</v>
      </c>
      <c r="K108" s="259"/>
      <c r="L108" s="259">
        <f>SUM(L102:L106)</f>
        <v>3904.2599999999993</v>
      </c>
      <c r="M108" s="259"/>
      <c r="N108" s="259">
        <f>SUM(N102:N106)</f>
        <v>1</v>
      </c>
      <c r="O108" s="259"/>
      <c r="P108" s="259"/>
      <c r="Q108" s="261"/>
      <c r="R108" s="259"/>
      <c r="S108" s="259">
        <f t="shared" ref="S108:AE108" si="102">SUM(S102:S106)</f>
        <v>0</v>
      </c>
      <c r="T108" s="259">
        <f t="shared" si="102"/>
        <v>0</v>
      </c>
      <c r="U108" s="259">
        <f t="shared" si="102"/>
        <v>0</v>
      </c>
      <c r="V108" s="259">
        <f t="shared" si="102"/>
        <v>0</v>
      </c>
      <c r="W108" s="259">
        <f t="shared" si="102"/>
        <v>0</v>
      </c>
      <c r="X108" s="259">
        <f t="shared" si="102"/>
        <v>0</v>
      </c>
      <c r="Y108" s="259">
        <f t="shared" si="102"/>
        <v>0</v>
      </c>
      <c r="Z108" s="259">
        <f t="shared" si="102"/>
        <v>0</v>
      </c>
      <c r="AA108" s="259">
        <f t="shared" si="102"/>
        <v>0</v>
      </c>
      <c r="AB108" s="259">
        <f t="shared" si="102"/>
        <v>0</v>
      </c>
      <c r="AC108" s="262">
        <f t="shared" si="102"/>
        <v>0</v>
      </c>
      <c r="AD108" s="263">
        <f t="shared" si="102"/>
        <v>0</v>
      </c>
      <c r="AE108" s="259">
        <f t="shared" si="102"/>
        <v>0</v>
      </c>
      <c r="AF108" s="262" t="e">
        <f>AE108/AA108</f>
        <v>#DIV/0!</v>
      </c>
      <c r="AG108" s="259">
        <f t="shared" ref="AG108:AO108" si="103">SUM(AG102:AG106)</f>
        <v>183.22</v>
      </c>
      <c r="AH108" s="263">
        <f t="shared" si="103"/>
        <v>0</v>
      </c>
      <c r="AI108" s="263">
        <f t="shared" si="103"/>
        <v>0</v>
      </c>
      <c r="AJ108" s="263">
        <f t="shared" si="103"/>
        <v>0</v>
      </c>
      <c r="AK108" s="263">
        <f t="shared" si="103"/>
        <v>0</v>
      </c>
      <c r="AL108" s="263">
        <f t="shared" si="103"/>
        <v>3.2097039866316543</v>
      </c>
      <c r="AM108" s="259">
        <f t="shared" si="103"/>
        <v>0</v>
      </c>
      <c r="AN108" s="263">
        <f t="shared" si="103"/>
        <v>0</v>
      </c>
      <c r="AO108" s="263">
        <f t="shared" si="103"/>
        <v>-186.42970398663167</v>
      </c>
      <c r="AP108" s="264"/>
      <c r="AQ108" s="259"/>
      <c r="AR108" s="259"/>
      <c r="AS108" s="259"/>
      <c r="AT108" s="259"/>
      <c r="AU108" s="265" t="e">
        <f>(AH108+AI108+AJ108)/S108</f>
        <v>#DIV/0!</v>
      </c>
      <c r="AV108" s="259"/>
      <c r="AW108" s="259"/>
      <c r="AX108" s="259"/>
      <c r="AY108" s="266"/>
      <c r="AZ108" s="259">
        <f>SUM(AZ102:AZ106)</f>
        <v>-372.85940797326333</v>
      </c>
    </row>
    <row r="109" spans="1:52" s="126" customFormat="1">
      <c r="A109" s="267"/>
      <c r="B109" s="268"/>
      <c r="C109" s="145"/>
      <c r="D109" s="145"/>
      <c r="E109" s="269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270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271"/>
      <c r="AD109" s="272"/>
      <c r="AE109" s="145"/>
      <c r="AF109" s="271"/>
      <c r="AG109" s="145"/>
      <c r="AH109" s="351"/>
      <c r="AI109" s="352"/>
      <c r="AJ109" s="273"/>
      <c r="AK109" s="272"/>
      <c r="AL109" s="272"/>
      <c r="AM109" s="145"/>
      <c r="AN109" s="272"/>
      <c r="AO109" s="272"/>
      <c r="AP109" s="102"/>
      <c r="AQ109" s="145"/>
      <c r="AR109" s="145"/>
      <c r="AS109" s="145"/>
      <c r="AT109" s="145"/>
      <c r="AU109" s="145"/>
      <c r="AV109" s="145"/>
      <c r="AW109" s="145"/>
      <c r="AX109" s="145"/>
      <c r="AY109" s="102"/>
      <c r="AZ109" s="145"/>
    </row>
    <row r="110" spans="1:52" outlineLevel="1">
      <c r="A110" s="95" t="s">
        <v>222</v>
      </c>
      <c r="B110" s="96">
        <v>260411674</v>
      </c>
      <c r="C110" s="96" t="s">
        <v>230</v>
      </c>
      <c r="D110" s="97"/>
      <c r="E110" s="242">
        <f>SUM(F110:J110)</f>
        <v>2</v>
      </c>
      <c r="F110" s="99"/>
      <c r="G110" s="99"/>
      <c r="H110" s="282">
        <v>0</v>
      </c>
      <c r="I110" s="99">
        <v>1</v>
      </c>
      <c r="J110" s="99">
        <v>1</v>
      </c>
      <c r="K110" s="98">
        <v>140</v>
      </c>
      <c r="L110" s="98">
        <f t="shared" ref="L110:L117" si="104">E110*K110</f>
        <v>280</v>
      </c>
      <c r="M110" s="95"/>
      <c r="N110" s="95">
        <v>0</v>
      </c>
      <c r="O110" s="95">
        <v>0</v>
      </c>
      <c r="P110" s="95">
        <v>0</v>
      </c>
      <c r="Q110" s="243">
        <f t="shared" ref="Q110:Q117" si="105">N110/32</f>
        <v>0</v>
      </c>
      <c r="R110" s="98">
        <f t="shared" ref="R110:R117" si="106">U110/32</f>
        <v>0</v>
      </c>
      <c r="S110" s="99">
        <v>0</v>
      </c>
      <c r="T110" s="99">
        <v>0</v>
      </c>
      <c r="U110" s="98">
        <f t="shared" ref="U110" si="107">S110+T110</f>
        <v>0</v>
      </c>
      <c r="V110" s="99">
        <v>0</v>
      </c>
      <c r="W110" s="99">
        <v>0</v>
      </c>
      <c r="X110" s="98">
        <f t="shared" ref="X110" si="108">V110+W110</f>
        <v>0</v>
      </c>
      <c r="Y110" s="99">
        <v>0</v>
      </c>
      <c r="Z110" s="99">
        <v>0</v>
      </c>
      <c r="AA110" s="98">
        <f t="shared" ref="AA110" si="109">Y110+Z110</f>
        <v>0</v>
      </c>
      <c r="AB110" s="98">
        <f t="shared" ref="AB110" si="110">N110*O110*P110/100</f>
        <v>0</v>
      </c>
      <c r="AC110" s="244">
        <f t="shared" ref="AC110" si="111">AA110/$AA$121</f>
        <v>0</v>
      </c>
      <c r="AD110" s="98">
        <f t="shared" ref="AD110" si="112">U110*K110</f>
        <v>0</v>
      </c>
      <c r="AE110" s="99">
        <v>0</v>
      </c>
      <c r="AF110" s="244">
        <f t="shared" ref="AF110" si="113">IF(AA110=0,0,AE110/AA110)</f>
        <v>0</v>
      </c>
      <c r="AG110" s="99">
        <v>0</v>
      </c>
      <c r="AH110" s="99"/>
      <c r="AI110" s="99"/>
      <c r="AJ110" s="99"/>
      <c r="AK110" s="99"/>
      <c r="AL110" s="128">
        <f t="shared" ref="AL110" si="114">IFERROR($AL$121*H110/$H$121,0)</f>
        <v>0</v>
      </c>
      <c r="AM110" s="99">
        <v>0</v>
      </c>
      <c r="AN110" s="100">
        <f t="shared" ref="AN110" si="115">X110*5.71%</f>
        <v>0</v>
      </c>
      <c r="AO110" s="101">
        <f t="shared" ref="AO110:AO117" si="116">AA110-AD110-AE110-AG110-AH110-AI110-AK110-AL110-AN110-AM110</f>
        <v>0</v>
      </c>
      <c r="AP110" s="102"/>
      <c r="AQ110" s="103">
        <f t="shared" ref="AQ110:AQ117" si="117">IF(U110=0,0,AA110/U110)</f>
        <v>0</v>
      </c>
      <c r="AR110" s="104">
        <f t="shared" ref="AR110:AR117" si="118">K110</f>
        <v>140</v>
      </c>
      <c r="AS110" s="104">
        <f t="shared" ref="AS110:AS117" si="119">IF(U110=0,0,AE110/U110)</f>
        <v>0</v>
      </c>
      <c r="AT110" s="104">
        <f t="shared" ref="AT110:AT117" si="120">IF(S110=0,AG110/1,AG110/S110)</f>
        <v>0</v>
      </c>
      <c r="AU110" s="104">
        <f t="shared" ref="AU110:AU117" si="121">IF(S110=0,0,(AH110+AI110+AJ110)/S110)</f>
        <v>0</v>
      </c>
      <c r="AV110" s="104">
        <f t="array" ref="AV110">_xlfn.IFS(U110=0,AO110,U110&lt;0,AO110/-U110,U110&gt;0,AO110/U110)</f>
        <v>0</v>
      </c>
      <c r="AW110" s="244">
        <f t="shared" ref="AW110:AW117" si="122">IF(AQ110=0,0,AV110/AQ110)</f>
        <v>0</v>
      </c>
      <c r="AX110" s="244">
        <f t="shared" ref="AX110:AX117" si="123">IF(AR110=0,0,AV110/AR110)</f>
        <v>0</v>
      </c>
      <c r="AY110" s="105"/>
      <c r="AZ110" s="100">
        <f t="shared" ref="AZ110:AZ117" si="124">AV110*E110</f>
        <v>0</v>
      </c>
    </row>
    <row r="111" spans="1:52" outlineLevel="1">
      <c r="A111" s="95" t="s">
        <v>222</v>
      </c>
      <c r="B111" s="96">
        <v>260945325</v>
      </c>
      <c r="C111" s="96" t="s">
        <v>231</v>
      </c>
      <c r="D111" s="97"/>
      <c r="E111" s="242">
        <f t="shared" ref="E111:E117" si="125">SUM(F111:J111)</f>
        <v>1</v>
      </c>
      <c r="F111" s="99"/>
      <c r="G111" s="99"/>
      <c r="H111" s="282">
        <v>0</v>
      </c>
      <c r="I111" s="99">
        <v>1</v>
      </c>
      <c r="J111" s="99"/>
      <c r="K111" s="98">
        <v>154</v>
      </c>
      <c r="L111" s="98">
        <f t="shared" si="104"/>
        <v>154</v>
      </c>
      <c r="M111" s="95"/>
      <c r="N111" s="95">
        <v>0</v>
      </c>
      <c r="O111" s="95">
        <v>0</v>
      </c>
      <c r="P111" s="95">
        <v>0</v>
      </c>
      <c r="Q111" s="243">
        <f t="shared" si="105"/>
        <v>0</v>
      </c>
      <c r="R111" s="98">
        <f t="shared" si="106"/>
        <v>0</v>
      </c>
      <c r="S111" s="99">
        <v>0</v>
      </c>
      <c r="T111" s="99">
        <v>0</v>
      </c>
      <c r="U111" s="98">
        <f t="shared" ref="U111:U117" si="126">S111+T111</f>
        <v>0</v>
      </c>
      <c r="V111" s="99">
        <v>0</v>
      </c>
      <c r="W111" s="99">
        <v>0</v>
      </c>
      <c r="X111" s="98">
        <f t="shared" ref="X111:X117" si="127">V111+W111</f>
        <v>0</v>
      </c>
      <c r="Y111" s="99">
        <v>0</v>
      </c>
      <c r="Z111" s="99">
        <v>0</v>
      </c>
      <c r="AA111" s="98">
        <f t="shared" ref="AA111:AA117" si="128">Y111+Z111</f>
        <v>0</v>
      </c>
      <c r="AB111" s="98">
        <f t="shared" ref="AB111:AB117" si="129">N111*O111*P111/100</f>
        <v>0</v>
      </c>
      <c r="AC111" s="244">
        <f t="shared" ref="AC111:AC117" si="130">AA111/$AA$121</f>
        <v>0</v>
      </c>
      <c r="AD111" s="98">
        <f t="shared" ref="AD111:AD117" si="131">U111*K111</f>
        <v>0</v>
      </c>
      <c r="AE111" s="99">
        <v>0</v>
      </c>
      <c r="AF111" s="244">
        <f t="shared" ref="AF111:AF117" si="132">IF(AA111=0,0,AE111/AA111)</f>
        <v>0</v>
      </c>
      <c r="AG111" s="99">
        <v>0</v>
      </c>
      <c r="AH111" s="99"/>
      <c r="AI111" s="99"/>
      <c r="AJ111" s="99"/>
      <c r="AK111" s="99"/>
      <c r="AL111" s="128">
        <f t="shared" ref="AL111:AL117" si="133">IFERROR($AL$121*H111/$H$121,0)</f>
        <v>0</v>
      </c>
      <c r="AM111" s="99">
        <v>0</v>
      </c>
      <c r="AN111" s="100">
        <f t="shared" ref="AN111:AN117" si="134">X111*5.71%</f>
        <v>0</v>
      </c>
      <c r="AO111" s="101">
        <f t="shared" si="116"/>
        <v>0</v>
      </c>
      <c r="AP111" s="102"/>
      <c r="AQ111" s="103">
        <f t="shared" si="117"/>
        <v>0</v>
      </c>
      <c r="AR111" s="104">
        <f t="shared" si="118"/>
        <v>154</v>
      </c>
      <c r="AS111" s="104">
        <f t="shared" si="119"/>
        <v>0</v>
      </c>
      <c r="AT111" s="104">
        <f t="shared" si="120"/>
        <v>0</v>
      </c>
      <c r="AU111" s="104">
        <f t="shared" si="121"/>
        <v>0</v>
      </c>
      <c r="AV111" s="104">
        <f t="array" ref="AV111">_xlfn.IFS(U111=0,AO111,U111&lt;0,AO111/-U111,U111&gt;0,AO111/U111)</f>
        <v>0</v>
      </c>
      <c r="AW111" s="244">
        <f t="shared" si="122"/>
        <v>0</v>
      </c>
      <c r="AX111" s="244">
        <f t="shared" si="123"/>
        <v>0</v>
      </c>
      <c r="AY111" s="105"/>
      <c r="AZ111" s="100">
        <f t="shared" si="124"/>
        <v>0</v>
      </c>
    </row>
    <row r="112" spans="1:52" outlineLevel="1">
      <c r="A112" s="95" t="s">
        <v>222</v>
      </c>
      <c r="B112" s="96">
        <v>261545954</v>
      </c>
      <c r="C112" s="96" t="s">
        <v>232</v>
      </c>
      <c r="D112" s="97"/>
      <c r="E112" s="242">
        <f t="shared" si="125"/>
        <v>1</v>
      </c>
      <c r="F112" s="99"/>
      <c r="G112" s="99"/>
      <c r="H112" s="282">
        <v>0</v>
      </c>
      <c r="I112" s="99">
        <v>1</v>
      </c>
      <c r="J112" s="99"/>
      <c r="K112" s="98">
        <v>220</v>
      </c>
      <c r="L112" s="98">
        <f t="shared" si="104"/>
        <v>220</v>
      </c>
      <c r="M112" s="95"/>
      <c r="N112" s="95">
        <v>0</v>
      </c>
      <c r="O112" s="95">
        <v>0</v>
      </c>
      <c r="P112" s="95">
        <v>0</v>
      </c>
      <c r="Q112" s="243">
        <f t="shared" si="105"/>
        <v>0</v>
      </c>
      <c r="R112" s="98">
        <f t="shared" si="106"/>
        <v>0</v>
      </c>
      <c r="S112" s="99">
        <v>0</v>
      </c>
      <c r="T112" s="99">
        <v>0</v>
      </c>
      <c r="U112" s="98">
        <f t="shared" si="126"/>
        <v>0</v>
      </c>
      <c r="V112" s="99">
        <v>0</v>
      </c>
      <c r="W112" s="99">
        <v>0</v>
      </c>
      <c r="X112" s="98">
        <f t="shared" si="127"/>
        <v>0</v>
      </c>
      <c r="Y112" s="99">
        <v>0</v>
      </c>
      <c r="Z112" s="99">
        <v>0</v>
      </c>
      <c r="AA112" s="98">
        <f t="shared" si="128"/>
        <v>0</v>
      </c>
      <c r="AB112" s="98">
        <f t="shared" si="129"/>
        <v>0</v>
      </c>
      <c r="AC112" s="244">
        <f t="shared" si="130"/>
        <v>0</v>
      </c>
      <c r="AD112" s="98">
        <f t="shared" si="131"/>
        <v>0</v>
      </c>
      <c r="AE112" s="99">
        <v>0</v>
      </c>
      <c r="AF112" s="244">
        <f t="shared" si="132"/>
        <v>0</v>
      </c>
      <c r="AG112" s="99">
        <v>0</v>
      </c>
      <c r="AH112" s="99"/>
      <c r="AI112" s="99"/>
      <c r="AJ112" s="99"/>
      <c r="AK112" s="99"/>
      <c r="AL112" s="128">
        <f t="shared" si="133"/>
        <v>0</v>
      </c>
      <c r="AM112" s="99">
        <v>0</v>
      </c>
      <c r="AN112" s="100">
        <f t="shared" si="134"/>
        <v>0</v>
      </c>
      <c r="AO112" s="101">
        <f t="shared" si="116"/>
        <v>0</v>
      </c>
      <c r="AP112" s="102"/>
      <c r="AQ112" s="103">
        <f t="shared" si="117"/>
        <v>0</v>
      </c>
      <c r="AR112" s="104">
        <f t="shared" si="118"/>
        <v>220</v>
      </c>
      <c r="AS112" s="104">
        <f t="shared" si="119"/>
        <v>0</v>
      </c>
      <c r="AT112" s="104">
        <f t="shared" si="120"/>
        <v>0</v>
      </c>
      <c r="AU112" s="104">
        <f t="shared" si="121"/>
        <v>0</v>
      </c>
      <c r="AV112" s="104">
        <f t="array" ref="AV112">_xlfn.IFS(U112=0,AO112,U112&lt;0,AO112/-U112,U112&gt;0,AO112/U112)</f>
        <v>0</v>
      </c>
      <c r="AW112" s="244">
        <f t="shared" si="122"/>
        <v>0</v>
      </c>
      <c r="AX112" s="244">
        <f t="shared" si="123"/>
        <v>0</v>
      </c>
      <c r="AY112" s="105"/>
      <c r="AZ112" s="100">
        <f t="shared" si="124"/>
        <v>0</v>
      </c>
    </row>
    <row r="113" spans="1:52" outlineLevel="1">
      <c r="A113" s="95" t="s">
        <v>222</v>
      </c>
      <c r="B113" s="96">
        <v>261546082</v>
      </c>
      <c r="C113" s="96" t="s">
        <v>233</v>
      </c>
      <c r="D113" s="97"/>
      <c r="E113" s="242">
        <f t="shared" si="125"/>
        <v>1</v>
      </c>
      <c r="F113" s="99"/>
      <c r="G113" s="99"/>
      <c r="H113" s="282">
        <v>0</v>
      </c>
      <c r="I113" s="99">
        <v>1</v>
      </c>
      <c r="J113" s="99"/>
      <c r="K113" s="98">
        <v>220</v>
      </c>
      <c r="L113" s="98">
        <f t="shared" si="104"/>
        <v>220</v>
      </c>
      <c r="M113" s="95"/>
      <c r="N113" s="95">
        <v>0</v>
      </c>
      <c r="O113" s="95">
        <v>0</v>
      </c>
      <c r="P113" s="95">
        <v>0</v>
      </c>
      <c r="Q113" s="243">
        <f t="shared" si="105"/>
        <v>0</v>
      </c>
      <c r="R113" s="98">
        <f t="shared" si="106"/>
        <v>0</v>
      </c>
      <c r="S113" s="99">
        <v>0</v>
      </c>
      <c r="T113" s="99">
        <v>0</v>
      </c>
      <c r="U113" s="98">
        <f t="shared" si="126"/>
        <v>0</v>
      </c>
      <c r="V113" s="99">
        <v>0</v>
      </c>
      <c r="W113" s="99">
        <v>0</v>
      </c>
      <c r="X113" s="98">
        <f t="shared" si="127"/>
        <v>0</v>
      </c>
      <c r="Y113" s="99">
        <v>0</v>
      </c>
      <c r="Z113" s="99">
        <v>0</v>
      </c>
      <c r="AA113" s="98">
        <f t="shared" si="128"/>
        <v>0</v>
      </c>
      <c r="AB113" s="98">
        <f t="shared" si="129"/>
        <v>0</v>
      </c>
      <c r="AC113" s="244">
        <f t="shared" si="130"/>
        <v>0</v>
      </c>
      <c r="AD113" s="98">
        <f t="shared" si="131"/>
        <v>0</v>
      </c>
      <c r="AE113" s="99">
        <v>0</v>
      </c>
      <c r="AF113" s="244">
        <f t="shared" si="132"/>
        <v>0</v>
      </c>
      <c r="AG113" s="99">
        <v>0</v>
      </c>
      <c r="AH113" s="99"/>
      <c r="AI113" s="99"/>
      <c r="AJ113" s="99"/>
      <c r="AK113" s="99"/>
      <c r="AL113" s="128">
        <f t="shared" si="133"/>
        <v>0</v>
      </c>
      <c r="AM113" s="99">
        <v>0</v>
      </c>
      <c r="AN113" s="100">
        <f t="shared" si="134"/>
        <v>0</v>
      </c>
      <c r="AO113" s="101">
        <f t="shared" si="116"/>
        <v>0</v>
      </c>
      <c r="AP113" s="102"/>
      <c r="AQ113" s="103">
        <f t="shared" si="117"/>
        <v>0</v>
      </c>
      <c r="AR113" s="104">
        <f t="shared" si="118"/>
        <v>220</v>
      </c>
      <c r="AS113" s="104">
        <f t="shared" si="119"/>
        <v>0</v>
      </c>
      <c r="AT113" s="104">
        <f t="shared" si="120"/>
        <v>0</v>
      </c>
      <c r="AU113" s="104">
        <f t="shared" si="121"/>
        <v>0</v>
      </c>
      <c r="AV113" s="104">
        <f t="array" ref="AV113">_xlfn.IFS(U113=0,AO113,U113&lt;0,AO113/-U113,U113&gt;0,AO113/U113)</f>
        <v>0</v>
      </c>
      <c r="AW113" s="244">
        <f t="shared" si="122"/>
        <v>0</v>
      </c>
      <c r="AX113" s="244">
        <f t="shared" si="123"/>
        <v>0</v>
      </c>
      <c r="AY113" s="105"/>
      <c r="AZ113" s="100">
        <f t="shared" si="124"/>
        <v>0</v>
      </c>
    </row>
    <row r="114" spans="1:52" outlineLevel="1">
      <c r="A114" s="95" t="s">
        <v>222</v>
      </c>
      <c r="B114" s="96">
        <v>261546175</v>
      </c>
      <c r="C114" s="96" t="s">
        <v>234</v>
      </c>
      <c r="D114" s="97"/>
      <c r="E114" s="242">
        <f t="shared" si="125"/>
        <v>6</v>
      </c>
      <c r="F114" s="99"/>
      <c r="G114" s="99"/>
      <c r="H114" s="282">
        <v>0</v>
      </c>
      <c r="I114" s="99">
        <v>1</v>
      </c>
      <c r="J114" s="99">
        <v>5</v>
      </c>
      <c r="K114" s="98">
        <v>220</v>
      </c>
      <c r="L114" s="98">
        <f t="shared" si="104"/>
        <v>1320</v>
      </c>
      <c r="M114" s="95"/>
      <c r="N114" s="95">
        <v>0</v>
      </c>
      <c r="O114" s="95">
        <v>0</v>
      </c>
      <c r="P114" s="95">
        <v>0</v>
      </c>
      <c r="Q114" s="243">
        <f t="shared" si="105"/>
        <v>0</v>
      </c>
      <c r="R114" s="98">
        <f t="shared" si="106"/>
        <v>0</v>
      </c>
      <c r="S114" s="99">
        <v>0</v>
      </c>
      <c r="T114" s="99">
        <v>0</v>
      </c>
      <c r="U114" s="98">
        <f t="shared" si="126"/>
        <v>0</v>
      </c>
      <c r="V114" s="99">
        <v>0</v>
      </c>
      <c r="W114" s="99">
        <v>0</v>
      </c>
      <c r="X114" s="98">
        <f t="shared" si="127"/>
        <v>0</v>
      </c>
      <c r="Y114" s="99">
        <v>0</v>
      </c>
      <c r="Z114" s="99">
        <v>0</v>
      </c>
      <c r="AA114" s="98">
        <f t="shared" si="128"/>
        <v>0</v>
      </c>
      <c r="AB114" s="98">
        <f t="shared" si="129"/>
        <v>0</v>
      </c>
      <c r="AC114" s="244">
        <f t="shared" si="130"/>
        <v>0</v>
      </c>
      <c r="AD114" s="98">
        <f t="shared" si="131"/>
        <v>0</v>
      </c>
      <c r="AE114" s="99">
        <v>0</v>
      </c>
      <c r="AF114" s="244">
        <f t="shared" si="132"/>
        <v>0</v>
      </c>
      <c r="AG114" s="99">
        <v>0</v>
      </c>
      <c r="AH114" s="99"/>
      <c r="AI114" s="99"/>
      <c r="AJ114" s="99"/>
      <c r="AK114" s="99"/>
      <c r="AL114" s="128">
        <f t="shared" si="133"/>
        <v>0</v>
      </c>
      <c r="AM114" s="99">
        <v>0</v>
      </c>
      <c r="AN114" s="100">
        <f t="shared" si="134"/>
        <v>0</v>
      </c>
      <c r="AO114" s="101">
        <f t="shared" si="116"/>
        <v>0</v>
      </c>
      <c r="AP114" s="102"/>
      <c r="AQ114" s="103">
        <f t="shared" si="117"/>
        <v>0</v>
      </c>
      <c r="AR114" s="104">
        <f t="shared" si="118"/>
        <v>220</v>
      </c>
      <c r="AS114" s="104">
        <f t="shared" si="119"/>
        <v>0</v>
      </c>
      <c r="AT114" s="104">
        <f t="shared" si="120"/>
        <v>0</v>
      </c>
      <c r="AU114" s="104">
        <f t="shared" si="121"/>
        <v>0</v>
      </c>
      <c r="AV114" s="104">
        <f t="array" ref="AV114">_xlfn.IFS(U114=0,AO114,U114&lt;0,AO114/-U114,U114&gt;0,AO114/U114)</f>
        <v>0</v>
      </c>
      <c r="AW114" s="244">
        <f t="shared" si="122"/>
        <v>0</v>
      </c>
      <c r="AX114" s="244">
        <f t="shared" si="123"/>
        <v>0</v>
      </c>
      <c r="AY114" s="105"/>
      <c r="AZ114" s="100">
        <f t="shared" si="124"/>
        <v>0</v>
      </c>
    </row>
    <row r="115" spans="1:52" outlineLevel="1">
      <c r="A115" s="95" t="s">
        <v>222</v>
      </c>
      <c r="B115" s="96">
        <v>261548725</v>
      </c>
      <c r="C115" s="96" t="s">
        <v>235</v>
      </c>
      <c r="D115" s="97"/>
      <c r="E115" s="242">
        <f t="shared" si="125"/>
        <v>1</v>
      </c>
      <c r="F115" s="99"/>
      <c r="G115" s="99"/>
      <c r="H115" s="282">
        <v>0</v>
      </c>
      <c r="I115" s="99">
        <v>1</v>
      </c>
      <c r="J115" s="99"/>
      <c r="K115" s="98">
        <v>205</v>
      </c>
      <c r="L115" s="98">
        <f t="shared" si="104"/>
        <v>205</v>
      </c>
      <c r="M115" s="95"/>
      <c r="N115" s="95">
        <v>0</v>
      </c>
      <c r="O115" s="95">
        <v>0</v>
      </c>
      <c r="P115" s="95">
        <v>0</v>
      </c>
      <c r="Q115" s="243">
        <f t="shared" si="105"/>
        <v>0</v>
      </c>
      <c r="R115" s="98">
        <f t="shared" si="106"/>
        <v>0</v>
      </c>
      <c r="S115" s="99">
        <v>0</v>
      </c>
      <c r="T115" s="99">
        <v>0</v>
      </c>
      <c r="U115" s="98">
        <f t="shared" si="126"/>
        <v>0</v>
      </c>
      <c r="V115" s="99">
        <v>0</v>
      </c>
      <c r="W115" s="99">
        <v>0</v>
      </c>
      <c r="X115" s="98">
        <f t="shared" si="127"/>
        <v>0</v>
      </c>
      <c r="Y115" s="99">
        <v>0</v>
      </c>
      <c r="Z115" s="99">
        <v>0</v>
      </c>
      <c r="AA115" s="98">
        <f t="shared" si="128"/>
        <v>0</v>
      </c>
      <c r="AB115" s="98">
        <f t="shared" si="129"/>
        <v>0</v>
      </c>
      <c r="AC115" s="244">
        <f t="shared" si="130"/>
        <v>0</v>
      </c>
      <c r="AD115" s="98">
        <f t="shared" si="131"/>
        <v>0</v>
      </c>
      <c r="AE115" s="99">
        <v>0</v>
      </c>
      <c r="AF115" s="244">
        <f t="shared" si="132"/>
        <v>0</v>
      </c>
      <c r="AG115" s="99">
        <v>0</v>
      </c>
      <c r="AH115" s="99"/>
      <c r="AI115" s="99"/>
      <c r="AJ115" s="99"/>
      <c r="AK115" s="99"/>
      <c r="AL115" s="128">
        <f t="shared" si="133"/>
        <v>0</v>
      </c>
      <c r="AM115" s="99">
        <v>0</v>
      </c>
      <c r="AN115" s="100">
        <f t="shared" si="134"/>
        <v>0</v>
      </c>
      <c r="AO115" s="101">
        <f t="shared" si="116"/>
        <v>0</v>
      </c>
      <c r="AP115" s="102"/>
      <c r="AQ115" s="103">
        <f t="shared" si="117"/>
        <v>0</v>
      </c>
      <c r="AR115" s="104">
        <f t="shared" si="118"/>
        <v>205</v>
      </c>
      <c r="AS115" s="104">
        <f t="shared" si="119"/>
        <v>0</v>
      </c>
      <c r="AT115" s="104">
        <f t="shared" si="120"/>
        <v>0</v>
      </c>
      <c r="AU115" s="104">
        <f t="shared" si="121"/>
        <v>0</v>
      </c>
      <c r="AV115" s="104">
        <f t="array" ref="AV115">_xlfn.IFS(U115=0,AO115,U115&lt;0,AO115/-U115,U115&gt;0,AO115/U115)</f>
        <v>0</v>
      </c>
      <c r="AW115" s="244">
        <f t="shared" si="122"/>
        <v>0</v>
      </c>
      <c r="AX115" s="244">
        <f t="shared" si="123"/>
        <v>0</v>
      </c>
      <c r="AY115" s="105"/>
      <c r="AZ115" s="100">
        <f t="shared" si="124"/>
        <v>0</v>
      </c>
    </row>
    <row r="116" spans="1:52" outlineLevel="1">
      <c r="A116" s="95" t="s">
        <v>222</v>
      </c>
      <c r="B116" s="96">
        <v>261549082</v>
      </c>
      <c r="C116" s="96" t="s">
        <v>236</v>
      </c>
      <c r="D116" s="97"/>
      <c r="E116" s="242">
        <f t="shared" si="125"/>
        <v>1</v>
      </c>
      <c r="F116" s="99"/>
      <c r="G116" s="99"/>
      <c r="H116" s="282">
        <v>0</v>
      </c>
      <c r="I116" s="99">
        <v>1</v>
      </c>
      <c r="J116" s="99"/>
      <c r="K116" s="98">
        <v>205</v>
      </c>
      <c r="L116" s="98">
        <f t="shared" si="104"/>
        <v>205</v>
      </c>
      <c r="M116" s="95"/>
      <c r="N116" s="95">
        <v>0</v>
      </c>
      <c r="O116" s="95">
        <v>0</v>
      </c>
      <c r="P116" s="95">
        <v>0</v>
      </c>
      <c r="Q116" s="243">
        <f t="shared" si="105"/>
        <v>0</v>
      </c>
      <c r="R116" s="98">
        <f t="shared" si="106"/>
        <v>0</v>
      </c>
      <c r="S116" s="99">
        <v>0</v>
      </c>
      <c r="T116" s="99">
        <v>0</v>
      </c>
      <c r="U116" s="98">
        <f t="shared" si="126"/>
        <v>0</v>
      </c>
      <c r="V116" s="99">
        <v>0</v>
      </c>
      <c r="W116" s="99">
        <v>0</v>
      </c>
      <c r="X116" s="98">
        <f t="shared" si="127"/>
        <v>0</v>
      </c>
      <c r="Y116" s="99">
        <v>0</v>
      </c>
      <c r="Z116" s="99">
        <v>0</v>
      </c>
      <c r="AA116" s="98">
        <f t="shared" si="128"/>
        <v>0</v>
      </c>
      <c r="AB116" s="98">
        <f t="shared" si="129"/>
        <v>0</v>
      </c>
      <c r="AC116" s="244">
        <f t="shared" si="130"/>
        <v>0</v>
      </c>
      <c r="AD116" s="98">
        <f t="shared" si="131"/>
        <v>0</v>
      </c>
      <c r="AE116" s="99">
        <v>0</v>
      </c>
      <c r="AF116" s="244">
        <f t="shared" si="132"/>
        <v>0</v>
      </c>
      <c r="AG116" s="99">
        <v>0</v>
      </c>
      <c r="AH116" s="99"/>
      <c r="AI116" s="99"/>
      <c r="AJ116" s="99"/>
      <c r="AK116" s="99"/>
      <c r="AL116" s="128">
        <f t="shared" si="133"/>
        <v>0</v>
      </c>
      <c r="AM116" s="99">
        <v>0</v>
      </c>
      <c r="AN116" s="100">
        <f t="shared" si="134"/>
        <v>0</v>
      </c>
      <c r="AO116" s="101">
        <f t="shared" si="116"/>
        <v>0</v>
      </c>
      <c r="AP116" s="102"/>
      <c r="AQ116" s="103">
        <f t="shared" si="117"/>
        <v>0</v>
      </c>
      <c r="AR116" s="104">
        <f t="shared" si="118"/>
        <v>205</v>
      </c>
      <c r="AS116" s="104">
        <f t="shared" si="119"/>
        <v>0</v>
      </c>
      <c r="AT116" s="104">
        <f t="shared" si="120"/>
        <v>0</v>
      </c>
      <c r="AU116" s="104">
        <f t="shared" si="121"/>
        <v>0</v>
      </c>
      <c r="AV116" s="104">
        <f t="array" ref="AV116">_xlfn.IFS(U116=0,AO116,U116&lt;0,AO116/-U116,U116&gt;0,AO116/U116)</f>
        <v>0</v>
      </c>
      <c r="AW116" s="244">
        <f t="shared" si="122"/>
        <v>0</v>
      </c>
      <c r="AX116" s="244">
        <f t="shared" si="123"/>
        <v>0</v>
      </c>
      <c r="AY116" s="105"/>
      <c r="AZ116" s="100">
        <f t="shared" si="124"/>
        <v>0</v>
      </c>
    </row>
    <row r="117" spans="1:52" outlineLevel="1">
      <c r="A117" s="95" t="s">
        <v>222</v>
      </c>
      <c r="B117" s="96">
        <v>261561322</v>
      </c>
      <c r="C117" s="96" t="s">
        <v>237</v>
      </c>
      <c r="D117" s="127"/>
      <c r="E117" s="251">
        <f t="shared" si="125"/>
        <v>1</v>
      </c>
      <c r="F117" s="99"/>
      <c r="G117" s="99"/>
      <c r="H117" s="282">
        <v>0</v>
      </c>
      <c r="I117" s="99">
        <v>1</v>
      </c>
      <c r="J117" s="99"/>
      <c r="K117" s="98">
        <v>453</v>
      </c>
      <c r="L117" s="98">
        <f t="shared" si="104"/>
        <v>453</v>
      </c>
      <c r="M117" s="95"/>
      <c r="N117" s="95">
        <v>0</v>
      </c>
      <c r="O117" s="95">
        <v>0</v>
      </c>
      <c r="P117" s="95">
        <v>0</v>
      </c>
      <c r="Q117" s="243">
        <f t="shared" si="105"/>
        <v>0</v>
      </c>
      <c r="R117" s="98">
        <f t="shared" si="106"/>
        <v>0</v>
      </c>
      <c r="S117" s="99">
        <v>0</v>
      </c>
      <c r="T117" s="99">
        <v>0</v>
      </c>
      <c r="U117" s="98">
        <f t="shared" si="126"/>
        <v>0</v>
      </c>
      <c r="V117" s="99">
        <v>0</v>
      </c>
      <c r="W117" s="99">
        <v>0</v>
      </c>
      <c r="X117" s="98">
        <f t="shared" si="127"/>
        <v>0</v>
      </c>
      <c r="Y117" s="99">
        <v>0</v>
      </c>
      <c r="Z117" s="99">
        <v>0</v>
      </c>
      <c r="AA117" s="98">
        <f t="shared" si="128"/>
        <v>0</v>
      </c>
      <c r="AB117" s="98">
        <f t="shared" si="129"/>
        <v>0</v>
      </c>
      <c r="AC117" s="244">
        <f t="shared" si="130"/>
        <v>0</v>
      </c>
      <c r="AD117" s="98">
        <f t="shared" si="131"/>
        <v>0</v>
      </c>
      <c r="AE117" s="99">
        <v>0</v>
      </c>
      <c r="AF117" s="244">
        <f t="shared" si="132"/>
        <v>0</v>
      </c>
      <c r="AG117" s="99">
        <v>0</v>
      </c>
      <c r="AH117" s="99"/>
      <c r="AI117" s="99"/>
      <c r="AJ117" s="99"/>
      <c r="AK117" s="99"/>
      <c r="AL117" s="128">
        <f t="shared" si="133"/>
        <v>0</v>
      </c>
      <c r="AM117" s="99">
        <v>0</v>
      </c>
      <c r="AN117" s="100">
        <f t="shared" si="134"/>
        <v>0</v>
      </c>
      <c r="AO117" s="101">
        <f t="shared" si="116"/>
        <v>0</v>
      </c>
      <c r="AP117" s="102"/>
      <c r="AQ117" s="103">
        <f t="shared" si="117"/>
        <v>0</v>
      </c>
      <c r="AR117" s="104">
        <f t="shared" si="118"/>
        <v>453</v>
      </c>
      <c r="AS117" s="104">
        <f t="shared" si="119"/>
        <v>0</v>
      </c>
      <c r="AT117" s="104">
        <f t="shared" si="120"/>
        <v>0</v>
      </c>
      <c r="AU117" s="104">
        <f t="shared" si="121"/>
        <v>0</v>
      </c>
      <c r="AV117" s="104">
        <f t="array" ref="AV117">_xlfn.IFS(U117=0,AO117,U117&lt;0,AO117/-U117,U117&gt;0,AO117/U117)</f>
        <v>0</v>
      </c>
      <c r="AW117" s="244">
        <f t="shared" si="122"/>
        <v>0</v>
      </c>
      <c r="AX117" s="244">
        <f t="shared" si="123"/>
        <v>0</v>
      </c>
      <c r="AY117" s="105"/>
      <c r="AZ117" s="100">
        <f t="shared" si="124"/>
        <v>0</v>
      </c>
    </row>
    <row r="118" spans="1:52">
      <c r="A118" s="133"/>
      <c r="B118" s="106"/>
      <c r="C118" s="109" t="s">
        <v>252</v>
      </c>
      <c r="D118" s="133"/>
      <c r="E118" s="242"/>
      <c r="F118" s="98"/>
      <c r="G118" s="98"/>
      <c r="H118" s="99"/>
      <c r="I118" s="98"/>
      <c r="J118" s="99"/>
      <c r="K118" s="98"/>
      <c r="L118" s="98"/>
      <c r="M118" s="95"/>
      <c r="N118" s="135"/>
      <c r="O118" s="135"/>
      <c r="P118" s="135"/>
      <c r="Q118" s="243"/>
      <c r="R118" s="134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244"/>
      <c r="AD118" s="98"/>
      <c r="AE118" s="98"/>
      <c r="AF118" s="244"/>
      <c r="AG118" s="111">
        <v>172.96</v>
      </c>
      <c r="AH118" s="99"/>
      <c r="AI118" s="99"/>
      <c r="AJ118" s="99"/>
      <c r="AK118" s="99"/>
      <c r="AL118" s="128"/>
      <c r="AN118" s="100"/>
      <c r="AO118" s="101"/>
      <c r="AP118" s="102"/>
      <c r="AQ118" s="136">
        <f t="shared" ref="AQ118:AX118" si="135">AVERAGE(AQ110:AQ117)</f>
        <v>0</v>
      </c>
      <c r="AR118" s="136">
        <f t="shared" si="135"/>
        <v>227.125</v>
      </c>
      <c r="AS118" s="136">
        <f t="shared" si="135"/>
        <v>0</v>
      </c>
      <c r="AT118" s="136">
        <f t="shared" si="135"/>
        <v>0</v>
      </c>
      <c r="AU118" s="136">
        <f t="shared" si="135"/>
        <v>0</v>
      </c>
      <c r="AV118" s="136">
        <f t="shared" si="135"/>
        <v>0</v>
      </c>
      <c r="AW118" s="137">
        <f t="shared" si="135"/>
        <v>0</v>
      </c>
      <c r="AX118" s="137">
        <f t="shared" si="135"/>
        <v>0</v>
      </c>
      <c r="AY118" s="105"/>
      <c r="AZ118" s="100"/>
    </row>
    <row r="119" spans="1:52" s="145" customFormat="1" ht="15" customHeight="1">
      <c r="A119" s="138" t="s">
        <v>238</v>
      </c>
      <c r="B119" s="139"/>
      <c r="C119" s="140"/>
      <c r="D119" s="140"/>
      <c r="E119" s="274">
        <f t="shared" ref="E119:J119" si="136">SUM(E110:E117)</f>
        <v>14</v>
      </c>
      <c r="F119" s="140">
        <f t="shared" si="136"/>
        <v>0</v>
      </c>
      <c r="G119" s="140">
        <f t="shared" si="136"/>
        <v>0</v>
      </c>
      <c r="H119" s="140">
        <f t="shared" si="136"/>
        <v>0</v>
      </c>
      <c r="I119" s="140">
        <f t="shared" si="136"/>
        <v>8</v>
      </c>
      <c r="J119" s="140">
        <f t="shared" si="136"/>
        <v>6</v>
      </c>
      <c r="K119" s="140"/>
      <c r="L119" s="140">
        <f>SUM(L110:L117)</f>
        <v>3057</v>
      </c>
      <c r="M119" s="140"/>
      <c r="N119" s="140">
        <f>SUM(N110:N117)</f>
        <v>0</v>
      </c>
      <c r="O119" s="140"/>
      <c r="P119" s="140"/>
      <c r="Q119" s="222"/>
      <c r="R119" s="140"/>
      <c r="S119" s="140">
        <f t="shared" ref="S119:AE119" si="137">SUM(S110:S117)</f>
        <v>0</v>
      </c>
      <c r="T119" s="140">
        <f t="shared" si="137"/>
        <v>0</v>
      </c>
      <c r="U119" s="140">
        <f t="shared" si="137"/>
        <v>0</v>
      </c>
      <c r="V119" s="140">
        <f t="shared" si="137"/>
        <v>0</v>
      </c>
      <c r="W119" s="140">
        <f t="shared" si="137"/>
        <v>0</v>
      </c>
      <c r="X119" s="140">
        <f t="shared" si="137"/>
        <v>0</v>
      </c>
      <c r="Y119" s="140">
        <f t="shared" si="137"/>
        <v>0</v>
      </c>
      <c r="Z119" s="140">
        <f t="shared" si="137"/>
        <v>0</v>
      </c>
      <c r="AA119" s="140">
        <f t="shared" si="137"/>
        <v>0</v>
      </c>
      <c r="AB119" s="140">
        <f t="shared" si="137"/>
        <v>0</v>
      </c>
      <c r="AC119" s="275">
        <f t="shared" si="137"/>
        <v>0</v>
      </c>
      <c r="AD119" s="141">
        <f t="shared" si="137"/>
        <v>0</v>
      </c>
      <c r="AE119" s="140">
        <f t="shared" si="137"/>
        <v>0</v>
      </c>
      <c r="AF119" s="275" t="e">
        <f>AE119/AA119</f>
        <v>#DIV/0!</v>
      </c>
      <c r="AG119" s="140">
        <f>SUM(AG110:AG117)+AG118</f>
        <v>172.96</v>
      </c>
      <c r="AH119" s="140">
        <f t="shared" ref="AH119:AO119" si="138">SUM(AH110:AH117)</f>
        <v>0</v>
      </c>
      <c r="AI119" s="140">
        <f t="shared" si="138"/>
        <v>0</v>
      </c>
      <c r="AJ119" s="140">
        <f t="shared" si="138"/>
        <v>0</v>
      </c>
      <c r="AK119" s="140">
        <f t="shared" si="138"/>
        <v>0</v>
      </c>
      <c r="AL119" s="142">
        <f t="shared" si="138"/>
        <v>0</v>
      </c>
      <c r="AM119" s="140">
        <f t="shared" si="138"/>
        <v>0</v>
      </c>
      <c r="AN119" s="140">
        <f t="shared" si="138"/>
        <v>0</v>
      </c>
      <c r="AO119" s="140">
        <f t="shared" si="138"/>
        <v>0</v>
      </c>
      <c r="AP119" s="143"/>
      <c r="AQ119" s="140"/>
      <c r="AR119" s="140"/>
      <c r="AS119" s="140"/>
      <c r="AT119" s="140"/>
      <c r="AU119" s="140" t="e">
        <f>(AH119+AI119+AJ119)/S119</f>
        <v>#DIV/0!</v>
      </c>
      <c r="AV119" s="140"/>
      <c r="AW119" s="140"/>
      <c r="AX119" s="140"/>
      <c r="AY119" s="144"/>
      <c r="AZ119" s="140">
        <f>SUM(AZ110:AZ117)</f>
        <v>0</v>
      </c>
    </row>
    <row r="120" spans="1:52" s="149" customFormat="1">
      <c r="A120" s="146"/>
      <c r="B120" s="147"/>
      <c r="C120" s="148"/>
      <c r="D120" s="148"/>
      <c r="E120" s="276"/>
      <c r="H120" s="150"/>
      <c r="N120" s="150"/>
      <c r="O120" s="150"/>
      <c r="P120" s="150"/>
      <c r="Q120" s="223"/>
      <c r="R120" s="151"/>
      <c r="S120" s="152"/>
      <c r="T120" s="152"/>
      <c r="U120" s="153"/>
      <c r="V120" s="153"/>
      <c r="W120" s="153"/>
      <c r="X120" s="153"/>
      <c r="Y120" s="152"/>
      <c r="Z120" s="153"/>
      <c r="AA120" s="153"/>
      <c r="AB120" s="153"/>
      <c r="AE120" s="154"/>
      <c r="AG120" s="152"/>
      <c r="AH120" s="353"/>
      <c r="AI120" s="353"/>
      <c r="AJ120" s="227"/>
      <c r="AK120" s="227"/>
      <c r="AL120" s="155"/>
      <c r="AM120" s="156"/>
      <c r="AP120" s="157"/>
      <c r="AQ120" s="150"/>
      <c r="AR120" s="150"/>
      <c r="AS120" s="150"/>
      <c r="AT120" s="150"/>
      <c r="AU120" s="150"/>
      <c r="AV120" s="150"/>
      <c r="AW120" s="150"/>
      <c r="AX120" s="150"/>
      <c r="AY120" s="158"/>
    </row>
    <row r="121" spans="1:52" s="164" customFormat="1">
      <c r="A121" s="159" t="s">
        <v>6</v>
      </c>
      <c r="B121" s="160"/>
      <c r="C121" s="161"/>
      <c r="D121" s="161"/>
      <c r="E121" s="277">
        <f t="shared" ref="E121:AE121" si="139">E100+E108+E119</f>
        <v>12587</v>
      </c>
      <c r="F121" s="277">
        <f t="shared" si="139"/>
        <v>0</v>
      </c>
      <c r="G121" s="277">
        <f t="shared" si="139"/>
        <v>0</v>
      </c>
      <c r="H121" s="277">
        <f t="shared" si="139"/>
        <v>12567</v>
      </c>
      <c r="I121" s="277">
        <f t="shared" si="139"/>
        <v>8</v>
      </c>
      <c r="J121" s="277">
        <f t="shared" si="139"/>
        <v>12</v>
      </c>
      <c r="K121" s="277">
        <f t="shared" si="139"/>
        <v>0</v>
      </c>
      <c r="L121" s="277">
        <f t="shared" si="139"/>
        <v>1604925.6099999996</v>
      </c>
      <c r="M121" s="277">
        <f t="shared" si="139"/>
        <v>0</v>
      </c>
      <c r="N121" s="277">
        <f t="shared" si="139"/>
        <v>4962</v>
      </c>
      <c r="O121" s="277">
        <f t="shared" si="139"/>
        <v>0</v>
      </c>
      <c r="P121" s="277">
        <f t="shared" si="139"/>
        <v>0</v>
      </c>
      <c r="Q121" s="224">
        <f t="shared" si="139"/>
        <v>0</v>
      </c>
      <c r="R121" s="277">
        <f t="shared" si="139"/>
        <v>0</v>
      </c>
      <c r="S121" s="277">
        <f t="shared" si="139"/>
        <v>2362</v>
      </c>
      <c r="T121" s="277">
        <f t="shared" si="139"/>
        <v>-53</v>
      </c>
      <c r="U121" s="277">
        <f t="shared" si="139"/>
        <v>2309</v>
      </c>
      <c r="V121" s="277">
        <f t="shared" si="139"/>
        <v>1728382.78</v>
      </c>
      <c r="W121" s="277">
        <f t="shared" si="139"/>
        <v>-44657.88</v>
      </c>
      <c r="X121" s="277">
        <f t="shared" si="139"/>
        <v>1683724.9</v>
      </c>
      <c r="Y121" s="277">
        <f t="shared" si="139"/>
        <v>2303342.0599999991</v>
      </c>
      <c r="Z121" s="277">
        <f t="shared" si="139"/>
        <v>-58267.040000000001</v>
      </c>
      <c r="AA121" s="277">
        <f t="shared" si="139"/>
        <v>2245075.02</v>
      </c>
      <c r="AB121" s="277">
        <f t="shared" si="139"/>
        <v>2920148.8499999992</v>
      </c>
      <c r="AC121" s="277">
        <f t="shared" si="139"/>
        <v>1.0000000000000002</v>
      </c>
      <c r="AD121" s="277">
        <f t="shared" si="139"/>
        <v>292876.64000000007</v>
      </c>
      <c r="AE121" s="277">
        <f t="shared" si="139"/>
        <v>833669.77000000118</v>
      </c>
      <c r="AF121" s="278">
        <f>AE121/AA121</f>
        <v>0.3713327004992471</v>
      </c>
      <c r="AG121" s="277">
        <f>AG100+AG108+AG119</f>
        <v>276831.83000000007</v>
      </c>
      <c r="AH121" s="277">
        <f>AH100+AH108+AH119</f>
        <v>113446</v>
      </c>
      <c r="AI121" s="277">
        <f>AI100+AI108+AI119</f>
        <v>404487</v>
      </c>
      <c r="AJ121" s="277">
        <f>AJ100+AJ108+AJ119</f>
        <v>1873</v>
      </c>
      <c r="AK121" s="277">
        <f>AK100+AK108+AK119</f>
        <v>0</v>
      </c>
      <c r="AL121" s="162">
        <v>40336.35</v>
      </c>
      <c r="AM121" s="277">
        <f>AM100+AM108+AM119</f>
        <v>0</v>
      </c>
      <c r="AN121" s="277">
        <f>AN100+AN108+AN119</f>
        <v>96140.691790000041</v>
      </c>
      <c r="AO121" s="277">
        <f>AO100+AO108+AO119</f>
        <v>187459.69820999919</v>
      </c>
      <c r="AP121" s="161"/>
      <c r="AQ121" s="161"/>
      <c r="AR121" s="161"/>
      <c r="AS121" s="161"/>
      <c r="AT121" s="161"/>
      <c r="AU121" s="161">
        <f>(AH121+AI121)/S121</f>
        <v>219.27730736663844</v>
      </c>
      <c r="AV121" s="161"/>
      <c r="AW121" s="161"/>
      <c r="AX121" s="161"/>
      <c r="AY121" s="163"/>
      <c r="AZ121" s="161">
        <f>AZ100+AZ119</f>
        <v>-416623.22376924305</v>
      </c>
    </row>
    <row r="122" spans="1:52" s="149" customFormat="1">
      <c r="A122" s="148"/>
      <c r="B122" s="147"/>
      <c r="C122" s="165" t="s">
        <v>239</v>
      </c>
      <c r="D122" s="148"/>
      <c r="E122" s="276"/>
      <c r="N122" s="150"/>
      <c r="O122" s="150"/>
      <c r="P122" s="150"/>
      <c r="R122" s="151"/>
      <c r="S122" s="152"/>
      <c r="T122" s="152"/>
      <c r="U122" s="153"/>
      <c r="V122" s="153"/>
      <c r="W122" s="153"/>
      <c r="X122" s="153"/>
      <c r="Y122" s="152"/>
      <c r="Z122" s="153"/>
      <c r="AA122" s="153"/>
      <c r="AB122" s="153"/>
      <c r="AE122" s="154"/>
      <c r="AG122" s="166"/>
      <c r="AH122" s="353">
        <f>AH101+AH109+AH120</f>
        <v>0</v>
      </c>
      <c r="AI122" s="353"/>
      <c r="AJ122" s="227"/>
      <c r="AK122" s="227"/>
      <c r="AL122" s="155"/>
      <c r="AM122" s="156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8"/>
    </row>
    <row r="123" spans="1:52">
      <c r="C123" s="168"/>
      <c r="D123" s="168"/>
    </row>
    <row r="124" spans="1:52">
      <c r="C124" s="168"/>
      <c r="D124" s="168"/>
    </row>
  </sheetData>
  <mergeCells count="12">
    <mergeCell ref="AQ1:AX1"/>
    <mergeCell ref="AH101:AI101"/>
    <mergeCell ref="AH109:AI109"/>
    <mergeCell ref="AH120:AI120"/>
    <mergeCell ref="AH122:AI122"/>
    <mergeCell ref="F1:H1"/>
    <mergeCell ref="I1:J1"/>
    <mergeCell ref="N1:P1"/>
    <mergeCell ref="S1:T1"/>
    <mergeCell ref="V1:W1"/>
    <mergeCell ref="Y1:Z1"/>
    <mergeCell ref="AH1:AI1"/>
  </mergeCells>
  <conditionalFormatting sqref="AC123:AC1048576">
    <cfRule type="cellIs" dxfId="11" priority="12" operator="greaterThan">
      <formula>0.23</formula>
    </cfRule>
  </conditionalFormatting>
  <conditionalFormatting sqref="M118:O118 M3:M99 M101:M107">
    <cfRule type="cellIs" dxfId="10" priority="27" operator="greaterThan">
      <formula>120</formula>
    </cfRule>
  </conditionalFormatting>
  <conditionalFormatting sqref="AC120 AC122">
    <cfRule type="cellIs" dxfId="9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8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7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6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dimension ref="A1:AZ124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AK11" sqref="AK11"/>
    </sheetView>
  </sheetViews>
  <sheetFormatPr defaultColWidth="12.54296875" defaultRowHeight="14.5" outlineLevelRow="1"/>
  <cols>
    <col min="1" max="1" width="9.08984375" style="167" customWidth="1"/>
    <col min="2" max="2" width="12.54296875" style="172"/>
    <col min="3" max="3" width="19.90625" style="167" customWidth="1"/>
    <col min="4" max="4" width="16.6328125" style="167" customWidth="1"/>
    <col min="5" max="5" width="12.36328125" style="279" customWidth="1"/>
    <col min="6" max="6" width="10.90625" style="106" customWidth="1"/>
    <col min="7" max="9" width="12.36328125" style="106" customWidth="1"/>
    <col min="10" max="10" width="11.7265625" style="106" customWidth="1"/>
    <col min="11" max="11" width="13.36328125" style="106" customWidth="1"/>
    <col min="12" max="12" width="14.1796875" style="106" customWidth="1"/>
    <col min="13" max="13" width="14.26953125" style="106" customWidth="1"/>
    <col min="14" max="14" width="13.6328125" style="106" customWidth="1"/>
    <col min="15" max="15" width="15.08984375" style="106" customWidth="1"/>
    <col min="16" max="16" width="14.54296875" style="106" customWidth="1"/>
    <col min="17" max="18" width="11" style="106" customWidth="1"/>
    <col min="19" max="19" width="11.1796875" style="106" customWidth="1"/>
    <col min="20" max="20" width="12.08984375" style="106" customWidth="1"/>
    <col min="21" max="24" width="11.26953125" style="169" customWidth="1"/>
    <col min="25" max="25" width="13.1796875" style="169" customWidth="1"/>
    <col min="26" max="26" width="12.36328125" style="169" customWidth="1"/>
    <col min="27" max="27" width="20.7265625" style="169" customWidth="1"/>
    <col min="28" max="28" width="15.90625" style="169" customWidth="1"/>
    <col min="29" max="29" width="13.36328125" style="170" customWidth="1"/>
    <col min="30" max="30" width="14.453125" style="106" customWidth="1"/>
    <col min="31" max="31" width="17.81640625" style="106" customWidth="1"/>
    <col min="32" max="32" width="14.26953125" style="106" customWidth="1"/>
    <col min="33" max="33" width="19.08984375" style="106" customWidth="1"/>
    <col min="34" max="37" width="10.36328125" style="98" customWidth="1"/>
    <col min="38" max="38" width="18.08984375" style="171" customWidth="1"/>
    <col min="39" max="39" width="18" style="98" customWidth="1"/>
    <col min="40" max="40" width="12.54296875" style="106" customWidth="1"/>
    <col min="41" max="41" width="18.90625" style="106" customWidth="1"/>
    <col min="42" max="42" width="3.08984375" style="106" customWidth="1"/>
    <col min="43" max="43" width="19.90625" style="106" customWidth="1"/>
    <col min="44" max="44" width="14.26953125" style="106" customWidth="1"/>
    <col min="45" max="45" width="9.6328125" style="106" customWidth="1"/>
    <col min="46" max="46" width="11.1796875" style="106" customWidth="1"/>
    <col min="47" max="47" width="9.54296875" style="106" customWidth="1"/>
    <col min="48" max="48" width="10.1796875" style="106" customWidth="1"/>
    <col min="49" max="49" width="11.7265625" style="106" customWidth="1"/>
    <col min="50" max="50" width="12.54296875" style="106"/>
    <col min="51" max="51" width="3.36328125" style="119" customWidth="1"/>
    <col min="52" max="16384" width="12.54296875" style="106"/>
  </cols>
  <sheetData>
    <row r="1" spans="1:52" s="80" customFormat="1" ht="16" customHeight="1">
      <c r="A1" s="78" t="s">
        <v>117</v>
      </c>
      <c r="B1" s="79"/>
      <c r="C1" s="78"/>
      <c r="D1" s="78"/>
      <c r="E1" s="232"/>
      <c r="F1" s="354" t="s">
        <v>42</v>
      </c>
      <c r="G1" s="354"/>
      <c r="H1" s="354"/>
      <c r="I1" s="355" t="s">
        <v>118</v>
      </c>
      <c r="J1" s="356"/>
      <c r="M1" s="233" t="s">
        <v>43</v>
      </c>
      <c r="N1" s="354" t="s">
        <v>119</v>
      </c>
      <c r="O1" s="354"/>
      <c r="P1" s="354"/>
      <c r="R1" s="234"/>
      <c r="S1" s="357"/>
      <c r="T1" s="357"/>
      <c r="U1" s="234"/>
      <c r="V1" s="358"/>
      <c r="W1" s="359"/>
      <c r="X1" s="234"/>
      <c r="Y1" s="357"/>
      <c r="Z1" s="357"/>
      <c r="AA1" s="234"/>
      <c r="AB1" s="234"/>
      <c r="AC1" s="234"/>
      <c r="AD1" s="234"/>
      <c r="AE1" s="235"/>
      <c r="AF1" s="234"/>
      <c r="AG1" s="235"/>
      <c r="AH1" s="346"/>
      <c r="AI1" s="346"/>
      <c r="AJ1" s="293" t="s">
        <v>251</v>
      </c>
      <c r="AK1" s="228"/>
      <c r="AL1" s="236" t="s">
        <v>44</v>
      </c>
      <c r="AM1" s="235"/>
      <c r="AQ1" s="347" t="s">
        <v>45</v>
      </c>
      <c r="AR1" s="348"/>
      <c r="AS1" s="348"/>
      <c r="AT1" s="348"/>
      <c r="AU1" s="348"/>
      <c r="AV1" s="348"/>
      <c r="AW1" s="348"/>
      <c r="AX1" s="349"/>
      <c r="AY1" s="237"/>
    </row>
    <row r="2" spans="1:52" s="94" customFormat="1" ht="50.5" customHeight="1">
      <c r="A2" s="81" t="s">
        <v>46</v>
      </c>
      <c r="B2" s="82" t="s">
        <v>47</v>
      </c>
      <c r="C2" s="81" t="s">
        <v>48</v>
      </c>
      <c r="D2" s="81" t="s">
        <v>49</v>
      </c>
      <c r="E2" s="238" t="s">
        <v>50</v>
      </c>
      <c r="F2" s="83" t="s">
        <v>51</v>
      </c>
      <c r="G2" s="83" t="s">
        <v>52</v>
      </c>
      <c r="H2" s="83" t="s">
        <v>53</v>
      </c>
      <c r="I2" s="239" t="s">
        <v>120</v>
      </c>
      <c r="J2" s="239" t="s">
        <v>121</v>
      </c>
      <c r="K2" s="81" t="s">
        <v>54</v>
      </c>
      <c r="L2" s="81" t="s">
        <v>55</v>
      </c>
      <c r="M2" s="84" t="s">
        <v>56</v>
      </c>
      <c r="N2" s="84" t="s">
        <v>241</v>
      </c>
      <c r="O2" s="84" t="s">
        <v>57</v>
      </c>
      <c r="P2" s="84" t="s">
        <v>58</v>
      </c>
      <c r="Q2" s="85" t="s">
        <v>59</v>
      </c>
      <c r="R2" s="85" t="s">
        <v>60</v>
      </c>
      <c r="S2" s="86" t="s">
        <v>61</v>
      </c>
      <c r="T2" s="86" t="s">
        <v>62</v>
      </c>
      <c r="U2" s="81" t="s">
        <v>63</v>
      </c>
      <c r="V2" s="83" t="s">
        <v>64</v>
      </c>
      <c r="W2" s="83" t="s">
        <v>65</v>
      </c>
      <c r="X2" s="87" t="s">
        <v>66</v>
      </c>
      <c r="Y2" s="86" t="s">
        <v>67</v>
      </c>
      <c r="Z2" s="86" t="s">
        <v>68</v>
      </c>
      <c r="AA2" s="88" t="s">
        <v>69</v>
      </c>
      <c r="AB2" s="89" t="s">
        <v>70</v>
      </c>
      <c r="AC2" s="88" t="s">
        <v>71</v>
      </c>
      <c r="AD2" s="88" t="s">
        <v>17</v>
      </c>
      <c r="AE2" s="90" t="s">
        <v>72</v>
      </c>
      <c r="AF2" s="91" t="s">
        <v>73</v>
      </c>
      <c r="AG2" s="86" t="s">
        <v>7</v>
      </c>
      <c r="AH2" s="85" t="s">
        <v>24</v>
      </c>
      <c r="AI2" s="85" t="s">
        <v>25</v>
      </c>
      <c r="AJ2" s="292" t="s">
        <v>122</v>
      </c>
      <c r="AK2" s="85" t="s">
        <v>26</v>
      </c>
      <c r="AL2" s="86" t="s">
        <v>8</v>
      </c>
      <c r="AM2" s="86" t="s">
        <v>74</v>
      </c>
      <c r="AN2" s="240" t="s">
        <v>123</v>
      </c>
      <c r="AO2" s="81" t="s">
        <v>10</v>
      </c>
      <c r="AP2" s="92"/>
      <c r="AQ2" s="91" t="s">
        <v>75</v>
      </c>
      <c r="AR2" s="91" t="s">
        <v>76</v>
      </c>
      <c r="AS2" s="91" t="s">
        <v>77</v>
      </c>
      <c r="AT2" s="91" t="s">
        <v>78</v>
      </c>
      <c r="AU2" s="91" t="s">
        <v>79</v>
      </c>
      <c r="AV2" s="241" t="s">
        <v>80</v>
      </c>
      <c r="AW2" s="241" t="s">
        <v>81</v>
      </c>
      <c r="AX2" s="241" t="s">
        <v>82</v>
      </c>
      <c r="AY2" s="93"/>
      <c r="AZ2" s="81" t="s">
        <v>83</v>
      </c>
    </row>
    <row r="3" spans="1:52" outlineLevel="1">
      <c r="A3" s="95" t="s">
        <v>124</v>
      </c>
      <c r="B3" s="96">
        <v>170499929</v>
      </c>
      <c r="C3" s="96" t="s">
        <v>125</v>
      </c>
      <c r="D3" s="97" t="s">
        <v>84</v>
      </c>
      <c r="E3" s="242">
        <f>SUM(F3:J3)</f>
        <v>887</v>
      </c>
      <c r="F3" s="99"/>
      <c r="G3" s="99"/>
      <c r="H3" s="282">
        <v>887</v>
      </c>
      <c r="I3" s="99"/>
      <c r="J3" s="99"/>
      <c r="K3" s="98">
        <v>142.97999999999999</v>
      </c>
      <c r="L3" s="98">
        <f t="shared" ref="L3" si="0">E3*K3</f>
        <v>126823.26</v>
      </c>
      <c r="M3" s="95"/>
      <c r="N3" s="95">
        <v>7</v>
      </c>
      <c r="O3" s="95">
        <v>1618</v>
      </c>
      <c r="P3" s="95">
        <v>43</v>
      </c>
      <c r="Q3" s="243">
        <f>N3/3</f>
        <v>2.3333333333333335</v>
      </c>
      <c r="R3" s="98">
        <f>U3/3</f>
        <v>2.6666666666666665</v>
      </c>
      <c r="S3" s="99">
        <v>8</v>
      </c>
      <c r="T3" s="99">
        <v>0</v>
      </c>
      <c r="U3" s="98">
        <f t="shared" ref="U3" si="1">S3+T3</f>
        <v>8</v>
      </c>
      <c r="V3" s="99">
        <v>10721</v>
      </c>
      <c r="W3" s="99">
        <v>0</v>
      </c>
      <c r="X3" s="98">
        <f t="shared" ref="X3" si="2">V3+W3</f>
        <v>10721</v>
      </c>
      <c r="Y3" s="99">
        <v>12895.46</v>
      </c>
      <c r="Z3" s="99">
        <v>0</v>
      </c>
      <c r="AA3" s="98">
        <f t="shared" ref="AA3" si="3">Y3+Z3</f>
        <v>12895.46</v>
      </c>
      <c r="AB3" s="98">
        <f>N3*O3*P3/100</f>
        <v>4870.18</v>
      </c>
      <c r="AC3" s="244">
        <f t="shared" ref="AC3" si="4">AA3/$AA$121</f>
        <v>9.8110166597217233E-2</v>
      </c>
      <c r="AD3" s="98">
        <f t="shared" ref="AD3" si="5">U3*K3</f>
        <v>1143.8399999999999</v>
      </c>
      <c r="AE3" s="99">
        <v>4749.3999999999996</v>
      </c>
      <c r="AF3" s="244">
        <f t="shared" ref="AF3" si="6">IF(AA3=0,0,AE3/AA3)</f>
        <v>0.36830016145216998</v>
      </c>
      <c r="AG3" s="99">
        <v>1962.74</v>
      </c>
      <c r="AH3" s="99"/>
      <c r="AI3" s="99"/>
      <c r="AJ3" s="99"/>
      <c r="AK3" s="99"/>
      <c r="AL3" s="128">
        <f t="shared" ref="AL3" si="7">IFERROR($AL$121*H3/$H$121,0)</f>
        <v>255.23889074560353</v>
      </c>
      <c r="AM3" s="99">
        <v>0</v>
      </c>
      <c r="AN3" s="100">
        <f>X3*5.71%</f>
        <v>612.16909999999996</v>
      </c>
      <c r="AO3" s="101">
        <f>AA3-AD3-AE3-AG3-AH3-AI3-AK3-AL3-AN3-AM3</f>
        <v>4172.0720092543961</v>
      </c>
      <c r="AP3" s="102"/>
      <c r="AQ3" s="103">
        <f t="shared" ref="AQ3:AQ97" si="8">IF(U3=0,0,AA3/U3)</f>
        <v>1611.9324999999999</v>
      </c>
      <c r="AR3" s="104">
        <f t="shared" ref="AR3:AR19" si="9">K3</f>
        <v>142.97999999999999</v>
      </c>
      <c r="AS3" s="104">
        <f t="shared" ref="AS3:AS97" si="10">IF(U3=0,0,AE3/U3)</f>
        <v>593.67499999999995</v>
      </c>
      <c r="AT3" s="104">
        <f t="shared" ref="AT3:AT97" si="11">IF(S3=0,AG3/1,AG3/S3)</f>
        <v>245.3425</v>
      </c>
      <c r="AU3" s="104">
        <f>IF(S3=0,0,(AH3+AI3+AJ3)/S3)</f>
        <v>0</v>
      </c>
      <c r="AV3" s="104">
        <f>_xlfn.IFS(U3=0,AO3,U3&lt;0,AO3/-U3,U3&gt;0,AO3/U3)</f>
        <v>521.50900115679951</v>
      </c>
      <c r="AW3" s="244">
        <f t="shared" ref="AW3" si="12">IF(AQ3=0,0,AV3/AQ3)</f>
        <v>0.32353029742672201</v>
      </c>
      <c r="AX3" s="244">
        <f t="shared" ref="AX3" si="13">IF(AR3=0,0,AV3/AR3)</f>
        <v>3.6474262215470663</v>
      </c>
      <c r="AY3" s="105"/>
      <c r="AZ3" s="100">
        <f t="shared" ref="AZ3:AZ97" si="14">AV3*E3</f>
        <v>462578.48402608116</v>
      </c>
    </row>
    <row r="4" spans="1:52" outlineLevel="1">
      <c r="A4" s="95" t="s">
        <v>124</v>
      </c>
      <c r="B4" s="96">
        <v>170500631</v>
      </c>
      <c r="C4" s="96" t="s">
        <v>126</v>
      </c>
      <c r="D4" s="97" t="s">
        <v>84</v>
      </c>
      <c r="E4" s="242">
        <f>SUM(F4:J4)</f>
        <v>349</v>
      </c>
      <c r="F4" s="99"/>
      <c r="G4" s="99"/>
      <c r="H4" s="282">
        <v>349</v>
      </c>
      <c r="I4" s="99"/>
      <c r="J4" s="99"/>
      <c r="K4" s="98">
        <v>123.09</v>
      </c>
      <c r="L4" s="98">
        <f>E4*K4</f>
        <v>42958.41</v>
      </c>
      <c r="M4" s="95"/>
      <c r="N4" s="95">
        <v>28</v>
      </c>
      <c r="O4" s="95">
        <v>659</v>
      </c>
      <c r="P4" s="95">
        <v>89</v>
      </c>
      <c r="Q4" s="243">
        <f t="shared" ref="Q4:Q67" si="15">N4/3</f>
        <v>9.3333333333333339</v>
      </c>
      <c r="R4" s="98">
        <f t="shared" ref="R4:R67" si="16">U4/3</f>
        <v>13.333333333333334</v>
      </c>
      <c r="S4" s="99">
        <v>40</v>
      </c>
      <c r="T4" s="99">
        <v>0</v>
      </c>
      <c r="U4" s="98">
        <f t="shared" ref="U4:U67" si="17">S4+T4</f>
        <v>40</v>
      </c>
      <c r="V4" s="99">
        <v>22339.91</v>
      </c>
      <c r="W4" s="99">
        <v>0</v>
      </c>
      <c r="X4" s="98">
        <f t="shared" ref="X4:X67" si="18">V4+W4</f>
        <v>22339.91</v>
      </c>
      <c r="Y4" s="99">
        <v>26338.76</v>
      </c>
      <c r="Z4" s="99">
        <v>0</v>
      </c>
      <c r="AA4" s="98">
        <f t="shared" ref="AA4:AA67" si="19">Y4+Z4</f>
        <v>26338.76</v>
      </c>
      <c r="AB4" s="98">
        <f t="shared" ref="AB4:AB67" si="20">N4*O4*P4/100</f>
        <v>16422.28</v>
      </c>
      <c r="AC4" s="244">
        <f t="shared" ref="AC4:AC67" si="21">AA4/$AA$121</f>
        <v>0.20038836393305251</v>
      </c>
      <c r="AD4" s="98">
        <f t="shared" ref="AD4:AD67" si="22">U4*K4</f>
        <v>4923.6000000000004</v>
      </c>
      <c r="AE4" s="99">
        <v>9873.8299999999981</v>
      </c>
      <c r="AF4" s="244">
        <f t="shared" ref="AF4:AF67" si="23">IF(AA4=0,0,AE4/AA4)</f>
        <v>0.3748783162153419</v>
      </c>
      <c r="AG4" s="99">
        <v>3262.7500000000005</v>
      </c>
      <c r="AH4" s="99"/>
      <c r="AI4" s="99"/>
      <c r="AJ4" s="99"/>
      <c r="AK4" s="99"/>
      <c r="AL4" s="128">
        <f t="shared" ref="AL4:AL67" si="24">IFERROR($AL$121*H4/$H$121,0)</f>
        <v>100.42657595289249</v>
      </c>
      <c r="AM4" s="99">
        <v>0</v>
      </c>
      <c r="AN4" s="100">
        <f t="shared" ref="AN4:AN67" si="25">X4*5.71%</f>
        <v>1275.6088609999999</v>
      </c>
      <c r="AO4" s="101">
        <f t="shared" ref="AO4:AO67" si="26">AA4-AD4-AE4-AG4-AH4-AI4-AK4-AL4-AN4-AM4</f>
        <v>6902.5445630471058</v>
      </c>
      <c r="AP4" s="102"/>
      <c r="AQ4" s="103">
        <f t="shared" si="8"/>
        <v>658.46899999999994</v>
      </c>
      <c r="AR4" s="104">
        <f t="shared" si="9"/>
        <v>123.09</v>
      </c>
      <c r="AS4" s="104">
        <f t="shared" si="10"/>
        <v>246.84574999999995</v>
      </c>
      <c r="AT4" s="104">
        <f t="shared" si="11"/>
        <v>81.568750000000009</v>
      </c>
      <c r="AU4" s="104">
        <f t="shared" ref="AU4:AU70" si="27">IF(S4=0,0,(AH4+AI4+AJ4)/S4)</f>
        <v>0</v>
      </c>
      <c r="AV4" s="104">
        <f t="array" ref="AV4">_xlfn.IFS(U4=0,AO4,U4&lt;0,AO4/-U4,U4&gt;0,AO4/U4)</f>
        <v>172.56361407617766</v>
      </c>
      <c r="AW4" s="244">
        <f>IF(AQ4=0,0,AV4/AQ4)</f>
        <v>0.26206793953273072</v>
      </c>
      <c r="AX4" s="244">
        <f>IF(AR4=0,0,AV4/AR4)</f>
        <v>1.4019304092629592</v>
      </c>
      <c r="AY4" s="105"/>
      <c r="AZ4" s="100">
        <f t="shared" si="14"/>
        <v>60224.701312586003</v>
      </c>
    </row>
    <row r="5" spans="1:52" outlineLevel="1">
      <c r="A5" s="95" t="s">
        <v>124</v>
      </c>
      <c r="B5" s="96">
        <v>170500399</v>
      </c>
      <c r="C5" s="96" t="s">
        <v>127</v>
      </c>
      <c r="D5" s="97" t="s">
        <v>84</v>
      </c>
      <c r="E5" s="242">
        <f>SUM(F5:J5)</f>
        <v>728</v>
      </c>
      <c r="F5" s="99"/>
      <c r="G5" s="99"/>
      <c r="H5" s="282">
        <v>728</v>
      </c>
      <c r="I5" s="99"/>
      <c r="J5" s="99"/>
      <c r="K5" s="98">
        <v>123.09</v>
      </c>
      <c r="L5" s="98">
        <f>E5*K5</f>
        <v>89609.52</v>
      </c>
      <c r="M5" s="95"/>
      <c r="N5" s="95">
        <v>14</v>
      </c>
      <c r="O5" s="95">
        <v>1323</v>
      </c>
      <c r="P5" s="95">
        <v>46</v>
      </c>
      <c r="Q5" s="243">
        <f t="shared" si="15"/>
        <v>4.666666666666667</v>
      </c>
      <c r="R5" s="98">
        <f t="shared" si="16"/>
        <v>1.3333333333333333</v>
      </c>
      <c r="S5" s="99">
        <v>4</v>
      </c>
      <c r="T5" s="99">
        <v>0</v>
      </c>
      <c r="U5" s="98">
        <f t="shared" si="17"/>
        <v>4</v>
      </c>
      <c r="V5" s="99">
        <v>4437.1000000000004</v>
      </c>
      <c r="W5" s="99">
        <v>0</v>
      </c>
      <c r="X5" s="98">
        <f t="shared" si="18"/>
        <v>4437.1000000000004</v>
      </c>
      <c r="Y5" s="99">
        <v>5292.7800000000007</v>
      </c>
      <c r="Z5" s="99">
        <v>0</v>
      </c>
      <c r="AA5" s="98">
        <f t="shared" si="19"/>
        <v>5292.7800000000007</v>
      </c>
      <c r="AB5" s="98">
        <f t="shared" si="20"/>
        <v>8520.1200000000008</v>
      </c>
      <c r="AC5" s="244">
        <f t="shared" si="21"/>
        <v>4.0268088735292848E-2</v>
      </c>
      <c r="AD5" s="98">
        <f t="shared" si="22"/>
        <v>492.36</v>
      </c>
      <c r="AE5" s="99">
        <v>1957.9800000000005</v>
      </c>
      <c r="AF5" s="244">
        <f t="shared" si="23"/>
        <v>0.36993413669187086</v>
      </c>
      <c r="AG5" s="99">
        <v>746.67</v>
      </c>
      <c r="AH5" s="99"/>
      <c r="AI5" s="99"/>
      <c r="AJ5" s="99"/>
      <c r="AK5" s="99"/>
      <c r="AL5" s="128">
        <f t="shared" si="24"/>
        <v>209.48580886448633</v>
      </c>
      <c r="AM5" s="99">
        <v>0</v>
      </c>
      <c r="AN5" s="100">
        <f t="shared" si="25"/>
        <v>253.35841000000002</v>
      </c>
      <c r="AO5" s="101">
        <f t="shared" si="26"/>
        <v>1632.9257811355139</v>
      </c>
      <c r="AP5" s="102"/>
      <c r="AQ5" s="103">
        <f t="shared" si="8"/>
        <v>1323.1950000000002</v>
      </c>
      <c r="AR5" s="104">
        <f t="shared" si="9"/>
        <v>123.09</v>
      </c>
      <c r="AS5" s="104">
        <f t="shared" si="10"/>
        <v>489.49500000000012</v>
      </c>
      <c r="AT5" s="104">
        <f t="shared" si="11"/>
        <v>186.66749999999999</v>
      </c>
      <c r="AU5" s="104">
        <f t="shared" si="27"/>
        <v>0</v>
      </c>
      <c r="AV5" s="104">
        <f t="array" ref="AV5">_xlfn.IFS(U5=0,AO5,U5&lt;0,AO5/-U5,U5&gt;0,AO5/U5)</f>
        <v>408.23144528387849</v>
      </c>
      <c r="AW5" s="244">
        <f>IF(AQ5=0,0,AV5/AQ5)</f>
        <v>0.30851948902760246</v>
      </c>
      <c r="AX5" s="244">
        <f>IF(AR5=0,0,AV5/AR5)</f>
        <v>3.3165281118196317</v>
      </c>
      <c r="AY5" s="105"/>
      <c r="AZ5" s="100">
        <f t="shared" si="14"/>
        <v>297192.49216666352</v>
      </c>
    </row>
    <row r="6" spans="1:52" outlineLevel="1">
      <c r="A6" s="95" t="s">
        <v>124</v>
      </c>
      <c r="B6" s="96">
        <v>170500725</v>
      </c>
      <c r="C6" s="96" t="s">
        <v>128</v>
      </c>
      <c r="D6" s="97" t="s">
        <v>84</v>
      </c>
      <c r="E6" s="242">
        <f t="shared" ref="E6" si="28">SUM(F6:J6)</f>
        <v>523</v>
      </c>
      <c r="F6" s="99"/>
      <c r="G6" s="99"/>
      <c r="H6" s="282">
        <v>523</v>
      </c>
      <c r="I6" s="99"/>
      <c r="J6" s="99"/>
      <c r="K6" s="98">
        <v>123.09</v>
      </c>
      <c r="L6" s="98">
        <f t="shared" ref="L6" si="29">E6*K6</f>
        <v>64376.07</v>
      </c>
      <c r="M6" s="95"/>
      <c r="N6" s="95">
        <v>8</v>
      </c>
      <c r="O6" s="95">
        <v>1357</v>
      </c>
      <c r="P6" s="95">
        <v>50</v>
      </c>
      <c r="Q6" s="243">
        <f t="shared" si="15"/>
        <v>2.6666666666666665</v>
      </c>
      <c r="R6" s="98">
        <f t="shared" si="16"/>
        <v>3.3333333333333335</v>
      </c>
      <c r="S6" s="99">
        <v>10</v>
      </c>
      <c r="T6" s="99">
        <v>0</v>
      </c>
      <c r="U6" s="98">
        <f t="shared" si="17"/>
        <v>10</v>
      </c>
      <c r="V6" s="99">
        <v>11415</v>
      </c>
      <c r="W6" s="99">
        <v>0</v>
      </c>
      <c r="X6" s="98">
        <f t="shared" si="18"/>
        <v>11415</v>
      </c>
      <c r="Y6" s="99">
        <v>13393</v>
      </c>
      <c r="Z6" s="99">
        <v>0</v>
      </c>
      <c r="AA6" s="98">
        <f t="shared" si="19"/>
        <v>13393</v>
      </c>
      <c r="AB6" s="98">
        <f t="shared" si="20"/>
        <v>5428</v>
      </c>
      <c r="AC6" s="244">
        <f t="shared" si="21"/>
        <v>0.10189550905795763</v>
      </c>
      <c r="AD6" s="98">
        <f t="shared" si="22"/>
        <v>1230.9000000000001</v>
      </c>
      <c r="AE6" s="99">
        <v>4937.93</v>
      </c>
      <c r="AF6" s="244">
        <f t="shared" si="23"/>
        <v>0.3686948405883671</v>
      </c>
      <c r="AG6" s="99">
        <v>1188.1600000000001</v>
      </c>
      <c r="AH6" s="99"/>
      <c r="AI6" s="99"/>
      <c r="AJ6" s="99"/>
      <c r="AK6" s="99"/>
      <c r="AL6" s="128">
        <f t="shared" si="24"/>
        <v>150.49598631336036</v>
      </c>
      <c r="AM6" s="99">
        <v>0</v>
      </c>
      <c r="AN6" s="100">
        <f t="shared" si="25"/>
        <v>651.79649999999992</v>
      </c>
      <c r="AO6" s="101">
        <f t="shared" si="26"/>
        <v>5233.7175136866408</v>
      </c>
      <c r="AP6" s="102"/>
      <c r="AQ6" s="103">
        <f t="shared" si="8"/>
        <v>1339.3</v>
      </c>
      <c r="AR6" s="104">
        <f t="shared" si="9"/>
        <v>123.09</v>
      </c>
      <c r="AS6" s="104">
        <f t="shared" si="10"/>
        <v>493.79300000000001</v>
      </c>
      <c r="AT6" s="104">
        <f t="shared" si="11"/>
        <v>118.816</v>
      </c>
      <c r="AU6" s="104">
        <f t="shared" si="27"/>
        <v>0</v>
      </c>
      <c r="AV6" s="104">
        <f t="array" ref="AV6">_xlfn.IFS(U6=0,AO6,U6&lt;0,AO6/-U6,U6&gt;0,AO6/U6)</f>
        <v>523.37175136866404</v>
      </c>
      <c r="AW6" s="244">
        <f t="shared" ref="AW6" si="30">IF(AQ6=0,0,AV6/AQ6)</f>
        <v>0.39078007270116033</v>
      </c>
      <c r="AX6" s="244">
        <f t="shared" ref="AX6" si="31">IF(AR6=0,0,AV6/AR6)</f>
        <v>4.2519437108511173</v>
      </c>
      <c r="AY6" s="105"/>
      <c r="AZ6" s="100">
        <f t="shared" si="14"/>
        <v>273723.4259658113</v>
      </c>
    </row>
    <row r="7" spans="1:52" outlineLevel="1">
      <c r="A7" s="95" t="s">
        <v>124</v>
      </c>
      <c r="B7" s="96">
        <v>246275459</v>
      </c>
      <c r="C7" s="96" t="s">
        <v>129</v>
      </c>
      <c r="D7" s="97" t="s">
        <v>84</v>
      </c>
      <c r="E7" s="242">
        <f>SUM(F7:J7)</f>
        <v>441</v>
      </c>
      <c r="F7" s="99"/>
      <c r="G7" s="99"/>
      <c r="H7" s="282">
        <v>441</v>
      </c>
      <c r="I7" s="99"/>
      <c r="J7" s="99"/>
      <c r="K7" s="98">
        <v>117.24</v>
      </c>
      <c r="L7" s="98">
        <f>E7*K7</f>
        <v>51702.84</v>
      </c>
      <c r="M7" s="95"/>
      <c r="N7" s="95">
        <v>4</v>
      </c>
      <c r="O7" s="95">
        <v>1274</v>
      </c>
      <c r="P7" s="95">
        <v>25</v>
      </c>
      <c r="Q7" s="243">
        <f t="shared" si="15"/>
        <v>1.3333333333333333</v>
      </c>
      <c r="R7" s="98">
        <f t="shared" si="16"/>
        <v>0.66666666666666663</v>
      </c>
      <c r="S7" s="99">
        <v>2</v>
      </c>
      <c r="T7" s="99">
        <v>0</v>
      </c>
      <c r="U7" s="98">
        <f t="shared" si="17"/>
        <v>2</v>
      </c>
      <c r="V7" s="99">
        <v>2119</v>
      </c>
      <c r="W7" s="99">
        <v>0</v>
      </c>
      <c r="X7" s="98">
        <f t="shared" si="18"/>
        <v>2119</v>
      </c>
      <c r="Y7" s="99">
        <v>2548</v>
      </c>
      <c r="Z7" s="99">
        <v>0</v>
      </c>
      <c r="AA7" s="98">
        <f t="shared" si="19"/>
        <v>2548</v>
      </c>
      <c r="AB7" s="98">
        <f t="shared" si="20"/>
        <v>1274</v>
      </c>
      <c r="AC7" s="244">
        <f t="shared" si="21"/>
        <v>1.9385481750143811E-2</v>
      </c>
      <c r="AD7" s="98">
        <f t="shared" si="22"/>
        <v>234.48</v>
      </c>
      <c r="AE7" s="99">
        <v>938.44</v>
      </c>
      <c r="AF7" s="244">
        <f t="shared" si="23"/>
        <v>0.3683045525902669</v>
      </c>
      <c r="AG7" s="99">
        <v>478.27</v>
      </c>
      <c r="AH7" s="99"/>
      <c r="AI7" s="99"/>
      <c r="AJ7" s="99"/>
      <c r="AK7" s="99"/>
      <c r="AL7" s="128">
        <f t="shared" si="24"/>
        <v>126.90005729291001</v>
      </c>
      <c r="AM7" s="99">
        <v>0</v>
      </c>
      <c r="AN7" s="100">
        <f t="shared" si="25"/>
        <v>120.9949</v>
      </c>
      <c r="AO7" s="101">
        <f t="shared" si="26"/>
        <v>648.91504270708992</v>
      </c>
      <c r="AP7" s="102"/>
      <c r="AQ7" s="103">
        <f t="shared" si="8"/>
        <v>1274</v>
      </c>
      <c r="AR7" s="104">
        <f t="shared" si="9"/>
        <v>117.24</v>
      </c>
      <c r="AS7" s="104">
        <f t="shared" si="10"/>
        <v>469.22</v>
      </c>
      <c r="AT7" s="104">
        <f t="shared" si="11"/>
        <v>239.13499999999999</v>
      </c>
      <c r="AU7" s="104">
        <f t="shared" si="27"/>
        <v>0</v>
      </c>
      <c r="AV7" s="104">
        <f t="array" ref="AV7">_xlfn.IFS(U7=0,AO7,U7&lt;0,AO7/-U7,U7&gt;0,AO7/U7)</f>
        <v>324.45752135354496</v>
      </c>
      <c r="AW7" s="244">
        <f>IF(AQ7=0,0,AV7/AQ7)</f>
        <v>0.25467623340152667</v>
      </c>
      <c r="AX7" s="244">
        <f>IF(AR7=0,0,AV7/AR7)</f>
        <v>2.7674643581844505</v>
      </c>
      <c r="AY7" s="105"/>
      <c r="AZ7" s="100">
        <f t="shared" si="14"/>
        <v>143085.76691691333</v>
      </c>
    </row>
    <row r="8" spans="1:52" outlineLevel="1">
      <c r="A8" s="95" t="s">
        <v>124</v>
      </c>
      <c r="B8" s="96">
        <v>159900625</v>
      </c>
      <c r="C8" s="96" t="s">
        <v>130</v>
      </c>
      <c r="D8" s="97" t="s">
        <v>84</v>
      </c>
      <c r="E8" s="242">
        <f>SUM(F8:J8)</f>
        <v>497</v>
      </c>
      <c r="F8" s="99"/>
      <c r="G8" s="99"/>
      <c r="H8" s="282">
        <v>497</v>
      </c>
      <c r="I8" s="99"/>
      <c r="J8" s="99"/>
      <c r="K8" s="98">
        <v>169.89</v>
      </c>
      <c r="L8" s="98">
        <f>E8*K8</f>
        <v>84435.329999999987</v>
      </c>
      <c r="M8" s="95"/>
      <c r="N8" s="95">
        <v>8</v>
      </c>
      <c r="O8" s="95">
        <v>1800</v>
      </c>
      <c r="P8" s="95">
        <v>50</v>
      </c>
      <c r="Q8" s="243">
        <f t="shared" si="15"/>
        <v>2.6666666666666665</v>
      </c>
      <c r="R8" s="98">
        <f t="shared" si="16"/>
        <v>0.66666666666666663</v>
      </c>
      <c r="S8" s="99">
        <v>4</v>
      </c>
      <c r="T8" s="99">
        <v>-2</v>
      </c>
      <c r="U8" s="98">
        <f t="shared" si="17"/>
        <v>2</v>
      </c>
      <c r="V8" s="99">
        <v>6147</v>
      </c>
      <c r="W8" s="99">
        <v>-3180</v>
      </c>
      <c r="X8" s="98">
        <f t="shared" si="18"/>
        <v>2967</v>
      </c>
      <c r="Y8" s="99">
        <v>7200</v>
      </c>
      <c r="Z8" s="99">
        <v>-3600</v>
      </c>
      <c r="AA8" s="98">
        <f t="shared" si="19"/>
        <v>3600</v>
      </c>
      <c r="AB8" s="98">
        <f t="shared" si="20"/>
        <v>7200</v>
      </c>
      <c r="AC8" s="244">
        <f t="shared" si="21"/>
        <v>2.7389220683091728E-2</v>
      </c>
      <c r="AD8" s="98">
        <f t="shared" si="22"/>
        <v>339.78</v>
      </c>
      <c r="AE8" s="99">
        <v>1325.38</v>
      </c>
      <c r="AF8" s="244">
        <f t="shared" si="23"/>
        <v>0.36816111111111116</v>
      </c>
      <c r="AG8" s="99">
        <v>632.66999999999996</v>
      </c>
      <c r="AH8" s="99"/>
      <c r="AI8" s="99"/>
      <c r="AJ8" s="99"/>
      <c r="AK8" s="99"/>
      <c r="AL8" s="128">
        <f t="shared" si="24"/>
        <v>143.01435028248585</v>
      </c>
      <c r="AM8" s="99">
        <v>0</v>
      </c>
      <c r="AN8" s="100">
        <f t="shared" si="25"/>
        <v>169.41569999999999</v>
      </c>
      <c r="AO8" s="101">
        <f t="shared" si="26"/>
        <v>989.73994971751426</v>
      </c>
      <c r="AP8" s="102"/>
      <c r="AQ8" s="103">
        <f t="shared" si="8"/>
        <v>1800</v>
      </c>
      <c r="AR8" s="104">
        <f t="shared" si="9"/>
        <v>169.89</v>
      </c>
      <c r="AS8" s="104">
        <f t="shared" si="10"/>
        <v>662.69</v>
      </c>
      <c r="AT8" s="104">
        <f t="shared" si="11"/>
        <v>158.16749999999999</v>
      </c>
      <c r="AU8" s="104">
        <f t="shared" si="27"/>
        <v>0</v>
      </c>
      <c r="AV8" s="104">
        <f t="array" ref="AV8">_xlfn.IFS(U8=0,AO8,U8&lt;0,AO8/-U8,U8&gt;0,AO8/U8)</f>
        <v>494.86997485875713</v>
      </c>
      <c r="AW8" s="244">
        <f>IF(AQ8=0,0,AV8/AQ8)</f>
        <v>0.27492776381042061</v>
      </c>
      <c r="AX8" s="244">
        <f>IF(AR8=0,0,AV8/AR8)</f>
        <v>2.9128846598314038</v>
      </c>
      <c r="AY8" s="105"/>
      <c r="AZ8" s="100">
        <f t="shared" si="14"/>
        <v>245950.37750480231</v>
      </c>
    </row>
    <row r="9" spans="1:52" outlineLevel="1">
      <c r="A9" s="95" t="s">
        <v>124</v>
      </c>
      <c r="B9" s="96">
        <v>251467353</v>
      </c>
      <c r="C9" s="96" t="s">
        <v>131</v>
      </c>
      <c r="D9" s="97" t="s">
        <v>84</v>
      </c>
      <c r="E9" s="242">
        <f>SUM(F9:J9)</f>
        <v>411</v>
      </c>
      <c r="F9" s="99"/>
      <c r="G9" s="99"/>
      <c r="H9" s="282">
        <v>411</v>
      </c>
      <c r="I9" s="99"/>
      <c r="J9" s="99"/>
      <c r="K9" s="98">
        <v>123.09</v>
      </c>
      <c r="L9" s="98">
        <f>E9*K9</f>
        <v>50589.99</v>
      </c>
      <c r="M9" s="95"/>
      <c r="N9" s="95">
        <v>15</v>
      </c>
      <c r="O9" s="95">
        <v>1365</v>
      </c>
      <c r="P9" s="95">
        <v>60</v>
      </c>
      <c r="Q9" s="243">
        <f t="shared" si="15"/>
        <v>5</v>
      </c>
      <c r="R9" s="98">
        <f t="shared" si="16"/>
        <v>3.6666666666666665</v>
      </c>
      <c r="S9" s="99">
        <v>11</v>
      </c>
      <c r="T9" s="99">
        <v>0</v>
      </c>
      <c r="U9" s="98">
        <f t="shared" si="17"/>
        <v>11</v>
      </c>
      <c r="V9" s="99">
        <v>12843</v>
      </c>
      <c r="W9" s="99">
        <v>0</v>
      </c>
      <c r="X9" s="98">
        <f t="shared" si="18"/>
        <v>12843</v>
      </c>
      <c r="Y9" s="99">
        <v>15015</v>
      </c>
      <c r="Z9" s="99">
        <v>0</v>
      </c>
      <c r="AA9" s="98">
        <f t="shared" si="19"/>
        <v>15015</v>
      </c>
      <c r="AB9" s="98">
        <f t="shared" si="20"/>
        <v>12285</v>
      </c>
      <c r="AC9" s="244">
        <f t="shared" si="21"/>
        <v>0.11423587459906175</v>
      </c>
      <c r="AD9" s="98">
        <f t="shared" si="22"/>
        <v>1353.99</v>
      </c>
      <c r="AE9" s="99">
        <v>5519.98</v>
      </c>
      <c r="AF9" s="244">
        <f t="shared" si="23"/>
        <v>0.36763103563103561</v>
      </c>
      <c r="AG9" s="99">
        <v>1089.07</v>
      </c>
      <c r="AH9" s="99"/>
      <c r="AI9" s="99"/>
      <c r="AJ9" s="99"/>
      <c r="AK9" s="99"/>
      <c r="AL9" s="128">
        <f t="shared" si="24"/>
        <v>118.26740033420863</v>
      </c>
      <c r="AM9" s="99">
        <v>0</v>
      </c>
      <c r="AN9" s="100">
        <f t="shared" si="25"/>
        <v>733.33529999999996</v>
      </c>
      <c r="AO9" s="101">
        <f t="shared" si="26"/>
        <v>6200.3572996657922</v>
      </c>
      <c r="AP9" s="102"/>
      <c r="AQ9" s="103">
        <f t="shared" si="8"/>
        <v>1365</v>
      </c>
      <c r="AR9" s="104">
        <f t="shared" si="9"/>
        <v>123.09</v>
      </c>
      <c r="AS9" s="104">
        <f t="shared" si="10"/>
        <v>501.81636363636358</v>
      </c>
      <c r="AT9" s="104">
        <f t="shared" si="11"/>
        <v>99.006363636363631</v>
      </c>
      <c r="AU9" s="104">
        <f t="shared" si="27"/>
        <v>0</v>
      </c>
      <c r="AV9" s="104">
        <f t="array" ref="AV9">_xlfn.IFS(U9=0,AO9,U9&lt;0,AO9/-U9,U9&gt;0,AO9/U9)</f>
        <v>563.6688454241629</v>
      </c>
      <c r="AW9" s="244">
        <f>IF(AQ9=0,0,AV9/AQ9)</f>
        <v>0.41294420910195084</v>
      </c>
      <c r="AX9" s="244">
        <f>IF(AR9=0,0,AV9/AR9)</f>
        <v>4.5793228160221213</v>
      </c>
      <c r="AY9" s="105"/>
      <c r="AZ9" s="100">
        <f t="shared" si="14"/>
        <v>231667.89546933095</v>
      </c>
    </row>
    <row r="10" spans="1:52" ht="13.75" customHeight="1" outlineLevel="1">
      <c r="A10" s="95" t="s">
        <v>124</v>
      </c>
      <c r="B10" s="96">
        <v>251467354</v>
      </c>
      <c r="C10" s="96" t="s">
        <v>132</v>
      </c>
      <c r="D10" s="97" t="s">
        <v>84</v>
      </c>
      <c r="E10" s="242">
        <f>SUM(F10:J10)</f>
        <v>481</v>
      </c>
      <c r="F10" s="99"/>
      <c r="G10" s="99"/>
      <c r="H10" s="282">
        <v>481</v>
      </c>
      <c r="I10" s="99"/>
      <c r="J10" s="99"/>
      <c r="K10" s="98">
        <v>123.09</v>
      </c>
      <c r="L10" s="98">
        <f>E10*K10</f>
        <v>59206.29</v>
      </c>
      <c r="M10" s="95"/>
      <c r="N10" s="95">
        <v>0</v>
      </c>
      <c r="O10" s="95">
        <v>0</v>
      </c>
      <c r="P10" s="95">
        <v>0</v>
      </c>
      <c r="Q10" s="243">
        <f t="shared" si="15"/>
        <v>0</v>
      </c>
      <c r="R10" s="98">
        <f t="shared" si="16"/>
        <v>0.33333333333333331</v>
      </c>
      <c r="S10" s="99">
        <v>1</v>
      </c>
      <c r="T10" s="99">
        <v>0</v>
      </c>
      <c r="U10" s="98">
        <f t="shared" si="17"/>
        <v>1</v>
      </c>
      <c r="V10" s="99">
        <v>1152.78</v>
      </c>
      <c r="W10" s="99">
        <v>0</v>
      </c>
      <c r="X10" s="98">
        <f t="shared" si="18"/>
        <v>1152.78</v>
      </c>
      <c r="Y10" s="99">
        <v>1339.96</v>
      </c>
      <c r="Z10" s="99">
        <v>0</v>
      </c>
      <c r="AA10" s="98">
        <f t="shared" si="19"/>
        <v>1339.96</v>
      </c>
      <c r="AB10" s="98">
        <f t="shared" si="20"/>
        <v>0</v>
      </c>
      <c r="AC10" s="244">
        <f t="shared" si="21"/>
        <v>1.0194572262920998E-2</v>
      </c>
      <c r="AD10" s="98">
        <f t="shared" si="22"/>
        <v>123.09</v>
      </c>
      <c r="AE10" s="99">
        <v>498.63</v>
      </c>
      <c r="AF10" s="244">
        <f t="shared" si="23"/>
        <v>0.37212304844920741</v>
      </c>
      <c r="AG10" s="99">
        <v>176.94</v>
      </c>
      <c r="AH10" s="99"/>
      <c r="AI10" s="99"/>
      <c r="AJ10" s="99"/>
      <c r="AK10" s="99"/>
      <c r="AL10" s="128">
        <f t="shared" si="24"/>
        <v>138.41026657117848</v>
      </c>
      <c r="AM10" s="99">
        <v>0</v>
      </c>
      <c r="AN10" s="100">
        <f t="shared" si="25"/>
        <v>65.823737999999992</v>
      </c>
      <c r="AO10" s="101">
        <f t="shared" si="26"/>
        <v>337.06599542882174</v>
      </c>
      <c r="AP10" s="102"/>
      <c r="AQ10" s="103">
        <f t="shared" si="8"/>
        <v>1339.96</v>
      </c>
      <c r="AR10" s="104">
        <f t="shared" si="9"/>
        <v>123.09</v>
      </c>
      <c r="AS10" s="104">
        <f t="shared" si="10"/>
        <v>498.63</v>
      </c>
      <c r="AT10" s="104">
        <f t="shared" si="11"/>
        <v>176.94</v>
      </c>
      <c r="AU10" s="104">
        <f t="shared" si="27"/>
        <v>0</v>
      </c>
      <c r="AV10" s="104">
        <f t="array" ref="AV10">_xlfn.IFS(U10=0,AO10,U10&lt;0,AO10/-U10,U10&gt;0,AO10/U10)</f>
        <v>337.06599542882174</v>
      </c>
      <c r="AW10" s="244">
        <f>IF(AQ10=0,0,AV10/AQ10)</f>
        <v>0.25154929656767494</v>
      </c>
      <c r="AX10" s="244">
        <f>IF(AR10=0,0,AV10/AR10)</f>
        <v>2.7383702610189431</v>
      </c>
      <c r="AY10" s="105"/>
      <c r="AZ10" s="100">
        <f t="shared" si="14"/>
        <v>162128.74380126325</v>
      </c>
    </row>
    <row r="11" spans="1:52" outlineLevel="1">
      <c r="A11" s="95" t="s">
        <v>124</v>
      </c>
      <c r="B11" s="96">
        <v>251467355</v>
      </c>
      <c r="C11" s="96" t="s">
        <v>133</v>
      </c>
      <c r="D11" s="97" t="s">
        <v>84</v>
      </c>
      <c r="E11" s="242">
        <f t="shared" ref="E11:E27" si="32">SUM(F11:J11)</f>
        <v>504</v>
      </c>
      <c r="F11" s="99"/>
      <c r="G11" s="99"/>
      <c r="H11" s="282">
        <v>504</v>
      </c>
      <c r="I11" s="99"/>
      <c r="J11" s="99"/>
      <c r="K11" s="98">
        <v>123.09</v>
      </c>
      <c r="L11" s="98">
        <f t="shared" ref="L11" si="33">E11*K11</f>
        <v>62037.36</v>
      </c>
      <c r="M11" s="95"/>
      <c r="N11" s="95">
        <v>2</v>
      </c>
      <c r="O11" s="95">
        <v>1197</v>
      </c>
      <c r="P11" s="95">
        <v>0</v>
      </c>
      <c r="Q11" s="243">
        <f t="shared" si="15"/>
        <v>0.66666666666666663</v>
      </c>
      <c r="R11" s="98">
        <f t="shared" si="16"/>
        <v>1.3333333333333333</v>
      </c>
      <c r="S11" s="99">
        <v>5</v>
      </c>
      <c r="T11" s="99">
        <v>-1</v>
      </c>
      <c r="U11" s="98">
        <f t="shared" si="17"/>
        <v>4</v>
      </c>
      <c r="V11" s="99">
        <v>5246</v>
      </c>
      <c r="W11" s="99">
        <v>-992</v>
      </c>
      <c r="X11" s="98">
        <f t="shared" si="18"/>
        <v>4254</v>
      </c>
      <c r="Y11" s="99">
        <v>5985</v>
      </c>
      <c r="Z11" s="99">
        <v>-1197</v>
      </c>
      <c r="AA11" s="98">
        <f t="shared" si="19"/>
        <v>4788</v>
      </c>
      <c r="AB11" s="98">
        <f t="shared" si="20"/>
        <v>0</v>
      </c>
      <c r="AC11" s="244">
        <f t="shared" si="21"/>
        <v>3.6427663508511995E-2</v>
      </c>
      <c r="AD11" s="98">
        <f t="shared" si="22"/>
        <v>492.36</v>
      </c>
      <c r="AE11" s="99">
        <v>1752.54</v>
      </c>
      <c r="AF11" s="244">
        <f t="shared" si="23"/>
        <v>0.36602756892230576</v>
      </c>
      <c r="AG11" s="99">
        <v>874.61999999999989</v>
      </c>
      <c r="AH11" s="99"/>
      <c r="AI11" s="99"/>
      <c r="AJ11" s="99"/>
      <c r="AK11" s="99"/>
      <c r="AL11" s="128">
        <f t="shared" si="24"/>
        <v>145.02863690618284</v>
      </c>
      <c r="AM11" s="99">
        <v>0</v>
      </c>
      <c r="AN11" s="100">
        <f t="shared" si="25"/>
        <v>242.9034</v>
      </c>
      <c r="AO11" s="101">
        <f t="shared" si="26"/>
        <v>1280.5479630938178</v>
      </c>
      <c r="AP11" s="102"/>
      <c r="AQ11" s="103">
        <f t="shared" si="8"/>
        <v>1197</v>
      </c>
      <c r="AR11" s="104">
        <f t="shared" si="9"/>
        <v>123.09</v>
      </c>
      <c r="AS11" s="104">
        <f t="shared" si="10"/>
        <v>438.13499999999999</v>
      </c>
      <c r="AT11" s="104">
        <f t="shared" si="11"/>
        <v>174.92399999999998</v>
      </c>
      <c r="AU11" s="104">
        <f t="shared" si="27"/>
        <v>0</v>
      </c>
      <c r="AV11" s="104">
        <f t="array" ref="AV11">_xlfn.IFS(U11=0,AO11,U11&lt;0,AO11/-U11,U11&gt;0,AO11/U11)</f>
        <v>320.13699077345444</v>
      </c>
      <c r="AW11" s="244">
        <f t="shared" ref="AW11:AW28" si="34">IF(AQ11=0,0,AV11/AQ11)</f>
        <v>0.26744944926771463</v>
      </c>
      <c r="AX11" s="244">
        <f t="shared" ref="AX11:AX28" si="35">IF(AR11=0,0,AV11/AR11)</f>
        <v>2.6008367111337591</v>
      </c>
      <c r="AY11" s="105"/>
      <c r="AZ11" s="100">
        <f t="shared" si="14"/>
        <v>161349.04334982103</v>
      </c>
    </row>
    <row r="12" spans="1:52" outlineLevel="1">
      <c r="A12" s="95" t="s">
        <v>124</v>
      </c>
      <c r="B12" s="96">
        <v>303941289</v>
      </c>
      <c r="C12" s="96" t="s">
        <v>134</v>
      </c>
      <c r="D12" s="97" t="s">
        <v>84</v>
      </c>
      <c r="E12" s="242">
        <f t="shared" si="32"/>
        <v>559</v>
      </c>
      <c r="F12" s="99"/>
      <c r="G12" s="99"/>
      <c r="H12" s="282">
        <v>559</v>
      </c>
      <c r="I12" s="99"/>
      <c r="J12" s="99"/>
      <c r="K12" s="98">
        <v>117.24</v>
      </c>
      <c r="L12" s="98">
        <f>E12*K12</f>
        <v>65537.16</v>
      </c>
      <c r="M12" s="95"/>
      <c r="N12" s="95">
        <v>5</v>
      </c>
      <c r="O12" s="95">
        <v>1142</v>
      </c>
      <c r="P12" s="95">
        <v>60</v>
      </c>
      <c r="Q12" s="243">
        <f t="shared" si="15"/>
        <v>1.6666666666666667</v>
      </c>
      <c r="R12" s="98">
        <f t="shared" si="16"/>
        <v>1.6666666666666667</v>
      </c>
      <c r="S12" s="99">
        <v>5</v>
      </c>
      <c r="T12" s="99">
        <v>0</v>
      </c>
      <c r="U12" s="98">
        <f t="shared" si="17"/>
        <v>5</v>
      </c>
      <c r="V12" s="99">
        <v>4676</v>
      </c>
      <c r="W12" s="99">
        <v>0</v>
      </c>
      <c r="X12" s="98">
        <f t="shared" si="18"/>
        <v>4676</v>
      </c>
      <c r="Y12" s="99">
        <v>5596.66</v>
      </c>
      <c r="Z12" s="99">
        <v>0</v>
      </c>
      <c r="AA12" s="98">
        <f t="shared" si="19"/>
        <v>5596.66</v>
      </c>
      <c r="AB12" s="98">
        <f t="shared" si="20"/>
        <v>3426</v>
      </c>
      <c r="AC12" s="244">
        <f t="shared" si="21"/>
        <v>4.2580043285620039E-2</v>
      </c>
      <c r="AD12" s="98">
        <f t="shared" si="22"/>
        <v>586.19999999999993</v>
      </c>
      <c r="AE12" s="99">
        <v>2061.6499999999996</v>
      </c>
      <c r="AF12" s="244">
        <f t="shared" si="23"/>
        <v>0.36837149299760924</v>
      </c>
      <c r="AG12" s="99">
        <v>805.39999999999986</v>
      </c>
      <c r="AH12" s="99"/>
      <c r="AI12" s="99"/>
      <c r="AJ12" s="99"/>
      <c r="AK12" s="99"/>
      <c r="AL12" s="128">
        <f t="shared" si="24"/>
        <v>160.85517466380202</v>
      </c>
      <c r="AM12" s="99">
        <v>0</v>
      </c>
      <c r="AN12" s="100">
        <f t="shared" si="25"/>
        <v>266.99959999999999</v>
      </c>
      <c r="AO12" s="101">
        <f t="shared" si="26"/>
        <v>1715.5552253361989</v>
      </c>
      <c r="AP12" s="102"/>
      <c r="AQ12" s="103">
        <f t="shared" si="8"/>
        <v>1119.3319999999999</v>
      </c>
      <c r="AR12" s="104">
        <f t="shared" si="9"/>
        <v>117.24</v>
      </c>
      <c r="AS12" s="104">
        <f t="shared" si="10"/>
        <v>412.32999999999993</v>
      </c>
      <c r="AT12" s="104">
        <f t="shared" si="11"/>
        <v>161.07999999999998</v>
      </c>
      <c r="AU12" s="104">
        <f t="shared" si="27"/>
        <v>0</v>
      </c>
      <c r="AV12" s="104">
        <f t="array" ref="AV12">_xlfn.IFS(U12=0,AO12,U12&lt;0,AO12/-U12,U12&gt;0,AO12/U12)</f>
        <v>343.11104506723979</v>
      </c>
      <c r="AW12" s="244">
        <f t="shared" si="34"/>
        <v>0.30653197180750646</v>
      </c>
      <c r="AX12" s="244">
        <f t="shared" si="35"/>
        <v>2.9265698146301586</v>
      </c>
      <c r="AY12" s="105"/>
      <c r="AZ12" s="100">
        <f t="shared" si="14"/>
        <v>191799.07419258705</v>
      </c>
    </row>
    <row r="13" spans="1:52" outlineLevel="1">
      <c r="A13" s="95" t="s">
        <v>124</v>
      </c>
      <c r="B13" s="96">
        <v>274218038</v>
      </c>
      <c r="C13" s="96" t="s">
        <v>135</v>
      </c>
      <c r="D13" s="97" t="s">
        <v>84</v>
      </c>
      <c r="E13" s="242">
        <f t="shared" si="32"/>
        <v>639</v>
      </c>
      <c r="F13" s="99"/>
      <c r="G13" s="99"/>
      <c r="H13" s="282">
        <v>639</v>
      </c>
      <c r="I13" s="99"/>
      <c r="J13" s="99"/>
      <c r="K13" s="98">
        <v>123.09</v>
      </c>
      <c r="L13" s="98">
        <f t="shared" ref="L13:L28" si="36">E13*K13</f>
        <v>78654.510000000009</v>
      </c>
      <c r="M13" s="95"/>
      <c r="N13" s="95">
        <v>7</v>
      </c>
      <c r="O13" s="95">
        <v>1386</v>
      </c>
      <c r="P13" s="95">
        <v>100</v>
      </c>
      <c r="Q13" s="243">
        <f t="shared" si="15"/>
        <v>2.3333333333333335</v>
      </c>
      <c r="R13" s="98">
        <f t="shared" si="16"/>
        <v>0.66666666666666663</v>
      </c>
      <c r="S13" s="99">
        <v>2</v>
      </c>
      <c r="T13" s="99">
        <v>0</v>
      </c>
      <c r="U13" s="98">
        <f t="shared" si="17"/>
        <v>2</v>
      </c>
      <c r="V13" s="99">
        <v>2447</v>
      </c>
      <c r="W13" s="99">
        <v>0</v>
      </c>
      <c r="X13" s="98">
        <f t="shared" si="18"/>
        <v>2447</v>
      </c>
      <c r="Y13" s="99">
        <v>2772</v>
      </c>
      <c r="Z13" s="99">
        <v>0</v>
      </c>
      <c r="AA13" s="98">
        <f t="shared" si="19"/>
        <v>2772</v>
      </c>
      <c r="AB13" s="98">
        <f t="shared" si="20"/>
        <v>9702</v>
      </c>
      <c r="AC13" s="244">
        <f t="shared" si="21"/>
        <v>2.1089699925980629E-2</v>
      </c>
      <c r="AD13" s="98">
        <f t="shared" si="22"/>
        <v>246.18</v>
      </c>
      <c r="AE13" s="99">
        <v>1023.6199999999999</v>
      </c>
      <c r="AF13" s="244">
        <f t="shared" si="23"/>
        <v>0.36927128427128425</v>
      </c>
      <c r="AG13" s="99">
        <v>376.03999999999996</v>
      </c>
      <c r="AH13" s="99"/>
      <c r="AI13" s="99"/>
      <c r="AJ13" s="99"/>
      <c r="AK13" s="99"/>
      <c r="AL13" s="128">
        <f t="shared" si="24"/>
        <v>183.875593220339</v>
      </c>
      <c r="AM13" s="99">
        <v>0</v>
      </c>
      <c r="AN13" s="100">
        <f t="shared" si="25"/>
        <v>139.72370000000001</v>
      </c>
      <c r="AO13" s="101">
        <f t="shared" si="26"/>
        <v>802.56070677966136</v>
      </c>
      <c r="AP13" s="102"/>
      <c r="AQ13" s="103">
        <f t="shared" si="8"/>
        <v>1386</v>
      </c>
      <c r="AR13" s="104">
        <f t="shared" si="9"/>
        <v>123.09</v>
      </c>
      <c r="AS13" s="104">
        <f t="shared" si="10"/>
        <v>511.80999999999995</v>
      </c>
      <c r="AT13" s="104">
        <f t="shared" si="11"/>
        <v>188.01999999999998</v>
      </c>
      <c r="AU13" s="104">
        <f t="shared" si="27"/>
        <v>0</v>
      </c>
      <c r="AV13" s="104">
        <f t="array" ref="AV13">_xlfn.IFS(U13=0,AO13,U13&lt;0,AO13/-U13,U13&gt;0,AO13/U13)</f>
        <v>401.28035338983068</v>
      </c>
      <c r="AW13" s="244">
        <f t="shared" si="34"/>
        <v>0.28952406449482732</v>
      </c>
      <c r="AX13" s="244">
        <f t="shared" si="35"/>
        <v>3.2600564902902809</v>
      </c>
      <c r="AY13" s="105"/>
      <c r="AZ13" s="100">
        <f t="shared" si="14"/>
        <v>256418.14581610181</v>
      </c>
    </row>
    <row r="14" spans="1:52" outlineLevel="1">
      <c r="A14" s="95" t="s">
        <v>124</v>
      </c>
      <c r="B14" s="96">
        <v>274219203</v>
      </c>
      <c r="C14" s="96" t="s">
        <v>136</v>
      </c>
      <c r="D14" s="97" t="s">
        <v>84</v>
      </c>
      <c r="E14" s="242">
        <f t="shared" si="32"/>
        <v>517</v>
      </c>
      <c r="F14" s="99"/>
      <c r="G14" s="99"/>
      <c r="H14" s="282">
        <v>517</v>
      </c>
      <c r="I14" s="99"/>
      <c r="J14" s="99"/>
      <c r="K14" s="98">
        <v>123.09</v>
      </c>
      <c r="L14" s="98">
        <f t="shared" si="36"/>
        <v>63637.53</v>
      </c>
      <c r="M14" s="95"/>
      <c r="N14" s="95">
        <v>1</v>
      </c>
      <c r="O14" s="95">
        <v>1309</v>
      </c>
      <c r="P14" s="95">
        <v>0</v>
      </c>
      <c r="Q14" s="243">
        <f t="shared" si="15"/>
        <v>0.33333333333333331</v>
      </c>
      <c r="R14" s="98">
        <f t="shared" si="16"/>
        <v>0.66666666666666663</v>
      </c>
      <c r="S14" s="99">
        <v>2</v>
      </c>
      <c r="T14" s="99">
        <v>0</v>
      </c>
      <c r="U14" s="98">
        <f t="shared" si="17"/>
        <v>2</v>
      </c>
      <c r="V14" s="99">
        <v>2249</v>
      </c>
      <c r="W14" s="99">
        <v>0</v>
      </c>
      <c r="X14" s="98">
        <f t="shared" si="18"/>
        <v>2249</v>
      </c>
      <c r="Y14" s="99">
        <v>2618</v>
      </c>
      <c r="Z14" s="99">
        <v>0</v>
      </c>
      <c r="AA14" s="98">
        <f t="shared" si="19"/>
        <v>2618</v>
      </c>
      <c r="AB14" s="98">
        <f t="shared" si="20"/>
        <v>0</v>
      </c>
      <c r="AC14" s="244">
        <f t="shared" si="21"/>
        <v>1.9918049930092819E-2</v>
      </c>
      <c r="AD14" s="98">
        <f t="shared" si="22"/>
        <v>246.18</v>
      </c>
      <c r="AE14" s="99">
        <v>965.57000000000016</v>
      </c>
      <c r="AF14" s="244">
        <f t="shared" si="23"/>
        <v>0.36881970970206268</v>
      </c>
      <c r="AG14" s="99">
        <v>215.76</v>
      </c>
      <c r="AH14" s="99"/>
      <c r="AI14" s="99"/>
      <c r="AJ14" s="99"/>
      <c r="AK14" s="99"/>
      <c r="AL14" s="128">
        <f t="shared" si="24"/>
        <v>148.76945492162011</v>
      </c>
      <c r="AM14" s="99">
        <v>0</v>
      </c>
      <c r="AN14" s="100">
        <f t="shared" si="25"/>
        <v>128.4179</v>
      </c>
      <c r="AO14" s="101">
        <f t="shared" si="26"/>
        <v>913.3026450783799</v>
      </c>
      <c r="AP14" s="102"/>
      <c r="AQ14" s="103">
        <f t="shared" si="8"/>
        <v>1309</v>
      </c>
      <c r="AR14" s="104">
        <f t="shared" si="9"/>
        <v>123.09</v>
      </c>
      <c r="AS14" s="104">
        <f t="shared" si="10"/>
        <v>482.78500000000008</v>
      </c>
      <c r="AT14" s="104">
        <f t="shared" si="11"/>
        <v>107.88</v>
      </c>
      <c r="AU14" s="104">
        <f t="shared" si="27"/>
        <v>0</v>
      </c>
      <c r="AV14" s="104">
        <f t="array" ref="AV14">_xlfn.IFS(U14=0,AO14,U14&lt;0,AO14/-U14,U14&gt;0,AO14/U14)</f>
        <v>456.65132253918995</v>
      </c>
      <c r="AW14" s="244">
        <f t="shared" si="34"/>
        <v>0.34885509743253623</v>
      </c>
      <c r="AX14" s="244">
        <f t="shared" si="35"/>
        <v>3.7098978189876508</v>
      </c>
      <c r="AY14" s="105"/>
      <c r="AZ14" s="100">
        <f t="shared" si="14"/>
        <v>236088.73375276121</v>
      </c>
    </row>
    <row r="15" spans="1:52" outlineLevel="1">
      <c r="A15" s="95" t="s">
        <v>124</v>
      </c>
      <c r="B15" s="96">
        <v>274190322</v>
      </c>
      <c r="C15" s="96" t="s">
        <v>137</v>
      </c>
      <c r="D15" s="97" t="s">
        <v>84</v>
      </c>
      <c r="E15" s="242">
        <f t="shared" si="32"/>
        <v>616</v>
      </c>
      <c r="F15" s="99"/>
      <c r="G15" s="99"/>
      <c r="H15" s="282">
        <v>616</v>
      </c>
      <c r="I15" s="99"/>
      <c r="J15" s="99"/>
      <c r="K15" s="98">
        <v>123.09</v>
      </c>
      <c r="L15" s="98">
        <f t="shared" si="36"/>
        <v>75823.44</v>
      </c>
      <c r="M15" s="95"/>
      <c r="N15" s="95">
        <v>0</v>
      </c>
      <c r="O15" s="95">
        <v>0</v>
      </c>
      <c r="P15" s="95">
        <v>0</v>
      </c>
      <c r="Q15" s="243">
        <f t="shared" si="15"/>
        <v>0</v>
      </c>
      <c r="R15" s="98">
        <f t="shared" si="16"/>
        <v>-0.33333333333333331</v>
      </c>
      <c r="S15" s="99">
        <v>0</v>
      </c>
      <c r="T15" s="99">
        <v>-1</v>
      </c>
      <c r="U15" s="98">
        <f t="shared" si="17"/>
        <v>-1</v>
      </c>
      <c r="V15" s="99">
        <v>0</v>
      </c>
      <c r="W15" s="99">
        <v>-1161</v>
      </c>
      <c r="X15" s="98">
        <f t="shared" si="18"/>
        <v>-1161</v>
      </c>
      <c r="Y15" s="99">
        <v>0</v>
      </c>
      <c r="Z15" s="99">
        <v>-1533</v>
      </c>
      <c r="AA15" s="98">
        <f t="shared" si="19"/>
        <v>-1533</v>
      </c>
      <c r="AB15" s="98">
        <f t="shared" si="20"/>
        <v>0</v>
      </c>
      <c r="AC15" s="244">
        <f t="shared" si="21"/>
        <v>-1.1663243140883227E-2</v>
      </c>
      <c r="AD15" s="98">
        <f t="shared" si="22"/>
        <v>-123.09</v>
      </c>
      <c r="AE15" s="99">
        <v>-562.42999999999995</v>
      </c>
      <c r="AF15" s="244">
        <f t="shared" si="23"/>
        <v>0.36688193085453358</v>
      </c>
      <c r="AG15" s="99">
        <v>245.58</v>
      </c>
      <c r="AH15" s="99"/>
      <c r="AI15" s="99"/>
      <c r="AJ15" s="99"/>
      <c r="AK15" s="99"/>
      <c r="AL15" s="128">
        <f t="shared" si="24"/>
        <v>177.25722288533461</v>
      </c>
      <c r="AM15" s="99">
        <v>0</v>
      </c>
      <c r="AN15" s="100">
        <f t="shared" si="25"/>
        <v>-66.293099999999995</v>
      </c>
      <c r="AO15" s="101">
        <f t="shared" si="26"/>
        <v>-1204.0241228853347</v>
      </c>
      <c r="AP15" s="102"/>
      <c r="AQ15" s="103">
        <f t="shared" si="8"/>
        <v>1533</v>
      </c>
      <c r="AR15" s="104">
        <f t="shared" si="9"/>
        <v>123.09</v>
      </c>
      <c r="AS15" s="104">
        <f t="shared" si="10"/>
        <v>562.42999999999995</v>
      </c>
      <c r="AT15" s="104">
        <f t="shared" si="11"/>
        <v>245.58</v>
      </c>
      <c r="AU15" s="104">
        <f t="shared" si="27"/>
        <v>0</v>
      </c>
      <c r="AV15" s="104">
        <f t="array" ref="AV15">_xlfn.IFS(U15=0,AO15,U15&lt;0,AO15/-U15,U15&gt;0,AO15/U15)</f>
        <v>-1204.0241228853347</v>
      </c>
      <c r="AW15" s="244">
        <f t="shared" si="34"/>
        <v>-0.78540386359121639</v>
      </c>
      <c r="AX15" s="244">
        <f t="shared" si="35"/>
        <v>-9.781656697419244</v>
      </c>
      <c r="AY15" s="105"/>
      <c r="AZ15" s="100">
        <f t="shared" si="14"/>
        <v>-741678.85969736613</v>
      </c>
    </row>
    <row r="16" spans="1:52" outlineLevel="1">
      <c r="A16" s="95" t="s">
        <v>124</v>
      </c>
      <c r="B16" s="96">
        <v>274215530</v>
      </c>
      <c r="C16" s="96" t="s">
        <v>138</v>
      </c>
      <c r="D16" s="97" t="s">
        <v>84</v>
      </c>
      <c r="E16" s="242">
        <f t="shared" si="32"/>
        <v>308</v>
      </c>
      <c r="F16" s="99"/>
      <c r="G16" s="99"/>
      <c r="H16" s="282">
        <v>308</v>
      </c>
      <c r="I16" s="99"/>
      <c r="J16" s="99"/>
      <c r="K16" s="98">
        <v>117.24</v>
      </c>
      <c r="L16" s="98">
        <f t="shared" si="36"/>
        <v>36109.919999999998</v>
      </c>
      <c r="M16" s="95"/>
      <c r="N16" s="95">
        <v>2</v>
      </c>
      <c r="O16" s="95">
        <v>1278</v>
      </c>
      <c r="P16" s="95">
        <v>50</v>
      </c>
      <c r="Q16" s="243">
        <f t="shared" si="15"/>
        <v>0.66666666666666663</v>
      </c>
      <c r="R16" s="98">
        <f t="shared" si="16"/>
        <v>1.3333333333333333</v>
      </c>
      <c r="S16" s="99">
        <v>4</v>
      </c>
      <c r="T16" s="99">
        <v>0</v>
      </c>
      <c r="U16" s="98">
        <f t="shared" si="17"/>
        <v>4</v>
      </c>
      <c r="V16" s="99">
        <v>4322.38</v>
      </c>
      <c r="W16" s="99">
        <v>0</v>
      </c>
      <c r="X16" s="98">
        <f t="shared" si="18"/>
        <v>4322.38</v>
      </c>
      <c r="Y16" s="99">
        <v>5112.1099999999997</v>
      </c>
      <c r="Z16" s="99">
        <v>0</v>
      </c>
      <c r="AA16" s="98">
        <f t="shared" si="19"/>
        <v>5112.1099999999997</v>
      </c>
      <c r="AB16" s="98">
        <f t="shared" si="20"/>
        <v>1278</v>
      </c>
      <c r="AC16" s="244">
        <f t="shared" si="21"/>
        <v>3.8893530262844457E-2</v>
      </c>
      <c r="AD16" s="98">
        <f t="shared" si="22"/>
        <v>468.96</v>
      </c>
      <c r="AE16" s="99">
        <v>1881.9199999999996</v>
      </c>
      <c r="AF16" s="244">
        <f t="shared" si="23"/>
        <v>0.36812979376421862</v>
      </c>
      <c r="AG16" s="99">
        <v>668.2700000000001</v>
      </c>
      <c r="AH16" s="99"/>
      <c r="AI16" s="99"/>
      <c r="AJ16" s="99"/>
      <c r="AK16" s="99"/>
      <c r="AL16" s="128">
        <f t="shared" si="24"/>
        <v>88.628611442667307</v>
      </c>
      <c r="AM16" s="99">
        <v>0</v>
      </c>
      <c r="AN16" s="100">
        <f t="shared" si="25"/>
        <v>246.80789799999999</v>
      </c>
      <c r="AO16" s="101">
        <f t="shared" si="26"/>
        <v>1757.5234905573327</v>
      </c>
      <c r="AP16" s="102"/>
      <c r="AQ16" s="103">
        <f t="shared" si="8"/>
        <v>1278.0274999999999</v>
      </c>
      <c r="AR16" s="104">
        <f t="shared" si="9"/>
        <v>117.24</v>
      </c>
      <c r="AS16" s="104">
        <f t="shared" si="10"/>
        <v>470.4799999999999</v>
      </c>
      <c r="AT16" s="104">
        <f t="shared" si="11"/>
        <v>167.06750000000002</v>
      </c>
      <c r="AU16" s="104">
        <f t="shared" si="27"/>
        <v>0</v>
      </c>
      <c r="AV16" s="104">
        <f t="array" ref="AV16">_xlfn.IFS(U16=0,AO16,U16&lt;0,AO16/-U16,U16&gt;0,AO16/U16)</f>
        <v>439.38087263933318</v>
      </c>
      <c r="AW16" s="244">
        <f t="shared" si="34"/>
        <v>0.34379610191434318</v>
      </c>
      <c r="AX16" s="244">
        <f t="shared" si="35"/>
        <v>3.7477044749175468</v>
      </c>
      <c r="AY16" s="105"/>
      <c r="AZ16" s="100">
        <f t="shared" si="14"/>
        <v>135329.30877291461</v>
      </c>
    </row>
    <row r="17" spans="1:52" outlineLevel="1">
      <c r="A17" s="95" t="s">
        <v>124</v>
      </c>
      <c r="B17" s="96">
        <v>276819546</v>
      </c>
      <c r="C17" s="96" t="s">
        <v>139</v>
      </c>
      <c r="D17" s="97" t="s">
        <v>84</v>
      </c>
      <c r="E17" s="242">
        <f t="shared" si="32"/>
        <v>95</v>
      </c>
      <c r="F17" s="99"/>
      <c r="G17" s="99"/>
      <c r="H17" s="282">
        <v>95</v>
      </c>
      <c r="I17" s="99"/>
      <c r="J17" s="99"/>
      <c r="K17" s="99">
        <v>123.09</v>
      </c>
      <c r="L17" s="98">
        <f t="shared" si="36"/>
        <v>11693.550000000001</v>
      </c>
      <c r="M17" s="95"/>
      <c r="N17" s="95">
        <v>4</v>
      </c>
      <c r="O17" s="95">
        <v>1196</v>
      </c>
      <c r="P17" s="95">
        <v>50</v>
      </c>
      <c r="Q17" s="243">
        <f t="shared" si="15"/>
        <v>1.3333333333333333</v>
      </c>
      <c r="R17" s="98">
        <f t="shared" si="16"/>
        <v>2</v>
      </c>
      <c r="S17" s="99">
        <v>6</v>
      </c>
      <c r="T17" s="99">
        <v>0</v>
      </c>
      <c r="U17" s="98">
        <f t="shared" si="17"/>
        <v>6</v>
      </c>
      <c r="V17" s="99">
        <v>6242</v>
      </c>
      <c r="W17" s="99">
        <v>0</v>
      </c>
      <c r="X17" s="98">
        <f t="shared" si="18"/>
        <v>6242</v>
      </c>
      <c r="Y17" s="99">
        <v>7176</v>
      </c>
      <c r="Z17" s="99">
        <v>0</v>
      </c>
      <c r="AA17" s="98">
        <f t="shared" si="19"/>
        <v>7176</v>
      </c>
      <c r="AB17" s="98">
        <f t="shared" si="20"/>
        <v>2392</v>
      </c>
      <c r="AC17" s="244">
        <f t="shared" si="21"/>
        <v>5.459584656162951E-2</v>
      </c>
      <c r="AD17" s="98">
        <f t="shared" si="22"/>
        <v>738.54</v>
      </c>
      <c r="AE17" s="99">
        <v>2618.2299999999996</v>
      </c>
      <c r="AF17" s="244">
        <f t="shared" si="23"/>
        <v>0.36485925306577477</v>
      </c>
      <c r="AG17" s="99">
        <v>710.2700000000001</v>
      </c>
      <c r="AH17" s="99"/>
      <c r="AI17" s="99"/>
      <c r="AJ17" s="99"/>
      <c r="AK17" s="99"/>
      <c r="AL17" s="128">
        <f t="shared" si="24"/>
        <v>27.33674703588764</v>
      </c>
      <c r="AM17" s="99">
        <v>0</v>
      </c>
      <c r="AN17" s="100">
        <f t="shared" si="25"/>
        <v>356.41820000000001</v>
      </c>
      <c r="AO17" s="101">
        <f t="shared" si="26"/>
        <v>2725.2050529641128</v>
      </c>
      <c r="AP17" s="102"/>
      <c r="AQ17" s="103">
        <f t="shared" si="8"/>
        <v>1196</v>
      </c>
      <c r="AR17" s="104">
        <f t="shared" si="9"/>
        <v>123.09</v>
      </c>
      <c r="AS17" s="104">
        <f t="shared" si="10"/>
        <v>436.37166666666661</v>
      </c>
      <c r="AT17" s="104">
        <f t="shared" si="11"/>
        <v>118.37833333333334</v>
      </c>
      <c r="AU17" s="104">
        <f t="shared" si="27"/>
        <v>0</v>
      </c>
      <c r="AV17" s="104">
        <f t="array" ref="AV17">_xlfn.IFS(U17=0,AO17,U17&lt;0,AO17/-U17,U17&gt;0,AO17/U17)</f>
        <v>454.20084216068545</v>
      </c>
      <c r="AW17" s="244">
        <f t="shared" si="34"/>
        <v>0.37976659043535571</v>
      </c>
      <c r="AX17" s="244">
        <f t="shared" si="35"/>
        <v>3.6899897811413229</v>
      </c>
      <c r="AY17" s="105"/>
      <c r="AZ17" s="100">
        <f t="shared" si="14"/>
        <v>43149.080005265118</v>
      </c>
    </row>
    <row r="18" spans="1:52" outlineLevel="1">
      <c r="A18" s="95" t="s">
        <v>124</v>
      </c>
      <c r="B18" s="96">
        <v>276815909</v>
      </c>
      <c r="C18" s="96" t="s">
        <v>140</v>
      </c>
      <c r="D18" s="97" t="s">
        <v>84</v>
      </c>
      <c r="E18" s="242">
        <f t="shared" si="32"/>
        <v>365</v>
      </c>
      <c r="F18" s="99"/>
      <c r="G18" s="99"/>
      <c r="H18" s="282">
        <v>365</v>
      </c>
      <c r="I18" s="99"/>
      <c r="J18" s="99"/>
      <c r="K18" s="99">
        <v>123.09</v>
      </c>
      <c r="L18" s="98">
        <f t="shared" si="36"/>
        <v>44927.85</v>
      </c>
      <c r="M18" s="95"/>
      <c r="N18" s="95">
        <v>3</v>
      </c>
      <c r="O18" s="95">
        <v>1196</v>
      </c>
      <c r="P18" s="95">
        <v>67</v>
      </c>
      <c r="Q18" s="243">
        <f t="shared" si="15"/>
        <v>1</v>
      </c>
      <c r="R18" s="98">
        <f t="shared" si="16"/>
        <v>1.6666666666666667</v>
      </c>
      <c r="S18" s="99">
        <v>6</v>
      </c>
      <c r="T18" s="99">
        <v>-1</v>
      </c>
      <c r="U18" s="98">
        <f t="shared" si="17"/>
        <v>5</v>
      </c>
      <c r="V18" s="99">
        <v>6234.4</v>
      </c>
      <c r="W18" s="99">
        <v>-1076</v>
      </c>
      <c r="X18" s="98">
        <f t="shared" si="18"/>
        <v>5158.3999999999996</v>
      </c>
      <c r="Y18" s="99">
        <v>7140.84</v>
      </c>
      <c r="Z18" s="99">
        <v>-1196</v>
      </c>
      <c r="AA18" s="98">
        <f t="shared" si="19"/>
        <v>5944.84</v>
      </c>
      <c r="AB18" s="98">
        <f t="shared" si="20"/>
        <v>2403.96</v>
      </c>
      <c r="AC18" s="244">
        <f t="shared" si="21"/>
        <v>4.5229037412686399E-2</v>
      </c>
      <c r="AD18" s="98">
        <f t="shared" si="22"/>
        <v>615.45000000000005</v>
      </c>
      <c r="AE18" s="99">
        <v>2160.6900000000005</v>
      </c>
      <c r="AF18" s="244">
        <f t="shared" si="23"/>
        <v>0.36345637561313687</v>
      </c>
      <c r="AG18" s="99">
        <v>635.92000000000007</v>
      </c>
      <c r="AH18" s="99"/>
      <c r="AI18" s="99"/>
      <c r="AJ18" s="99"/>
      <c r="AK18" s="99"/>
      <c r="AL18" s="128">
        <f t="shared" si="24"/>
        <v>105.03065966419987</v>
      </c>
      <c r="AM18" s="99">
        <v>0</v>
      </c>
      <c r="AN18" s="100">
        <f t="shared" si="25"/>
        <v>294.54463999999996</v>
      </c>
      <c r="AO18" s="101">
        <f t="shared" si="26"/>
        <v>2133.2047003357998</v>
      </c>
      <c r="AP18" s="102"/>
      <c r="AQ18" s="103">
        <f t="shared" si="8"/>
        <v>1188.9680000000001</v>
      </c>
      <c r="AR18" s="104">
        <f t="shared" si="9"/>
        <v>123.09</v>
      </c>
      <c r="AS18" s="104">
        <f t="shared" si="10"/>
        <v>432.13800000000009</v>
      </c>
      <c r="AT18" s="104">
        <f t="shared" si="11"/>
        <v>105.98666666666668</v>
      </c>
      <c r="AU18" s="104">
        <f t="shared" si="27"/>
        <v>0</v>
      </c>
      <c r="AV18" s="104">
        <f t="array" ref="AV18">_xlfn.IFS(U18=0,AO18,U18&lt;0,AO18/-U18,U18&gt;0,AO18/U18)</f>
        <v>426.64094006715993</v>
      </c>
      <c r="AW18" s="244">
        <f t="shared" si="34"/>
        <v>0.35883298799224195</v>
      </c>
      <c r="AX18" s="244">
        <f t="shared" si="35"/>
        <v>3.4660893660505314</v>
      </c>
      <c r="AY18" s="105"/>
      <c r="AZ18" s="100">
        <f t="shared" si="14"/>
        <v>155723.94312451337</v>
      </c>
    </row>
    <row r="19" spans="1:52" outlineLevel="1">
      <c r="A19" s="95" t="s">
        <v>124</v>
      </c>
      <c r="B19" s="96">
        <v>276817565</v>
      </c>
      <c r="C19" s="96" t="s">
        <v>141</v>
      </c>
      <c r="D19" s="97" t="s">
        <v>84</v>
      </c>
      <c r="E19" s="242">
        <f t="shared" si="32"/>
        <v>0</v>
      </c>
      <c r="F19" s="99"/>
      <c r="G19" s="99"/>
      <c r="H19" s="282">
        <v>0</v>
      </c>
      <c r="I19" s="99"/>
      <c r="J19" s="99"/>
      <c r="K19" s="99">
        <v>123.09</v>
      </c>
      <c r="L19" s="98">
        <f t="shared" si="36"/>
        <v>0</v>
      </c>
      <c r="M19" s="95"/>
      <c r="N19" s="95">
        <v>0</v>
      </c>
      <c r="O19" s="95">
        <v>0</v>
      </c>
      <c r="P19" s="95">
        <v>0</v>
      </c>
      <c r="Q19" s="243">
        <f t="shared" si="15"/>
        <v>0</v>
      </c>
      <c r="R19" s="98">
        <f t="shared" si="16"/>
        <v>0</v>
      </c>
      <c r="S19" s="99">
        <v>0</v>
      </c>
      <c r="T19" s="99">
        <v>0</v>
      </c>
      <c r="U19" s="98">
        <f t="shared" si="17"/>
        <v>0</v>
      </c>
      <c r="V19" s="99">
        <v>0</v>
      </c>
      <c r="W19" s="99">
        <v>0</v>
      </c>
      <c r="X19" s="98">
        <f t="shared" si="18"/>
        <v>0</v>
      </c>
      <c r="Y19" s="99">
        <v>0</v>
      </c>
      <c r="Z19" s="99">
        <v>0</v>
      </c>
      <c r="AA19" s="98">
        <f t="shared" si="19"/>
        <v>0</v>
      </c>
      <c r="AB19" s="98">
        <f t="shared" si="20"/>
        <v>0</v>
      </c>
      <c r="AC19" s="244">
        <f t="shared" si="21"/>
        <v>0</v>
      </c>
      <c r="AD19" s="98">
        <f t="shared" si="22"/>
        <v>0</v>
      </c>
      <c r="AE19" s="99">
        <v>0</v>
      </c>
      <c r="AF19" s="244">
        <f t="shared" si="23"/>
        <v>0</v>
      </c>
      <c r="AG19" s="99">
        <v>0</v>
      </c>
      <c r="AH19" s="99"/>
      <c r="AI19" s="99"/>
      <c r="AJ19" s="99"/>
      <c r="AK19" s="99"/>
      <c r="AL19" s="128">
        <f t="shared" si="24"/>
        <v>0</v>
      </c>
      <c r="AM19" s="99">
        <v>0</v>
      </c>
      <c r="AN19" s="100">
        <f t="shared" si="25"/>
        <v>0</v>
      </c>
      <c r="AO19" s="101">
        <f t="shared" si="26"/>
        <v>0</v>
      </c>
      <c r="AP19" s="102"/>
      <c r="AQ19" s="103">
        <f t="shared" si="8"/>
        <v>0</v>
      </c>
      <c r="AR19" s="104">
        <f t="shared" si="9"/>
        <v>123.09</v>
      </c>
      <c r="AS19" s="104">
        <f t="shared" si="10"/>
        <v>0</v>
      </c>
      <c r="AT19" s="104">
        <f t="shared" si="11"/>
        <v>0</v>
      </c>
      <c r="AU19" s="104">
        <f t="shared" si="27"/>
        <v>0</v>
      </c>
      <c r="AV19" s="104">
        <f t="array" ref="AV19">_xlfn.IFS(U19=0,AO19,U19&lt;0,AO19/-U19,U19&gt;0,AO19/U19)</f>
        <v>0</v>
      </c>
      <c r="AW19" s="244">
        <f t="shared" si="34"/>
        <v>0</v>
      </c>
      <c r="AX19" s="244">
        <f t="shared" si="35"/>
        <v>0</v>
      </c>
      <c r="AY19" s="105"/>
      <c r="AZ19" s="100">
        <f t="shared" si="14"/>
        <v>0</v>
      </c>
    </row>
    <row r="20" spans="1:52" outlineLevel="1">
      <c r="A20" s="95" t="s">
        <v>124</v>
      </c>
      <c r="B20" s="96">
        <v>335387679</v>
      </c>
      <c r="C20" s="96" t="s">
        <v>142</v>
      </c>
      <c r="D20" s="97" t="s">
        <v>84</v>
      </c>
      <c r="E20" s="242">
        <f t="shared" si="32"/>
        <v>0</v>
      </c>
      <c r="F20" s="99"/>
      <c r="G20" s="99"/>
      <c r="H20" s="282">
        <v>0</v>
      </c>
      <c r="I20" s="99"/>
      <c r="J20" s="99"/>
      <c r="K20" s="99">
        <v>117.24</v>
      </c>
      <c r="L20" s="98">
        <f t="shared" si="36"/>
        <v>0</v>
      </c>
      <c r="M20" s="95"/>
      <c r="N20" s="95">
        <v>0</v>
      </c>
      <c r="O20" s="95">
        <v>0</v>
      </c>
      <c r="P20" s="95">
        <v>0</v>
      </c>
      <c r="Q20" s="243">
        <f t="shared" si="15"/>
        <v>0</v>
      </c>
      <c r="R20" s="98">
        <f t="shared" si="16"/>
        <v>0.33333333333333331</v>
      </c>
      <c r="S20" s="99">
        <v>1</v>
      </c>
      <c r="T20" s="99">
        <v>0</v>
      </c>
      <c r="U20" s="98">
        <f t="shared" si="17"/>
        <v>1</v>
      </c>
      <c r="V20" s="99">
        <v>781</v>
      </c>
      <c r="W20" s="99">
        <v>0</v>
      </c>
      <c r="X20" s="98">
        <f t="shared" si="18"/>
        <v>781</v>
      </c>
      <c r="Y20" s="99">
        <v>918</v>
      </c>
      <c r="Z20" s="99">
        <v>0</v>
      </c>
      <c r="AA20" s="98">
        <f t="shared" si="19"/>
        <v>918</v>
      </c>
      <c r="AB20" s="98">
        <f t="shared" si="20"/>
        <v>0</v>
      </c>
      <c r="AC20" s="244">
        <f t="shared" si="21"/>
        <v>6.9842512741883902E-3</v>
      </c>
      <c r="AD20" s="98">
        <f t="shared" si="22"/>
        <v>117.24</v>
      </c>
      <c r="AE20" s="99">
        <v>347.03</v>
      </c>
      <c r="AF20" s="244">
        <f t="shared" si="23"/>
        <v>0.37802832244008711</v>
      </c>
      <c r="AG20" s="99">
        <v>45.84</v>
      </c>
      <c r="AH20" s="99"/>
      <c r="AI20" s="99"/>
      <c r="AJ20" s="99"/>
      <c r="AK20" s="99"/>
      <c r="AL20" s="128">
        <f t="shared" si="24"/>
        <v>0</v>
      </c>
      <c r="AM20" s="99">
        <v>0</v>
      </c>
      <c r="AN20" s="100">
        <f t="shared" si="25"/>
        <v>44.595099999999995</v>
      </c>
      <c r="AO20" s="101">
        <f t="shared" si="26"/>
        <v>363.29489999999998</v>
      </c>
      <c r="AP20" s="102"/>
      <c r="AQ20" s="103">
        <f t="shared" si="8"/>
        <v>918</v>
      </c>
      <c r="AR20" s="104">
        <f>K20</f>
        <v>117.24</v>
      </c>
      <c r="AS20" s="104">
        <f t="shared" si="10"/>
        <v>347.03</v>
      </c>
      <c r="AT20" s="104">
        <f t="shared" si="11"/>
        <v>45.84</v>
      </c>
      <c r="AU20" s="104">
        <f t="shared" si="27"/>
        <v>0</v>
      </c>
      <c r="AV20" s="104">
        <f t="array" ref="AV20">_xlfn.IFS(U20=0,AO20,U20&lt;0,AO20/-U20,U20&gt;0,AO20/U20)</f>
        <v>363.29489999999998</v>
      </c>
      <c r="AW20" s="244">
        <f t="shared" si="34"/>
        <v>0.39574607843137255</v>
      </c>
      <c r="AX20" s="244">
        <f t="shared" si="35"/>
        <v>3.0987282497441146</v>
      </c>
      <c r="AY20" s="105"/>
      <c r="AZ20" s="100">
        <f t="shared" si="14"/>
        <v>0</v>
      </c>
    </row>
    <row r="21" spans="1:52" outlineLevel="1">
      <c r="A21" s="95" t="s">
        <v>124</v>
      </c>
      <c r="B21" s="96">
        <v>335388183</v>
      </c>
      <c r="C21" s="96" t="s">
        <v>143</v>
      </c>
      <c r="D21" s="97" t="s">
        <v>84</v>
      </c>
      <c r="E21" s="242">
        <f t="shared" si="32"/>
        <v>1</v>
      </c>
      <c r="F21" s="99"/>
      <c r="G21" s="99"/>
      <c r="H21" s="282">
        <v>1</v>
      </c>
      <c r="I21" s="99"/>
      <c r="J21" s="99"/>
      <c r="K21" s="99">
        <v>117.24</v>
      </c>
      <c r="L21" s="98">
        <f t="shared" si="36"/>
        <v>117.24</v>
      </c>
      <c r="M21" s="95"/>
      <c r="N21" s="95">
        <v>0</v>
      </c>
      <c r="O21" s="95">
        <v>0</v>
      </c>
      <c r="P21" s="95">
        <v>0</v>
      </c>
      <c r="Q21" s="243">
        <f t="shared" si="15"/>
        <v>0</v>
      </c>
      <c r="R21" s="98">
        <f t="shared" si="16"/>
        <v>0</v>
      </c>
      <c r="S21" s="99">
        <v>0</v>
      </c>
      <c r="T21" s="99">
        <v>0</v>
      </c>
      <c r="U21" s="98">
        <f t="shared" si="17"/>
        <v>0</v>
      </c>
      <c r="V21" s="99">
        <v>0</v>
      </c>
      <c r="W21" s="99">
        <v>0</v>
      </c>
      <c r="X21" s="98">
        <f t="shared" si="18"/>
        <v>0</v>
      </c>
      <c r="Y21" s="99">
        <v>0</v>
      </c>
      <c r="Z21" s="99">
        <v>0</v>
      </c>
      <c r="AA21" s="98">
        <f t="shared" si="19"/>
        <v>0</v>
      </c>
      <c r="AB21" s="98">
        <f t="shared" si="20"/>
        <v>0</v>
      </c>
      <c r="AC21" s="244">
        <f t="shared" si="21"/>
        <v>0</v>
      </c>
      <c r="AD21" s="98">
        <f t="shared" si="22"/>
        <v>0</v>
      </c>
      <c r="AE21" s="99">
        <v>0</v>
      </c>
      <c r="AF21" s="244">
        <f t="shared" si="23"/>
        <v>0</v>
      </c>
      <c r="AG21" s="99">
        <v>0</v>
      </c>
      <c r="AH21" s="99"/>
      <c r="AI21" s="99"/>
      <c r="AJ21" s="99"/>
      <c r="AK21" s="99"/>
      <c r="AL21" s="128">
        <f t="shared" si="24"/>
        <v>0.28775523195671199</v>
      </c>
      <c r="AM21" s="99">
        <v>0</v>
      </c>
      <c r="AN21" s="100">
        <f t="shared" si="25"/>
        <v>0</v>
      </c>
      <c r="AO21" s="101">
        <f t="shared" si="26"/>
        <v>-0.28775523195671199</v>
      </c>
      <c r="AP21" s="102"/>
      <c r="AQ21" s="103">
        <f t="shared" si="8"/>
        <v>0</v>
      </c>
      <c r="AR21" s="104">
        <f t="shared" ref="AR21:AR98" si="37">K21</f>
        <v>117.24</v>
      </c>
      <c r="AS21" s="104">
        <f t="shared" si="10"/>
        <v>0</v>
      </c>
      <c r="AT21" s="104">
        <f t="shared" si="11"/>
        <v>0</v>
      </c>
      <c r="AU21" s="104">
        <f t="shared" si="27"/>
        <v>0</v>
      </c>
      <c r="AV21" s="104">
        <f t="array" ref="AV21">_xlfn.IFS(U21=0,AO21,U21&lt;0,AO21/-U21,U21&gt;0,AO21/U21)</f>
        <v>-0.28775523195671199</v>
      </c>
      <c r="AW21" s="244">
        <f t="shared" si="34"/>
        <v>0</v>
      </c>
      <c r="AX21" s="244">
        <f t="shared" si="35"/>
        <v>-2.4544117362394406E-3</v>
      </c>
      <c r="AY21" s="105"/>
      <c r="AZ21" s="100">
        <f t="shared" si="14"/>
        <v>-0.28775523195671199</v>
      </c>
    </row>
    <row r="22" spans="1:52" outlineLevel="1">
      <c r="A22" s="95" t="s">
        <v>124</v>
      </c>
      <c r="B22" s="96">
        <v>335388404</v>
      </c>
      <c r="C22" s="96" t="s">
        <v>144</v>
      </c>
      <c r="D22" s="97" t="s">
        <v>84</v>
      </c>
      <c r="E22" s="242">
        <f t="shared" si="32"/>
        <v>3</v>
      </c>
      <c r="F22" s="99"/>
      <c r="G22" s="99"/>
      <c r="H22" s="282">
        <v>3</v>
      </c>
      <c r="I22" s="99"/>
      <c r="J22" s="99"/>
      <c r="K22" s="99">
        <v>117.24</v>
      </c>
      <c r="L22" s="98">
        <f t="shared" si="36"/>
        <v>351.71999999999997</v>
      </c>
      <c r="M22" s="95"/>
      <c r="N22" s="95">
        <v>0</v>
      </c>
      <c r="O22" s="95">
        <v>0</v>
      </c>
      <c r="P22" s="95">
        <v>0</v>
      </c>
      <c r="Q22" s="243">
        <f t="shared" si="15"/>
        <v>0</v>
      </c>
      <c r="R22" s="98">
        <f t="shared" si="16"/>
        <v>0</v>
      </c>
      <c r="S22" s="99">
        <v>0</v>
      </c>
      <c r="T22" s="99">
        <v>0</v>
      </c>
      <c r="U22" s="98">
        <f t="shared" si="17"/>
        <v>0</v>
      </c>
      <c r="V22" s="99">
        <v>0</v>
      </c>
      <c r="W22" s="99">
        <v>0</v>
      </c>
      <c r="X22" s="98">
        <f t="shared" si="18"/>
        <v>0</v>
      </c>
      <c r="Y22" s="99">
        <v>0</v>
      </c>
      <c r="Z22" s="99">
        <v>0</v>
      </c>
      <c r="AA22" s="98">
        <f t="shared" si="19"/>
        <v>0</v>
      </c>
      <c r="AB22" s="98">
        <f t="shared" si="20"/>
        <v>0</v>
      </c>
      <c r="AC22" s="244">
        <f t="shared" si="21"/>
        <v>0</v>
      </c>
      <c r="AD22" s="98">
        <f t="shared" si="22"/>
        <v>0</v>
      </c>
      <c r="AE22" s="99">
        <v>0</v>
      </c>
      <c r="AF22" s="244">
        <f t="shared" si="23"/>
        <v>0</v>
      </c>
      <c r="AG22" s="99">
        <v>0</v>
      </c>
      <c r="AH22" s="99"/>
      <c r="AI22" s="99"/>
      <c r="AJ22" s="99"/>
      <c r="AK22" s="99"/>
      <c r="AL22" s="128">
        <f t="shared" si="24"/>
        <v>0.86326569587013602</v>
      </c>
      <c r="AM22" s="99">
        <v>0</v>
      </c>
      <c r="AN22" s="100">
        <f t="shared" si="25"/>
        <v>0</v>
      </c>
      <c r="AO22" s="101">
        <f t="shared" si="26"/>
        <v>-0.86326569587013602</v>
      </c>
      <c r="AP22" s="102"/>
      <c r="AQ22" s="103">
        <f t="shared" si="8"/>
        <v>0</v>
      </c>
      <c r="AR22" s="104">
        <f t="shared" si="37"/>
        <v>117.24</v>
      </c>
      <c r="AS22" s="104">
        <f t="shared" si="10"/>
        <v>0</v>
      </c>
      <c r="AT22" s="104">
        <f t="shared" si="11"/>
        <v>0</v>
      </c>
      <c r="AU22" s="104">
        <f t="shared" si="27"/>
        <v>0</v>
      </c>
      <c r="AV22" s="104">
        <f t="array" ref="AV22">_xlfn.IFS(U22=0,AO22,U22&lt;0,AO22/-U22,U22&gt;0,AO22/U22)</f>
        <v>-0.86326569587013602</v>
      </c>
      <c r="AW22" s="244">
        <f t="shared" si="34"/>
        <v>0</v>
      </c>
      <c r="AX22" s="244">
        <f t="shared" si="35"/>
        <v>-7.3632352087183222E-3</v>
      </c>
      <c r="AY22" s="105"/>
      <c r="AZ22" s="100">
        <f t="shared" si="14"/>
        <v>-2.5897970876104082</v>
      </c>
    </row>
    <row r="23" spans="1:52" outlineLevel="1">
      <c r="A23" s="95" t="s">
        <v>124</v>
      </c>
      <c r="B23" s="96">
        <v>335389672</v>
      </c>
      <c r="C23" s="96" t="s">
        <v>145</v>
      </c>
      <c r="D23" s="97" t="s">
        <v>84</v>
      </c>
      <c r="E23" s="242">
        <f t="shared" si="32"/>
        <v>0</v>
      </c>
      <c r="F23" s="99"/>
      <c r="G23" s="99"/>
      <c r="H23" s="282">
        <v>0</v>
      </c>
      <c r="I23" s="99"/>
      <c r="J23" s="99"/>
      <c r="K23" s="99">
        <v>117.24</v>
      </c>
      <c r="L23" s="98">
        <f t="shared" si="36"/>
        <v>0</v>
      </c>
      <c r="M23" s="95"/>
      <c r="N23" s="95">
        <v>0</v>
      </c>
      <c r="O23" s="95">
        <v>0</v>
      </c>
      <c r="P23" s="95">
        <v>0</v>
      </c>
      <c r="Q23" s="243">
        <f t="shared" si="15"/>
        <v>0</v>
      </c>
      <c r="R23" s="98">
        <f t="shared" si="16"/>
        <v>0</v>
      </c>
      <c r="S23" s="99">
        <v>0</v>
      </c>
      <c r="T23" s="99">
        <v>0</v>
      </c>
      <c r="U23" s="98">
        <f t="shared" si="17"/>
        <v>0</v>
      </c>
      <c r="V23" s="99">
        <v>0</v>
      </c>
      <c r="W23" s="99">
        <v>0</v>
      </c>
      <c r="X23" s="98">
        <f t="shared" si="18"/>
        <v>0</v>
      </c>
      <c r="Y23" s="99">
        <v>0</v>
      </c>
      <c r="Z23" s="99">
        <v>0</v>
      </c>
      <c r="AA23" s="98">
        <f t="shared" si="19"/>
        <v>0</v>
      </c>
      <c r="AB23" s="98">
        <f t="shared" si="20"/>
        <v>0</v>
      </c>
      <c r="AC23" s="244">
        <f t="shared" si="21"/>
        <v>0</v>
      </c>
      <c r="AD23" s="98">
        <f t="shared" si="22"/>
        <v>0</v>
      </c>
      <c r="AE23" s="99">
        <v>0</v>
      </c>
      <c r="AF23" s="244">
        <f t="shared" si="23"/>
        <v>0</v>
      </c>
      <c r="AG23" s="99">
        <v>0</v>
      </c>
      <c r="AH23" s="99"/>
      <c r="AI23" s="99"/>
      <c r="AJ23" s="99"/>
      <c r="AK23" s="99"/>
      <c r="AL23" s="128">
        <f t="shared" si="24"/>
        <v>0</v>
      </c>
      <c r="AM23" s="99">
        <v>0</v>
      </c>
      <c r="AN23" s="100">
        <f t="shared" si="25"/>
        <v>0</v>
      </c>
      <c r="AO23" s="101">
        <f t="shared" si="26"/>
        <v>0</v>
      </c>
      <c r="AP23" s="102"/>
      <c r="AQ23" s="103">
        <f t="shared" si="8"/>
        <v>0</v>
      </c>
      <c r="AR23" s="104">
        <f t="shared" si="37"/>
        <v>117.24</v>
      </c>
      <c r="AS23" s="104">
        <f t="shared" si="10"/>
        <v>0</v>
      </c>
      <c r="AT23" s="104">
        <f t="shared" si="11"/>
        <v>0</v>
      </c>
      <c r="AU23" s="104">
        <f t="shared" si="27"/>
        <v>0</v>
      </c>
      <c r="AV23" s="104">
        <f t="array" ref="AV23">_xlfn.IFS(U23=0,AO23,U23&lt;0,AO23/-U23,U23&gt;0,AO23/U23)</f>
        <v>0</v>
      </c>
      <c r="AW23" s="244">
        <f t="shared" si="34"/>
        <v>0</v>
      </c>
      <c r="AX23" s="244">
        <f t="shared" si="35"/>
        <v>0</v>
      </c>
      <c r="AY23" s="105"/>
      <c r="AZ23" s="100">
        <f t="shared" si="14"/>
        <v>0</v>
      </c>
    </row>
    <row r="24" spans="1:52" outlineLevel="1">
      <c r="A24" s="95" t="s">
        <v>124</v>
      </c>
      <c r="B24" s="96">
        <v>335389846</v>
      </c>
      <c r="C24" s="96" t="s">
        <v>146</v>
      </c>
      <c r="D24" s="97" t="s">
        <v>84</v>
      </c>
      <c r="E24" s="242">
        <f t="shared" si="32"/>
        <v>0</v>
      </c>
      <c r="F24" s="99"/>
      <c r="G24" s="99"/>
      <c r="H24" s="282" t="s">
        <v>100</v>
      </c>
      <c r="I24" s="99"/>
      <c r="J24" s="99"/>
      <c r="K24" s="99">
        <v>117.24</v>
      </c>
      <c r="L24" s="98">
        <f t="shared" si="36"/>
        <v>0</v>
      </c>
      <c r="M24" s="95"/>
      <c r="N24" s="95">
        <v>1</v>
      </c>
      <c r="O24" s="95">
        <v>958</v>
      </c>
      <c r="P24" s="95">
        <v>100</v>
      </c>
      <c r="Q24" s="243">
        <f t="shared" si="15"/>
        <v>0.33333333333333331</v>
      </c>
      <c r="R24" s="98">
        <f t="shared" si="16"/>
        <v>0</v>
      </c>
      <c r="S24" s="99">
        <v>0</v>
      </c>
      <c r="T24" s="99">
        <v>0</v>
      </c>
      <c r="U24" s="98">
        <f t="shared" si="17"/>
        <v>0</v>
      </c>
      <c r="V24" s="99">
        <v>0</v>
      </c>
      <c r="W24" s="99">
        <v>0</v>
      </c>
      <c r="X24" s="98">
        <f t="shared" si="18"/>
        <v>0</v>
      </c>
      <c r="Y24" s="99">
        <v>0</v>
      </c>
      <c r="Z24" s="99">
        <v>0</v>
      </c>
      <c r="AA24" s="98">
        <f t="shared" si="19"/>
        <v>0</v>
      </c>
      <c r="AB24" s="98">
        <f t="shared" si="20"/>
        <v>958</v>
      </c>
      <c r="AC24" s="244">
        <f t="shared" si="21"/>
        <v>0</v>
      </c>
      <c r="AD24" s="98">
        <f t="shared" si="22"/>
        <v>0</v>
      </c>
      <c r="AE24" s="99">
        <v>0</v>
      </c>
      <c r="AF24" s="244">
        <f t="shared" si="23"/>
        <v>0</v>
      </c>
      <c r="AG24" s="99">
        <v>97.789999999999992</v>
      </c>
      <c r="AH24" s="99"/>
      <c r="AI24" s="99"/>
      <c r="AJ24" s="99"/>
      <c r="AK24" s="99"/>
      <c r="AL24" s="128">
        <f t="shared" si="24"/>
        <v>0</v>
      </c>
      <c r="AM24" s="99">
        <v>0</v>
      </c>
      <c r="AN24" s="100">
        <f t="shared" si="25"/>
        <v>0</v>
      </c>
      <c r="AO24" s="101">
        <f t="shared" si="26"/>
        <v>-97.789999999999992</v>
      </c>
      <c r="AP24" s="102"/>
      <c r="AQ24" s="103">
        <f t="shared" si="8"/>
        <v>0</v>
      </c>
      <c r="AR24" s="104">
        <f t="shared" si="37"/>
        <v>117.24</v>
      </c>
      <c r="AS24" s="104">
        <f t="shared" si="10"/>
        <v>0</v>
      </c>
      <c r="AT24" s="104">
        <f t="shared" si="11"/>
        <v>97.789999999999992</v>
      </c>
      <c r="AU24" s="104">
        <f t="shared" si="27"/>
        <v>0</v>
      </c>
      <c r="AV24" s="104">
        <f t="array" ref="AV24">_xlfn.IFS(U24=0,AO24,U24&lt;0,AO24/-U24,U24&gt;0,AO24/U24)</f>
        <v>-97.789999999999992</v>
      </c>
      <c r="AW24" s="244">
        <f t="shared" si="34"/>
        <v>0</v>
      </c>
      <c r="AX24" s="244">
        <f t="shared" si="35"/>
        <v>-0.83410098942340494</v>
      </c>
      <c r="AY24" s="105"/>
      <c r="AZ24" s="100">
        <f t="shared" si="14"/>
        <v>0</v>
      </c>
    </row>
    <row r="25" spans="1:52" outlineLevel="1">
      <c r="A25" s="95" t="s">
        <v>124</v>
      </c>
      <c r="B25" s="96">
        <v>335390038</v>
      </c>
      <c r="C25" s="96" t="s">
        <v>147</v>
      </c>
      <c r="D25" s="97" t="s">
        <v>84</v>
      </c>
      <c r="E25" s="242">
        <f t="shared" si="32"/>
        <v>11</v>
      </c>
      <c r="F25" s="99"/>
      <c r="G25" s="99"/>
      <c r="H25" s="282">
        <v>11</v>
      </c>
      <c r="I25" s="99"/>
      <c r="J25" s="99"/>
      <c r="K25" s="99">
        <v>117.24</v>
      </c>
      <c r="L25" s="98">
        <f t="shared" si="36"/>
        <v>1289.6399999999999</v>
      </c>
      <c r="M25" s="95"/>
      <c r="N25" s="95">
        <v>0</v>
      </c>
      <c r="O25" s="95">
        <v>0</v>
      </c>
      <c r="P25" s="95">
        <v>0</v>
      </c>
      <c r="Q25" s="243">
        <f t="shared" si="15"/>
        <v>0</v>
      </c>
      <c r="R25" s="98">
        <f t="shared" si="16"/>
        <v>0</v>
      </c>
      <c r="S25" s="99">
        <v>0</v>
      </c>
      <c r="T25" s="99">
        <v>0</v>
      </c>
      <c r="U25" s="98">
        <f t="shared" si="17"/>
        <v>0</v>
      </c>
      <c r="V25" s="99">
        <v>0</v>
      </c>
      <c r="W25" s="99">
        <v>0</v>
      </c>
      <c r="X25" s="98">
        <f t="shared" si="18"/>
        <v>0</v>
      </c>
      <c r="Y25" s="99">
        <v>0</v>
      </c>
      <c r="Z25" s="99">
        <v>0</v>
      </c>
      <c r="AA25" s="98">
        <f t="shared" si="19"/>
        <v>0</v>
      </c>
      <c r="AB25" s="98">
        <f t="shared" si="20"/>
        <v>0</v>
      </c>
      <c r="AC25" s="244">
        <f t="shared" si="21"/>
        <v>0</v>
      </c>
      <c r="AD25" s="98">
        <f t="shared" si="22"/>
        <v>0</v>
      </c>
      <c r="AE25" s="99">
        <v>0</v>
      </c>
      <c r="AF25" s="244">
        <f t="shared" si="23"/>
        <v>0</v>
      </c>
      <c r="AG25" s="99">
        <v>0</v>
      </c>
      <c r="AH25" s="99"/>
      <c r="AI25" s="99"/>
      <c r="AJ25" s="99"/>
      <c r="AK25" s="99"/>
      <c r="AL25" s="128">
        <f t="shared" si="24"/>
        <v>3.1653075515238323</v>
      </c>
      <c r="AM25" s="99">
        <v>0</v>
      </c>
      <c r="AN25" s="100">
        <f t="shared" si="25"/>
        <v>0</v>
      </c>
      <c r="AO25" s="101">
        <f t="shared" si="26"/>
        <v>-3.1653075515238323</v>
      </c>
      <c r="AP25" s="102"/>
      <c r="AQ25" s="103">
        <f t="shared" si="8"/>
        <v>0</v>
      </c>
      <c r="AR25" s="104">
        <f t="shared" si="37"/>
        <v>117.24</v>
      </c>
      <c r="AS25" s="104">
        <f t="shared" si="10"/>
        <v>0</v>
      </c>
      <c r="AT25" s="104">
        <f t="shared" si="11"/>
        <v>0</v>
      </c>
      <c r="AU25" s="104">
        <f t="shared" si="27"/>
        <v>0</v>
      </c>
      <c r="AV25" s="104">
        <f t="array" ref="AV25">_xlfn.IFS(U25=0,AO25,U25&lt;0,AO25/-U25,U25&gt;0,AO25/U25)</f>
        <v>-3.1653075515238323</v>
      </c>
      <c r="AW25" s="244">
        <f t="shared" si="34"/>
        <v>0</v>
      </c>
      <c r="AX25" s="244">
        <f t="shared" si="35"/>
        <v>-2.6998529098633848E-2</v>
      </c>
      <c r="AY25" s="105"/>
      <c r="AZ25" s="100">
        <f t="shared" si="14"/>
        <v>-34.818383066762152</v>
      </c>
    </row>
    <row r="26" spans="1:52" outlineLevel="1">
      <c r="A26" s="95" t="s">
        <v>124</v>
      </c>
      <c r="B26" s="96">
        <v>207984026</v>
      </c>
      <c r="C26" s="96" t="s">
        <v>148</v>
      </c>
      <c r="D26" s="97" t="s">
        <v>84</v>
      </c>
      <c r="E26" s="242">
        <f t="shared" si="32"/>
        <v>409</v>
      </c>
      <c r="F26" s="99"/>
      <c r="G26" s="99"/>
      <c r="H26" s="282">
        <v>409</v>
      </c>
      <c r="I26" s="99"/>
      <c r="J26" s="99"/>
      <c r="K26" s="99">
        <v>123.09</v>
      </c>
      <c r="L26" s="98">
        <f t="shared" si="36"/>
        <v>50343.810000000005</v>
      </c>
      <c r="M26" s="95"/>
      <c r="N26" s="95">
        <v>0</v>
      </c>
      <c r="O26" s="95">
        <v>0</v>
      </c>
      <c r="P26" s="95">
        <v>0</v>
      </c>
      <c r="Q26" s="243">
        <f t="shared" si="15"/>
        <v>0</v>
      </c>
      <c r="R26" s="98">
        <f t="shared" si="16"/>
        <v>0</v>
      </c>
      <c r="S26" s="99">
        <v>0</v>
      </c>
      <c r="T26" s="99">
        <v>0</v>
      </c>
      <c r="U26" s="98">
        <f t="shared" si="17"/>
        <v>0</v>
      </c>
      <c r="V26" s="99">
        <v>0</v>
      </c>
      <c r="W26" s="99">
        <v>0</v>
      </c>
      <c r="X26" s="98">
        <f t="shared" si="18"/>
        <v>0</v>
      </c>
      <c r="Y26" s="99">
        <v>0</v>
      </c>
      <c r="Z26" s="99">
        <v>0</v>
      </c>
      <c r="AA26" s="98">
        <f t="shared" si="19"/>
        <v>0</v>
      </c>
      <c r="AB26" s="98">
        <f t="shared" si="20"/>
        <v>0</v>
      </c>
      <c r="AC26" s="244">
        <f t="shared" si="21"/>
        <v>0</v>
      </c>
      <c r="AD26" s="98">
        <f t="shared" si="22"/>
        <v>0</v>
      </c>
      <c r="AE26" s="99">
        <v>0</v>
      </c>
      <c r="AF26" s="244">
        <f t="shared" si="23"/>
        <v>0</v>
      </c>
      <c r="AG26" s="99">
        <v>0</v>
      </c>
      <c r="AH26" s="99"/>
      <c r="AI26" s="99"/>
      <c r="AJ26" s="99"/>
      <c r="AK26" s="99"/>
      <c r="AL26" s="128">
        <f t="shared" si="24"/>
        <v>117.69188987029521</v>
      </c>
      <c r="AM26" s="99">
        <v>0</v>
      </c>
      <c r="AN26" s="100">
        <f t="shared" si="25"/>
        <v>0</v>
      </c>
      <c r="AO26" s="101">
        <f t="shared" si="26"/>
        <v>-117.69188987029521</v>
      </c>
      <c r="AP26" s="102"/>
      <c r="AQ26" s="103">
        <f t="shared" si="8"/>
        <v>0</v>
      </c>
      <c r="AR26" s="104">
        <f t="shared" si="37"/>
        <v>123.09</v>
      </c>
      <c r="AS26" s="104">
        <f t="shared" si="10"/>
        <v>0</v>
      </c>
      <c r="AT26" s="104">
        <f t="shared" si="11"/>
        <v>0</v>
      </c>
      <c r="AU26" s="104">
        <f t="shared" si="27"/>
        <v>0</v>
      </c>
      <c r="AV26" s="104">
        <f t="array" ref="AV26">_xlfn.IFS(U26=0,AO26,U26&lt;0,AO26/-U26,U26&gt;0,AO26/U26)</f>
        <v>-117.69188987029521</v>
      </c>
      <c r="AW26" s="244">
        <f t="shared" si="34"/>
        <v>0</v>
      </c>
      <c r="AX26" s="244">
        <f t="shared" si="35"/>
        <v>-0.95614501478832736</v>
      </c>
      <c r="AY26" s="105"/>
      <c r="AZ26" s="100">
        <f t="shared" si="14"/>
        <v>-48135.982956950742</v>
      </c>
    </row>
    <row r="27" spans="1:52" outlineLevel="1">
      <c r="A27" s="95" t="s">
        <v>124</v>
      </c>
      <c r="B27" s="96">
        <v>207984027</v>
      </c>
      <c r="C27" s="96" t="s">
        <v>149</v>
      </c>
      <c r="D27" s="97" t="s">
        <v>84</v>
      </c>
      <c r="E27" s="242">
        <f t="shared" si="32"/>
        <v>74</v>
      </c>
      <c r="F27" s="99"/>
      <c r="G27" s="99"/>
      <c r="H27" s="282">
        <v>74</v>
      </c>
      <c r="I27" s="99"/>
      <c r="J27" s="99"/>
      <c r="K27" s="99">
        <v>181.59</v>
      </c>
      <c r="L27" s="98">
        <f t="shared" si="36"/>
        <v>13437.66</v>
      </c>
      <c r="M27" s="95"/>
      <c r="N27" s="95">
        <v>0</v>
      </c>
      <c r="O27" s="95">
        <v>0</v>
      </c>
      <c r="P27" s="95">
        <v>0</v>
      </c>
      <c r="Q27" s="243">
        <f t="shared" si="15"/>
        <v>0</v>
      </c>
      <c r="R27" s="98">
        <f t="shared" si="16"/>
        <v>0</v>
      </c>
      <c r="S27" s="99">
        <v>0</v>
      </c>
      <c r="T27" s="99">
        <v>0</v>
      </c>
      <c r="U27" s="98">
        <f t="shared" si="17"/>
        <v>0</v>
      </c>
      <c r="V27" s="99">
        <v>0</v>
      </c>
      <c r="W27" s="99">
        <v>0</v>
      </c>
      <c r="X27" s="98">
        <f t="shared" si="18"/>
        <v>0</v>
      </c>
      <c r="Y27" s="99">
        <v>0</v>
      </c>
      <c r="Z27" s="99">
        <v>0</v>
      </c>
      <c r="AA27" s="98">
        <f t="shared" si="19"/>
        <v>0</v>
      </c>
      <c r="AB27" s="98">
        <f t="shared" si="20"/>
        <v>0</v>
      </c>
      <c r="AC27" s="244">
        <f t="shared" si="21"/>
        <v>0</v>
      </c>
      <c r="AD27" s="98">
        <f t="shared" si="22"/>
        <v>0</v>
      </c>
      <c r="AE27" s="99">
        <v>0</v>
      </c>
      <c r="AF27" s="244">
        <f t="shared" si="23"/>
        <v>0</v>
      </c>
      <c r="AG27" s="99">
        <v>0</v>
      </c>
      <c r="AH27" s="99"/>
      <c r="AI27" s="99"/>
      <c r="AJ27" s="99"/>
      <c r="AK27" s="99"/>
      <c r="AL27" s="128">
        <f t="shared" si="24"/>
        <v>21.293887164796686</v>
      </c>
      <c r="AM27" s="99">
        <v>0</v>
      </c>
      <c r="AN27" s="100">
        <f t="shared" si="25"/>
        <v>0</v>
      </c>
      <c r="AO27" s="101">
        <f t="shared" si="26"/>
        <v>-21.293887164796686</v>
      </c>
      <c r="AP27" s="102"/>
      <c r="AQ27" s="103">
        <f t="shared" si="8"/>
        <v>0</v>
      </c>
      <c r="AR27" s="104">
        <f t="shared" si="37"/>
        <v>181.59</v>
      </c>
      <c r="AS27" s="104">
        <f t="shared" si="10"/>
        <v>0</v>
      </c>
      <c r="AT27" s="104">
        <f t="shared" si="11"/>
        <v>0</v>
      </c>
      <c r="AU27" s="104">
        <f t="shared" si="27"/>
        <v>0</v>
      </c>
      <c r="AV27" s="104">
        <f t="array" ref="AV27">_xlfn.IFS(U27=0,AO27,U27&lt;0,AO27/-U27,U27&gt;0,AO27/U27)</f>
        <v>-21.293887164796686</v>
      </c>
      <c r="AW27" s="244">
        <f t="shared" si="34"/>
        <v>0</v>
      </c>
      <c r="AX27" s="244">
        <f t="shared" si="35"/>
        <v>-0.11726354515555198</v>
      </c>
      <c r="AY27" s="105"/>
      <c r="AZ27" s="100">
        <f t="shared" si="14"/>
        <v>-1575.7476501949548</v>
      </c>
    </row>
    <row r="28" spans="1:52" outlineLevel="1">
      <c r="A28" s="95" t="s">
        <v>124</v>
      </c>
      <c r="B28" s="96">
        <v>207984028</v>
      </c>
      <c r="C28" s="96" t="s">
        <v>150</v>
      </c>
      <c r="D28" s="97" t="s">
        <v>84</v>
      </c>
      <c r="E28" s="242">
        <f t="shared" ref="E28" si="38">SUM(F28:J28)</f>
        <v>763</v>
      </c>
      <c r="F28" s="99"/>
      <c r="G28" s="99"/>
      <c r="H28" s="282">
        <v>763</v>
      </c>
      <c r="I28" s="99"/>
      <c r="J28" s="99"/>
      <c r="K28" s="99">
        <v>133.62</v>
      </c>
      <c r="L28" s="98">
        <f t="shared" si="36"/>
        <v>101952.06</v>
      </c>
      <c r="M28" s="95"/>
      <c r="N28" s="95">
        <v>7</v>
      </c>
      <c r="O28" s="95">
        <v>1318</v>
      </c>
      <c r="P28" s="95">
        <v>14</v>
      </c>
      <c r="Q28" s="243">
        <f t="shared" si="15"/>
        <v>2.3333333333333335</v>
      </c>
      <c r="R28" s="98">
        <f t="shared" si="16"/>
        <v>1.6666666666666667</v>
      </c>
      <c r="S28" s="99">
        <v>5</v>
      </c>
      <c r="T28" s="99">
        <v>0</v>
      </c>
      <c r="U28" s="98">
        <f t="shared" si="17"/>
        <v>5</v>
      </c>
      <c r="V28" s="99">
        <v>4502</v>
      </c>
      <c r="W28" s="99">
        <v>0</v>
      </c>
      <c r="X28" s="98">
        <f t="shared" si="18"/>
        <v>4502</v>
      </c>
      <c r="Y28" s="99">
        <v>5632</v>
      </c>
      <c r="Z28" s="99">
        <v>0</v>
      </c>
      <c r="AA28" s="98">
        <f t="shared" si="19"/>
        <v>5632</v>
      </c>
      <c r="AB28" s="98">
        <f t="shared" si="20"/>
        <v>1291.6400000000001</v>
      </c>
      <c r="AC28" s="244">
        <f t="shared" si="21"/>
        <v>4.2848914135325725E-2</v>
      </c>
      <c r="AD28" s="98">
        <f t="shared" si="22"/>
        <v>668.1</v>
      </c>
      <c r="AE28" s="99">
        <v>1630.96</v>
      </c>
      <c r="AF28" s="244">
        <f t="shared" si="23"/>
        <v>0.2895880681818182</v>
      </c>
      <c r="AG28" s="99">
        <v>662.81999999999994</v>
      </c>
      <c r="AH28" s="99"/>
      <c r="AI28" s="99"/>
      <c r="AJ28" s="99"/>
      <c r="AK28" s="99"/>
      <c r="AL28" s="128">
        <f t="shared" si="24"/>
        <v>219.55724198297128</v>
      </c>
      <c r="AM28" s="99">
        <v>0</v>
      </c>
      <c r="AN28" s="100">
        <f t="shared" si="25"/>
        <v>257.06419999999997</v>
      </c>
      <c r="AO28" s="101">
        <f t="shared" si="26"/>
        <v>2193.4985580170287</v>
      </c>
      <c r="AP28" s="102"/>
      <c r="AQ28" s="103">
        <f t="shared" si="8"/>
        <v>1126.4000000000001</v>
      </c>
      <c r="AR28" s="104">
        <f t="shared" si="37"/>
        <v>133.62</v>
      </c>
      <c r="AS28" s="104">
        <f t="shared" si="10"/>
        <v>326.19200000000001</v>
      </c>
      <c r="AT28" s="104">
        <f t="shared" si="11"/>
        <v>132.56399999999999</v>
      </c>
      <c r="AU28" s="104">
        <f t="shared" si="27"/>
        <v>0</v>
      </c>
      <c r="AV28" s="104">
        <f>_xlfn.IFS(U28=0,AO28,U28&lt;0,AO28/-U28,U28&gt;0,AO28/U28)</f>
        <v>438.69971160340572</v>
      </c>
      <c r="AW28" s="244">
        <f t="shared" si="34"/>
        <v>0.38947062464790988</v>
      </c>
      <c r="AX28" s="244">
        <f t="shared" si="35"/>
        <v>3.2831889807170014</v>
      </c>
      <c r="AY28" s="105"/>
      <c r="AZ28" s="100">
        <f t="shared" si="14"/>
        <v>334727.87995339854</v>
      </c>
    </row>
    <row r="29" spans="1:52" outlineLevel="1">
      <c r="A29" s="95" t="s">
        <v>124</v>
      </c>
      <c r="B29" s="96">
        <v>207984029</v>
      </c>
      <c r="C29" s="96" t="s">
        <v>151</v>
      </c>
      <c r="D29" s="97" t="s">
        <v>84</v>
      </c>
      <c r="E29" s="242">
        <f>SUM(F29:J29)</f>
        <v>2</v>
      </c>
      <c r="F29" s="99"/>
      <c r="G29" s="99"/>
      <c r="H29" s="282">
        <v>2</v>
      </c>
      <c r="I29" s="99"/>
      <c r="J29" s="99"/>
      <c r="K29" s="99">
        <v>111.39</v>
      </c>
      <c r="L29" s="98">
        <f>E29*K29</f>
        <v>222.78</v>
      </c>
      <c r="M29" s="95"/>
      <c r="N29" s="95">
        <v>0</v>
      </c>
      <c r="O29" s="95">
        <v>0</v>
      </c>
      <c r="P29" s="95">
        <v>0</v>
      </c>
      <c r="Q29" s="243">
        <f t="shared" si="15"/>
        <v>0</v>
      </c>
      <c r="R29" s="98">
        <f t="shared" si="16"/>
        <v>0</v>
      </c>
      <c r="S29" s="99">
        <v>0</v>
      </c>
      <c r="T29" s="99">
        <v>0</v>
      </c>
      <c r="U29" s="98">
        <f t="shared" si="17"/>
        <v>0</v>
      </c>
      <c r="V29" s="99">
        <v>0</v>
      </c>
      <c r="W29" s="99">
        <v>0</v>
      </c>
      <c r="X29" s="98">
        <f t="shared" si="18"/>
        <v>0</v>
      </c>
      <c r="Y29" s="99">
        <v>0</v>
      </c>
      <c r="Z29" s="99">
        <v>0</v>
      </c>
      <c r="AA29" s="98">
        <f t="shared" si="19"/>
        <v>0</v>
      </c>
      <c r="AB29" s="98">
        <f t="shared" si="20"/>
        <v>0</v>
      </c>
      <c r="AC29" s="244">
        <f t="shared" si="21"/>
        <v>0</v>
      </c>
      <c r="AD29" s="98">
        <f t="shared" si="22"/>
        <v>0</v>
      </c>
      <c r="AE29" s="99">
        <v>0</v>
      </c>
      <c r="AF29" s="244">
        <f t="shared" si="23"/>
        <v>0</v>
      </c>
      <c r="AG29" s="99">
        <v>0</v>
      </c>
      <c r="AH29" s="99"/>
      <c r="AI29" s="99"/>
      <c r="AJ29" s="99"/>
      <c r="AK29" s="99"/>
      <c r="AL29" s="128">
        <f t="shared" si="24"/>
        <v>0.57551046391342398</v>
      </c>
      <c r="AM29" s="99">
        <v>0</v>
      </c>
      <c r="AN29" s="100">
        <f t="shared" si="25"/>
        <v>0</v>
      </c>
      <c r="AO29" s="101">
        <f t="shared" si="26"/>
        <v>-0.57551046391342398</v>
      </c>
      <c r="AP29" s="102"/>
      <c r="AQ29" s="103">
        <f t="shared" si="8"/>
        <v>0</v>
      </c>
      <c r="AR29" s="104">
        <f t="shared" si="37"/>
        <v>111.39</v>
      </c>
      <c r="AS29" s="104">
        <f t="shared" si="10"/>
        <v>0</v>
      </c>
      <c r="AT29" s="104">
        <f t="shared" si="11"/>
        <v>0</v>
      </c>
      <c r="AU29" s="104">
        <f t="shared" si="27"/>
        <v>0</v>
      </c>
      <c r="AV29" s="104">
        <f t="array" ref="AV29">_xlfn.IFS(U29=0,AO29,U29&lt;0,AO29/-U29,U29&gt;0,AO29/U29)</f>
        <v>-0.57551046391342398</v>
      </c>
      <c r="AW29" s="244">
        <f>IF(AQ29=0,0,AV29/AQ29)</f>
        <v>0</v>
      </c>
      <c r="AX29" s="244">
        <f>IF(AR29=0,0,AV29/AR29)</f>
        <v>-5.1666259441011221E-3</v>
      </c>
      <c r="AY29" s="105"/>
      <c r="AZ29" s="100">
        <f t="shared" si="14"/>
        <v>-1.151020927826848</v>
      </c>
    </row>
    <row r="30" spans="1:52" outlineLevel="1">
      <c r="A30" s="95" t="s">
        <v>124</v>
      </c>
      <c r="B30" s="96">
        <v>233496972</v>
      </c>
      <c r="C30" s="96" t="s">
        <v>152</v>
      </c>
      <c r="D30" s="97" t="s">
        <v>84</v>
      </c>
      <c r="E30" s="242">
        <f>SUM(F30:J30)</f>
        <v>0</v>
      </c>
      <c r="F30" s="99"/>
      <c r="G30" s="99"/>
      <c r="H30" s="282" t="s">
        <v>100</v>
      </c>
      <c r="I30" s="99"/>
      <c r="J30" s="99"/>
      <c r="K30" s="99">
        <v>111.39</v>
      </c>
      <c r="L30" s="98">
        <f>E30*K30</f>
        <v>0</v>
      </c>
      <c r="M30" s="95"/>
      <c r="N30" s="95">
        <v>2</v>
      </c>
      <c r="O30" s="95">
        <v>593</v>
      </c>
      <c r="P30" s="95">
        <v>0</v>
      </c>
      <c r="Q30" s="243">
        <f t="shared" si="15"/>
        <v>0.66666666666666663</v>
      </c>
      <c r="R30" s="98">
        <f t="shared" si="16"/>
        <v>1</v>
      </c>
      <c r="S30" s="99">
        <v>3</v>
      </c>
      <c r="T30" s="99">
        <v>0</v>
      </c>
      <c r="U30" s="98">
        <f t="shared" si="17"/>
        <v>3</v>
      </c>
      <c r="V30" s="99">
        <v>1508</v>
      </c>
      <c r="W30" s="99">
        <v>0</v>
      </c>
      <c r="X30" s="98">
        <f t="shared" si="18"/>
        <v>1508</v>
      </c>
      <c r="Y30" s="99">
        <v>1779</v>
      </c>
      <c r="Z30" s="99">
        <v>0</v>
      </c>
      <c r="AA30" s="98">
        <f t="shared" si="19"/>
        <v>1779</v>
      </c>
      <c r="AB30" s="98">
        <f t="shared" si="20"/>
        <v>0</v>
      </c>
      <c r="AC30" s="244">
        <f t="shared" si="21"/>
        <v>1.3534839887561162E-2</v>
      </c>
      <c r="AD30" s="98">
        <f t="shared" si="22"/>
        <v>334.17</v>
      </c>
      <c r="AE30" s="99">
        <v>672.33000000000015</v>
      </c>
      <c r="AF30" s="244">
        <f t="shared" si="23"/>
        <v>0.37792580101180445</v>
      </c>
      <c r="AG30" s="99">
        <v>232.19</v>
      </c>
      <c r="AH30" s="99"/>
      <c r="AI30" s="99"/>
      <c r="AJ30" s="99"/>
      <c r="AK30" s="99"/>
      <c r="AL30" s="128">
        <f t="shared" si="24"/>
        <v>0</v>
      </c>
      <c r="AM30" s="99">
        <v>0</v>
      </c>
      <c r="AN30" s="100">
        <f t="shared" si="25"/>
        <v>86.106799999999993</v>
      </c>
      <c r="AO30" s="101">
        <f t="shared" si="26"/>
        <v>454.2031999999997</v>
      </c>
      <c r="AP30" s="102"/>
      <c r="AQ30" s="103">
        <f t="shared" si="8"/>
        <v>593</v>
      </c>
      <c r="AR30" s="104">
        <f t="shared" si="37"/>
        <v>111.39</v>
      </c>
      <c r="AS30" s="104">
        <f t="shared" si="10"/>
        <v>224.11000000000004</v>
      </c>
      <c r="AT30" s="104">
        <f t="shared" si="11"/>
        <v>77.396666666666661</v>
      </c>
      <c r="AU30" s="104">
        <f t="shared" si="27"/>
        <v>0</v>
      </c>
      <c r="AV30" s="104">
        <f t="array" ref="AV30">_xlfn.IFS(U30=0,AO30,U30&lt;0,AO30/-U30,U30&gt;0,AO30/U30)</f>
        <v>151.40106666666657</v>
      </c>
      <c r="AW30" s="244">
        <f>IF(AQ30=0,0,AV30/AQ30)</f>
        <v>0.25531377178189979</v>
      </c>
      <c r="AX30" s="244">
        <f>IF(AR30=0,0,AV30/AR30)</f>
        <v>1.3591980129874006</v>
      </c>
      <c r="AY30" s="105"/>
      <c r="AZ30" s="100">
        <f t="shared" si="14"/>
        <v>0</v>
      </c>
    </row>
    <row r="31" spans="1:52" outlineLevel="1">
      <c r="A31" s="95" t="s">
        <v>124</v>
      </c>
      <c r="B31" s="96">
        <v>233497520</v>
      </c>
      <c r="C31" s="96" t="s">
        <v>153</v>
      </c>
      <c r="D31" s="97" t="s">
        <v>84</v>
      </c>
      <c r="E31" s="242">
        <f>SUM(F31:J31)</f>
        <v>1</v>
      </c>
      <c r="F31" s="99"/>
      <c r="G31" s="99"/>
      <c r="H31" s="282">
        <v>1</v>
      </c>
      <c r="I31" s="99"/>
      <c r="J31" s="99"/>
      <c r="K31" s="99">
        <v>105.54</v>
      </c>
      <c r="L31" s="98">
        <f>E31*K31</f>
        <v>105.54</v>
      </c>
      <c r="M31" s="95"/>
      <c r="N31" s="95">
        <v>0</v>
      </c>
      <c r="O31" s="95">
        <v>0</v>
      </c>
      <c r="P31" s="95">
        <v>0</v>
      </c>
      <c r="Q31" s="243">
        <f t="shared" si="15"/>
        <v>0</v>
      </c>
      <c r="R31" s="98">
        <f t="shared" si="16"/>
        <v>0</v>
      </c>
      <c r="S31" s="99">
        <v>0</v>
      </c>
      <c r="T31" s="99">
        <v>0</v>
      </c>
      <c r="U31" s="98">
        <f t="shared" si="17"/>
        <v>0</v>
      </c>
      <c r="V31" s="99">
        <v>0</v>
      </c>
      <c r="W31" s="99">
        <v>0</v>
      </c>
      <c r="X31" s="98">
        <f t="shared" si="18"/>
        <v>0</v>
      </c>
      <c r="Y31" s="99">
        <v>0</v>
      </c>
      <c r="Z31" s="99">
        <v>0</v>
      </c>
      <c r="AA31" s="98">
        <f t="shared" si="19"/>
        <v>0</v>
      </c>
      <c r="AB31" s="98">
        <f t="shared" si="20"/>
        <v>0</v>
      </c>
      <c r="AC31" s="244">
        <f t="shared" si="21"/>
        <v>0</v>
      </c>
      <c r="AD31" s="98">
        <f t="shared" si="22"/>
        <v>0</v>
      </c>
      <c r="AE31" s="99">
        <v>0</v>
      </c>
      <c r="AF31" s="244">
        <f t="shared" si="23"/>
        <v>0</v>
      </c>
      <c r="AG31" s="99">
        <v>0</v>
      </c>
      <c r="AH31" s="99"/>
      <c r="AI31" s="99"/>
      <c r="AJ31" s="99"/>
      <c r="AK31" s="99"/>
      <c r="AL31" s="128">
        <f t="shared" si="24"/>
        <v>0.28775523195671199</v>
      </c>
      <c r="AM31" s="99">
        <v>0</v>
      </c>
      <c r="AN31" s="100">
        <f t="shared" si="25"/>
        <v>0</v>
      </c>
      <c r="AO31" s="101">
        <f t="shared" si="26"/>
        <v>-0.28775523195671199</v>
      </c>
      <c r="AP31" s="102"/>
      <c r="AQ31" s="103">
        <f t="shared" si="8"/>
        <v>0</v>
      </c>
      <c r="AR31" s="104">
        <f t="shared" si="37"/>
        <v>105.54</v>
      </c>
      <c r="AS31" s="104">
        <f t="shared" si="10"/>
        <v>0</v>
      </c>
      <c r="AT31" s="104">
        <f t="shared" si="11"/>
        <v>0</v>
      </c>
      <c r="AU31" s="104">
        <f t="shared" si="27"/>
        <v>0</v>
      </c>
      <c r="AV31" s="104">
        <f t="array" ref="AV31">_xlfn.IFS(U31=0,AO31,U31&lt;0,AO31/-U31,U31&gt;0,AO31/U31)</f>
        <v>-0.28775523195671199</v>
      </c>
      <c r="AW31" s="244">
        <f>IF(AQ31=0,0,AV31/AQ31)</f>
        <v>0</v>
      </c>
      <c r="AX31" s="244">
        <f>IF(AR31=0,0,AV31/AR31)</f>
        <v>-2.7265039980738297E-3</v>
      </c>
      <c r="AY31" s="105"/>
      <c r="AZ31" s="100">
        <f t="shared" si="14"/>
        <v>-0.28775523195671199</v>
      </c>
    </row>
    <row r="32" spans="1:52" outlineLevel="1">
      <c r="A32" s="95" t="s">
        <v>124</v>
      </c>
      <c r="B32" s="96">
        <v>233498313</v>
      </c>
      <c r="C32" s="96" t="s">
        <v>154</v>
      </c>
      <c r="D32" s="97" t="s">
        <v>84</v>
      </c>
      <c r="E32" s="242">
        <f t="shared" ref="E32" si="39">SUM(F32:J32)</f>
        <v>0</v>
      </c>
      <c r="F32" s="99"/>
      <c r="G32" s="99"/>
      <c r="H32" s="282" t="s">
        <v>100</v>
      </c>
      <c r="I32" s="99"/>
      <c r="J32" s="99"/>
      <c r="K32" s="99">
        <v>140.63999999999999</v>
      </c>
      <c r="L32" s="98">
        <f t="shared" ref="L32" si="40">E32*K32</f>
        <v>0</v>
      </c>
      <c r="M32" s="95"/>
      <c r="N32" s="95">
        <v>0</v>
      </c>
      <c r="O32" s="95">
        <v>0</v>
      </c>
      <c r="P32" s="95">
        <v>0</v>
      </c>
      <c r="Q32" s="243">
        <f t="shared" si="15"/>
        <v>0</v>
      </c>
      <c r="R32" s="98">
        <f t="shared" si="16"/>
        <v>0</v>
      </c>
      <c r="S32" s="99">
        <v>0</v>
      </c>
      <c r="T32" s="99">
        <v>0</v>
      </c>
      <c r="U32" s="98">
        <f t="shared" si="17"/>
        <v>0</v>
      </c>
      <c r="V32" s="99">
        <v>0</v>
      </c>
      <c r="W32" s="99">
        <v>0</v>
      </c>
      <c r="X32" s="98">
        <f t="shared" si="18"/>
        <v>0</v>
      </c>
      <c r="Y32" s="99">
        <v>0</v>
      </c>
      <c r="Z32" s="99">
        <v>0</v>
      </c>
      <c r="AA32" s="98">
        <f t="shared" si="19"/>
        <v>0</v>
      </c>
      <c r="AB32" s="98">
        <f t="shared" si="20"/>
        <v>0</v>
      </c>
      <c r="AC32" s="244">
        <f t="shared" si="21"/>
        <v>0</v>
      </c>
      <c r="AD32" s="98">
        <f t="shared" si="22"/>
        <v>0</v>
      </c>
      <c r="AE32" s="99">
        <v>0</v>
      </c>
      <c r="AF32" s="244">
        <f t="shared" si="23"/>
        <v>0</v>
      </c>
      <c r="AG32" s="99">
        <v>85.490000000000009</v>
      </c>
      <c r="AH32" s="99"/>
      <c r="AI32" s="99"/>
      <c r="AJ32" s="99"/>
      <c r="AK32" s="99"/>
      <c r="AL32" s="128">
        <f t="shared" si="24"/>
        <v>0</v>
      </c>
      <c r="AM32" s="99">
        <v>0</v>
      </c>
      <c r="AN32" s="100">
        <f t="shared" si="25"/>
        <v>0</v>
      </c>
      <c r="AO32" s="101">
        <f t="shared" si="26"/>
        <v>-85.490000000000009</v>
      </c>
      <c r="AP32" s="102"/>
      <c r="AQ32" s="103">
        <f t="shared" si="8"/>
        <v>0</v>
      </c>
      <c r="AR32" s="104">
        <f t="shared" si="37"/>
        <v>140.63999999999999</v>
      </c>
      <c r="AS32" s="104">
        <f t="shared" si="10"/>
        <v>0</v>
      </c>
      <c r="AT32" s="104">
        <f t="shared" si="11"/>
        <v>85.490000000000009</v>
      </c>
      <c r="AU32" s="104">
        <f t="shared" si="27"/>
        <v>0</v>
      </c>
      <c r="AV32" s="104">
        <f t="array" ref="AV32">_xlfn.IFS(U32=0,AO32,U32&lt;0,AO32/-U32,U32&gt;0,AO32/U32)</f>
        <v>-85.490000000000009</v>
      </c>
      <c r="AW32" s="244">
        <f t="shared" ref="AW32" si="41">IF(AQ32=0,0,AV32/AQ32)</f>
        <v>0</v>
      </c>
      <c r="AX32" s="244">
        <f t="shared" ref="AX32" si="42">IF(AR32=0,0,AV32/AR32)</f>
        <v>-0.60786405005688293</v>
      </c>
      <c r="AY32" s="105"/>
      <c r="AZ32" s="100">
        <f t="shared" si="14"/>
        <v>0</v>
      </c>
    </row>
    <row r="33" spans="1:52" outlineLevel="1">
      <c r="A33" s="95" t="s">
        <v>124</v>
      </c>
      <c r="B33" s="96">
        <v>233499847</v>
      </c>
      <c r="C33" s="96" t="s">
        <v>155</v>
      </c>
      <c r="D33" s="97" t="s">
        <v>84</v>
      </c>
      <c r="E33" s="242">
        <f>SUM(F33:J33)</f>
        <v>157</v>
      </c>
      <c r="F33" s="99"/>
      <c r="G33" s="99"/>
      <c r="H33" s="282">
        <v>157</v>
      </c>
      <c r="I33" s="99"/>
      <c r="J33" s="99"/>
      <c r="K33" s="99">
        <v>123.09</v>
      </c>
      <c r="L33" s="98">
        <f>E33*K33</f>
        <v>19325.13</v>
      </c>
      <c r="M33" s="95"/>
      <c r="N33" s="95">
        <v>0</v>
      </c>
      <c r="O33" s="95">
        <v>0</v>
      </c>
      <c r="P33" s="95">
        <v>0</v>
      </c>
      <c r="Q33" s="243">
        <f t="shared" si="15"/>
        <v>0</v>
      </c>
      <c r="R33" s="98">
        <f t="shared" si="16"/>
        <v>0</v>
      </c>
      <c r="S33" s="99">
        <v>0</v>
      </c>
      <c r="T33" s="99">
        <v>0</v>
      </c>
      <c r="U33" s="98">
        <f t="shared" si="17"/>
        <v>0</v>
      </c>
      <c r="V33" s="99">
        <v>0</v>
      </c>
      <c r="W33" s="99">
        <v>0</v>
      </c>
      <c r="X33" s="98">
        <f t="shared" si="18"/>
        <v>0</v>
      </c>
      <c r="Y33" s="99">
        <v>0</v>
      </c>
      <c r="Z33" s="99">
        <v>0</v>
      </c>
      <c r="AA33" s="98">
        <f t="shared" si="19"/>
        <v>0</v>
      </c>
      <c r="AB33" s="98">
        <f t="shared" si="20"/>
        <v>0</v>
      </c>
      <c r="AC33" s="244">
        <f t="shared" si="21"/>
        <v>0</v>
      </c>
      <c r="AD33" s="98">
        <f t="shared" si="22"/>
        <v>0</v>
      </c>
      <c r="AE33" s="99">
        <v>0</v>
      </c>
      <c r="AF33" s="244">
        <f t="shared" si="23"/>
        <v>0</v>
      </c>
      <c r="AG33" s="99">
        <v>0</v>
      </c>
      <c r="AH33" s="99"/>
      <c r="AI33" s="99"/>
      <c r="AJ33" s="99"/>
      <c r="AK33" s="99"/>
      <c r="AL33" s="128">
        <f t="shared" si="24"/>
        <v>45.177571417203779</v>
      </c>
      <c r="AM33" s="99">
        <v>0</v>
      </c>
      <c r="AN33" s="100">
        <f t="shared" si="25"/>
        <v>0</v>
      </c>
      <c r="AO33" s="101">
        <f t="shared" si="26"/>
        <v>-45.177571417203779</v>
      </c>
      <c r="AP33" s="102"/>
      <c r="AQ33" s="103">
        <f t="shared" si="8"/>
        <v>0</v>
      </c>
      <c r="AR33" s="104">
        <f t="shared" si="37"/>
        <v>123.09</v>
      </c>
      <c r="AS33" s="104">
        <f t="shared" si="10"/>
        <v>0</v>
      </c>
      <c r="AT33" s="104">
        <f t="shared" si="11"/>
        <v>0</v>
      </c>
      <c r="AU33" s="104">
        <f t="shared" si="27"/>
        <v>0</v>
      </c>
      <c r="AV33" s="104">
        <f t="array" ref="AV33">_xlfn.IFS(U33=0,AO33,U33&lt;0,AO33/-U33,U33&gt;0,AO33/U33)</f>
        <v>-45.177571417203779</v>
      </c>
      <c r="AW33" s="244">
        <f>IF(AQ33=0,0,AV33/AQ33)</f>
        <v>0</v>
      </c>
      <c r="AX33" s="244">
        <f>IF(AR33=0,0,AV33/AR33)</f>
        <v>-0.3670287709578664</v>
      </c>
      <c r="AY33" s="105"/>
      <c r="AZ33" s="100">
        <f t="shared" si="14"/>
        <v>-7092.8787125009931</v>
      </c>
    </row>
    <row r="34" spans="1:52" outlineLevel="1">
      <c r="A34" s="95" t="s">
        <v>124</v>
      </c>
      <c r="B34" s="96">
        <v>233500274</v>
      </c>
      <c r="C34" s="96" t="s">
        <v>156</v>
      </c>
      <c r="D34" s="97" t="s">
        <v>84</v>
      </c>
      <c r="E34" s="242">
        <f>SUM(F34:J34)</f>
        <v>23</v>
      </c>
      <c r="F34" s="99"/>
      <c r="G34" s="99"/>
      <c r="H34" s="282">
        <v>23</v>
      </c>
      <c r="I34" s="99"/>
      <c r="J34" s="99"/>
      <c r="K34" s="99">
        <v>117.24</v>
      </c>
      <c r="L34" s="98">
        <f>E34*K34</f>
        <v>2696.52</v>
      </c>
      <c r="M34" s="95"/>
      <c r="N34" s="95">
        <v>0</v>
      </c>
      <c r="O34" s="95">
        <v>0</v>
      </c>
      <c r="P34" s="95">
        <v>0</v>
      </c>
      <c r="Q34" s="243">
        <f t="shared" si="15"/>
        <v>0</v>
      </c>
      <c r="R34" s="98">
        <f t="shared" si="16"/>
        <v>0</v>
      </c>
      <c r="S34" s="99">
        <v>0</v>
      </c>
      <c r="T34" s="99">
        <v>0</v>
      </c>
      <c r="U34" s="98">
        <f t="shared" si="17"/>
        <v>0</v>
      </c>
      <c r="V34" s="99">
        <v>0</v>
      </c>
      <c r="W34" s="99">
        <v>0</v>
      </c>
      <c r="X34" s="98">
        <f t="shared" si="18"/>
        <v>0</v>
      </c>
      <c r="Y34" s="99">
        <v>0</v>
      </c>
      <c r="Z34" s="99">
        <v>0</v>
      </c>
      <c r="AA34" s="98">
        <f t="shared" si="19"/>
        <v>0</v>
      </c>
      <c r="AB34" s="98">
        <f t="shared" si="20"/>
        <v>0</v>
      </c>
      <c r="AC34" s="244">
        <f t="shared" si="21"/>
        <v>0</v>
      </c>
      <c r="AD34" s="98">
        <f t="shared" si="22"/>
        <v>0</v>
      </c>
      <c r="AE34" s="99">
        <v>0</v>
      </c>
      <c r="AF34" s="244">
        <f t="shared" si="23"/>
        <v>0</v>
      </c>
      <c r="AG34" s="99">
        <v>0</v>
      </c>
      <c r="AH34" s="99"/>
      <c r="AI34" s="99"/>
      <c r="AJ34" s="99"/>
      <c r="AK34" s="99"/>
      <c r="AL34" s="128">
        <f t="shared" si="24"/>
        <v>6.6183703350043768</v>
      </c>
      <c r="AM34" s="99">
        <v>0</v>
      </c>
      <c r="AN34" s="100">
        <f t="shared" si="25"/>
        <v>0</v>
      </c>
      <c r="AO34" s="101">
        <f t="shared" si="26"/>
        <v>-6.6183703350043768</v>
      </c>
      <c r="AP34" s="102"/>
      <c r="AQ34" s="103">
        <f t="shared" si="8"/>
        <v>0</v>
      </c>
      <c r="AR34" s="104">
        <f t="shared" si="37"/>
        <v>117.24</v>
      </c>
      <c r="AS34" s="104">
        <f t="shared" si="10"/>
        <v>0</v>
      </c>
      <c r="AT34" s="104">
        <f t="shared" si="11"/>
        <v>0</v>
      </c>
      <c r="AU34" s="104">
        <f t="shared" si="27"/>
        <v>0</v>
      </c>
      <c r="AV34" s="104">
        <f t="array" ref="AV34">_xlfn.IFS(U34=0,AO34,U34&lt;0,AO34/-U34,U34&gt;0,AO34/U34)</f>
        <v>-6.6183703350043768</v>
      </c>
      <c r="AW34" s="244">
        <f>IF(AQ34=0,0,AV34/AQ34)</f>
        <v>0</v>
      </c>
      <c r="AX34" s="244">
        <f>IF(AR34=0,0,AV34/AR34)</f>
        <v>-5.6451469933507137E-2</v>
      </c>
      <c r="AY34" s="105"/>
      <c r="AZ34" s="100">
        <f t="shared" si="14"/>
        <v>-152.22251770510067</v>
      </c>
    </row>
    <row r="35" spans="1:52" outlineLevel="1">
      <c r="A35" s="95" t="s">
        <v>124</v>
      </c>
      <c r="B35" s="96">
        <v>471878869</v>
      </c>
      <c r="C35" s="96" t="s">
        <v>157</v>
      </c>
      <c r="D35" s="97" t="s">
        <v>84</v>
      </c>
      <c r="E35" s="242">
        <f t="shared" ref="E35:E53" si="43">SUM(F35:J35)</f>
        <v>0</v>
      </c>
      <c r="F35" s="99"/>
      <c r="G35" s="99"/>
      <c r="H35" s="282">
        <v>0</v>
      </c>
      <c r="I35" s="99"/>
      <c r="J35" s="99"/>
      <c r="K35" s="99">
        <v>128.94</v>
      </c>
      <c r="L35" s="98">
        <f t="shared" ref="L35:L98" si="44">E35*K35</f>
        <v>0</v>
      </c>
      <c r="M35" s="95"/>
      <c r="N35" s="95">
        <v>0</v>
      </c>
      <c r="O35" s="95">
        <v>0</v>
      </c>
      <c r="P35" s="95">
        <v>0</v>
      </c>
      <c r="Q35" s="243">
        <f t="shared" si="15"/>
        <v>0</v>
      </c>
      <c r="R35" s="98">
        <f t="shared" si="16"/>
        <v>0</v>
      </c>
      <c r="S35" s="99">
        <v>0</v>
      </c>
      <c r="T35" s="99">
        <v>0</v>
      </c>
      <c r="U35" s="98">
        <f t="shared" si="17"/>
        <v>0</v>
      </c>
      <c r="V35" s="99">
        <v>0</v>
      </c>
      <c r="W35" s="99">
        <v>0</v>
      </c>
      <c r="X35" s="98">
        <f t="shared" si="18"/>
        <v>0</v>
      </c>
      <c r="Y35" s="99">
        <v>0</v>
      </c>
      <c r="Z35" s="99">
        <v>0</v>
      </c>
      <c r="AA35" s="98">
        <f t="shared" si="19"/>
        <v>0</v>
      </c>
      <c r="AB35" s="98">
        <f t="shared" si="20"/>
        <v>0</v>
      </c>
      <c r="AC35" s="244">
        <f t="shared" si="21"/>
        <v>0</v>
      </c>
      <c r="AD35" s="98">
        <f t="shared" si="22"/>
        <v>0</v>
      </c>
      <c r="AE35" s="99">
        <v>0</v>
      </c>
      <c r="AF35" s="244">
        <f t="shared" si="23"/>
        <v>0</v>
      </c>
      <c r="AG35" s="99">
        <v>0</v>
      </c>
      <c r="AH35" s="99"/>
      <c r="AI35" s="99"/>
      <c r="AJ35" s="99"/>
      <c r="AK35" s="99"/>
      <c r="AL35" s="128">
        <f t="shared" si="24"/>
        <v>0</v>
      </c>
      <c r="AM35" s="99">
        <v>0</v>
      </c>
      <c r="AN35" s="100">
        <f t="shared" si="25"/>
        <v>0</v>
      </c>
      <c r="AO35" s="101">
        <f t="shared" si="26"/>
        <v>0</v>
      </c>
      <c r="AP35" s="102"/>
      <c r="AQ35" s="103">
        <f t="shared" si="8"/>
        <v>0</v>
      </c>
      <c r="AR35" s="104">
        <f t="shared" si="37"/>
        <v>128.94</v>
      </c>
      <c r="AS35" s="104">
        <f t="shared" si="10"/>
        <v>0</v>
      </c>
      <c r="AT35" s="104">
        <f t="shared" si="11"/>
        <v>0</v>
      </c>
      <c r="AU35" s="104">
        <f t="shared" si="27"/>
        <v>0</v>
      </c>
      <c r="AV35" s="104">
        <f t="array" ref="AV35">_xlfn.IFS(U35=0,AO35,U35&lt;0,AO35/-U35,U35&gt;0,AO35/U35)</f>
        <v>0</v>
      </c>
      <c r="AW35" s="244">
        <f t="shared" ref="AW35:AW98" si="45">IF(AQ35=0,0,AV35/AQ35)</f>
        <v>0</v>
      </c>
      <c r="AX35" s="244">
        <f t="shared" ref="AX35:AX98" si="46">IF(AR35=0,0,AV35/AR35)</f>
        <v>0</v>
      </c>
      <c r="AY35" s="105"/>
      <c r="AZ35" s="100">
        <f t="shared" si="14"/>
        <v>0</v>
      </c>
    </row>
    <row r="36" spans="1:52" outlineLevel="1">
      <c r="A36" s="95" t="s">
        <v>124</v>
      </c>
      <c r="B36" s="96">
        <v>471878989</v>
      </c>
      <c r="C36" s="96" t="s">
        <v>158</v>
      </c>
      <c r="D36" s="97" t="s">
        <v>84</v>
      </c>
      <c r="E36" s="242">
        <f t="shared" si="43"/>
        <v>0</v>
      </c>
      <c r="F36" s="99"/>
      <c r="G36" s="99"/>
      <c r="H36" s="282">
        <v>0</v>
      </c>
      <c r="I36" s="99"/>
      <c r="J36" s="99"/>
      <c r="K36" s="99">
        <v>169.89</v>
      </c>
      <c r="L36" s="98">
        <f t="shared" si="44"/>
        <v>0</v>
      </c>
      <c r="M36" s="95"/>
      <c r="N36" s="95">
        <v>0</v>
      </c>
      <c r="O36" s="95">
        <v>0</v>
      </c>
      <c r="P36" s="95">
        <v>0</v>
      </c>
      <c r="Q36" s="243">
        <f t="shared" si="15"/>
        <v>0</v>
      </c>
      <c r="R36" s="98">
        <f t="shared" si="16"/>
        <v>0</v>
      </c>
      <c r="S36" s="99">
        <v>0</v>
      </c>
      <c r="T36" s="99">
        <v>0</v>
      </c>
      <c r="U36" s="98">
        <f t="shared" si="17"/>
        <v>0</v>
      </c>
      <c r="V36" s="99">
        <v>0</v>
      </c>
      <c r="W36" s="99">
        <v>0</v>
      </c>
      <c r="X36" s="98">
        <f t="shared" si="18"/>
        <v>0</v>
      </c>
      <c r="Y36" s="99">
        <v>0</v>
      </c>
      <c r="Z36" s="99">
        <v>0</v>
      </c>
      <c r="AA36" s="98">
        <f t="shared" si="19"/>
        <v>0</v>
      </c>
      <c r="AB36" s="98">
        <f t="shared" si="20"/>
        <v>0</v>
      </c>
      <c r="AC36" s="244">
        <f t="shared" si="21"/>
        <v>0</v>
      </c>
      <c r="AD36" s="98">
        <f t="shared" si="22"/>
        <v>0</v>
      </c>
      <c r="AE36" s="99">
        <v>0</v>
      </c>
      <c r="AF36" s="244">
        <f t="shared" si="23"/>
        <v>0</v>
      </c>
      <c r="AG36" s="99">
        <v>0</v>
      </c>
      <c r="AH36" s="99"/>
      <c r="AI36" s="99"/>
      <c r="AJ36" s="99"/>
      <c r="AK36" s="99"/>
      <c r="AL36" s="128">
        <f t="shared" si="24"/>
        <v>0</v>
      </c>
      <c r="AM36" s="99">
        <v>0</v>
      </c>
      <c r="AN36" s="100">
        <f t="shared" si="25"/>
        <v>0</v>
      </c>
      <c r="AO36" s="101">
        <f t="shared" si="26"/>
        <v>0</v>
      </c>
      <c r="AP36" s="102"/>
      <c r="AQ36" s="103">
        <f t="shared" si="8"/>
        <v>0</v>
      </c>
      <c r="AR36" s="104">
        <f t="shared" si="37"/>
        <v>169.89</v>
      </c>
      <c r="AS36" s="104">
        <f t="shared" si="10"/>
        <v>0</v>
      </c>
      <c r="AT36" s="104">
        <f t="shared" si="11"/>
        <v>0</v>
      </c>
      <c r="AU36" s="104">
        <f t="shared" si="27"/>
        <v>0</v>
      </c>
      <c r="AV36" s="104">
        <f t="array" ref="AV36">_xlfn.IFS(U36=0,AO36,U36&lt;0,AO36/-U36,U36&gt;0,AO36/U36)</f>
        <v>0</v>
      </c>
      <c r="AW36" s="244">
        <f t="shared" si="45"/>
        <v>0</v>
      </c>
      <c r="AX36" s="244">
        <f t="shared" si="46"/>
        <v>0</v>
      </c>
      <c r="AY36" s="105"/>
      <c r="AZ36" s="100">
        <f t="shared" si="14"/>
        <v>0</v>
      </c>
    </row>
    <row r="37" spans="1:52" outlineLevel="1">
      <c r="A37" s="95" t="s">
        <v>124</v>
      </c>
      <c r="B37" s="96">
        <v>471879283</v>
      </c>
      <c r="C37" s="96" t="s">
        <v>159</v>
      </c>
      <c r="D37" s="97" t="s">
        <v>84</v>
      </c>
      <c r="E37" s="242">
        <f t="shared" si="43"/>
        <v>16</v>
      </c>
      <c r="F37" s="99"/>
      <c r="G37" s="99"/>
      <c r="H37" s="282">
        <v>16</v>
      </c>
      <c r="I37" s="99"/>
      <c r="J37" s="99"/>
      <c r="K37" s="99">
        <v>169.89</v>
      </c>
      <c r="L37" s="98">
        <f t="shared" si="44"/>
        <v>2718.24</v>
      </c>
      <c r="M37" s="95"/>
      <c r="N37" s="95">
        <v>0</v>
      </c>
      <c r="O37" s="95">
        <v>0</v>
      </c>
      <c r="P37" s="95">
        <v>0</v>
      </c>
      <c r="Q37" s="243">
        <f t="shared" si="15"/>
        <v>0</v>
      </c>
      <c r="R37" s="98">
        <f t="shared" si="16"/>
        <v>0</v>
      </c>
      <c r="S37" s="99">
        <v>0</v>
      </c>
      <c r="T37" s="99">
        <v>0</v>
      </c>
      <c r="U37" s="98">
        <f t="shared" si="17"/>
        <v>0</v>
      </c>
      <c r="V37" s="99">
        <v>0</v>
      </c>
      <c r="W37" s="99">
        <v>0</v>
      </c>
      <c r="X37" s="98">
        <f t="shared" si="18"/>
        <v>0</v>
      </c>
      <c r="Y37" s="99">
        <v>0</v>
      </c>
      <c r="Z37" s="99">
        <v>0</v>
      </c>
      <c r="AA37" s="98">
        <f t="shared" si="19"/>
        <v>0</v>
      </c>
      <c r="AB37" s="98">
        <f t="shared" si="20"/>
        <v>0</v>
      </c>
      <c r="AC37" s="244">
        <f t="shared" si="21"/>
        <v>0</v>
      </c>
      <c r="AD37" s="98">
        <f t="shared" si="22"/>
        <v>0</v>
      </c>
      <c r="AE37" s="99">
        <v>0</v>
      </c>
      <c r="AF37" s="244">
        <f t="shared" si="23"/>
        <v>0</v>
      </c>
      <c r="AG37" s="99">
        <v>0</v>
      </c>
      <c r="AH37" s="99"/>
      <c r="AI37" s="99"/>
      <c r="AJ37" s="99"/>
      <c r="AK37" s="99"/>
      <c r="AL37" s="128">
        <f t="shared" si="24"/>
        <v>4.6040837113073918</v>
      </c>
      <c r="AM37" s="99">
        <v>0</v>
      </c>
      <c r="AN37" s="100">
        <f t="shared" si="25"/>
        <v>0</v>
      </c>
      <c r="AO37" s="101">
        <f t="shared" si="26"/>
        <v>-4.6040837113073918</v>
      </c>
      <c r="AP37" s="102"/>
      <c r="AQ37" s="103">
        <f t="shared" si="8"/>
        <v>0</v>
      </c>
      <c r="AR37" s="104">
        <f t="shared" si="37"/>
        <v>169.89</v>
      </c>
      <c r="AS37" s="104">
        <f t="shared" si="10"/>
        <v>0</v>
      </c>
      <c r="AT37" s="104">
        <f t="shared" si="11"/>
        <v>0</v>
      </c>
      <c r="AU37" s="104">
        <f t="shared" si="27"/>
        <v>0</v>
      </c>
      <c r="AV37" s="104">
        <f t="array" ref="AV37">_xlfn.IFS(U37=0,AO37,U37&lt;0,AO37/-U37,U37&gt;0,AO37/U37)</f>
        <v>-4.6040837113073918</v>
      </c>
      <c r="AW37" s="244">
        <f t="shared" si="45"/>
        <v>0</v>
      </c>
      <c r="AX37" s="244">
        <f t="shared" si="46"/>
        <v>-2.7100380901214857E-2</v>
      </c>
      <c r="AY37" s="105"/>
      <c r="AZ37" s="100">
        <f t="shared" si="14"/>
        <v>-73.665339380918269</v>
      </c>
    </row>
    <row r="38" spans="1:52" outlineLevel="1">
      <c r="A38" s="95" t="s">
        <v>124</v>
      </c>
      <c r="B38" s="96">
        <v>507117329</v>
      </c>
      <c r="C38" s="96" t="s">
        <v>160</v>
      </c>
      <c r="D38" s="97" t="s">
        <v>84</v>
      </c>
      <c r="E38" s="242">
        <f t="shared" si="43"/>
        <v>47</v>
      </c>
      <c r="F38" s="99"/>
      <c r="G38" s="99"/>
      <c r="H38" s="282">
        <v>47</v>
      </c>
      <c r="I38" s="99"/>
      <c r="J38" s="99"/>
      <c r="K38" s="98">
        <v>105.54</v>
      </c>
      <c r="L38" s="98">
        <f t="shared" si="44"/>
        <v>4960.38</v>
      </c>
      <c r="M38" s="95"/>
      <c r="N38" s="95">
        <v>0</v>
      </c>
      <c r="O38" s="95">
        <v>0</v>
      </c>
      <c r="P38" s="95">
        <v>0</v>
      </c>
      <c r="Q38" s="243">
        <f t="shared" si="15"/>
        <v>0</v>
      </c>
      <c r="R38" s="98">
        <f t="shared" si="16"/>
        <v>0</v>
      </c>
      <c r="S38" s="99">
        <v>0</v>
      </c>
      <c r="T38" s="99">
        <v>0</v>
      </c>
      <c r="U38" s="98">
        <f t="shared" si="17"/>
        <v>0</v>
      </c>
      <c r="V38" s="99">
        <v>0</v>
      </c>
      <c r="W38" s="99">
        <v>0</v>
      </c>
      <c r="X38" s="98">
        <f t="shared" si="18"/>
        <v>0</v>
      </c>
      <c r="Y38" s="99">
        <v>0</v>
      </c>
      <c r="Z38" s="99">
        <v>0</v>
      </c>
      <c r="AA38" s="98">
        <f t="shared" si="19"/>
        <v>0</v>
      </c>
      <c r="AB38" s="98">
        <f t="shared" si="20"/>
        <v>0</v>
      </c>
      <c r="AC38" s="244">
        <f t="shared" si="21"/>
        <v>0</v>
      </c>
      <c r="AD38" s="98">
        <f t="shared" si="22"/>
        <v>0</v>
      </c>
      <c r="AE38" s="99">
        <v>0</v>
      </c>
      <c r="AF38" s="244">
        <f t="shared" si="23"/>
        <v>0</v>
      </c>
      <c r="AG38" s="99">
        <v>0</v>
      </c>
      <c r="AH38" s="99"/>
      <c r="AI38" s="99"/>
      <c r="AJ38" s="99"/>
      <c r="AK38" s="99"/>
      <c r="AL38" s="128">
        <f t="shared" si="24"/>
        <v>13.524495901965464</v>
      </c>
      <c r="AM38" s="99">
        <v>0</v>
      </c>
      <c r="AN38" s="100">
        <f t="shared" si="25"/>
        <v>0</v>
      </c>
      <c r="AO38" s="101">
        <f t="shared" si="26"/>
        <v>-13.524495901965464</v>
      </c>
      <c r="AP38" s="102"/>
      <c r="AQ38" s="103">
        <f t="shared" si="8"/>
        <v>0</v>
      </c>
      <c r="AR38" s="104">
        <f t="shared" si="37"/>
        <v>105.54</v>
      </c>
      <c r="AS38" s="104">
        <f t="shared" si="10"/>
        <v>0</v>
      </c>
      <c r="AT38" s="104">
        <f t="shared" si="11"/>
        <v>0</v>
      </c>
      <c r="AU38" s="104">
        <f t="shared" si="27"/>
        <v>0</v>
      </c>
      <c r="AV38" s="104">
        <f t="array" ref="AV38">_xlfn.IFS(U38=0,AO38,U38&lt;0,AO38/-U38,U38&gt;0,AO38/U38)</f>
        <v>-13.524495901965464</v>
      </c>
      <c r="AW38" s="244">
        <f t="shared" si="45"/>
        <v>0</v>
      </c>
      <c r="AX38" s="244">
        <f t="shared" si="46"/>
        <v>-0.12814568790947001</v>
      </c>
      <c r="AY38" s="105"/>
      <c r="AZ38" s="100">
        <f t="shared" si="14"/>
        <v>-635.65130739237679</v>
      </c>
    </row>
    <row r="39" spans="1:52" outlineLevel="1">
      <c r="A39" s="95" t="s">
        <v>124</v>
      </c>
      <c r="B39" s="96">
        <v>507117646</v>
      </c>
      <c r="C39" s="96" t="s">
        <v>161</v>
      </c>
      <c r="D39" s="97" t="s">
        <v>84</v>
      </c>
      <c r="E39" s="242">
        <f t="shared" si="43"/>
        <v>49</v>
      </c>
      <c r="F39" s="99"/>
      <c r="G39" s="99"/>
      <c r="H39" s="282">
        <v>49</v>
      </c>
      <c r="I39" s="99"/>
      <c r="J39" s="99"/>
      <c r="K39" s="98">
        <v>105.54</v>
      </c>
      <c r="L39" s="98">
        <f t="shared" si="44"/>
        <v>5171.46</v>
      </c>
      <c r="M39" s="95"/>
      <c r="N39" s="95">
        <v>0</v>
      </c>
      <c r="O39" s="95">
        <v>0</v>
      </c>
      <c r="P39" s="95">
        <v>0</v>
      </c>
      <c r="Q39" s="243">
        <f t="shared" si="15"/>
        <v>0</v>
      </c>
      <c r="R39" s="98">
        <f t="shared" si="16"/>
        <v>0</v>
      </c>
      <c r="S39" s="99">
        <v>0</v>
      </c>
      <c r="T39" s="99">
        <v>0</v>
      </c>
      <c r="U39" s="98">
        <f t="shared" si="17"/>
        <v>0</v>
      </c>
      <c r="V39" s="99">
        <v>0</v>
      </c>
      <c r="W39" s="99">
        <v>0</v>
      </c>
      <c r="X39" s="98">
        <f t="shared" si="18"/>
        <v>0</v>
      </c>
      <c r="Y39" s="99">
        <v>0</v>
      </c>
      <c r="Z39" s="99">
        <v>0</v>
      </c>
      <c r="AA39" s="98">
        <f t="shared" si="19"/>
        <v>0</v>
      </c>
      <c r="AB39" s="98">
        <f t="shared" si="20"/>
        <v>0</v>
      </c>
      <c r="AC39" s="244">
        <f t="shared" si="21"/>
        <v>0</v>
      </c>
      <c r="AD39" s="98">
        <f t="shared" si="22"/>
        <v>0</v>
      </c>
      <c r="AE39" s="99">
        <v>0</v>
      </c>
      <c r="AF39" s="244">
        <f t="shared" si="23"/>
        <v>0</v>
      </c>
      <c r="AG39" s="99">
        <v>0</v>
      </c>
      <c r="AH39" s="99"/>
      <c r="AI39" s="99"/>
      <c r="AJ39" s="99"/>
      <c r="AK39" s="99"/>
      <c r="AL39" s="128">
        <f t="shared" si="24"/>
        <v>14.100006365878889</v>
      </c>
      <c r="AM39" s="99">
        <v>0</v>
      </c>
      <c r="AN39" s="100">
        <f t="shared" si="25"/>
        <v>0</v>
      </c>
      <c r="AO39" s="101">
        <f t="shared" si="26"/>
        <v>-14.100006365878889</v>
      </c>
      <c r="AP39" s="102"/>
      <c r="AQ39" s="103">
        <f t="shared" si="8"/>
        <v>0</v>
      </c>
      <c r="AR39" s="104">
        <f t="shared" si="37"/>
        <v>105.54</v>
      </c>
      <c r="AS39" s="104">
        <f t="shared" si="10"/>
        <v>0</v>
      </c>
      <c r="AT39" s="104">
        <f t="shared" si="11"/>
        <v>0</v>
      </c>
      <c r="AU39" s="104">
        <f t="shared" si="27"/>
        <v>0</v>
      </c>
      <c r="AV39" s="104">
        <f t="array" ref="AV39">_xlfn.IFS(U39=0,AO39,U39&lt;0,AO39/-U39,U39&gt;0,AO39/U39)</f>
        <v>-14.100006365878889</v>
      </c>
      <c r="AW39" s="244">
        <f t="shared" si="45"/>
        <v>0</v>
      </c>
      <c r="AX39" s="244">
        <f t="shared" si="46"/>
        <v>-0.13359869590561765</v>
      </c>
      <c r="AY39" s="105"/>
      <c r="AZ39" s="100">
        <f t="shared" si="14"/>
        <v>-690.90031192806555</v>
      </c>
    </row>
    <row r="40" spans="1:52" outlineLevel="1">
      <c r="A40" s="95" t="s">
        <v>124</v>
      </c>
      <c r="B40" s="96">
        <v>507118076</v>
      </c>
      <c r="C40" s="96" t="s">
        <v>162</v>
      </c>
      <c r="D40" s="97" t="s">
        <v>84</v>
      </c>
      <c r="E40" s="242">
        <f t="shared" si="43"/>
        <v>47</v>
      </c>
      <c r="F40" s="99"/>
      <c r="G40" s="99"/>
      <c r="H40" s="282">
        <v>47</v>
      </c>
      <c r="I40" s="99"/>
      <c r="J40" s="99"/>
      <c r="K40" s="98">
        <v>105.54</v>
      </c>
      <c r="L40" s="98">
        <f t="shared" si="44"/>
        <v>4960.38</v>
      </c>
      <c r="M40" s="95"/>
      <c r="N40" s="95">
        <v>0</v>
      </c>
      <c r="O40" s="95">
        <v>0</v>
      </c>
      <c r="P40" s="95">
        <v>0</v>
      </c>
      <c r="Q40" s="243">
        <f t="shared" si="15"/>
        <v>0</v>
      </c>
      <c r="R40" s="98">
        <f t="shared" si="16"/>
        <v>0</v>
      </c>
      <c r="S40" s="99">
        <v>0</v>
      </c>
      <c r="T40" s="99">
        <v>0</v>
      </c>
      <c r="U40" s="98">
        <f t="shared" si="17"/>
        <v>0</v>
      </c>
      <c r="V40" s="99">
        <v>0</v>
      </c>
      <c r="W40" s="99">
        <v>0</v>
      </c>
      <c r="X40" s="98">
        <f t="shared" si="18"/>
        <v>0</v>
      </c>
      <c r="Y40" s="99">
        <v>0</v>
      </c>
      <c r="Z40" s="99">
        <v>0</v>
      </c>
      <c r="AA40" s="98">
        <f t="shared" si="19"/>
        <v>0</v>
      </c>
      <c r="AB40" s="98">
        <f t="shared" si="20"/>
        <v>0</v>
      </c>
      <c r="AC40" s="244">
        <f t="shared" si="21"/>
        <v>0</v>
      </c>
      <c r="AD40" s="98">
        <f t="shared" si="22"/>
        <v>0</v>
      </c>
      <c r="AE40" s="99">
        <v>0</v>
      </c>
      <c r="AF40" s="244">
        <f t="shared" si="23"/>
        <v>0</v>
      </c>
      <c r="AG40" s="99">
        <v>0</v>
      </c>
      <c r="AH40" s="99"/>
      <c r="AI40" s="99"/>
      <c r="AJ40" s="99"/>
      <c r="AK40" s="99"/>
      <c r="AL40" s="128">
        <f t="shared" si="24"/>
        <v>13.524495901965464</v>
      </c>
      <c r="AM40" s="99">
        <v>0</v>
      </c>
      <c r="AN40" s="100">
        <f t="shared" si="25"/>
        <v>0</v>
      </c>
      <c r="AO40" s="101">
        <f t="shared" si="26"/>
        <v>-13.524495901965464</v>
      </c>
      <c r="AP40" s="102"/>
      <c r="AQ40" s="103">
        <f t="shared" si="8"/>
        <v>0</v>
      </c>
      <c r="AR40" s="104">
        <f t="shared" si="37"/>
        <v>105.54</v>
      </c>
      <c r="AS40" s="104">
        <f t="shared" si="10"/>
        <v>0</v>
      </c>
      <c r="AT40" s="104">
        <f t="shared" si="11"/>
        <v>0</v>
      </c>
      <c r="AU40" s="104">
        <f t="shared" si="27"/>
        <v>0</v>
      </c>
      <c r="AV40" s="104">
        <f t="array" ref="AV40">_xlfn.IFS(U40=0,AO40,U40&lt;0,AO40/-U40,U40&gt;0,AO40/U40)</f>
        <v>-13.524495901965464</v>
      </c>
      <c r="AW40" s="244">
        <f t="shared" si="45"/>
        <v>0</v>
      </c>
      <c r="AX40" s="244">
        <f t="shared" si="46"/>
        <v>-0.12814568790947001</v>
      </c>
      <c r="AY40" s="105"/>
      <c r="AZ40" s="100">
        <f t="shared" si="14"/>
        <v>-635.65130739237679</v>
      </c>
    </row>
    <row r="41" spans="1:52" outlineLevel="1">
      <c r="A41" s="95" t="s">
        <v>124</v>
      </c>
      <c r="B41" s="96">
        <v>507118377</v>
      </c>
      <c r="C41" s="96" t="s">
        <v>163</v>
      </c>
      <c r="D41" s="97" t="s">
        <v>84</v>
      </c>
      <c r="E41" s="242">
        <f t="shared" si="43"/>
        <v>47</v>
      </c>
      <c r="F41" s="99"/>
      <c r="G41" s="99"/>
      <c r="H41" s="282">
        <v>47</v>
      </c>
      <c r="I41" s="99"/>
      <c r="J41" s="99"/>
      <c r="K41" s="98">
        <v>123.09</v>
      </c>
      <c r="L41" s="98">
        <f t="shared" si="44"/>
        <v>5785.2300000000005</v>
      </c>
      <c r="M41" s="95"/>
      <c r="N41" s="95">
        <v>0</v>
      </c>
      <c r="O41" s="95">
        <v>0</v>
      </c>
      <c r="P41" s="95">
        <v>0</v>
      </c>
      <c r="Q41" s="243">
        <f t="shared" si="15"/>
        <v>0</v>
      </c>
      <c r="R41" s="98">
        <f t="shared" si="16"/>
        <v>0</v>
      </c>
      <c r="S41" s="99">
        <v>0</v>
      </c>
      <c r="T41" s="99">
        <v>0</v>
      </c>
      <c r="U41" s="98">
        <f t="shared" si="17"/>
        <v>0</v>
      </c>
      <c r="V41" s="99">
        <v>0</v>
      </c>
      <c r="W41" s="99">
        <v>0</v>
      </c>
      <c r="X41" s="98">
        <f t="shared" si="18"/>
        <v>0</v>
      </c>
      <c r="Y41" s="99">
        <v>0</v>
      </c>
      <c r="Z41" s="99">
        <v>0</v>
      </c>
      <c r="AA41" s="98">
        <f t="shared" si="19"/>
        <v>0</v>
      </c>
      <c r="AB41" s="98">
        <f t="shared" si="20"/>
        <v>0</v>
      </c>
      <c r="AC41" s="244">
        <f t="shared" si="21"/>
        <v>0</v>
      </c>
      <c r="AD41" s="98">
        <f t="shared" si="22"/>
        <v>0</v>
      </c>
      <c r="AE41" s="99">
        <v>0</v>
      </c>
      <c r="AF41" s="244">
        <f t="shared" si="23"/>
        <v>0</v>
      </c>
      <c r="AG41" s="99">
        <v>0</v>
      </c>
      <c r="AH41" s="99"/>
      <c r="AI41" s="99"/>
      <c r="AJ41" s="99"/>
      <c r="AK41" s="99"/>
      <c r="AL41" s="128">
        <f t="shared" si="24"/>
        <v>13.524495901965464</v>
      </c>
      <c r="AM41" s="99">
        <v>0</v>
      </c>
      <c r="AN41" s="100">
        <f t="shared" si="25"/>
        <v>0</v>
      </c>
      <c r="AO41" s="101">
        <f t="shared" si="26"/>
        <v>-13.524495901965464</v>
      </c>
      <c r="AP41" s="102"/>
      <c r="AQ41" s="103">
        <f t="shared" si="8"/>
        <v>0</v>
      </c>
      <c r="AR41" s="104">
        <f t="shared" si="37"/>
        <v>123.09</v>
      </c>
      <c r="AS41" s="104">
        <f t="shared" si="10"/>
        <v>0</v>
      </c>
      <c r="AT41" s="104">
        <f t="shared" si="11"/>
        <v>0</v>
      </c>
      <c r="AU41" s="104">
        <f t="shared" si="27"/>
        <v>0</v>
      </c>
      <c r="AV41" s="104">
        <f t="array" ref="AV41">_xlfn.IFS(U41=0,AO41,U41&lt;0,AO41/-U41,U41&gt;0,AO41/U41)</f>
        <v>-13.524495901965464</v>
      </c>
      <c r="AW41" s="244">
        <f t="shared" si="45"/>
        <v>0</v>
      </c>
      <c r="AX41" s="244">
        <f t="shared" si="46"/>
        <v>-0.10987485500012563</v>
      </c>
      <c r="AY41" s="105"/>
      <c r="AZ41" s="100">
        <f t="shared" si="14"/>
        <v>-635.65130739237679</v>
      </c>
    </row>
    <row r="42" spans="1:52" outlineLevel="1">
      <c r="A42" s="95" t="s">
        <v>124</v>
      </c>
      <c r="B42" s="96">
        <v>507119317</v>
      </c>
      <c r="C42" s="96" t="s">
        <v>164</v>
      </c>
      <c r="D42" s="97" t="s">
        <v>84</v>
      </c>
      <c r="E42" s="242">
        <f t="shared" si="43"/>
        <v>48</v>
      </c>
      <c r="F42" s="99"/>
      <c r="G42" s="99"/>
      <c r="H42" s="282">
        <v>48</v>
      </c>
      <c r="I42" s="99"/>
      <c r="J42" s="99"/>
      <c r="K42" s="98">
        <v>123.09</v>
      </c>
      <c r="L42" s="98">
        <f t="shared" si="44"/>
        <v>5908.32</v>
      </c>
      <c r="M42" s="95"/>
      <c r="N42" s="95">
        <v>0</v>
      </c>
      <c r="O42" s="95">
        <v>0</v>
      </c>
      <c r="P42" s="95">
        <v>0</v>
      </c>
      <c r="Q42" s="243">
        <f t="shared" si="15"/>
        <v>0</v>
      </c>
      <c r="R42" s="98">
        <f t="shared" si="16"/>
        <v>0</v>
      </c>
      <c r="S42" s="99">
        <v>0</v>
      </c>
      <c r="T42" s="99">
        <v>0</v>
      </c>
      <c r="U42" s="98">
        <f t="shared" si="17"/>
        <v>0</v>
      </c>
      <c r="V42" s="99">
        <v>0</v>
      </c>
      <c r="W42" s="99">
        <v>0</v>
      </c>
      <c r="X42" s="98">
        <f t="shared" si="18"/>
        <v>0</v>
      </c>
      <c r="Y42" s="99">
        <v>0</v>
      </c>
      <c r="Z42" s="99">
        <v>0</v>
      </c>
      <c r="AA42" s="98">
        <f t="shared" si="19"/>
        <v>0</v>
      </c>
      <c r="AB42" s="98">
        <f t="shared" si="20"/>
        <v>0</v>
      </c>
      <c r="AC42" s="244">
        <f t="shared" si="21"/>
        <v>0</v>
      </c>
      <c r="AD42" s="98">
        <f t="shared" si="22"/>
        <v>0</v>
      </c>
      <c r="AE42" s="99">
        <v>0</v>
      </c>
      <c r="AF42" s="244">
        <f t="shared" si="23"/>
        <v>0</v>
      </c>
      <c r="AG42" s="99">
        <v>0</v>
      </c>
      <c r="AH42" s="99"/>
      <c r="AI42" s="99"/>
      <c r="AJ42" s="99"/>
      <c r="AK42" s="99"/>
      <c r="AL42" s="128">
        <f t="shared" si="24"/>
        <v>13.812251133922176</v>
      </c>
      <c r="AM42" s="99">
        <v>0</v>
      </c>
      <c r="AN42" s="100">
        <f t="shared" si="25"/>
        <v>0</v>
      </c>
      <c r="AO42" s="101">
        <f t="shared" si="26"/>
        <v>-13.812251133922176</v>
      </c>
      <c r="AP42" s="102"/>
      <c r="AQ42" s="103">
        <f t="shared" si="8"/>
        <v>0</v>
      </c>
      <c r="AR42" s="104">
        <f t="shared" si="37"/>
        <v>123.09</v>
      </c>
      <c r="AS42" s="104">
        <f t="shared" si="10"/>
        <v>0</v>
      </c>
      <c r="AT42" s="104">
        <f t="shared" si="11"/>
        <v>0</v>
      </c>
      <c r="AU42" s="104">
        <f t="shared" si="27"/>
        <v>0</v>
      </c>
      <c r="AV42" s="104">
        <f t="array" ref="AV42">_xlfn.IFS(U42=0,AO42,U42&lt;0,AO42/-U42,U42&gt;0,AO42/U42)</f>
        <v>-13.812251133922176</v>
      </c>
      <c r="AW42" s="244">
        <f t="shared" si="45"/>
        <v>0</v>
      </c>
      <c r="AX42" s="244">
        <f t="shared" si="46"/>
        <v>-0.11221261787246872</v>
      </c>
      <c r="AY42" s="105"/>
      <c r="AZ42" s="100">
        <f t="shared" si="14"/>
        <v>-662.98805442826449</v>
      </c>
    </row>
    <row r="43" spans="1:52" outlineLevel="1">
      <c r="A43" s="95" t="s">
        <v>124</v>
      </c>
      <c r="B43" s="96">
        <v>507119522</v>
      </c>
      <c r="C43" s="96" t="s">
        <v>165</v>
      </c>
      <c r="D43" s="97" t="s">
        <v>84</v>
      </c>
      <c r="E43" s="242">
        <f t="shared" si="43"/>
        <v>48</v>
      </c>
      <c r="F43" s="99"/>
      <c r="G43" s="99"/>
      <c r="H43" s="282">
        <v>48</v>
      </c>
      <c r="I43" s="99"/>
      <c r="J43" s="99"/>
      <c r="K43" s="98">
        <v>123.09</v>
      </c>
      <c r="L43" s="98">
        <f t="shared" si="44"/>
        <v>5908.32</v>
      </c>
      <c r="M43" s="95"/>
      <c r="N43" s="95">
        <v>0</v>
      </c>
      <c r="O43" s="95">
        <v>0</v>
      </c>
      <c r="P43" s="95">
        <v>0</v>
      </c>
      <c r="Q43" s="243">
        <f t="shared" si="15"/>
        <v>0</v>
      </c>
      <c r="R43" s="98">
        <f t="shared" si="16"/>
        <v>0</v>
      </c>
      <c r="S43" s="99">
        <v>0</v>
      </c>
      <c r="T43" s="99">
        <v>0</v>
      </c>
      <c r="U43" s="98">
        <f t="shared" si="17"/>
        <v>0</v>
      </c>
      <c r="V43" s="99">
        <v>0</v>
      </c>
      <c r="W43" s="99">
        <v>0</v>
      </c>
      <c r="X43" s="98">
        <f t="shared" si="18"/>
        <v>0</v>
      </c>
      <c r="Y43" s="99">
        <v>0</v>
      </c>
      <c r="Z43" s="99">
        <v>0</v>
      </c>
      <c r="AA43" s="98">
        <f t="shared" si="19"/>
        <v>0</v>
      </c>
      <c r="AB43" s="98">
        <f t="shared" si="20"/>
        <v>0</v>
      </c>
      <c r="AC43" s="244">
        <f t="shared" si="21"/>
        <v>0</v>
      </c>
      <c r="AD43" s="98">
        <f t="shared" si="22"/>
        <v>0</v>
      </c>
      <c r="AE43" s="99">
        <v>0</v>
      </c>
      <c r="AF43" s="244">
        <f t="shared" si="23"/>
        <v>0</v>
      </c>
      <c r="AG43" s="99">
        <v>0</v>
      </c>
      <c r="AH43" s="99"/>
      <c r="AI43" s="99"/>
      <c r="AJ43" s="99"/>
      <c r="AK43" s="99"/>
      <c r="AL43" s="128">
        <f t="shared" si="24"/>
        <v>13.812251133922176</v>
      </c>
      <c r="AM43" s="99">
        <v>0</v>
      </c>
      <c r="AN43" s="100">
        <f t="shared" si="25"/>
        <v>0</v>
      </c>
      <c r="AO43" s="101">
        <f t="shared" si="26"/>
        <v>-13.812251133922176</v>
      </c>
      <c r="AP43" s="102"/>
      <c r="AQ43" s="103">
        <f t="shared" si="8"/>
        <v>0</v>
      </c>
      <c r="AR43" s="104">
        <f t="shared" si="37"/>
        <v>123.09</v>
      </c>
      <c r="AS43" s="104">
        <f t="shared" si="10"/>
        <v>0</v>
      </c>
      <c r="AT43" s="104">
        <f t="shared" si="11"/>
        <v>0</v>
      </c>
      <c r="AU43" s="104">
        <f t="shared" si="27"/>
        <v>0</v>
      </c>
      <c r="AV43" s="104">
        <f t="array" ref="AV43">_xlfn.IFS(U43=0,AO43,U43&lt;0,AO43/-U43,U43&gt;0,AO43/U43)</f>
        <v>-13.812251133922176</v>
      </c>
      <c r="AW43" s="244">
        <f t="shared" si="45"/>
        <v>0</v>
      </c>
      <c r="AX43" s="244">
        <f t="shared" si="46"/>
        <v>-0.11221261787246872</v>
      </c>
      <c r="AY43" s="105"/>
      <c r="AZ43" s="100">
        <f t="shared" si="14"/>
        <v>-662.98805442826449</v>
      </c>
    </row>
    <row r="44" spans="1:52" outlineLevel="1">
      <c r="A44" s="95" t="s">
        <v>124</v>
      </c>
      <c r="B44" s="96">
        <v>386597215</v>
      </c>
      <c r="C44" s="96" t="s">
        <v>166</v>
      </c>
      <c r="D44" s="97" t="s">
        <v>84</v>
      </c>
      <c r="E44" s="242">
        <f t="shared" si="43"/>
        <v>219</v>
      </c>
      <c r="F44" s="99"/>
      <c r="G44" s="99"/>
      <c r="H44" s="282">
        <v>219</v>
      </c>
      <c r="I44" s="99"/>
      <c r="J44" s="99"/>
      <c r="K44" s="98">
        <v>111.39</v>
      </c>
      <c r="L44" s="98">
        <f t="shared" si="44"/>
        <v>24394.41</v>
      </c>
      <c r="M44" s="95"/>
      <c r="N44" s="95">
        <v>0</v>
      </c>
      <c r="O44" s="95">
        <v>0</v>
      </c>
      <c r="P44" s="95">
        <v>0</v>
      </c>
      <c r="Q44" s="243">
        <f t="shared" si="15"/>
        <v>0</v>
      </c>
      <c r="R44" s="98">
        <f t="shared" si="16"/>
        <v>0</v>
      </c>
      <c r="S44" s="99">
        <v>0</v>
      </c>
      <c r="T44" s="99">
        <v>0</v>
      </c>
      <c r="U44" s="98">
        <f t="shared" si="17"/>
        <v>0</v>
      </c>
      <c r="V44" s="99">
        <v>0</v>
      </c>
      <c r="W44" s="99">
        <v>0</v>
      </c>
      <c r="X44" s="98">
        <f t="shared" si="18"/>
        <v>0</v>
      </c>
      <c r="Y44" s="99">
        <v>0</v>
      </c>
      <c r="Z44" s="99">
        <v>0</v>
      </c>
      <c r="AA44" s="98">
        <f t="shared" si="19"/>
        <v>0</v>
      </c>
      <c r="AB44" s="98">
        <f t="shared" si="20"/>
        <v>0</v>
      </c>
      <c r="AC44" s="244">
        <f t="shared" si="21"/>
        <v>0</v>
      </c>
      <c r="AD44" s="98">
        <f t="shared" si="22"/>
        <v>0</v>
      </c>
      <c r="AE44" s="99">
        <v>0</v>
      </c>
      <c r="AF44" s="244">
        <f t="shared" si="23"/>
        <v>0</v>
      </c>
      <c r="AG44" s="99">
        <v>202.48</v>
      </c>
      <c r="AH44" s="99"/>
      <c r="AI44" s="99"/>
      <c r="AJ44" s="99"/>
      <c r="AK44" s="99"/>
      <c r="AL44" s="128">
        <f t="shared" si="24"/>
        <v>63.018395798519926</v>
      </c>
      <c r="AM44" s="99">
        <v>0</v>
      </c>
      <c r="AN44" s="100">
        <f t="shared" si="25"/>
        <v>0</v>
      </c>
      <c r="AO44" s="101">
        <f t="shared" si="26"/>
        <v>-265.49839579851994</v>
      </c>
      <c r="AP44" s="102"/>
      <c r="AQ44" s="103">
        <f t="shared" si="8"/>
        <v>0</v>
      </c>
      <c r="AR44" s="104">
        <f t="shared" si="37"/>
        <v>111.39</v>
      </c>
      <c r="AS44" s="104">
        <f t="shared" si="10"/>
        <v>0</v>
      </c>
      <c r="AT44" s="104">
        <f t="shared" si="11"/>
        <v>202.48</v>
      </c>
      <c r="AU44" s="104">
        <f t="shared" si="27"/>
        <v>0</v>
      </c>
      <c r="AV44" s="104">
        <f t="array" ref="AV44">_xlfn.IFS(U44=0,AO44,U44&lt;0,AO44/-U44,U44&gt;0,AO44/U44)</f>
        <v>-265.49839579851994</v>
      </c>
      <c r="AW44" s="244">
        <f t="shared" si="45"/>
        <v>0</v>
      </c>
      <c r="AX44" s="244">
        <f t="shared" si="46"/>
        <v>-2.3835029697326506</v>
      </c>
      <c r="AY44" s="105"/>
      <c r="AZ44" s="100">
        <f t="shared" si="14"/>
        <v>-58144.148679875863</v>
      </c>
    </row>
    <row r="45" spans="1:52" outlineLevel="1">
      <c r="A45" s="95" t="s">
        <v>124</v>
      </c>
      <c r="B45" s="96">
        <v>386777272</v>
      </c>
      <c r="C45" s="96" t="s">
        <v>167</v>
      </c>
      <c r="D45" s="97" t="s">
        <v>84</v>
      </c>
      <c r="E45" s="242">
        <f t="shared" si="43"/>
        <v>296</v>
      </c>
      <c r="F45" s="99"/>
      <c r="G45" s="99"/>
      <c r="H45" s="282">
        <v>296</v>
      </c>
      <c r="I45" s="99"/>
      <c r="J45" s="99"/>
      <c r="K45" s="98">
        <v>107.88</v>
      </c>
      <c r="L45" s="98">
        <f t="shared" si="44"/>
        <v>31932.48</v>
      </c>
      <c r="M45" s="95"/>
      <c r="N45" s="95">
        <v>0</v>
      </c>
      <c r="O45" s="95">
        <v>0</v>
      </c>
      <c r="P45" s="95">
        <v>0</v>
      </c>
      <c r="Q45" s="243">
        <f t="shared" si="15"/>
        <v>0</v>
      </c>
      <c r="R45" s="98">
        <f t="shared" si="16"/>
        <v>0</v>
      </c>
      <c r="S45" s="99">
        <v>0</v>
      </c>
      <c r="T45" s="99">
        <v>0</v>
      </c>
      <c r="U45" s="98">
        <f t="shared" si="17"/>
        <v>0</v>
      </c>
      <c r="V45" s="99">
        <v>0</v>
      </c>
      <c r="W45" s="99">
        <v>0</v>
      </c>
      <c r="X45" s="98">
        <f t="shared" si="18"/>
        <v>0</v>
      </c>
      <c r="Y45" s="99">
        <v>0</v>
      </c>
      <c r="Z45" s="99">
        <v>0</v>
      </c>
      <c r="AA45" s="98">
        <f t="shared" si="19"/>
        <v>0</v>
      </c>
      <c r="AB45" s="98">
        <f t="shared" si="20"/>
        <v>0</v>
      </c>
      <c r="AC45" s="244">
        <f t="shared" si="21"/>
        <v>0</v>
      </c>
      <c r="AD45" s="98">
        <f t="shared" si="22"/>
        <v>0</v>
      </c>
      <c r="AE45" s="99">
        <v>0</v>
      </c>
      <c r="AF45" s="244">
        <f t="shared" si="23"/>
        <v>0</v>
      </c>
      <c r="AG45" s="99">
        <v>117.2</v>
      </c>
      <c r="AH45" s="99"/>
      <c r="AI45" s="99"/>
      <c r="AJ45" s="99"/>
      <c r="AK45" s="99"/>
      <c r="AL45" s="128">
        <f t="shared" si="24"/>
        <v>85.175548659186745</v>
      </c>
      <c r="AM45" s="99">
        <v>0</v>
      </c>
      <c r="AN45" s="100">
        <f t="shared" si="25"/>
        <v>0</v>
      </c>
      <c r="AO45" s="101">
        <f t="shared" si="26"/>
        <v>-202.37554865918673</v>
      </c>
      <c r="AP45" s="102"/>
      <c r="AQ45" s="103">
        <f t="shared" si="8"/>
        <v>0</v>
      </c>
      <c r="AR45" s="104">
        <f t="shared" si="37"/>
        <v>107.88</v>
      </c>
      <c r="AS45" s="104">
        <f t="shared" si="10"/>
        <v>0</v>
      </c>
      <c r="AT45" s="104">
        <f t="shared" si="11"/>
        <v>117.2</v>
      </c>
      <c r="AU45" s="104">
        <f t="shared" si="27"/>
        <v>0</v>
      </c>
      <c r="AV45" s="104">
        <f t="array" ref="AV45">_xlfn.IFS(U45=0,AO45,U45&lt;0,AO45/-U45,U45&gt;0,AO45/U45)</f>
        <v>-202.37554865918673</v>
      </c>
      <c r="AW45" s="244">
        <f t="shared" si="45"/>
        <v>0</v>
      </c>
      <c r="AX45" s="244">
        <f t="shared" si="46"/>
        <v>-1.8759320417054759</v>
      </c>
      <c r="AY45" s="105"/>
      <c r="AZ45" s="100">
        <f t="shared" si="14"/>
        <v>-59903.162403119277</v>
      </c>
    </row>
    <row r="46" spans="1:52" outlineLevel="1">
      <c r="A46" s="95" t="s">
        <v>124</v>
      </c>
      <c r="B46" s="96">
        <v>386777270</v>
      </c>
      <c r="C46" s="96" t="s">
        <v>168</v>
      </c>
      <c r="D46" s="97" t="s">
        <v>84</v>
      </c>
      <c r="E46" s="242">
        <f t="shared" si="43"/>
        <v>0</v>
      </c>
      <c r="F46" s="99"/>
      <c r="G46" s="99"/>
      <c r="H46" s="282">
        <v>0</v>
      </c>
      <c r="I46" s="99"/>
      <c r="J46" s="99"/>
      <c r="K46" s="98">
        <v>107.88</v>
      </c>
      <c r="L46" s="98">
        <f t="shared" si="44"/>
        <v>0</v>
      </c>
      <c r="M46" s="95"/>
      <c r="N46" s="95">
        <v>0</v>
      </c>
      <c r="O46" s="95">
        <v>0</v>
      </c>
      <c r="P46" s="95">
        <v>0</v>
      </c>
      <c r="Q46" s="243">
        <f t="shared" si="15"/>
        <v>0</v>
      </c>
      <c r="R46" s="98">
        <f t="shared" si="16"/>
        <v>0</v>
      </c>
      <c r="S46" s="99">
        <v>0</v>
      </c>
      <c r="T46" s="99">
        <v>0</v>
      </c>
      <c r="U46" s="98">
        <f t="shared" si="17"/>
        <v>0</v>
      </c>
      <c r="V46" s="99">
        <v>0</v>
      </c>
      <c r="W46" s="99">
        <v>0</v>
      </c>
      <c r="X46" s="98">
        <f t="shared" si="18"/>
        <v>0</v>
      </c>
      <c r="Y46" s="99">
        <v>0</v>
      </c>
      <c r="Z46" s="99">
        <v>0</v>
      </c>
      <c r="AA46" s="98">
        <f t="shared" si="19"/>
        <v>0</v>
      </c>
      <c r="AB46" s="98">
        <f t="shared" si="20"/>
        <v>0</v>
      </c>
      <c r="AC46" s="244">
        <f t="shared" si="21"/>
        <v>0</v>
      </c>
      <c r="AD46" s="98">
        <f t="shared" si="22"/>
        <v>0</v>
      </c>
      <c r="AE46" s="99">
        <v>0</v>
      </c>
      <c r="AF46" s="244">
        <f t="shared" si="23"/>
        <v>0</v>
      </c>
      <c r="AG46" s="99">
        <v>0</v>
      </c>
      <c r="AH46" s="99"/>
      <c r="AI46" s="99"/>
      <c r="AJ46" s="99"/>
      <c r="AK46" s="99"/>
      <c r="AL46" s="128">
        <f t="shared" si="24"/>
        <v>0</v>
      </c>
      <c r="AM46" s="99">
        <v>0</v>
      </c>
      <c r="AN46" s="100">
        <f t="shared" si="25"/>
        <v>0</v>
      </c>
      <c r="AO46" s="101">
        <f t="shared" si="26"/>
        <v>0</v>
      </c>
      <c r="AP46" s="102"/>
      <c r="AQ46" s="103">
        <f t="shared" si="8"/>
        <v>0</v>
      </c>
      <c r="AR46" s="104">
        <f t="shared" si="37"/>
        <v>107.88</v>
      </c>
      <c r="AS46" s="104">
        <f t="shared" si="10"/>
        <v>0</v>
      </c>
      <c r="AT46" s="104">
        <f t="shared" si="11"/>
        <v>0</v>
      </c>
      <c r="AU46" s="104">
        <f t="shared" si="27"/>
        <v>0</v>
      </c>
      <c r="AV46" s="104">
        <f t="array" ref="AV46">_xlfn.IFS(U46=0,AO46,U46&lt;0,AO46/-U46,U46&gt;0,AO46/U46)</f>
        <v>0</v>
      </c>
      <c r="AW46" s="244">
        <f t="shared" si="45"/>
        <v>0</v>
      </c>
      <c r="AX46" s="244">
        <f t="shared" si="46"/>
        <v>0</v>
      </c>
      <c r="AY46" s="105"/>
      <c r="AZ46" s="100">
        <f t="shared" si="14"/>
        <v>0</v>
      </c>
    </row>
    <row r="47" spans="1:52" outlineLevel="1">
      <c r="A47" s="95" t="s">
        <v>124</v>
      </c>
      <c r="B47" s="96">
        <v>386777273</v>
      </c>
      <c r="C47" s="96" t="s">
        <v>169</v>
      </c>
      <c r="D47" s="97" t="s">
        <v>84</v>
      </c>
      <c r="E47" s="242">
        <f t="shared" si="43"/>
        <v>170</v>
      </c>
      <c r="F47" s="99"/>
      <c r="G47" s="99"/>
      <c r="H47" s="282">
        <v>170</v>
      </c>
      <c r="I47" s="99"/>
      <c r="J47" s="99"/>
      <c r="K47" s="98">
        <v>123.09</v>
      </c>
      <c r="L47" s="98">
        <f t="shared" si="44"/>
        <v>20925.3</v>
      </c>
      <c r="M47" s="95"/>
      <c r="N47" s="95">
        <v>1</v>
      </c>
      <c r="O47" s="95">
        <v>998</v>
      </c>
      <c r="P47" s="95">
        <v>0</v>
      </c>
      <c r="Q47" s="243">
        <f t="shared" si="15"/>
        <v>0.33333333333333331</v>
      </c>
      <c r="R47" s="98">
        <f t="shared" si="16"/>
        <v>0.33333333333333331</v>
      </c>
      <c r="S47" s="99">
        <v>1</v>
      </c>
      <c r="T47" s="99">
        <v>0</v>
      </c>
      <c r="U47" s="98">
        <f t="shared" si="17"/>
        <v>1</v>
      </c>
      <c r="V47" s="99">
        <v>771</v>
      </c>
      <c r="W47" s="99">
        <v>0</v>
      </c>
      <c r="X47" s="98">
        <f t="shared" si="18"/>
        <v>771</v>
      </c>
      <c r="Y47" s="99">
        <v>998</v>
      </c>
      <c r="Z47" s="99">
        <v>0</v>
      </c>
      <c r="AA47" s="98">
        <f t="shared" si="19"/>
        <v>998</v>
      </c>
      <c r="AB47" s="98">
        <f t="shared" si="20"/>
        <v>0</v>
      </c>
      <c r="AC47" s="244">
        <f t="shared" si="21"/>
        <v>7.5929006227015402E-3</v>
      </c>
      <c r="AD47" s="98">
        <f t="shared" si="22"/>
        <v>123.09</v>
      </c>
      <c r="AE47" s="99">
        <v>374.92999999999995</v>
      </c>
      <c r="AF47" s="244">
        <f t="shared" si="23"/>
        <v>0.37568136272545083</v>
      </c>
      <c r="AG47" s="99">
        <v>47.79</v>
      </c>
      <c r="AH47" s="99"/>
      <c r="AI47" s="99"/>
      <c r="AJ47" s="99"/>
      <c r="AK47" s="99"/>
      <c r="AL47" s="128">
        <f t="shared" si="24"/>
        <v>48.918389432641042</v>
      </c>
      <c r="AM47" s="99">
        <v>0</v>
      </c>
      <c r="AN47" s="100">
        <f t="shared" si="25"/>
        <v>44.024099999999997</v>
      </c>
      <c r="AO47" s="101">
        <f t="shared" si="26"/>
        <v>359.24751056735897</v>
      </c>
      <c r="AP47" s="102"/>
      <c r="AQ47" s="103">
        <f t="shared" si="8"/>
        <v>998</v>
      </c>
      <c r="AR47" s="104">
        <f t="shared" si="37"/>
        <v>123.09</v>
      </c>
      <c r="AS47" s="104">
        <f t="shared" si="10"/>
        <v>374.92999999999995</v>
      </c>
      <c r="AT47" s="104">
        <f t="shared" si="11"/>
        <v>47.79</v>
      </c>
      <c r="AU47" s="104">
        <f t="shared" si="27"/>
        <v>0</v>
      </c>
      <c r="AV47" s="104">
        <f t="array" ref="AV47">_xlfn.IFS(U47=0,AO47,U47&lt;0,AO47/-U47,U47&gt;0,AO47/U47)</f>
        <v>359.24751056735897</v>
      </c>
      <c r="AW47" s="244">
        <f t="shared" si="45"/>
        <v>0.35996744545827553</v>
      </c>
      <c r="AX47" s="244">
        <f t="shared" si="46"/>
        <v>2.9185759246677958</v>
      </c>
      <c r="AY47" s="105"/>
      <c r="AZ47" s="100">
        <f t="shared" si="14"/>
        <v>61072.076796451023</v>
      </c>
    </row>
    <row r="48" spans="1:52" outlineLevel="1">
      <c r="A48" s="95" t="s">
        <v>124</v>
      </c>
      <c r="B48" s="96">
        <v>386777271</v>
      </c>
      <c r="C48" s="96" t="s">
        <v>170</v>
      </c>
      <c r="D48" s="97" t="s">
        <v>84</v>
      </c>
      <c r="E48" s="242">
        <f t="shared" si="43"/>
        <v>408</v>
      </c>
      <c r="F48" s="99"/>
      <c r="G48" s="99"/>
      <c r="H48" s="282">
        <v>408</v>
      </c>
      <c r="I48" s="99"/>
      <c r="J48" s="99"/>
      <c r="K48" s="98">
        <v>107.88</v>
      </c>
      <c r="L48" s="98">
        <f t="shared" si="44"/>
        <v>44015.040000000001</v>
      </c>
      <c r="M48" s="95"/>
      <c r="N48" s="95">
        <v>0</v>
      </c>
      <c r="O48" s="95">
        <v>0</v>
      </c>
      <c r="P48" s="95">
        <v>0</v>
      </c>
      <c r="Q48" s="243">
        <f t="shared" si="15"/>
        <v>0</v>
      </c>
      <c r="R48" s="98">
        <f t="shared" si="16"/>
        <v>0.33333333333333331</v>
      </c>
      <c r="S48" s="99">
        <v>1</v>
      </c>
      <c r="T48" s="99">
        <v>0</v>
      </c>
      <c r="U48" s="98">
        <f t="shared" si="17"/>
        <v>1</v>
      </c>
      <c r="V48" s="99">
        <v>1050</v>
      </c>
      <c r="W48" s="99">
        <v>0</v>
      </c>
      <c r="X48" s="98">
        <f t="shared" si="18"/>
        <v>1050</v>
      </c>
      <c r="Y48" s="99">
        <v>1157</v>
      </c>
      <c r="Z48" s="99">
        <v>0</v>
      </c>
      <c r="AA48" s="98">
        <f t="shared" si="19"/>
        <v>1157</v>
      </c>
      <c r="AB48" s="98">
        <f t="shared" si="20"/>
        <v>0</v>
      </c>
      <c r="AC48" s="244">
        <f t="shared" si="21"/>
        <v>8.8025912028714248E-3</v>
      </c>
      <c r="AD48" s="98">
        <f t="shared" si="22"/>
        <v>107.88</v>
      </c>
      <c r="AE48" s="99">
        <v>427.78999999999996</v>
      </c>
      <c r="AF48" s="244">
        <f t="shared" si="23"/>
        <v>0.36974070872947273</v>
      </c>
      <c r="AG48" s="99">
        <v>47.79</v>
      </c>
      <c r="AH48" s="99"/>
      <c r="AI48" s="99"/>
      <c r="AJ48" s="99"/>
      <c r="AK48" s="99"/>
      <c r="AL48" s="128">
        <f t="shared" si="24"/>
        <v>117.4041346383385</v>
      </c>
      <c r="AM48" s="99">
        <v>0</v>
      </c>
      <c r="AN48" s="100">
        <f t="shared" si="25"/>
        <v>59.954999999999998</v>
      </c>
      <c r="AO48" s="101">
        <f t="shared" si="26"/>
        <v>396.18086536166146</v>
      </c>
      <c r="AP48" s="102"/>
      <c r="AQ48" s="103">
        <f t="shared" si="8"/>
        <v>1157</v>
      </c>
      <c r="AR48" s="104">
        <f t="shared" si="37"/>
        <v>107.88</v>
      </c>
      <c r="AS48" s="104">
        <f t="shared" si="10"/>
        <v>427.78999999999996</v>
      </c>
      <c r="AT48" s="104">
        <f t="shared" si="11"/>
        <v>47.79</v>
      </c>
      <c r="AU48" s="104">
        <f t="shared" si="27"/>
        <v>0</v>
      </c>
      <c r="AV48" s="104">
        <f t="array" ref="AV48">_xlfn.IFS(U48=0,AO48,U48&lt;0,AO48/-U48,U48&gt;0,AO48/U48)</f>
        <v>396.18086536166146</v>
      </c>
      <c r="AW48" s="244">
        <f t="shared" si="45"/>
        <v>0.34242079979400297</v>
      </c>
      <c r="AX48" s="244">
        <f t="shared" si="46"/>
        <v>3.6724218146242258</v>
      </c>
      <c r="AY48" s="105"/>
      <c r="AZ48" s="100">
        <f t="shared" si="14"/>
        <v>161641.79306755788</v>
      </c>
    </row>
    <row r="49" spans="1:52" outlineLevel="1">
      <c r="A49" s="95" t="s">
        <v>124</v>
      </c>
      <c r="B49" s="96">
        <v>386753444</v>
      </c>
      <c r="C49" s="96" t="s">
        <v>171</v>
      </c>
      <c r="D49" s="97" t="s">
        <v>84</v>
      </c>
      <c r="E49" s="242">
        <f t="shared" si="43"/>
        <v>213</v>
      </c>
      <c r="F49" s="99"/>
      <c r="G49" s="99"/>
      <c r="H49" s="282">
        <v>213</v>
      </c>
      <c r="I49" s="99"/>
      <c r="J49" s="99"/>
      <c r="K49" s="98">
        <v>123.09</v>
      </c>
      <c r="L49" s="98">
        <f t="shared" si="44"/>
        <v>26218.170000000002</v>
      </c>
      <c r="M49" s="95"/>
      <c r="N49" s="95">
        <v>1</v>
      </c>
      <c r="O49" s="95">
        <v>1378</v>
      </c>
      <c r="P49" s="95">
        <v>100</v>
      </c>
      <c r="Q49" s="243">
        <f t="shared" si="15"/>
        <v>0.33333333333333331</v>
      </c>
      <c r="R49" s="98">
        <f t="shared" si="16"/>
        <v>1.3333333333333333</v>
      </c>
      <c r="S49" s="99">
        <v>4</v>
      </c>
      <c r="T49" s="99">
        <v>0</v>
      </c>
      <c r="U49" s="98">
        <f t="shared" si="17"/>
        <v>4</v>
      </c>
      <c r="V49" s="99">
        <v>4704</v>
      </c>
      <c r="W49" s="99">
        <v>0</v>
      </c>
      <c r="X49" s="98">
        <f t="shared" si="18"/>
        <v>4704</v>
      </c>
      <c r="Y49" s="99">
        <v>5512</v>
      </c>
      <c r="Z49" s="99">
        <v>0</v>
      </c>
      <c r="AA49" s="98">
        <f t="shared" si="19"/>
        <v>5512</v>
      </c>
      <c r="AB49" s="98">
        <f t="shared" si="20"/>
        <v>1378</v>
      </c>
      <c r="AC49" s="244">
        <f t="shared" si="21"/>
        <v>4.1935940112555997E-2</v>
      </c>
      <c r="AD49" s="98">
        <f t="shared" si="22"/>
        <v>492.36</v>
      </c>
      <c r="AE49" s="99">
        <v>2032.38</v>
      </c>
      <c r="AF49" s="244">
        <f t="shared" si="23"/>
        <v>0.36871915820029028</v>
      </c>
      <c r="AG49" s="99">
        <v>386.27</v>
      </c>
      <c r="AH49" s="99"/>
      <c r="AI49" s="99"/>
      <c r="AJ49" s="99"/>
      <c r="AK49" s="99"/>
      <c r="AL49" s="128">
        <f t="shared" si="24"/>
        <v>61.291864406779659</v>
      </c>
      <c r="AM49" s="99">
        <v>0</v>
      </c>
      <c r="AN49" s="100">
        <f t="shared" si="25"/>
        <v>268.59839999999997</v>
      </c>
      <c r="AO49" s="101">
        <f t="shared" si="26"/>
        <v>2271.0997355932209</v>
      </c>
      <c r="AP49" s="102"/>
      <c r="AQ49" s="103">
        <f t="shared" si="8"/>
        <v>1378</v>
      </c>
      <c r="AR49" s="104">
        <f t="shared" si="37"/>
        <v>123.09</v>
      </c>
      <c r="AS49" s="104">
        <f t="shared" si="10"/>
        <v>508.09500000000003</v>
      </c>
      <c r="AT49" s="104">
        <f t="shared" si="11"/>
        <v>96.567499999999995</v>
      </c>
      <c r="AU49" s="104">
        <f t="shared" si="27"/>
        <v>0</v>
      </c>
      <c r="AV49" s="104">
        <f t="array" ref="AV49">_xlfn.IFS(U49=0,AO49,U49&lt;0,AO49/-U49,U49&gt;0,AO49/U49)</f>
        <v>567.77493389830522</v>
      </c>
      <c r="AW49" s="244">
        <f t="shared" si="45"/>
        <v>0.41202825391749293</v>
      </c>
      <c r="AX49" s="244">
        <f t="shared" si="46"/>
        <v>4.6126812405419226</v>
      </c>
      <c r="AY49" s="105"/>
      <c r="AZ49" s="100">
        <f t="shared" si="14"/>
        <v>120936.060920339</v>
      </c>
    </row>
    <row r="50" spans="1:52" outlineLevel="1">
      <c r="A50" s="95" t="s">
        <v>124</v>
      </c>
      <c r="B50" s="96">
        <v>386733628</v>
      </c>
      <c r="C50" s="96" t="s">
        <v>172</v>
      </c>
      <c r="D50" s="97" t="s">
        <v>84</v>
      </c>
      <c r="E50" s="242">
        <f t="shared" si="43"/>
        <v>250</v>
      </c>
      <c r="F50" s="99"/>
      <c r="G50" s="99"/>
      <c r="H50" s="282">
        <v>250</v>
      </c>
      <c r="I50" s="99"/>
      <c r="J50" s="99"/>
      <c r="K50" s="98">
        <v>134.79</v>
      </c>
      <c r="L50" s="98">
        <f t="shared" si="44"/>
        <v>33697.5</v>
      </c>
      <c r="M50" s="95"/>
      <c r="N50" s="95">
        <v>1</v>
      </c>
      <c r="O50" s="95">
        <v>1198</v>
      </c>
      <c r="P50" s="95">
        <v>0</v>
      </c>
      <c r="Q50" s="243">
        <f t="shared" si="15"/>
        <v>0.33333333333333331</v>
      </c>
      <c r="R50" s="98">
        <f t="shared" si="16"/>
        <v>0.33333333333333331</v>
      </c>
      <c r="S50" s="99">
        <v>1</v>
      </c>
      <c r="T50" s="99">
        <v>0</v>
      </c>
      <c r="U50" s="98">
        <f t="shared" si="17"/>
        <v>1</v>
      </c>
      <c r="V50" s="99">
        <v>988</v>
      </c>
      <c r="W50" s="99">
        <v>0</v>
      </c>
      <c r="X50" s="98">
        <f t="shared" si="18"/>
        <v>988</v>
      </c>
      <c r="Y50" s="99">
        <v>1198</v>
      </c>
      <c r="Z50" s="99">
        <v>0</v>
      </c>
      <c r="AA50" s="98">
        <f t="shared" si="19"/>
        <v>1198</v>
      </c>
      <c r="AB50" s="98">
        <f t="shared" si="20"/>
        <v>0</v>
      </c>
      <c r="AC50" s="244">
        <f t="shared" si="21"/>
        <v>9.1145239939844132E-3</v>
      </c>
      <c r="AD50" s="98">
        <f t="shared" si="22"/>
        <v>134.79</v>
      </c>
      <c r="AE50" s="99">
        <v>441.07000000000005</v>
      </c>
      <c r="AF50" s="244">
        <f t="shared" si="23"/>
        <v>0.36817195325542573</v>
      </c>
      <c r="AG50" s="99">
        <v>329.21</v>
      </c>
      <c r="AH50" s="99"/>
      <c r="AI50" s="99"/>
      <c r="AJ50" s="99"/>
      <c r="AK50" s="99"/>
      <c r="AL50" s="128">
        <f t="shared" si="24"/>
        <v>71.938807989178002</v>
      </c>
      <c r="AM50" s="99">
        <v>0</v>
      </c>
      <c r="AN50" s="100">
        <f t="shared" si="25"/>
        <v>56.4148</v>
      </c>
      <c r="AO50" s="101">
        <f t="shared" si="26"/>
        <v>164.57639201082202</v>
      </c>
      <c r="AP50" s="102"/>
      <c r="AQ50" s="103">
        <f t="shared" si="8"/>
        <v>1198</v>
      </c>
      <c r="AR50" s="104">
        <f t="shared" si="37"/>
        <v>134.79</v>
      </c>
      <c r="AS50" s="104">
        <f t="shared" si="10"/>
        <v>441.07000000000005</v>
      </c>
      <c r="AT50" s="104">
        <f t="shared" si="11"/>
        <v>329.21</v>
      </c>
      <c r="AU50" s="104">
        <f t="shared" si="27"/>
        <v>0</v>
      </c>
      <c r="AV50" s="104">
        <f t="array" ref="AV50">_xlfn.IFS(U50=0,AO50,U50&lt;0,AO50/-U50,U50&gt;0,AO50/U50)</f>
        <v>164.57639201082202</v>
      </c>
      <c r="AW50" s="244">
        <f t="shared" si="45"/>
        <v>0.13737595326445912</v>
      </c>
      <c r="AX50" s="244">
        <f t="shared" si="46"/>
        <v>1.220983693232599</v>
      </c>
      <c r="AY50" s="105"/>
      <c r="AZ50" s="100">
        <f t="shared" si="14"/>
        <v>41144.098002705505</v>
      </c>
    </row>
    <row r="51" spans="1:52" outlineLevel="1">
      <c r="A51" s="95" t="s">
        <v>124</v>
      </c>
      <c r="B51" s="96">
        <v>386787535</v>
      </c>
      <c r="C51" s="96" t="s">
        <v>173</v>
      </c>
      <c r="D51" s="97" t="s">
        <v>84</v>
      </c>
      <c r="E51" s="242">
        <f t="shared" si="43"/>
        <v>32</v>
      </c>
      <c r="F51" s="99"/>
      <c r="G51" s="99"/>
      <c r="H51" s="282">
        <v>32</v>
      </c>
      <c r="I51" s="99"/>
      <c r="J51" s="99"/>
      <c r="K51" s="98">
        <v>144.15</v>
      </c>
      <c r="L51" s="98">
        <f t="shared" si="44"/>
        <v>4612.8</v>
      </c>
      <c r="M51" s="95"/>
      <c r="N51" s="95">
        <v>0</v>
      </c>
      <c r="O51" s="95">
        <v>0</v>
      </c>
      <c r="P51" s="95">
        <v>0</v>
      </c>
      <c r="Q51" s="243">
        <f t="shared" si="15"/>
        <v>0</v>
      </c>
      <c r="R51" s="98">
        <f t="shared" si="16"/>
        <v>0</v>
      </c>
      <c r="S51" s="99">
        <v>0</v>
      </c>
      <c r="T51" s="99">
        <v>0</v>
      </c>
      <c r="U51" s="98">
        <f t="shared" si="17"/>
        <v>0</v>
      </c>
      <c r="V51" s="99">
        <v>0</v>
      </c>
      <c r="W51" s="99">
        <v>0</v>
      </c>
      <c r="X51" s="98">
        <f t="shared" si="18"/>
        <v>0</v>
      </c>
      <c r="Y51" s="99">
        <v>0</v>
      </c>
      <c r="Z51" s="99">
        <v>0</v>
      </c>
      <c r="AA51" s="98">
        <f t="shared" si="19"/>
        <v>0</v>
      </c>
      <c r="AB51" s="98">
        <f t="shared" si="20"/>
        <v>0</v>
      </c>
      <c r="AC51" s="244">
        <f t="shared" si="21"/>
        <v>0</v>
      </c>
      <c r="AD51" s="98">
        <f t="shared" si="22"/>
        <v>0</v>
      </c>
      <c r="AE51" s="99">
        <v>0</v>
      </c>
      <c r="AF51" s="244">
        <f t="shared" si="23"/>
        <v>0</v>
      </c>
      <c r="AG51" s="99">
        <v>88.83</v>
      </c>
      <c r="AH51" s="99"/>
      <c r="AI51" s="99"/>
      <c r="AJ51" s="99"/>
      <c r="AK51" s="99"/>
      <c r="AL51" s="128">
        <f t="shared" si="24"/>
        <v>9.2081674226147836</v>
      </c>
      <c r="AM51" s="99">
        <v>0</v>
      </c>
      <c r="AN51" s="100">
        <f t="shared" si="25"/>
        <v>0</v>
      </c>
      <c r="AO51" s="101">
        <f t="shared" si="26"/>
        <v>-98.038167422614777</v>
      </c>
      <c r="AP51" s="102"/>
      <c r="AQ51" s="103">
        <f t="shared" si="8"/>
        <v>0</v>
      </c>
      <c r="AR51" s="104">
        <f t="shared" si="37"/>
        <v>144.15</v>
      </c>
      <c r="AS51" s="104">
        <f t="shared" si="10"/>
        <v>0</v>
      </c>
      <c r="AT51" s="104">
        <f t="shared" si="11"/>
        <v>88.83</v>
      </c>
      <c r="AU51" s="104">
        <f t="shared" si="27"/>
        <v>0</v>
      </c>
      <c r="AV51" s="104">
        <f t="array" ref="AV51">_xlfn.IFS(U51=0,AO51,U51&lt;0,AO51/-U51,U51&gt;0,AO51/U51)</f>
        <v>-98.038167422614777</v>
      </c>
      <c r="AW51" s="244">
        <f t="shared" si="45"/>
        <v>0</v>
      </c>
      <c r="AX51" s="244">
        <f t="shared" si="46"/>
        <v>-0.68011215693801441</v>
      </c>
      <c r="AY51" s="105"/>
      <c r="AZ51" s="100">
        <f t="shared" si="14"/>
        <v>-3137.2213575236729</v>
      </c>
    </row>
    <row r="52" spans="1:52" outlineLevel="1">
      <c r="A52" s="95" t="s">
        <v>124</v>
      </c>
      <c r="B52" s="96">
        <v>507114655</v>
      </c>
      <c r="C52" s="96" t="s">
        <v>174</v>
      </c>
      <c r="D52" s="97" t="s">
        <v>84</v>
      </c>
      <c r="E52" s="242">
        <f t="shared" si="43"/>
        <v>49</v>
      </c>
      <c r="F52" s="99"/>
      <c r="G52" s="99"/>
      <c r="H52" s="282">
        <v>49</v>
      </c>
      <c r="I52" s="99"/>
      <c r="J52" s="99"/>
      <c r="K52" s="98">
        <v>96.18</v>
      </c>
      <c r="L52" s="98">
        <f t="shared" si="44"/>
        <v>4712.8200000000006</v>
      </c>
      <c r="M52" s="95"/>
      <c r="N52" s="95">
        <v>0</v>
      </c>
      <c r="O52" s="95">
        <v>0</v>
      </c>
      <c r="P52" s="95">
        <v>0</v>
      </c>
      <c r="Q52" s="243">
        <f t="shared" si="15"/>
        <v>0</v>
      </c>
      <c r="R52" s="98">
        <f t="shared" si="16"/>
        <v>0</v>
      </c>
      <c r="S52" s="99">
        <v>0</v>
      </c>
      <c r="T52" s="99">
        <v>0</v>
      </c>
      <c r="U52" s="98">
        <f t="shared" si="17"/>
        <v>0</v>
      </c>
      <c r="V52" s="99">
        <v>0</v>
      </c>
      <c r="W52" s="99">
        <v>0</v>
      </c>
      <c r="X52" s="98">
        <f t="shared" si="18"/>
        <v>0</v>
      </c>
      <c r="Y52" s="99">
        <v>0</v>
      </c>
      <c r="Z52" s="99">
        <v>0</v>
      </c>
      <c r="AA52" s="98">
        <f t="shared" si="19"/>
        <v>0</v>
      </c>
      <c r="AB52" s="98">
        <f t="shared" si="20"/>
        <v>0</v>
      </c>
      <c r="AC52" s="244">
        <f t="shared" si="21"/>
        <v>0</v>
      </c>
      <c r="AD52" s="98">
        <f t="shared" si="22"/>
        <v>0</v>
      </c>
      <c r="AE52" s="99">
        <v>0</v>
      </c>
      <c r="AF52" s="244">
        <f t="shared" si="23"/>
        <v>0</v>
      </c>
      <c r="AG52" s="99">
        <v>0</v>
      </c>
      <c r="AH52" s="99"/>
      <c r="AI52" s="99"/>
      <c r="AJ52" s="99"/>
      <c r="AK52" s="99"/>
      <c r="AL52" s="128">
        <f t="shared" si="24"/>
        <v>14.100006365878889</v>
      </c>
      <c r="AM52" s="99">
        <v>0</v>
      </c>
      <c r="AN52" s="100">
        <f t="shared" si="25"/>
        <v>0</v>
      </c>
      <c r="AO52" s="101">
        <f t="shared" si="26"/>
        <v>-14.100006365878889</v>
      </c>
      <c r="AP52" s="102"/>
      <c r="AQ52" s="103">
        <f t="shared" si="8"/>
        <v>0</v>
      </c>
      <c r="AR52" s="104">
        <f t="shared" si="37"/>
        <v>96.18</v>
      </c>
      <c r="AS52" s="104">
        <f t="shared" si="10"/>
        <v>0</v>
      </c>
      <c r="AT52" s="104">
        <f t="shared" si="11"/>
        <v>0</v>
      </c>
      <c r="AU52" s="104">
        <f t="shared" si="27"/>
        <v>0</v>
      </c>
      <c r="AV52" s="104">
        <f t="array" ref="AV52">_xlfn.IFS(U52=0,AO52,U52&lt;0,AO52/-U52,U52&gt;0,AO52/U52)</f>
        <v>-14.100006365878889</v>
      </c>
      <c r="AW52" s="244">
        <f t="shared" si="45"/>
        <v>0</v>
      </c>
      <c r="AX52" s="244">
        <f t="shared" si="46"/>
        <v>-0.14660019095320115</v>
      </c>
      <c r="AY52" s="105"/>
      <c r="AZ52" s="100">
        <f t="shared" si="14"/>
        <v>-690.90031192806555</v>
      </c>
    </row>
    <row r="53" spans="1:52" outlineLevel="1">
      <c r="A53" s="95" t="s">
        <v>124</v>
      </c>
      <c r="B53" s="96">
        <v>507115073</v>
      </c>
      <c r="C53" s="96" t="s">
        <v>175</v>
      </c>
      <c r="D53" s="97" t="s">
        <v>84</v>
      </c>
      <c r="E53" s="242">
        <f t="shared" si="43"/>
        <v>49</v>
      </c>
      <c r="F53" s="99"/>
      <c r="G53" s="99"/>
      <c r="H53" s="282">
        <v>49</v>
      </c>
      <c r="I53" s="99"/>
      <c r="J53" s="99"/>
      <c r="K53" s="98">
        <v>96.18</v>
      </c>
      <c r="L53" s="98">
        <f t="shared" si="44"/>
        <v>4712.8200000000006</v>
      </c>
      <c r="M53" s="95"/>
      <c r="N53" s="95">
        <v>0</v>
      </c>
      <c r="O53" s="95">
        <v>0</v>
      </c>
      <c r="P53" s="95">
        <v>0</v>
      </c>
      <c r="Q53" s="243">
        <f t="shared" si="15"/>
        <v>0</v>
      </c>
      <c r="R53" s="98">
        <f t="shared" si="16"/>
        <v>0</v>
      </c>
      <c r="S53" s="99">
        <v>0</v>
      </c>
      <c r="T53" s="99">
        <v>0</v>
      </c>
      <c r="U53" s="98">
        <f t="shared" si="17"/>
        <v>0</v>
      </c>
      <c r="V53" s="99">
        <v>0</v>
      </c>
      <c r="W53" s="99">
        <v>0</v>
      </c>
      <c r="X53" s="98">
        <f t="shared" si="18"/>
        <v>0</v>
      </c>
      <c r="Y53" s="99">
        <v>0</v>
      </c>
      <c r="Z53" s="99">
        <v>0</v>
      </c>
      <c r="AA53" s="98">
        <f t="shared" si="19"/>
        <v>0</v>
      </c>
      <c r="AB53" s="98">
        <f t="shared" si="20"/>
        <v>0</v>
      </c>
      <c r="AC53" s="244">
        <f t="shared" si="21"/>
        <v>0</v>
      </c>
      <c r="AD53" s="98">
        <f t="shared" si="22"/>
        <v>0</v>
      </c>
      <c r="AE53" s="99">
        <v>0</v>
      </c>
      <c r="AF53" s="244">
        <f t="shared" si="23"/>
        <v>0</v>
      </c>
      <c r="AG53" s="99">
        <v>0</v>
      </c>
      <c r="AH53" s="99"/>
      <c r="AI53" s="99"/>
      <c r="AJ53" s="99"/>
      <c r="AK53" s="99"/>
      <c r="AL53" s="128">
        <f t="shared" si="24"/>
        <v>14.100006365878889</v>
      </c>
      <c r="AM53" s="99">
        <v>0</v>
      </c>
      <c r="AN53" s="100">
        <f t="shared" si="25"/>
        <v>0</v>
      </c>
      <c r="AO53" s="101">
        <f t="shared" si="26"/>
        <v>-14.100006365878889</v>
      </c>
      <c r="AP53" s="102"/>
      <c r="AQ53" s="103">
        <f t="shared" si="8"/>
        <v>0</v>
      </c>
      <c r="AR53" s="104">
        <f t="shared" si="37"/>
        <v>96.18</v>
      </c>
      <c r="AS53" s="104">
        <f t="shared" si="10"/>
        <v>0</v>
      </c>
      <c r="AT53" s="104">
        <f t="shared" si="11"/>
        <v>0</v>
      </c>
      <c r="AU53" s="104">
        <f t="shared" si="27"/>
        <v>0</v>
      </c>
      <c r="AV53" s="104">
        <f t="array" ref="AV53">_xlfn.IFS(U53=0,AO53,U53&lt;0,AO53/-U53,U53&gt;0,AO53/U53)</f>
        <v>-14.100006365878889</v>
      </c>
      <c r="AW53" s="244">
        <f t="shared" si="45"/>
        <v>0</v>
      </c>
      <c r="AX53" s="244">
        <f t="shared" si="46"/>
        <v>-0.14660019095320115</v>
      </c>
      <c r="AY53" s="105"/>
      <c r="AZ53" s="100">
        <f t="shared" si="14"/>
        <v>-690.90031192806555</v>
      </c>
    </row>
    <row r="54" spans="1:52" outlineLevel="1">
      <c r="A54" s="95" t="s">
        <v>124</v>
      </c>
      <c r="B54" s="96">
        <v>431398576</v>
      </c>
      <c r="C54" s="96" t="s">
        <v>176</v>
      </c>
      <c r="D54" s="97" t="s">
        <v>84</v>
      </c>
      <c r="E54" s="242">
        <f t="shared" ref="E54:E98" si="47">SUM(F54:J54)</f>
        <v>55</v>
      </c>
      <c r="F54" s="99"/>
      <c r="G54" s="99"/>
      <c r="H54" s="282">
        <v>55</v>
      </c>
      <c r="I54" s="99"/>
      <c r="J54" s="99"/>
      <c r="K54" s="99">
        <v>123.09</v>
      </c>
      <c r="L54" s="98">
        <f t="shared" si="44"/>
        <v>6769.95</v>
      </c>
      <c r="M54" s="95"/>
      <c r="N54" s="95">
        <v>0</v>
      </c>
      <c r="O54" s="95">
        <v>0</v>
      </c>
      <c r="P54" s="95">
        <v>0</v>
      </c>
      <c r="Q54" s="243">
        <f t="shared" si="15"/>
        <v>0</v>
      </c>
      <c r="R54" s="98">
        <f t="shared" si="16"/>
        <v>0</v>
      </c>
      <c r="S54" s="99">
        <v>0</v>
      </c>
      <c r="T54" s="99">
        <v>0</v>
      </c>
      <c r="U54" s="98">
        <f t="shared" si="17"/>
        <v>0</v>
      </c>
      <c r="V54" s="99">
        <v>0</v>
      </c>
      <c r="W54" s="99">
        <v>0</v>
      </c>
      <c r="X54" s="98">
        <f t="shared" si="18"/>
        <v>0</v>
      </c>
      <c r="Y54" s="99">
        <v>0</v>
      </c>
      <c r="Z54" s="99">
        <v>0</v>
      </c>
      <c r="AA54" s="98">
        <f t="shared" si="19"/>
        <v>0</v>
      </c>
      <c r="AB54" s="98">
        <f t="shared" si="20"/>
        <v>0</v>
      </c>
      <c r="AC54" s="244">
        <f t="shared" si="21"/>
        <v>0</v>
      </c>
      <c r="AD54" s="98">
        <f t="shared" si="22"/>
        <v>0</v>
      </c>
      <c r="AE54" s="99">
        <v>0</v>
      </c>
      <c r="AF54" s="244">
        <f t="shared" si="23"/>
        <v>0</v>
      </c>
      <c r="AG54" s="99">
        <v>0</v>
      </c>
      <c r="AH54" s="99"/>
      <c r="AI54" s="99"/>
      <c r="AJ54" s="99"/>
      <c r="AK54" s="99"/>
      <c r="AL54" s="128">
        <f t="shared" si="24"/>
        <v>15.826537757619159</v>
      </c>
      <c r="AM54" s="99">
        <v>0</v>
      </c>
      <c r="AN54" s="100">
        <f t="shared" si="25"/>
        <v>0</v>
      </c>
      <c r="AO54" s="101">
        <f t="shared" si="26"/>
        <v>-15.826537757619159</v>
      </c>
      <c r="AP54" s="102"/>
      <c r="AQ54" s="103">
        <f t="shared" si="8"/>
        <v>0</v>
      </c>
      <c r="AR54" s="104">
        <f t="shared" si="37"/>
        <v>123.09</v>
      </c>
      <c r="AS54" s="104">
        <f t="shared" si="10"/>
        <v>0</v>
      </c>
      <c r="AT54" s="104">
        <f t="shared" si="11"/>
        <v>0</v>
      </c>
      <c r="AU54" s="104">
        <f t="shared" si="27"/>
        <v>0</v>
      </c>
      <c r="AV54" s="104">
        <f t="array" ref="AV54">_xlfn.IFS(U54=0,AO54,U54&lt;0,AO54/-U54,U54&gt;0,AO54/U54)</f>
        <v>-15.826537757619159</v>
      </c>
      <c r="AW54" s="244">
        <f t="shared" si="45"/>
        <v>0</v>
      </c>
      <c r="AX54" s="244">
        <f t="shared" si="46"/>
        <v>-0.12857695797887039</v>
      </c>
      <c r="AY54" s="105"/>
      <c r="AZ54" s="100">
        <f t="shared" si="14"/>
        <v>-870.45957666905372</v>
      </c>
    </row>
    <row r="55" spans="1:52" outlineLevel="1">
      <c r="A55" s="95" t="s">
        <v>124</v>
      </c>
      <c r="B55" s="96">
        <v>431391163</v>
      </c>
      <c r="C55" s="96" t="s">
        <v>177</v>
      </c>
      <c r="D55" s="97" t="s">
        <v>84</v>
      </c>
      <c r="E55" s="242">
        <f t="shared" si="47"/>
        <v>1</v>
      </c>
      <c r="F55" s="99"/>
      <c r="G55" s="99"/>
      <c r="H55" s="282">
        <v>1</v>
      </c>
      <c r="I55" s="99"/>
      <c r="J55" s="99"/>
      <c r="K55" s="99">
        <v>158.19</v>
      </c>
      <c r="L55" s="98">
        <f t="shared" si="44"/>
        <v>158.19</v>
      </c>
      <c r="M55" s="95"/>
      <c r="N55" s="95">
        <v>0</v>
      </c>
      <c r="O55" s="95">
        <v>0</v>
      </c>
      <c r="P55" s="95">
        <v>0</v>
      </c>
      <c r="Q55" s="243">
        <f t="shared" si="15"/>
        <v>0</v>
      </c>
      <c r="R55" s="98">
        <f t="shared" si="16"/>
        <v>0</v>
      </c>
      <c r="S55" s="99">
        <v>0</v>
      </c>
      <c r="T55" s="99">
        <v>0</v>
      </c>
      <c r="U55" s="98">
        <f t="shared" si="17"/>
        <v>0</v>
      </c>
      <c r="V55" s="99">
        <v>0</v>
      </c>
      <c r="W55" s="99">
        <v>0</v>
      </c>
      <c r="X55" s="98">
        <f t="shared" si="18"/>
        <v>0</v>
      </c>
      <c r="Y55" s="99">
        <v>0</v>
      </c>
      <c r="Z55" s="99">
        <v>0</v>
      </c>
      <c r="AA55" s="98">
        <f t="shared" si="19"/>
        <v>0</v>
      </c>
      <c r="AB55" s="98">
        <f t="shared" si="20"/>
        <v>0</v>
      </c>
      <c r="AC55" s="244">
        <f t="shared" si="21"/>
        <v>0</v>
      </c>
      <c r="AD55" s="98">
        <f t="shared" si="22"/>
        <v>0</v>
      </c>
      <c r="AE55" s="99">
        <v>0</v>
      </c>
      <c r="AF55" s="244">
        <f t="shared" si="23"/>
        <v>0</v>
      </c>
      <c r="AG55" s="99">
        <v>0</v>
      </c>
      <c r="AH55" s="99"/>
      <c r="AI55" s="99"/>
      <c r="AJ55" s="99"/>
      <c r="AK55" s="99"/>
      <c r="AL55" s="128">
        <f t="shared" si="24"/>
        <v>0.28775523195671199</v>
      </c>
      <c r="AM55" s="99">
        <v>0</v>
      </c>
      <c r="AN55" s="100">
        <f t="shared" si="25"/>
        <v>0</v>
      </c>
      <c r="AO55" s="101">
        <f t="shared" si="26"/>
        <v>-0.28775523195671199</v>
      </c>
      <c r="AP55" s="102"/>
      <c r="AQ55" s="103">
        <f t="shared" si="8"/>
        <v>0</v>
      </c>
      <c r="AR55" s="104">
        <f t="shared" si="37"/>
        <v>158.19</v>
      </c>
      <c r="AS55" s="104">
        <f t="shared" si="10"/>
        <v>0</v>
      </c>
      <c r="AT55" s="104">
        <f t="shared" si="11"/>
        <v>0</v>
      </c>
      <c r="AU55" s="104">
        <f t="shared" si="27"/>
        <v>0</v>
      </c>
      <c r="AV55" s="104">
        <f t="array" ref="AV55">_xlfn.IFS(U55=0,AO55,U55&lt;0,AO55/-U55,U55&gt;0,AO55/U55)</f>
        <v>-0.28775523195671199</v>
      </c>
      <c r="AW55" s="244">
        <f t="shared" si="45"/>
        <v>0</v>
      </c>
      <c r="AX55" s="244">
        <f t="shared" si="46"/>
        <v>-1.819048182291624E-3</v>
      </c>
      <c r="AY55" s="105"/>
      <c r="AZ55" s="100">
        <f t="shared" si="14"/>
        <v>-0.28775523195671199</v>
      </c>
    </row>
    <row r="56" spans="1:52" outlineLevel="1">
      <c r="A56" s="95" t="s">
        <v>124</v>
      </c>
      <c r="B56" s="96">
        <v>431392656</v>
      </c>
      <c r="C56" s="96" t="s">
        <v>178</v>
      </c>
      <c r="D56" s="97" t="s">
        <v>84</v>
      </c>
      <c r="E56" s="242">
        <f t="shared" si="47"/>
        <v>2</v>
      </c>
      <c r="F56" s="99"/>
      <c r="G56" s="99"/>
      <c r="H56" s="282">
        <v>2</v>
      </c>
      <c r="I56" s="99"/>
      <c r="J56" s="99"/>
      <c r="K56" s="99">
        <v>152.34</v>
      </c>
      <c r="L56" s="98">
        <f t="shared" si="44"/>
        <v>304.68</v>
      </c>
      <c r="M56" s="95"/>
      <c r="N56" s="95">
        <v>0</v>
      </c>
      <c r="O56" s="95">
        <v>0</v>
      </c>
      <c r="P56" s="95">
        <v>0</v>
      </c>
      <c r="Q56" s="243">
        <f t="shared" si="15"/>
        <v>0</v>
      </c>
      <c r="R56" s="98">
        <f t="shared" si="16"/>
        <v>0</v>
      </c>
      <c r="S56" s="99">
        <v>0</v>
      </c>
      <c r="T56" s="99">
        <v>0</v>
      </c>
      <c r="U56" s="98">
        <f t="shared" si="17"/>
        <v>0</v>
      </c>
      <c r="V56" s="99">
        <v>0</v>
      </c>
      <c r="W56" s="99">
        <v>0</v>
      </c>
      <c r="X56" s="98">
        <f t="shared" si="18"/>
        <v>0</v>
      </c>
      <c r="Y56" s="99">
        <v>0</v>
      </c>
      <c r="Z56" s="99">
        <v>0</v>
      </c>
      <c r="AA56" s="98">
        <f t="shared" si="19"/>
        <v>0</v>
      </c>
      <c r="AB56" s="98">
        <f t="shared" si="20"/>
        <v>0</v>
      </c>
      <c r="AC56" s="244">
        <f t="shared" si="21"/>
        <v>0</v>
      </c>
      <c r="AD56" s="98">
        <f t="shared" si="22"/>
        <v>0</v>
      </c>
      <c r="AE56" s="99">
        <v>0</v>
      </c>
      <c r="AF56" s="244">
        <f t="shared" si="23"/>
        <v>0</v>
      </c>
      <c r="AG56" s="99">
        <v>0</v>
      </c>
      <c r="AH56" s="99"/>
      <c r="AI56" s="99"/>
      <c r="AJ56" s="99"/>
      <c r="AK56" s="99"/>
      <c r="AL56" s="128">
        <f t="shared" si="24"/>
        <v>0.57551046391342398</v>
      </c>
      <c r="AM56" s="99">
        <v>0</v>
      </c>
      <c r="AN56" s="100">
        <f t="shared" si="25"/>
        <v>0</v>
      </c>
      <c r="AO56" s="101">
        <f t="shared" si="26"/>
        <v>-0.57551046391342398</v>
      </c>
      <c r="AP56" s="102"/>
      <c r="AQ56" s="103">
        <f t="shared" si="8"/>
        <v>0</v>
      </c>
      <c r="AR56" s="104">
        <f t="shared" si="37"/>
        <v>152.34</v>
      </c>
      <c r="AS56" s="104">
        <f t="shared" si="10"/>
        <v>0</v>
      </c>
      <c r="AT56" s="104">
        <f t="shared" si="11"/>
        <v>0</v>
      </c>
      <c r="AU56" s="104">
        <f t="shared" si="27"/>
        <v>0</v>
      </c>
      <c r="AV56" s="104">
        <f t="array" ref="AV56">_xlfn.IFS(U56=0,AO56,U56&lt;0,AO56/-U56,U56&gt;0,AO56/U56)</f>
        <v>-0.57551046391342398</v>
      </c>
      <c r="AW56" s="244">
        <f t="shared" si="45"/>
        <v>0</v>
      </c>
      <c r="AX56" s="244">
        <f t="shared" si="46"/>
        <v>-3.7778027039085203E-3</v>
      </c>
      <c r="AY56" s="105"/>
      <c r="AZ56" s="100">
        <f t="shared" si="14"/>
        <v>-1.151020927826848</v>
      </c>
    </row>
    <row r="57" spans="1:52" outlineLevel="1">
      <c r="A57" s="95" t="s">
        <v>124</v>
      </c>
      <c r="B57" s="96">
        <v>431394484</v>
      </c>
      <c r="C57" s="96" t="s">
        <v>179</v>
      </c>
      <c r="D57" s="97" t="s">
        <v>84</v>
      </c>
      <c r="E57" s="242">
        <f t="shared" si="47"/>
        <v>0</v>
      </c>
      <c r="F57" s="99"/>
      <c r="G57" s="99"/>
      <c r="H57" s="282">
        <v>0</v>
      </c>
      <c r="I57" s="99"/>
      <c r="J57" s="99"/>
      <c r="K57" s="99">
        <v>93.84</v>
      </c>
      <c r="L57" s="98">
        <f t="shared" si="44"/>
        <v>0</v>
      </c>
      <c r="M57" s="95"/>
      <c r="N57" s="95">
        <v>0</v>
      </c>
      <c r="O57" s="95">
        <v>0</v>
      </c>
      <c r="P57" s="95">
        <v>0</v>
      </c>
      <c r="Q57" s="243">
        <f t="shared" si="15"/>
        <v>0</v>
      </c>
      <c r="R57" s="98">
        <f t="shared" si="16"/>
        <v>0</v>
      </c>
      <c r="S57" s="99">
        <v>0</v>
      </c>
      <c r="T57" s="99">
        <v>0</v>
      </c>
      <c r="U57" s="98">
        <f t="shared" si="17"/>
        <v>0</v>
      </c>
      <c r="V57" s="99">
        <v>0</v>
      </c>
      <c r="W57" s="99">
        <v>0</v>
      </c>
      <c r="X57" s="98">
        <f t="shared" si="18"/>
        <v>0</v>
      </c>
      <c r="Y57" s="99">
        <v>0</v>
      </c>
      <c r="Z57" s="99">
        <v>0</v>
      </c>
      <c r="AA57" s="98">
        <f t="shared" si="19"/>
        <v>0</v>
      </c>
      <c r="AB57" s="98">
        <f t="shared" si="20"/>
        <v>0</v>
      </c>
      <c r="AC57" s="244">
        <f t="shared" si="21"/>
        <v>0</v>
      </c>
      <c r="AD57" s="98">
        <f t="shared" si="22"/>
        <v>0</v>
      </c>
      <c r="AE57" s="99">
        <v>0</v>
      </c>
      <c r="AF57" s="244">
        <f t="shared" si="23"/>
        <v>0</v>
      </c>
      <c r="AG57" s="99">
        <v>0</v>
      </c>
      <c r="AH57" s="99"/>
      <c r="AI57" s="99"/>
      <c r="AJ57" s="99"/>
      <c r="AK57" s="99"/>
      <c r="AL57" s="128">
        <f t="shared" si="24"/>
        <v>0</v>
      </c>
      <c r="AM57" s="99">
        <v>0</v>
      </c>
      <c r="AN57" s="100">
        <f t="shared" si="25"/>
        <v>0</v>
      </c>
      <c r="AO57" s="101">
        <f t="shared" si="26"/>
        <v>0</v>
      </c>
      <c r="AP57" s="102"/>
      <c r="AQ57" s="103">
        <f t="shared" si="8"/>
        <v>0</v>
      </c>
      <c r="AR57" s="104">
        <f t="shared" si="37"/>
        <v>93.84</v>
      </c>
      <c r="AS57" s="104">
        <f t="shared" si="10"/>
        <v>0</v>
      </c>
      <c r="AT57" s="104">
        <f t="shared" si="11"/>
        <v>0</v>
      </c>
      <c r="AU57" s="104">
        <f t="shared" si="27"/>
        <v>0</v>
      </c>
      <c r="AV57" s="104">
        <f t="array" ref="AV57">_xlfn.IFS(U57=0,AO57,U57&lt;0,AO57/-U57,U57&gt;0,AO57/U57)</f>
        <v>0</v>
      </c>
      <c r="AW57" s="244">
        <f t="shared" si="45"/>
        <v>0</v>
      </c>
      <c r="AX57" s="244">
        <f t="shared" si="46"/>
        <v>0</v>
      </c>
      <c r="AY57" s="105"/>
      <c r="AZ57" s="100">
        <f t="shared" si="14"/>
        <v>0</v>
      </c>
    </row>
    <row r="58" spans="1:52" outlineLevel="1">
      <c r="A58" s="95" t="s">
        <v>124</v>
      </c>
      <c r="B58" s="96">
        <v>431397787</v>
      </c>
      <c r="C58" s="96" t="s">
        <v>180</v>
      </c>
      <c r="D58" s="97" t="s">
        <v>84</v>
      </c>
      <c r="E58" s="242">
        <f t="shared" si="47"/>
        <v>50</v>
      </c>
      <c r="F58" s="99"/>
      <c r="G58" s="99"/>
      <c r="H58" s="282">
        <v>50</v>
      </c>
      <c r="I58" s="99"/>
      <c r="J58" s="99"/>
      <c r="K58" s="99">
        <v>169.89</v>
      </c>
      <c r="L58" s="98">
        <f t="shared" si="44"/>
        <v>8494.5</v>
      </c>
      <c r="M58" s="95"/>
      <c r="N58" s="95">
        <v>0</v>
      </c>
      <c r="O58" s="95">
        <v>0</v>
      </c>
      <c r="P58" s="95">
        <v>0</v>
      </c>
      <c r="Q58" s="243">
        <f t="shared" si="15"/>
        <v>0</v>
      </c>
      <c r="R58" s="98">
        <f t="shared" si="16"/>
        <v>0</v>
      </c>
      <c r="S58" s="99">
        <v>0</v>
      </c>
      <c r="T58" s="99">
        <v>0</v>
      </c>
      <c r="U58" s="98">
        <f t="shared" si="17"/>
        <v>0</v>
      </c>
      <c r="V58" s="99">
        <v>0</v>
      </c>
      <c r="W58" s="99">
        <v>0</v>
      </c>
      <c r="X58" s="98">
        <f t="shared" si="18"/>
        <v>0</v>
      </c>
      <c r="Y58" s="99">
        <v>0</v>
      </c>
      <c r="Z58" s="99">
        <v>0</v>
      </c>
      <c r="AA58" s="98">
        <f t="shared" si="19"/>
        <v>0</v>
      </c>
      <c r="AB58" s="98">
        <f t="shared" si="20"/>
        <v>0</v>
      </c>
      <c r="AC58" s="244">
        <f t="shared" si="21"/>
        <v>0</v>
      </c>
      <c r="AD58" s="98">
        <f t="shared" si="22"/>
        <v>0</v>
      </c>
      <c r="AE58" s="99">
        <v>0</v>
      </c>
      <c r="AF58" s="244">
        <f t="shared" si="23"/>
        <v>0</v>
      </c>
      <c r="AG58" s="99">
        <v>0</v>
      </c>
      <c r="AH58" s="99"/>
      <c r="AI58" s="99"/>
      <c r="AJ58" s="99"/>
      <c r="AK58" s="99"/>
      <c r="AL58" s="128">
        <f t="shared" si="24"/>
        <v>14.387761597835601</v>
      </c>
      <c r="AM58" s="99">
        <v>0</v>
      </c>
      <c r="AN58" s="100">
        <f t="shared" si="25"/>
        <v>0</v>
      </c>
      <c r="AO58" s="101">
        <f t="shared" si="26"/>
        <v>-14.387761597835601</v>
      </c>
      <c r="AP58" s="102"/>
      <c r="AQ58" s="103">
        <f t="shared" si="8"/>
        <v>0</v>
      </c>
      <c r="AR58" s="104">
        <f t="shared" si="37"/>
        <v>169.89</v>
      </c>
      <c r="AS58" s="104">
        <f t="shared" si="10"/>
        <v>0</v>
      </c>
      <c r="AT58" s="104">
        <f t="shared" si="11"/>
        <v>0</v>
      </c>
      <c r="AU58" s="104">
        <f t="shared" si="27"/>
        <v>0</v>
      </c>
      <c r="AV58" s="104">
        <f t="array" ref="AV58">_xlfn.IFS(U58=0,AO58,U58&lt;0,AO58/-U58,U58&gt;0,AO58/U58)</f>
        <v>-14.387761597835601</v>
      </c>
      <c r="AW58" s="244">
        <f t="shared" si="45"/>
        <v>0</v>
      </c>
      <c r="AX58" s="244">
        <f t="shared" si="46"/>
        <v>-8.4688690316296444E-2</v>
      </c>
      <c r="AY58" s="105"/>
      <c r="AZ58" s="100">
        <f t="shared" si="14"/>
        <v>-719.38807989178008</v>
      </c>
    </row>
    <row r="59" spans="1:52" outlineLevel="1">
      <c r="A59" s="95" t="s">
        <v>124</v>
      </c>
      <c r="B59" s="96">
        <v>431399167</v>
      </c>
      <c r="C59" s="96" t="s">
        <v>181</v>
      </c>
      <c r="D59" s="97" t="s">
        <v>84</v>
      </c>
      <c r="E59" s="242">
        <f t="shared" si="47"/>
        <v>0</v>
      </c>
      <c r="F59" s="99"/>
      <c r="G59" s="99"/>
      <c r="H59" s="282">
        <v>0</v>
      </c>
      <c r="I59" s="99"/>
      <c r="J59" s="99"/>
      <c r="K59" s="99">
        <v>158.19</v>
      </c>
      <c r="L59" s="98">
        <f t="shared" si="44"/>
        <v>0</v>
      </c>
      <c r="M59" s="95"/>
      <c r="N59" s="95">
        <v>0</v>
      </c>
      <c r="O59" s="95">
        <v>0</v>
      </c>
      <c r="P59" s="95">
        <v>0</v>
      </c>
      <c r="Q59" s="243">
        <f t="shared" si="15"/>
        <v>0</v>
      </c>
      <c r="R59" s="98">
        <f t="shared" si="16"/>
        <v>0</v>
      </c>
      <c r="S59" s="99">
        <v>0</v>
      </c>
      <c r="T59" s="99">
        <v>0</v>
      </c>
      <c r="U59" s="98">
        <f t="shared" si="17"/>
        <v>0</v>
      </c>
      <c r="V59" s="99">
        <v>0</v>
      </c>
      <c r="W59" s="99">
        <v>0</v>
      </c>
      <c r="X59" s="98">
        <f t="shared" si="18"/>
        <v>0</v>
      </c>
      <c r="Y59" s="99">
        <v>0</v>
      </c>
      <c r="Z59" s="99">
        <v>0</v>
      </c>
      <c r="AA59" s="98">
        <f t="shared" si="19"/>
        <v>0</v>
      </c>
      <c r="AB59" s="98">
        <f t="shared" si="20"/>
        <v>0</v>
      </c>
      <c r="AC59" s="244">
        <f t="shared" si="21"/>
        <v>0</v>
      </c>
      <c r="AD59" s="98">
        <f t="shared" si="22"/>
        <v>0</v>
      </c>
      <c r="AE59" s="99">
        <v>0</v>
      </c>
      <c r="AF59" s="244">
        <f t="shared" si="23"/>
        <v>0</v>
      </c>
      <c r="AG59" s="99">
        <v>0</v>
      </c>
      <c r="AH59" s="99"/>
      <c r="AI59" s="99"/>
      <c r="AJ59" s="99"/>
      <c r="AK59" s="99"/>
      <c r="AL59" s="128">
        <f t="shared" si="24"/>
        <v>0</v>
      </c>
      <c r="AM59" s="99">
        <v>0</v>
      </c>
      <c r="AN59" s="100">
        <f t="shared" si="25"/>
        <v>0</v>
      </c>
      <c r="AO59" s="101">
        <f t="shared" si="26"/>
        <v>0</v>
      </c>
      <c r="AP59" s="102"/>
      <c r="AQ59" s="103">
        <f t="shared" si="8"/>
        <v>0</v>
      </c>
      <c r="AR59" s="104">
        <f t="shared" si="37"/>
        <v>158.19</v>
      </c>
      <c r="AS59" s="104">
        <f t="shared" si="10"/>
        <v>0</v>
      </c>
      <c r="AT59" s="104">
        <f t="shared" si="11"/>
        <v>0</v>
      </c>
      <c r="AU59" s="104">
        <f t="shared" si="27"/>
        <v>0</v>
      </c>
      <c r="AV59" s="104">
        <f t="array" ref="AV59">_xlfn.IFS(U59=0,AO59,U59&lt;0,AO59/-U59,U59&gt;0,AO59/U59)</f>
        <v>0</v>
      </c>
      <c r="AW59" s="244">
        <f t="shared" si="45"/>
        <v>0</v>
      </c>
      <c r="AX59" s="244">
        <f t="shared" si="46"/>
        <v>0</v>
      </c>
      <c r="AY59" s="105"/>
      <c r="AZ59" s="100">
        <f t="shared" si="14"/>
        <v>0</v>
      </c>
    </row>
    <row r="60" spans="1:52" outlineLevel="1">
      <c r="A60" s="95" t="s">
        <v>124</v>
      </c>
      <c r="B60" s="96">
        <v>431399543</v>
      </c>
      <c r="C60" s="96" t="s">
        <v>182</v>
      </c>
      <c r="D60" s="97" t="s">
        <v>84</v>
      </c>
      <c r="E60" s="242">
        <f t="shared" si="47"/>
        <v>28</v>
      </c>
      <c r="F60" s="99"/>
      <c r="G60" s="99"/>
      <c r="H60" s="282">
        <v>28</v>
      </c>
      <c r="I60" s="99"/>
      <c r="J60" s="99"/>
      <c r="K60" s="99">
        <v>158.19</v>
      </c>
      <c r="L60" s="98">
        <f t="shared" si="44"/>
        <v>4429.32</v>
      </c>
      <c r="M60" s="95"/>
      <c r="N60" s="95">
        <v>0</v>
      </c>
      <c r="O60" s="95">
        <v>0</v>
      </c>
      <c r="P60" s="95">
        <v>0</v>
      </c>
      <c r="Q60" s="243">
        <f t="shared" si="15"/>
        <v>0</v>
      </c>
      <c r="R60" s="98">
        <f t="shared" si="16"/>
        <v>0</v>
      </c>
      <c r="S60" s="99">
        <v>0</v>
      </c>
      <c r="T60" s="99">
        <v>0</v>
      </c>
      <c r="U60" s="98">
        <f t="shared" si="17"/>
        <v>0</v>
      </c>
      <c r="V60" s="99">
        <v>0</v>
      </c>
      <c r="W60" s="99">
        <v>0</v>
      </c>
      <c r="X60" s="98">
        <f t="shared" si="18"/>
        <v>0</v>
      </c>
      <c r="Y60" s="99">
        <v>0</v>
      </c>
      <c r="Z60" s="99">
        <v>0</v>
      </c>
      <c r="AA60" s="98">
        <f t="shared" si="19"/>
        <v>0</v>
      </c>
      <c r="AB60" s="98">
        <f t="shared" si="20"/>
        <v>0</v>
      </c>
      <c r="AC60" s="244">
        <f t="shared" si="21"/>
        <v>0</v>
      </c>
      <c r="AD60" s="98">
        <f t="shared" si="22"/>
        <v>0</v>
      </c>
      <c r="AE60" s="99">
        <v>0</v>
      </c>
      <c r="AF60" s="244">
        <f t="shared" si="23"/>
        <v>0</v>
      </c>
      <c r="AG60" s="99">
        <v>0</v>
      </c>
      <c r="AH60" s="99"/>
      <c r="AI60" s="99"/>
      <c r="AJ60" s="99"/>
      <c r="AK60" s="99"/>
      <c r="AL60" s="128">
        <f t="shared" si="24"/>
        <v>8.0571464947879363</v>
      </c>
      <c r="AM60" s="99">
        <v>0</v>
      </c>
      <c r="AN60" s="100">
        <f t="shared" si="25"/>
        <v>0</v>
      </c>
      <c r="AO60" s="101">
        <f t="shared" si="26"/>
        <v>-8.0571464947879363</v>
      </c>
      <c r="AP60" s="102"/>
      <c r="AQ60" s="103">
        <f t="shared" si="8"/>
        <v>0</v>
      </c>
      <c r="AR60" s="104">
        <f t="shared" si="37"/>
        <v>158.19</v>
      </c>
      <c r="AS60" s="104">
        <f t="shared" si="10"/>
        <v>0</v>
      </c>
      <c r="AT60" s="104">
        <f t="shared" si="11"/>
        <v>0</v>
      </c>
      <c r="AU60" s="104">
        <f t="shared" si="27"/>
        <v>0</v>
      </c>
      <c r="AV60" s="104">
        <f t="array" ref="AV60">_xlfn.IFS(U60=0,AO60,U60&lt;0,AO60/-U60,U60&gt;0,AO60/U60)</f>
        <v>-8.0571464947879363</v>
      </c>
      <c r="AW60" s="244">
        <f t="shared" si="45"/>
        <v>0</v>
      </c>
      <c r="AX60" s="244">
        <f t="shared" si="46"/>
        <v>-5.0933349104165478E-2</v>
      </c>
      <c r="AY60" s="105"/>
      <c r="AZ60" s="100">
        <f t="shared" si="14"/>
        <v>-225.60010185406222</v>
      </c>
    </row>
    <row r="61" spans="1:52" outlineLevel="1">
      <c r="A61" s="95" t="s">
        <v>124</v>
      </c>
      <c r="B61" s="96">
        <v>431399941</v>
      </c>
      <c r="C61" s="96" t="s">
        <v>183</v>
      </c>
      <c r="D61" s="97" t="s">
        <v>84</v>
      </c>
      <c r="E61" s="242">
        <f t="shared" si="47"/>
        <v>163</v>
      </c>
      <c r="F61" s="99"/>
      <c r="G61" s="99"/>
      <c r="H61" s="282">
        <v>163</v>
      </c>
      <c r="I61" s="99"/>
      <c r="J61" s="99"/>
      <c r="K61" s="99">
        <v>128.94</v>
      </c>
      <c r="L61" s="98">
        <f t="shared" si="44"/>
        <v>21017.22</v>
      </c>
      <c r="M61" s="95"/>
      <c r="N61" s="95">
        <v>0</v>
      </c>
      <c r="O61" s="95">
        <v>0</v>
      </c>
      <c r="P61" s="95">
        <v>0</v>
      </c>
      <c r="Q61" s="243">
        <f t="shared" si="15"/>
        <v>0</v>
      </c>
      <c r="R61" s="98">
        <f t="shared" si="16"/>
        <v>0</v>
      </c>
      <c r="S61" s="99">
        <v>0</v>
      </c>
      <c r="T61" s="99">
        <v>0</v>
      </c>
      <c r="U61" s="98">
        <f t="shared" si="17"/>
        <v>0</v>
      </c>
      <c r="V61" s="99">
        <v>0</v>
      </c>
      <c r="W61" s="99">
        <v>0</v>
      </c>
      <c r="X61" s="98">
        <f t="shared" si="18"/>
        <v>0</v>
      </c>
      <c r="Y61" s="99">
        <v>0</v>
      </c>
      <c r="Z61" s="99">
        <v>0</v>
      </c>
      <c r="AA61" s="98">
        <f t="shared" si="19"/>
        <v>0</v>
      </c>
      <c r="AB61" s="98">
        <f t="shared" si="20"/>
        <v>0</v>
      </c>
      <c r="AC61" s="244">
        <f t="shared" si="21"/>
        <v>0</v>
      </c>
      <c r="AD61" s="98">
        <f t="shared" si="22"/>
        <v>0</v>
      </c>
      <c r="AE61" s="99">
        <v>0</v>
      </c>
      <c r="AF61" s="244">
        <f t="shared" si="23"/>
        <v>0</v>
      </c>
      <c r="AG61" s="99">
        <v>0</v>
      </c>
      <c r="AH61" s="99"/>
      <c r="AI61" s="99"/>
      <c r="AJ61" s="99"/>
      <c r="AK61" s="99"/>
      <c r="AL61" s="128">
        <f t="shared" si="24"/>
        <v>46.90410280894406</v>
      </c>
      <c r="AM61" s="99">
        <v>0</v>
      </c>
      <c r="AN61" s="100">
        <f t="shared" si="25"/>
        <v>0</v>
      </c>
      <c r="AO61" s="101">
        <f t="shared" si="26"/>
        <v>-46.90410280894406</v>
      </c>
      <c r="AP61" s="102"/>
      <c r="AQ61" s="103">
        <f t="shared" si="8"/>
        <v>0</v>
      </c>
      <c r="AR61" s="104">
        <f t="shared" si="37"/>
        <v>128.94</v>
      </c>
      <c r="AS61" s="104">
        <f t="shared" si="10"/>
        <v>0</v>
      </c>
      <c r="AT61" s="104">
        <f t="shared" si="11"/>
        <v>0</v>
      </c>
      <c r="AU61" s="104">
        <f t="shared" si="27"/>
        <v>0</v>
      </c>
      <c r="AV61" s="104">
        <f t="array" ref="AV61">_xlfn.IFS(U61=0,AO61,U61&lt;0,AO61/-U61,U61&gt;0,AO61/U61)</f>
        <v>-46.90410280894406</v>
      </c>
      <c r="AW61" s="244">
        <f t="shared" si="45"/>
        <v>0</v>
      </c>
      <c r="AX61" s="244">
        <f t="shared" si="46"/>
        <v>-0.36376689009573493</v>
      </c>
      <c r="AY61" s="105"/>
      <c r="AZ61" s="100">
        <f t="shared" si="14"/>
        <v>-7645.368757857882</v>
      </c>
    </row>
    <row r="62" spans="1:52" outlineLevel="1">
      <c r="A62" s="95" t="s">
        <v>124</v>
      </c>
      <c r="B62" s="96">
        <v>431401135</v>
      </c>
      <c r="C62" s="96" t="s">
        <v>184</v>
      </c>
      <c r="D62" s="97" t="s">
        <v>84</v>
      </c>
      <c r="E62" s="242">
        <f t="shared" si="47"/>
        <v>0</v>
      </c>
      <c r="F62" s="99"/>
      <c r="G62" s="99"/>
      <c r="H62" s="282">
        <v>0</v>
      </c>
      <c r="I62" s="99"/>
      <c r="J62" s="99"/>
      <c r="K62" s="99">
        <v>175.74</v>
      </c>
      <c r="L62" s="98">
        <f t="shared" si="44"/>
        <v>0</v>
      </c>
      <c r="M62" s="95"/>
      <c r="N62" s="95">
        <v>0</v>
      </c>
      <c r="O62" s="95">
        <v>0</v>
      </c>
      <c r="P62" s="95">
        <v>0</v>
      </c>
      <c r="Q62" s="243">
        <f t="shared" si="15"/>
        <v>0</v>
      </c>
      <c r="R62" s="98">
        <f t="shared" si="16"/>
        <v>0</v>
      </c>
      <c r="S62" s="99">
        <v>0</v>
      </c>
      <c r="T62" s="99">
        <v>0</v>
      </c>
      <c r="U62" s="98">
        <f t="shared" si="17"/>
        <v>0</v>
      </c>
      <c r="V62" s="99">
        <v>0</v>
      </c>
      <c r="W62" s="99">
        <v>0</v>
      </c>
      <c r="X62" s="98">
        <f t="shared" si="18"/>
        <v>0</v>
      </c>
      <c r="Y62" s="99">
        <v>0</v>
      </c>
      <c r="Z62" s="99">
        <v>0</v>
      </c>
      <c r="AA62" s="98">
        <f t="shared" si="19"/>
        <v>0</v>
      </c>
      <c r="AB62" s="98">
        <f t="shared" si="20"/>
        <v>0</v>
      </c>
      <c r="AC62" s="244">
        <f t="shared" si="21"/>
        <v>0</v>
      </c>
      <c r="AD62" s="98">
        <f t="shared" si="22"/>
        <v>0</v>
      </c>
      <c r="AE62" s="99">
        <v>0</v>
      </c>
      <c r="AF62" s="244">
        <f t="shared" si="23"/>
        <v>0</v>
      </c>
      <c r="AG62" s="99">
        <v>0</v>
      </c>
      <c r="AH62" s="99"/>
      <c r="AI62" s="99"/>
      <c r="AJ62" s="99"/>
      <c r="AK62" s="99"/>
      <c r="AL62" s="128">
        <f t="shared" si="24"/>
        <v>0</v>
      </c>
      <c r="AM62" s="99">
        <v>0</v>
      </c>
      <c r="AN62" s="100">
        <f t="shared" si="25"/>
        <v>0</v>
      </c>
      <c r="AO62" s="101">
        <f t="shared" si="26"/>
        <v>0</v>
      </c>
      <c r="AP62" s="102"/>
      <c r="AQ62" s="103">
        <f t="shared" si="8"/>
        <v>0</v>
      </c>
      <c r="AR62" s="104">
        <f t="shared" si="37"/>
        <v>175.74</v>
      </c>
      <c r="AS62" s="104">
        <f t="shared" si="10"/>
        <v>0</v>
      </c>
      <c r="AT62" s="104">
        <f t="shared" si="11"/>
        <v>0</v>
      </c>
      <c r="AU62" s="104">
        <f t="shared" si="27"/>
        <v>0</v>
      </c>
      <c r="AV62" s="104">
        <f t="array" ref="AV62">_xlfn.IFS(U62=0,AO62,U62&lt;0,AO62/-U62,U62&gt;0,AO62/U62)</f>
        <v>0</v>
      </c>
      <c r="AW62" s="244">
        <f t="shared" si="45"/>
        <v>0</v>
      </c>
      <c r="AX62" s="244">
        <f t="shared" si="46"/>
        <v>0</v>
      </c>
      <c r="AY62" s="105"/>
      <c r="AZ62" s="100">
        <f t="shared" si="14"/>
        <v>0</v>
      </c>
    </row>
    <row r="63" spans="1:52" outlineLevel="1">
      <c r="A63" s="95" t="s">
        <v>124</v>
      </c>
      <c r="B63" s="96">
        <v>431401715</v>
      </c>
      <c r="C63" s="96" t="s">
        <v>185</v>
      </c>
      <c r="D63" s="97" t="s">
        <v>84</v>
      </c>
      <c r="E63" s="242">
        <f t="shared" si="47"/>
        <v>0</v>
      </c>
      <c r="F63" s="99"/>
      <c r="G63" s="99"/>
      <c r="H63" s="282">
        <v>0</v>
      </c>
      <c r="I63" s="99"/>
      <c r="J63" s="99"/>
      <c r="K63" s="99">
        <v>140.63999999999999</v>
      </c>
      <c r="L63" s="98">
        <f t="shared" si="44"/>
        <v>0</v>
      </c>
      <c r="M63" s="95"/>
      <c r="N63" s="95">
        <v>0</v>
      </c>
      <c r="O63" s="95">
        <v>0</v>
      </c>
      <c r="P63" s="95">
        <v>0</v>
      </c>
      <c r="Q63" s="243">
        <f t="shared" si="15"/>
        <v>0</v>
      </c>
      <c r="R63" s="98">
        <f t="shared" si="16"/>
        <v>0</v>
      </c>
      <c r="S63" s="99">
        <v>0</v>
      </c>
      <c r="T63" s="99">
        <v>0</v>
      </c>
      <c r="U63" s="98">
        <f t="shared" si="17"/>
        <v>0</v>
      </c>
      <c r="V63" s="99">
        <v>0</v>
      </c>
      <c r="W63" s="99">
        <v>0</v>
      </c>
      <c r="X63" s="98">
        <f t="shared" si="18"/>
        <v>0</v>
      </c>
      <c r="Y63" s="99">
        <v>0</v>
      </c>
      <c r="Z63" s="99">
        <v>0</v>
      </c>
      <c r="AA63" s="98">
        <f t="shared" si="19"/>
        <v>0</v>
      </c>
      <c r="AB63" s="98">
        <f t="shared" si="20"/>
        <v>0</v>
      </c>
      <c r="AC63" s="244">
        <f t="shared" si="21"/>
        <v>0</v>
      </c>
      <c r="AD63" s="98">
        <f t="shared" si="22"/>
        <v>0</v>
      </c>
      <c r="AE63" s="99">
        <v>0</v>
      </c>
      <c r="AF63" s="244">
        <f t="shared" si="23"/>
        <v>0</v>
      </c>
      <c r="AG63" s="99">
        <v>0</v>
      </c>
      <c r="AH63" s="99"/>
      <c r="AI63" s="99"/>
      <c r="AJ63" s="99"/>
      <c r="AK63" s="99"/>
      <c r="AL63" s="128">
        <f t="shared" si="24"/>
        <v>0</v>
      </c>
      <c r="AM63" s="99">
        <v>0</v>
      </c>
      <c r="AN63" s="100">
        <f t="shared" si="25"/>
        <v>0</v>
      </c>
      <c r="AO63" s="101">
        <f t="shared" si="26"/>
        <v>0</v>
      </c>
      <c r="AP63" s="102"/>
      <c r="AQ63" s="103">
        <f t="shared" si="8"/>
        <v>0</v>
      </c>
      <c r="AR63" s="104">
        <f t="shared" si="37"/>
        <v>140.63999999999999</v>
      </c>
      <c r="AS63" s="104">
        <f t="shared" si="10"/>
        <v>0</v>
      </c>
      <c r="AT63" s="104">
        <f t="shared" si="11"/>
        <v>0</v>
      </c>
      <c r="AU63" s="104">
        <f t="shared" si="27"/>
        <v>0</v>
      </c>
      <c r="AV63" s="104">
        <f t="array" ref="AV63">_xlfn.IFS(U63=0,AO63,U63&lt;0,AO63/-U63,U63&gt;0,AO63/U63)</f>
        <v>0</v>
      </c>
      <c r="AW63" s="244">
        <f t="shared" si="45"/>
        <v>0</v>
      </c>
      <c r="AX63" s="244">
        <f t="shared" si="46"/>
        <v>0</v>
      </c>
      <c r="AY63" s="105"/>
      <c r="AZ63" s="100">
        <f t="shared" si="14"/>
        <v>0</v>
      </c>
    </row>
    <row r="64" spans="1:52" outlineLevel="1">
      <c r="A64" s="95" t="s">
        <v>124</v>
      </c>
      <c r="B64" s="96">
        <v>431402918</v>
      </c>
      <c r="C64" s="96" t="s">
        <v>186</v>
      </c>
      <c r="D64" s="97" t="s">
        <v>84</v>
      </c>
      <c r="E64" s="242">
        <f t="shared" si="47"/>
        <v>0</v>
      </c>
      <c r="F64" s="99"/>
      <c r="G64" s="99"/>
      <c r="H64" s="282">
        <v>0</v>
      </c>
      <c r="I64" s="99"/>
      <c r="J64" s="99"/>
      <c r="K64" s="99">
        <v>99.69</v>
      </c>
      <c r="L64" s="98">
        <f t="shared" si="44"/>
        <v>0</v>
      </c>
      <c r="M64" s="95"/>
      <c r="N64" s="95">
        <v>0</v>
      </c>
      <c r="O64" s="95">
        <v>0</v>
      </c>
      <c r="P64" s="95">
        <v>0</v>
      </c>
      <c r="Q64" s="243">
        <f t="shared" si="15"/>
        <v>0</v>
      </c>
      <c r="R64" s="98">
        <f t="shared" si="16"/>
        <v>0</v>
      </c>
      <c r="S64" s="99">
        <v>0</v>
      </c>
      <c r="T64" s="99">
        <v>0</v>
      </c>
      <c r="U64" s="98">
        <f t="shared" si="17"/>
        <v>0</v>
      </c>
      <c r="V64" s="99">
        <v>0</v>
      </c>
      <c r="W64" s="99">
        <v>0</v>
      </c>
      <c r="X64" s="98">
        <f t="shared" si="18"/>
        <v>0</v>
      </c>
      <c r="Y64" s="99">
        <v>0</v>
      </c>
      <c r="Z64" s="99">
        <v>0</v>
      </c>
      <c r="AA64" s="98">
        <f t="shared" si="19"/>
        <v>0</v>
      </c>
      <c r="AB64" s="98">
        <f t="shared" si="20"/>
        <v>0</v>
      </c>
      <c r="AC64" s="244">
        <f t="shared" si="21"/>
        <v>0</v>
      </c>
      <c r="AD64" s="98">
        <f t="shared" si="22"/>
        <v>0</v>
      </c>
      <c r="AE64" s="99">
        <v>0</v>
      </c>
      <c r="AF64" s="244">
        <f t="shared" si="23"/>
        <v>0</v>
      </c>
      <c r="AG64" s="99">
        <v>0</v>
      </c>
      <c r="AH64" s="99"/>
      <c r="AI64" s="99"/>
      <c r="AJ64" s="99"/>
      <c r="AK64" s="99"/>
      <c r="AL64" s="128">
        <f t="shared" si="24"/>
        <v>0</v>
      </c>
      <c r="AM64" s="99">
        <v>0</v>
      </c>
      <c r="AN64" s="100">
        <f t="shared" si="25"/>
        <v>0</v>
      </c>
      <c r="AO64" s="101">
        <f t="shared" si="26"/>
        <v>0</v>
      </c>
      <c r="AP64" s="102"/>
      <c r="AQ64" s="103">
        <f t="shared" si="8"/>
        <v>0</v>
      </c>
      <c r="AR64" s="104">
        <f t="shared" si="37"/>
        <v>99.69</v>
      </c>
      <c r="AS64" s="104">
        <f t="shared" si="10"/>
        <v>0</v>
      </c>
      <c r="AT64" s="104">
        <f t="shared" si="11"/>
        <v>0</v>
      </c>
      <c r="AU64" s="104">
        <f t="shared" si="27"/>
        <v>0</v>
      </c>
      <c r="AV64" s="104">
        <f t="array" ref="AV64">_xlfn.IFS(U64=0,AO64,U64&lt;0,AO64/-U64,U64&gt;0,AO64/U64)</f>
        <v>0</v>
      </c>
      <c r="AW64" s="244">
        <f t="shared" si="45"/>
        <v>0</v>
      </c>
      <c r="AX64" s="244">
        <f t="shared" si="46"/>
        <v>0</v>
      </c>
      <c r="AY64" s="105"/>
      <c r="AZ64" s="100">
        <f t="shared" si="14"/>
        <v>0</v>
      </c>
    </row>
    <row r="65" spans="1:52" outlineLevel="1">
      <c r="A65" s="95" t="s">
        <v>124</v>
      </c>
      <c r="B65" s="96">
        <v>431405619</v>
      </c>
      <c r="C65" s="96" t="s">
        <v>187</v>
      </c>
      <c r="D65" s="97" t="s">
        <v>84</v>
      </c>
      <c r="E65" s="242">
        <f t="shared" si="47"/>
        <v>0</v>
      </c>
      <c r="F65" s="99"/>
      <c r="G65" s="99"/>
      <c r="H65" s="282" t="s">
        <v>100</v>
      </c>
      <c r="I65" s="99"/>
      <c r="J65" s="99"/>
      <c r="K65" s="99">
        <v>99.69</v>
      </c>
      <c r="L65" s="98">
        <f t="shared" si="44"/>
        <v>0</v>
      </c>
      <c r="M65" s="95"/>
      <c r="N65" s="95">
        <v>0</v>
      </c>
      <c r="O65" s="95">
        <v>0</v>
      </c>
      <c r="P65" s="95">
        <v>0</v>
      </c>
      <c r="Q65" s="243">
        <f t="shared" si="15"/>
        <v>0</v>
      </c>
      <c r="R65" s="98">
        <f t="shared" si="16"/>
        <v>0</v>
      </c>
      <c r="S65" s="99">
        <v>0</v>
      </c>
      <c r="T65" s="99">
        <v>0</v>
      </c>
      <c r="U65" s="98">
        <f t="shared" si="17"/>
        <v>0</v>
      </c>
      <c r="V65" s="99">
        <v>0</v>
      </c>
      <c r="W65" s="99">
        <v>0</v>
      </c>
      <c r="X65" s="98">
        <f t="shared" si="18"/>
        <v>0</v>
      </c>
      <c r="Y65" s="99">
        <v>0</v>
      </c>
      <c r="Z65" s="99">
        <v>0</v>
      </c>
      <c r="AA65" s="98">
        <f t="shared" si="19"/>
        <v>0</v>
      </c>
      <c r="AB65" s="98">
        <f t="shared" si="20"/>
        <v>0</v>
      </c>
      <c r="AC65" s="244">
        <f t="shared" si="21"/>
        <v>0</v>
      </c>
      <c r="AD65" s="98">
        <f t="shared" si="22"/>
        <v>0</v>
      </c>
      <c r="AE65" s="99">
        <v>0</v>
      </c>
      <c r="AF65" s="244">
        <f t="shared" si="23"/>
        <v>0</v>
      </c>
      <c r="AG65" s="99">
        <v>0</v>
      </c>
      <c r="AH65" s="99"/>
      <c r="AI65" s="99"/>
      <c r="AJ65" s="99"/>
      <c r="AK65" s="99"/>
      <c r="AL65" s="128">
        <f t="shared" si="24"/>
        <v>0</v>
      </c>
      <c r="AM65" s="99">
        <v>0</v>
      </c>
      <c r="AN65" s="100">
        <f t="shared" si="25"/>
        <v>0</v>
      </c>
      <c r="AO65" s="101">
        <f t="shared" si="26"/>
        <v>0</v>
      </c>
      <c r="AP65" s="102"/>
      <c r="AQ65" s="103">
        <f t="shared" si="8"/>
        <v>0</v>
      </c>
      <c r="AR65" s="104">
        <f t="shared" si="37"/>
        <v>99.69</v>
      </c>
      <c r="AS65" s="104">
        <f t="shared" si="10"/>
        <v>0</v>
      </c>
      <c r="AT65" s="104">
        <f t="shared" si="11"/>
        <v>0</v>
      </c>
      <c r="AU65" s="104">
        <f t="shared" si="27"/>
        <v>0</v>
      </c>
      <c r="AV65" s="104">
        <f t="array" ref="AV65">_xlfn.IFS(U65=0,AO65,U65&lt;0,AO65/-U65,U65&gt;0,AO65/U65)</f>
        <v>0</v>
      </c>
      <c r="AW65" s="244">
        <f t="shared" si="45"/>
        <v>0</v>
      </c>
      <c r="AX65" s="244">
        <f t="shared" si="46"/>
        <v>0</v>
      </c>
      <c r="AY65" s="105"/>
      <c r="AZ65" s="100">
        <f t="shared" si="14"/>
        <v>0</v>
      </c>
    </row>
    <row r="66" spans="1:52" outlineLevel="1">
      <c r="A66" s="95" t="s">
        <v>124</v>
      </c>
      <c r="B66" s="96">
        <v>431408292</v>
      </c>
      <c r="C66" s="96" t="s">
        <v>188</v>
      </c>
      <c r="D66" s="97" t="s">
        <v>84</v>
      </c>
      <c r="E66" s="242">
        <f t="shared" si="47"/>
        <v>2</v>
      </c>
      <c r="F66" s="99"/>
      <c r="G66" s="99"/>
      <c r="H66" s="282">
        <v>2</v>
      </c>
      <c r="I66" s="99"/>
      <c r="J66" s="99"/>
      <c r="K66" s="99">
        <v>97.35</v>
      </c>
      <c r="L66" s="98">
        <f t="shared" si="44"/>
        <v>194.7</v>
      </c>
      <c r="M66" s="95"/>
      <c r="N66" s="95">
        <v>1</v>
      </c>
      <c r="O66" s="95">
        <v>1037</v>
      </c>
      <c r="P66" s="95">
        <v>0</v>
      </c>
      <c r="Q66" s="243">
        <f t="shared" si="15"/>
        <v>0.33333333333333331</v>
      </c>
      <c r="R66" s="98">
        <f t="shared" si="16"/>
        <v>0</v>
      </c>
      <c r="S66" s="99">
        <v>0</v>
      </c>
      <c r="T66" s="99">
        <v>0</v>
      </c>
      <c r="U66" s="98">
        <f t="shared" si="17"/>
        <v>0</v>
      </c>
      <c r="V66" s="99">
        <v>0</v>
      </c>
      <c r="W66" s="99">
        <v>0</v>
      </c>
      <c r="X66" s="98">
        <f t="shared" si="18"/>
        <v>0</v>
      </c>
      <c r="Y66" s="99">
        <v>0</v>
      </c>
      <c r="Z66" s="99">
        <v>0</v>
      </c>
      <c r="AA66" s="98">
        <f t="shared" si="19"/>
        <v>0</v>
      </c>
      <c r="AB66" s="98">
        <f t="shared" si="20"/>
        <v>0</v>
      </c>
      <c r="AC66" s="244">
        <f t="shared" si="21"/>
        <v>0</v>
      </c>
      <c r="AD66" s="98">
        <f t="shared" si="22"/>
        <v>0</v>
      </c>
      <c r="AE66" s="99">
        <v>0</v>
      </c>
      <c r="AF66" s="244">
        <f t="shared" si="23"/>
        <v>0</v>
      </c>
      <c r="AG66" s="99">
        <v>0</v>
      </c>
      <c r="AH66" s="99"/>
      <c r="AI66" s="99"/>
      <c r="AJ66" s="99"/>
      <c r="AK66" s="99"/>
      <c r="AL66" s="128">
        <f t="shared" si="24"/>
        <v>0.57551046391342398</v>
      </c>
      <c r="AM66" s="99">
        <v>0</v>
      </c>
      <c r="AN66" s="100">
        <f t="shared" si="25"/>
        <v>0</v>
      </c>
      <c r="AO66" s="101">
        <f t="shared" si="26"/>
        <v>-0.57551046391342398</v>
      </c>
      <c r="AP66" s="102"/>
      <c r="AQ66" s="103">
        <f t="shared" si="8"/>
        <v>0</v>
      </c>
      <c r="AR66" s="104">
        <f t="shared" si="37"/>
        <v>97.35</v>
      </c>
      <c r="AS66" s="104">
        <f t="shared" si="10"/>
        <v>0</v>
      </c>
      <c r="AT66" s="104">
        <f t="shared" si="11"/>
        <v>0</v>
      </c>
      <c r="AU66" s="104">
        <f t="shared" si="27"/>
        <v>0</v>
      </c>
      <c r="AV66" s="104">
        <f t="array" ref="AV66">_xlfn.IFS(U66=0,AO66,U66&lt;0,AO66/-U66,U66&gt;0,AO66/U66)</f>
        <v>-0.57551046391342398</v>
      </c>
      <c r="AW66" s="244">
        <f t="shared" si="45"/>
        <v>0</v>
      </c>
      <c r="AX66" s="244">
        <f t="shared" si="46"/>
        <v>-5.9117664500608529E-3</v>
      </c>
      <c r="AY66" s="105"/>
      <c r="AZ66" s="100">
        <f t="shared" si="14"/>
        <v>-1.151020927826848</v>
      </c>
    </row>
    <row r="67" spans="1:52" outlineLevel="1">
      <c r="A67" s="95" t="s">
        <v>124</v>
      </c>
      <c r="B67" s="96">
        <v>431411210</v>
      </c>
      <c r="C67" s="96" t="s">
        <v>189</v>
      </c>
      <c r="D67" s="97" t="s">
        <v>84</v>
      </c>
      <c r="E67" s="242">
        <f t="shared" si="47"/>
        <v>10</v>
      </c>
      <c r="F67" s="99"/>
      <c r="G67" s="99"/>
      <c r="H67" s="282">
        <v>10</v>
      </c>
      <c r="I67" s="99"/>
      <c r="J67" s="99"/>
      <c r="K67" s="99">
        <v>161.69999999999999</v>
      </c>
      <c r="L67" s="98">
        <f t="shared" si="44"/>
        <v>1617</v>
      </c>
      <c r="M67" s="95"/>
      <c r="N67" s="95">
        <v>0</v>
      </c>
      <c r="O67" s="95">
        <v>0</v>
      </c>
      <c r="P67" s="95">
        <v>0</v>
      </c>
      <c r="Q67" s="243">
        <f t="shared" si="15"/>
        <v>0</v>
      </c>
      <c r="R67" s="98">
        <f t="shared" si="16"/>
        <v>0</v>
      </c>
      <c r="S67" s="99">
        <v>0</v>
      </c>
      <c r="T67" s="99">
        <v>0</v>
      </c>
      <c r="U67" s="98">
        <f t="shared" si="17"/>
        <v>0</v>
      </c>
      <c r="V67" s="99">
        <v>0</v>
      </c>
      <c r="W67" s="99">
        <v>0</v>
      </c>
      <c r="X67" s="98">
        <f t="shared" si="18"/>
        <v>0</v>
      </c>
      <c r="Y67" s="99">
        <v>0</v>
      </c>
      <c r="Z67" s="99">
        <v>0</v>
      </c>
      <c r="AA67" s="98">
        <f t="shared" si="19"/>
        <v>0</v>
      </c>
      <c r="AB67" s="98">
        <f t="shared" si="20"/>
        <v>0</v>
      </c>
      <c r="AC67" s="244">
        <f t="shared" si="21"/>
        <v>0</v>
      </c>
      <c r="AD67" s="98">
        <f t="shared" si="22"/>
        <v>0</v>
      </c>
      <c r="AE67" s="99">
        <v>0</v>
      </c>
      <c r="AF67" s="244">
        <f t="shared" si="23"/>
        <v>0</v>
      </c>
      <c r="AG67" s="99">
        <v>0</v>
      </c>
      <c r="AH67" s="99"/>
      <c r="AI67" s="99"/>
      <c r="AJ67" s="99"/>
      <c r="AK67" s="99"/>
      <c r="AL67" s="128">
        <f t="shared" si="24"/>
        <v>2.87755231956712</v>
      </c>
      <c r="AM67" s="99">
        <v>0</v>
      </c>
      <c r="AN67" s="100">
        <f t="shared" si="25"/>
        <v>0</v>
      </c>
      <c r="AO67" s="101">
        <f t="shared" si="26"/>
        <v>-2.87755231956712</v>
      </c>
      <c r="AP67" s="102"/>
      <c r="AQ67" s="103">
        <f t="shared" si="8"/>
        <v>0</v>
      </c>
      <c r="AR67" s="104">
        <f t="shared" si="37"/>
        <v>161.69999999999999</v>
      </c>
      <c r="AS67" s="104">
        <f t="shared" si="10"/>
        <v>0</v>
      </c>
      <c r="AT67" s="104">
        <f t="shared" si="11"/>
        <v>0</v>
      </c>
      <c r="AU67" s="104">
        <f t="shared" si="27"/>
        <v>0</v>
      </c>
      <c r="AV67" s="104">
        <f t="array" ref="AV67">_xlfn.IFS(U67=0,AO67,U67&lt;0,AO67/-U67,U67&gt;0,AO67/U67)</f>
        <v>-2.87755231956712</v>
      </c>
      <c r="AW67" s="244">
        <f t="shared" si="45"/>
        <v>0</v>
      </c>
      <c r="AX67" s="244">
        <f t="shared" si="46"/>
        <v>-1.7795623497632161E-2</v>
      </c>
      <c r="AY67" s="105"/>
      <c r="AZ67" s="100">
        <f t="shared" si="14"/>
        <v>-28.775523195671198</v>
      </c>
    </row>
    <row r="68" spans="1:52" outlineLevel="1">
      <c r="A68" s="95" t="s">
        <v>124</v>
      </c>
      <c r="B68" s="96">
        <v>431412693</v>
      </c>
      <c r="C68" s="96" t="s">
        <v>190</v>
      </c>
      <c r="D68" s="97" t="s">
        <v>84</v>
      </c>
      <c r="E68" s="242">
        <f t="shared" si="47"/>
        <v>0</v>
      </c>
      <c r="F68" s="99"/>
      <c r="G68" s="99"/>
      <c r="H68" s="282">
        <v>0</v>
      </c>
      <c r="I68" s="99"/>
      <c r="J68" s="99"/>
      <c r="K68" s="99">
        <v>161.69999999999999</v>
      </c>
      <c r="L68" s="98">
        <f t="shared" si="44"/>
        <v>0</v>
      </c>
      <c r="M68" s="95"/>
      <c r="N68" s="95">
        <v>0</v>
      </c>
      <c r="O68" s="95">
        <v>0</v>
      </c>
      <c r="P68" s="95">
        <v>0</v>
      </c>
      <c r="Q68" s="243">
        <f t="shared" ref="Q68:Q98" si="48">N68/3</f>
        <v>0</v>
      </c>
      <c r="R68" s="98">
        <f t="shared" ref="R68:R98" si="49">U68/3</f>
        <v>0</v>
      </c>
      <c r="S68" s="99">
        <v>0</v>
      </c>
      <c r="T68" s="99">
        <v>0</v>
      </c>
      <c r="U68" s="98">
        <f t="shared" ref="U68:U98" si="50">S68+T68</f>
        <v>0</v>
      </c>
      <c r="V68" s="99">
        <v>0</v>
      </c>
      <c r="W68" s="99">
        <v>0</v>
      </c>
      <c r="X68" s="98">
        <f t="shared" ref="X68:X98" si="51">V68+W68</f>
        <v>0</v>
      </c>
      <c r="Y68" s="99">
        <v>0</v>
      </c>
      <c r="Z68" s="99">
        <v>0</v>
      </c>
      <c r="AA68" s="98">
        <f t="shared" ref="AA68:AA98" si="52">Y68+Z68</f>
        <v>0</v>
      </c>
      <c r="AB68" s="98">
        <f t="shared" ref="AB68:AB98" si="53">N68*O68*P68/100</f>
        <v>0</v>
      </c>
      <c r="AC68" s="244">
        <f t="shared" ref="AC68:AC98" si="54">AA68/$AA$121</f>
        <v>0</v>
      </c>
      <c r="AD68" s="98">
        <f t="shared" ref="AD68:AD98" si="55">U68*K68</f>
        <v>0</v>
      </c>
      <c r="AE68" s="99">
        <v>0</v>
      </c>
      <c r="AF68" s="244">
        <f t="shared" ref="AF68:AF98" si="56">IF(AA68=0,0,AE68/AA68)</f>
        <v>0</v>
      </c>
      <c r="AG68" s="99">
        <v>0</v>
      </c>
      <c r="AH68" s="99"/>
      <c r="AI68" s="99"/>
      <c r="AJ68" s="99"/>
      <c r="AK68" s="99"/>
      <c r="AL68" s="128">
        <f t="shared" ref="AL68:AL98" si="57">IFERROR($AL$121*H68/$H$121,0)</f>
        <v>0</v>
      </c>
      <c r="AM68" s="99">
        <v>0</v>
      </c>
      <c r="AN68" s="100">
        <f t="shared" ref="AN68:AN98" si="58">X68*5.71%</f>
        <v>0</v>
      </c>
      <c r="AO68" s="101">
        <f t="shared" ref="AO68:AO98" si="59">AA68-AD68-AE68-AG68-AH68-AI68-AK68-AL68-AN68-AM68</f>
        <v>0</v>
      </c>
      <c r="AP68" s="102"/>
      <c r="AQ68" s="103">
        <f t="shared" si="8"/>
        <v>0</v>
      </c>
      <c r="AR68" s="104">
        <f t="shared" si="37"/>
        <v>161.69999999999999</v>
      </c>
      <c r="AS68" s="104">
        <f t="shared" si="10"/>
        <v>0</v>
      </c>
      <c r="AT68" s="104">
        <f t="shared" si="11"/>
        <v>0</v>
      </c>
      <c r="AU68" s="104">
        <f t="shared" si="27"/>
        <v>0</v>
      </c>
      <c r="AV68" s="104">
        <f t="array" ref="AV68">_xlfn.IFS(U68=0,AO68,U68&lt;0,AO68/-U68,U68&gt;0,AO68/U68)</f>
        <v>0</v>
      </c>
      <c r="AW68" s="244">
        <f t="shared" si="45"/>
        <v>0</v>
      </c>
      <c r="AX68" s="244">
        <f t="shared" si="46"/>
        <v>0</v>
      </c>
      <c r="AY68" s="105"/>
      <c r="AZ68" s="100">
        <f t="shared" si="14"/>
        <v>0</v>
      </c>
    </row>
    <row r="69" spans="1:52" outlineLevel="1">
      <c r="A69" s="95" t="s">
        <v>124</v>
      </c>
      <c r="B69" s="96">
        <v>431417660</v>
      </c>
      <c r="C69" s="96" t="s">
        <v>191</v>
      </c>
      <c r="D69" s="97" t="s">
        <v>84</v>
      </c>
      <c r="E69" s="242">
        <f t="shared" si="47"/>
        <v>12</v>
      </c>
      <c r="F69" s="99"/>
      <c r="G69" s="99"/>
      <c r="H69" s="282">
        <v>12</v>
      </c>
      <c r="I69" s="99"/>
      <c r="J69" s="99"/>
      <c r="K69" s="99">
        <v>140.63999999999999</v>
      </c>
      <c r="L69" s="98">
        <f t="shared" si="44"/>
        <v>1687.6799999999998</v>
      </c>
      <c r="M69" s="95"/>
      <c r="N69" s="95">
        <v>0</v>
      </c>
      <c r="O69" s="95">
        <v>0</v>
      </c>
      <c r="P69" s="95">
        <v>0</v>
      </c>
      <c r="Q69" s="243">
        <f t="shared" si="48"/>
        <v>0</v>
      </c>
      <c r="R69" s="98">
        <f t="shared" si="49"/>
        <v>0</v>
      </c>
      <c r="S69" s="99">
        <v>0</v>
      </c>
      <c r="T69" s="99">
        <v>0</v>
      </c>
      <c r="U69" s="98">
        <f t="shared" si="50"/>
        <v>0</v>
      </c>
      <c r="V69" s="99">
        <v>0</v>
      </c>
      <c r="W69" s="99">
        <v>0</v>
      </c>
      <c r="X69" s="98">
        <f t="shared" si="51"/>
        <v>0</v>
      </c>
      <c r="Y69" s="99">
        <v>0</v>
      </c>
      <c r="Z69" s="99">
        <v>0</v>
      </c>
      <c r="AA69" s="98">
        <f t="shared" si="52"/>
        <v>0</v>
      </c>
      <c r="AB69" s="98">
        <f t="shared" si="53"/>
        <v>0</v>
      </c>
      <c r="AC69" s="244">
        <f t="shared" si="54"/>
        <v>0</v>
      </c>
      <c r="AD69" s="98">
        <f t="shared" si="55"/>
        <v>0</v>
      </c>
      <c r="AE69" s="99">
        <v>0</v>
      </c>
      <c r="AF69" s="244">
        <f t="shared" si="56"/>
        <v>0</v>
      </c>
      <c r="AG69" s="99">
        <v>0</v>
      </c>
      <c r="AH69" s="99"/>
      <c r="AI69" s="99"/>
      <c r="AJ69" s="99"/>
      <c r="AK69" s="99"/>
      <c r="AL69" s="128">
        <f t="shared" si="57"/>
        <v>3.4530627834805441</v>
      </c>
      <c r="AM69" s="99">
        <v>0</v>
      </c>
      <c r="AN69" s="100">
        <f t="shared" si="58"/>
        <v>0</v>
      </c>
      <c r="AO69" s="101">
        <f t="shared" si="59"/>
        <v>-3.4530627834805441</v>
      </c>
      <c r="AP69" s="102"/>
      <c r="AQ69" s="103">
        <f t="shared" si="8"/>
        <v>0</v>
      </c>
      <c r="AR69" s="104">
        <f t="shared" si="37"/>
        <v>140.63999999999999</v>
      </c>
      <c r="AS69" s="104">
        <f t="shared" si="10"/>
        <v>0</v>
      </c>
      <c r="AT69" s="104">
        <f t="shared" si="11"/>
        <v>0</v>
      </c>
      <c r="AU69" s="104">
        <f t="shared" si="27"/>
        <v>0</v>
      </c>
      <c r="AV69" s="104">
        <f t="array" ref="AV69">_xlfn.IFS(U69=0,AO69,U69&lt;0,AO69/-U69,U69&gt;0,AO69/U69)</f>
        <v>-3.4530627834805441</v>
      </c>
      <c r="AW69" s="244">
        <f t="shared" si="45"/>
        <v>0</v>
      </c>
      <c r="AX69" s="244">
        <f t="shared" si="46"/>
        <v>-2.4552494194258707E-2</v>
      </c>
      <c r="AY69" s="105"/>
      <c r="AZ69" s="100">
        <f t="shared" si="14"/>
        <v>-41.436753401766531</v>
      </c>
    </row>
    <row r="70" spans="1:52" outlineLevel="1">
      <c r="A70" s="95" t="s">
        <v>124</v>
      </c>
      <c r="B70" s="96">
        <v>431421164</v>
      </c>
      <c r="C70" s="96" t="s">
        <v>192</v>
      </c>
      <c r="D70" s="97" t="s">
        <v>84</v>
      </c>
      <c r="E70" s="242">
        <f t="shared" si="47"/>
        <v>9</v>
      </c>
      <c r="F70" s="99"/>
      <c r="G70" s="99"/>
      <c r="H70" s="282">
        <v>9</v>
      </c>
      <c r="I70" s="99"/>
      <c r="J70" s="99"/>
      <c r="K70" s="99">
        <v>117.24</v>
      </c>
      <c r="L70" s="98">
        <f t="shared" si="44"/>
        <v>1055.1599999999999</v>
      </c>
      <c r="M70" s="95"/>
      <c r="N70" s="95">
        <v>0</v>
      </c>
      <c r="O70" s="95">
        <v>0</v>
      </c>
      <c r="P70" s="95">
        <v>0</v>
      </c>
      <c r="Q70" s="243">
        <f t="shared" si="48"/>
        <v>0</v>
      </c>
      <c r="R70" s="98">
        <f t="shared" si="49"/>
        <v>0</v>
      </c>
      <c r="S70" s="99">
        <v>0</v>
      </c>
      <c r="T70" s="99">
        <v>0</v>
      </c>
      <c r="U70" s="98">
        <f t="shared" si="50"/>
        <v>0</v>
      </c>
      <c r="V70" s="99">
        <v>0</v>
      </c>
      <c r="W70" s="99">
        <v>0</v>
      </c>
      <c r="X70" s="98">
        <f t="shared" si="51"/>
        <v>0</v>
      </c>
      <c r="Y70" s="99">
        <v>0</v>
      </c>
      <c r="Z70" s="99">
        <v>0</v>
      </c>
      <c r="AA70" s="98">
        <f t="shared" si="52"/>
        <v>0</v>
      </c>
      <c r="AB70" s="98">
        <f t="shared" si="53"/>
        <v>0</v>
      </c>
      <c r="AC70" s="244">
        <f t="shared" si="54"/>
        <v>0</v>
      </c>
      <c r="AD70" s="98">
        <f t="shared" si="55"/>
        <v>0</v>
      </c>
      <c r="AE70" s="99">
        <v>0</v>
      </c>
      <c r="AF70" s="244">
        <f t="shared" si="56"/>
        <v>0</v>
      </c>
      <c r="AG70" s="99">
        <v>0</v>
      </c>
      <c r="AH70" s="99"/>
      <c r="AI70" s="99"/>
      <c r="AJ70" s="99"/>
      <c r="AK70" s="99"/>
      <c r="AL70" s="128">
        <f t="shared" si="57"/>
        <v>2.5897970876104082</v>
      </c>
      <c r="AM70" s="99">
        <v>0</v>
      </c>
      <c r="AN70" s="100">
        <f t="shared" si="58"/>
        <v>0</v>
      </c>
      <c r="AO70" s="101">
        <f t="shared" si="59"/>
        <v>-2.5897970876104082</v>
      </c>
      <c r="AP70" s="102"/>
      <c r="AQ70" s="103">
        <f t="shared" si="8"/>
        <v>0</v>
      </c>
      <c r="AR70" s="104">
        <f t="shared" si="37"/>
        <v>117.24</v>
      </c>
      <c r="AS70" s="104">
        <f t="shared" si="10"/>
        <v>0</v>
      </c>
      <c r="AT70" s="104">
        <f t="shared" si="11"/>
        <v>0</v>
      </c>
      <c r="AU70" s="104">
        <f t="shared" si="27"/>
        <v>0</v>
      </c>
      <c r="AV70" s="104">
        <f t="array" ref="AV70">_xlfn.IFS(U70=0,AO70,U70&lt;0,AO70/-U70,U70&gt;0,AO70/U70)</f>
        <v>-2.5897970876104082</v>
      </c>
      <c r="AW70" s="244">
        <f t="shared" si="45"/>
        <v>0</v>
      </c>
      <c r="AX70" s="244">
        <f t="shared" si="46"/>
        <v>-2.2089705626154966E-2</v>
      </c>
      <c r="AY70" s="105"/>
      <c r="AZ70" s="100">
        <f t="shared" si="14"/>
        <v>-23.308173788493672</v>
      </c>
    </row>
    <row r="71" spans="1:52" outlineLevel="1">
      <c r="A71" s="95" t="s">
        <v>124</v>
      </c>
      <c r="B71" s="96">
        <v>471621229</v>
      </c>
      <c r="C71" s="96" t="s">
        <v>193</v>
      </c>
      <c r="D71" s="97" t="s">
        <v>84</v>
      </c>
      <c r="E71" s="242">
        <f t="shared" si="47"/>
        <v>21</v>
      </c>
      <c r="F71" s="99"/>
      <c r="G71" s="99"/>
      <c r="H71" s="282">
        <v>21</v>
      </c>
      <c r="I71" s="99"/>
      <c r="J71" s="99"/>
      <c r="K71" s="99">
        <v>123.09</v>
      </c>
      <c r="L71" s="98">
        <f t="shared" si="44"/>
        <v>2584.89</v>
      </c>
      <c r="M71" s="95"/>
      <c r="N71" s="95">
        <v>0</v>
      </c>
      <c r="O71" s="95">
        <v>0</v>
      </c>
      <c r="P71" s="95">
        <v>0</v>
      </c>
      <c r="Q71" s="243">
        <f t="shared" si="48"/>
        <v>0</v>
      </c>
      <c r="R71" s="98">
        <f t="shared" si="49"/>
        <v>0</v>
      </c>
      <c r="S71" s="99">
        <v>0</v>
      </c>
      <c r="T71" s="99">
        <v>0</v>
      </c>
      <c r="U71" s="98">
        <f t="shared" si="50"/>
        <v>0</v>
      </c>
      <c r="V71" s="99">
        <v>0</v>
      </c>
      <c r="W71" s="99">
        <v>0</v>
      </c>
      <c r="X71" s="98">
        <f t="shared" si="51"/>
        <v>0</v>
      </c>
      <c r="Y71" s="99">
        <v>0</v>
      </c>
      <c r="Z71" s="99">
        <v>0</v>
      </c>
      <c r="AA71" s="98">
        <f t="shared" si="52"/>
        <v>0</v>
      </c>
      <c r="AB71" s="98">
        <f t="shared" si="53"/>
        <v>0</v>
      </c>
      <c r="AC71" s="244">
        <f t="shared" si="54"/>
        <v>0</v>
      </c>
      <c r="AD71" s="98">
        <f t="shared" si="55"/>
        <v>0</v>
      </c>
      <c r="AE71" s="99">
        <v>0</v>
      </c>
      <c r="AF71" s="244">
        <f t="shared" si="56"/>
        <v>0</v>
      </c>
      <c r="AG71" s="99">
        <v>0</v>
      </c>
      <c r="AH71" s="99"/>
      <c r="AI71" s="99"/>
      <c r="AJ71" s="99"/>
      <c r="AK71" s="99"/>
      <c r="AL71" s="128">
        <f t="shared" si="57"/>
        <v>6.0428598710909522</v>
      </c>
      <c r="AM71" s="99">
        <v>0</v>
      </c>
      <c r="AN71" s="100">
        <f t="shared" si="58"/>
        <v>0</v>
      </c>
      <c r="AO71" s="101">
        <f t="shared" si="59"/>
        <v>-6.0428598710909522</v>
      </c>
      <c r="AP71" s="102"/>
      <c r="AQ71" s="103">
        <f t="shared" si="8"/>
        <v>0</v>
      </c>
      <c r="AR71" s="104">
        <f t="shared" si="37"/>
        <v>123.09</v>
      </c>
      <c r="AS71" s="104">
        <f t="shared" si="10"/>
        <v>0</v>
      </c>
      <c r="AT71" s="104">
        <f t="shared" si="11"/>
        <v>0</v>
      </c>
      <c r="AU71" s="104">
        <f t="shared" ref="AU71:AU98" si="60">IF(S71=0,0,(AH71+AI71+AJ71)/S71)</f>
        <v>0</v>
      </c>
      <c r="AV71" s="104">
        <f t="array" ref="AV71">_xlfn.IFS(U71=0,AO71,U71&lt;0,AO71/-U71,U71&gt;0,AO71/U71)</f>
        <v>-6.0428598710909522</v>
      </c>
      <c r="AW71" s="244">
        <f t="shared" si="45"/>
        <v>0</v>
      </c>
      <c r="AX71" s="244">
        <f t="shared" si="46"/>
        <v>-4.9093020319205073E-2</v>
      </c>
      <c r="AY71" s="105"/>
      <c r="AZ71" s="100">
        <f t="shared" si="14"/>
        <v>-126.90005729290999</v>
      </c>
    </row>
    <row r="72" spans="1:52" outlineLevel="1">
      <c r="A72" s="95" t="s">
        <v>124</v>
      </c>
      <c r="B72" s="96">
        <v>471653850</v>
      </c>
      <c r="C72" s="96" t="s">
        <v>194</v>
      </c>
      <c r="D72" s="97" t="s">
        <v>84</v>
      </c>
      <c r="E72" s="242">
        <f t="shared" si="47"/>
        <v>13</v>
      </c>
      <c r="F72" s="99"/>
      <c r="G72" s="99"/>
      <c r="H72" s="282">
        <v>13</v>
      </c>
      <c r="I72" s="99"/>
      <c r="J72" s="99"/>
      <c r="K72" s="99">
        <v>123.09</v>
      </c>
      <c r="L72" s="98">
        <f t="shared" si="44"/>
        <v>1600.17</v>
      </c>
      <c r="M72" s="95"/>
      <c r="N72" s="95">
        <v>0</v>
      </c>
      <c r="O72" s="95">
        <v>0</v>
      </c>
      <c r="P72" s="95">
        <v>0</v>
      </c>
      <c r="Q72" s="243">
        <f t="shared" si="48"/>
        <v>0</v>
      </c>
      <c r="R72" s="98">
        <f t="shared" si="49"/>
        <v>0</v>
      </c>
      <c r="S72" s="99">
        <v>0</v>
      </c>
      <c r="T72" s="99">
        <v>0</v>
      </c>
      <c r="U72" s="98">
        <f t="shared" si="50"/>
        <v>0</v>
      </c>
      <c r="V72" s="99">
        <v>0</v>
      </c>
      <c r="W72" s="99">
        <v>0</v>
      </c>
      <c r="X72" s="98">
        <f t="shared" si="51"/>
        <v>0</v>
      </c>
      <c r="Y72" s="99">
        <v>0</v>
      </c>
      <c r="Z72" s="99">
        <v>0</v>
      </c>
      <c r="AA72" s="98">
        <f t="shared" si="52"/>
        <v>0</v>
      </c>
      <c r="AB72" s="98">
        <f t="shared" si="53"/>
        <v>0</v>
      </c>
      <c r="AC72" s="244">
        <f t="shared" si="54"/>
        <v>0</v>
      </c>
      <c r="AD72" s="98">
        <f t="shared" si="55"/>
        <v>0</v>
      </c>
      <c r="AE72" s="99">
        <v>0</v>
      </c>
      <c r="AF72" s="244">
        <f t="shared" si="56"/>
        <v>0</v>
      </c>
      <c r="AG72" s="99">
        <v>0</v>
      </c>
      <c r="AH72" s="99"/>
      <c r="AI72" s="99"/>
      <c r="AJ72" s="99"/>
      <c r="AK72" s="99"/>
      <c r="AL72" s="128">
        <f t="shared" si="57"/>
        <v>3.7408180154372563</v>
      </c>
      <c r="AM72" s="99">
        <v>0</v>
      </c>
      <c r="AN72" s="100">
        <f t="shared" si="58"/>
        <v>0</v>
      </c>
      <c r="AO72" s="101">
        <f t="shared" si="59"/>
        <v>-3.7408180154372563</v>
      </c>
      <c r="AP72" s="102"/>
      <c r="AQ72" s="103">
        <f t="shared" si="8"/>
        <v>0</v>
      </c>
      <c r="AR72" s="104">
        <f t="shared" si="37"/>
        <v>123.09</v>
      </c>
      <c r="AS72" s="104">
        <f t="shared" si="10"/>
        <v>0</v>
      </c>
      <c r="AT72" s="104">
        <f t="shared" si="11"/>
        <v>0</v>
      </c>
      <c r="AU72" s="104">
        <f t="shared" si="60"/>
        <v>0</v>
      </c>
      <c r="AV72" s="104">
        <f t="array" ref="AV72">_xlfn.IFS(U72=0,AO72,U72&lt;0,AO72/-U72,U72&gt;0,AO72/U72)</f>
        <v>-3.7408180154372563</v>
      </c>
      <c r="AW72" s="244">
        <f t="shared" si="45"/>
        <v>0</v>
      </c>
      <c r="AX72" s="244">
        <f t="shared" si="46"/>
        <v>-3.0390917340460281E-2</v>
      </c>
      <c r="AY72" s="105"/>
      <c r="AZ72" s="100">
        <f t="shared" si="14"/>
        <v>-48.630634200684334</v>
      </c>
    </row>
    <row r="73" spans="1:52" outlineLevel="1">
      <c r="A73" s="95" t="s">
        <v>124</v>
      </c>
      <c r="B73" s="96">
        <v>471686887</v>
      </c>
      <c r="C73" s="96" t="s">
        <v>195</v>
      </c>
      <c r="D73" s="97" t="s">
        <v>84</v>
      </c>
      <c r="E73" s="242">
        <f t="shared" si="47"/>
        <v>16</v>
      </c>
      <c r="F73" s="99"/>
      <c r="G73" s="99"/>
      <c r="H73" s="282">
        <v>16</v>
      </c>
      <c r="I73" s="99"/>
      <c r="J73" s="99"/>
      <c r="K73" s="99">
        <v>123.09</v>
      </c>
      <c r="L73" s="98">
        <f t="shared" si="44"/>
        <v>1969.44</v>
      </c>
      <c r="M73" s="95"/>
      <c r="N73" s="95">
        <v>0</v>
      </c>
      <c r="O73" s="95">
        <v>0</v>
      </c>
      <c r="P73" s="95">
        <v>0</v>
      </c>
      <c r="Q73" s="243">
        <f t="shared" si="48"/>
        <v>0</v>
      </c>
      <c r="R73" s="98">
        <f t="shared" si="49"/>
        <v>0</v>
      </c>
      <c r="S73" s="99">
        <v>0</v>
      </c>
      <c r="T73" s="99">
        <v>0</v>
      </c>
      <c r="U73" s="98">
        <f t="shared" si="50"/>
        <v>0</v>
      </c>
      <c r="V73" s="99">
        <v>0</v>
      </c>
      <c r="W73" s="99">
        <v>0</v>
      </c>
      <c r="X73" s="98">
        <f t="shared" si="51"/>
        <v>0</v>
      </c>
      <c r="Y73" s="99">
        <v>0</v>
      </c>
      <c r="Z73" s="99">
        <v>0</v>
      </c>
      <c r="AA73" s="98">
        <f t="shared" si="52"/>
        <v>0</v>
      </c>
      <c r="AB73" s="98">
        <f t="shared" si="53"/>
        <v>0</v>
      </c>
      <c r="AC73" s="244">
        <f t="shared" si="54"/>
        <v>0</v>
      </c>
      <c r="AD73" s="98">
        <f t="shared" si="55"/>
        <v>0</v>
      </c>
      <c r="AE73" s="99">
        <v>0</v>
      </c>
      <c r="AF73" s="244">
        <f t="shared" si="56"/>
        <v>0</v>
      </c>
      <c r="AG73" s="99">
        <v>0</v>
      </c>
      <c r="AH73" s="99"/>
      <c r="AI73" s="99"/>
      <c r="AJ73" s="99"/>
      <c r="AK73" s="99"/>
      <c r="AL73" s="128">
        <f t="shared" si="57"/>
        <v>4.6040837113073918</v>
      </c>
      <c r="AM73" s="99">
        <v>0</v>
      </c>
      <c r="AN73" s="100">
        <f t="shared" si="58"/>
        <v>0</v>
      </c>
      <c r="AO73" s="101">
        <f t="shared" si="59"/>
        <v>-4.6040837113073918</v>
      </c>
      <c r="AP73" s="102"/>
      <c r="AQ73" s="103">
        <f t="shared" si="8"/>
        <v>0</v>
      </c>
      <c r="AR73" s="104">
        <f t="shared" si="37"/>
        <v>123.09</v>
      </c>
      <c r="AS73" s="104">
        <f t="shared" si="10"/>
        <v>0</v>
      </c>
      <c r="AT73" s="104">
        <f t="shared" si="11"/>
        <v>0</v>
      </c>
      <c r="AU73" s="104">
        <f t="shared" si="60"/>
        <v>0</v>
      </c>
      <c r="AV73" s="104">
        <f t="array" ref="AV73">_xlfn.IFS(U73=0,AO73,U73&lt;0,AO73/-U73,U73&gt;0,AO73/U73)</f>
        <v>-4.6040837113073918</v>
      </c>
      <c r="AW73" s="244">
        <f t="shared" si="45"/>
        <v>0</v>
      </c>
      <c r="AX73" s="244">
        <f t="shared" si="46"/>
        <v>-3.7404205957489577E-2</v>
      </c>
      <c r="AY73" s="105"/>
      <c r="AZ73" s="100">
        <f t="shared" si="14"/>
        <v>-73.665339380918269</v>
      </c>
    </row>
    <row r="74" spans="1:52" outlineLevel="1">
      <c r="A74" s="95" t="s">
        <v>124</v>
      </c>
      <c r="B74" s="96">
        <v>471743752</v>
      </c>
      <c r="C74" s="96" t="s">
        <v>196</v>
      </c>
      <c r="D74" s="97" t="s">
        <v>84</v>
      </c>
      <c r="E74" s="242">
        <f t="shared" si="47"/>
        <v>2</v>
      </c>
      <c r="F74" s="99"/>
      <c r="G74" s="99"/>
      <c r="H74" s="282">
        <v>2</v>
      </c>
      <c r="I74" s="99"/>
      <c r="J74" s="99"/>
      <c r="K74" s="99">
        <v>134.79</v>
      </c>
      <c r="L74" s="98">
        <f t="shared" si="44"/>
        <v>269.58</v>
      </c>
      <c r="M74" s="95"/>
      <c r="N74" s="95">
        <v>0</v>
      </c>
      <c r="O74" s="95">
        <v>0</v>
      </c>
      <c r="P74" s="95">
        <v>0</v>
      </c>
      <c r="Q74" s="243">
        <f t="shared" si="48"/>
        <v>0</v>
      </c>
      <c r="R74" s="98">
        <f t="shared" si="49"/>
        <v>0</v>
      </c>
      <c r="S74" s="99">
        <v>0</v>
      </c>
      <c r="T74" s="99">
        <v>0</v>
      </c>
      <c r="U74" s="98">
        <f t="shared" si="50"/>
        <v>0</v>
      </c>
      <c r="V74" s="99">
        <v>0</v>
      </c>
      <c r="W74" s="99">
        <v>0</v>
      </c>
      <c r="X74" s="98">
        <f t="shared" si="51"/>
        <v>0</v>
      </c>
      <c r="Y74" s="99">
        <v>0</v>
      </c>
      <c r="Z74" s="99">
        <v>0</v>
      </c>
      <c r="AA74" s="98">
        <f t="shared" si="52"/>
        <v>0</v>
      </c>
      <c r="AB74" s="98">
        <f t="shared" si="53"/>
        <v>0</v>
      </c>
      <c r="AC74" s="244">
        <f t="shared" si="54"/>
        <v>0</v>
      </c>
      <c r="AD74" s="98">
        <f t="shared" si="55"/>
        <v>0</v>
      </c>
      <c r="AE74" s="99">
        <v>0</v>
      </c>
      <c r="AF74" s="244">
        <f t="shared" si="56"/>
        <v>0</v>
      </c>
      <c r="AG74" s="99">
        <v>0</v>
      </c>
      <c r="AH74" s="99"/>
      <c r="AI74" s="99"/>
      <c r="AJ74" s="99"/>
      <c r="AK74" s="99"/>
      <c r="AL74" s="128">
        <f t="shared" si="57"/>
        <v>0.57551046391342398</v>
      </c>
      <c r="AM74" s="99">
        <v>0</v>
      </c>
      <c r="AN74" s="100">
        <f t="shared" si="58"/>
        <v>0</v>
      </c>
      <c r="AO74" s="101">
        <f t="shared" si="59"/>
        <v>-0.57551046391342398</v>
      </c>
      <c r="AP74" s="102"/>
      <c r="AQ74" s="103">
        <f t="shared" si="8"/>
        <v>0</v>
      </c>
      <c r="AR74" s="104">
        <f t="shared" si="37"/>
        <v>134.79</v>
      </c>
      <c r="AS74" s="104">
        <f t="shared" si="10"/>
        <v>0</v>
      </c>
      <c r="AT74" s="104">
        <f t="shared" si="11"/>
        <v>0</v>
      </c>
      <c r="AU74" s="104">
        <f t="shared" si="60"/>
        <v>0</v>
      </c>
      <c r="AV74" s="104">
        <f t="array" ref="AV74">_xlfn.IFS(U74=0,AO74,U74&lt;0,AO74/-U74,U74&gt;0,AO74/U74)</f>
        <v>-0.57551046391342398</v>
      </c>
      <c r="AW74" s="244">
        <f t="shared" si="45"/>
        <v>0</v>
      </c>
      <c r="AX74" s="244">
        <f t="shared" si="46"/>
        <v>-4.2696822013014619E-3</v>
      </c>
      <c r="AY74" s="105"/>
      <c r="AZ74" s="100">
        <f t="shared" si="14"/>
        <v>-1.151020927826848</v>
      </c>
    </row>
    <row r="75" spans="1:52" outlineLevel="1">
      <c r="A75" s="95" t="s">
        <v>124</v>
      </c>
      <c r="B75" s="96">
        <v>471808801</v>
      </c>
      <c r="C75" s="96" t="s">
        <v>197</v>
      </c>
      <c r="D75" s="97" t="s">
        <v>84</v>
      </c>
      <c r="E75" s="242">
        <f t="shared" si="47"/>
        <v>0</v>
      </c>
      <c r="F75" s="99"/>
      <c r="G75" s="99"/>
      <c r="H75" s="282" t="s">
        <v>100</v>
      </c>
      <c r="I75" s="99"/>
      <c r="J75" s="99"/>
      <c r="K75" s="99">
        <v>134.79</v>
      </c>
      <c r="L75" s="98">
        <f t="shared" si="44"/>
        <v>0</v>
      </c>
      <c r="M75" s="95"/>
      <c r="N75" s="95">
        <v>1</v>
      </c>
      <c r="O75" s="95">
        <v>1347</v>
      </c>
      <c r="P75" s="95">
        <v>100</v>
      </c>
      <c r="Q75" s="243">
        <f t="shared" si="48"/>
        <v>0.33333333333333331</v>
      </c>
      <c r="R75" s="98">
        <f t="shared" si="49"/>
        <v>0</v>
      </c>
      <c r="S75" s="99">
        <v>0</v>
      </c>
      <c r="T75" s="99">
        <v>0</v>
      </c>
      <c r="U75" s="98">
        <f t="shared" si="50"/>
        <v>0</v>
      </c>
      <c r="V75" s="99">
        <v>0</v>
      </c>
      <c r="W75" s="99">
        <v>0</v>
      </c>
      <c r="X75" s="98">
        <f t="shared" si="51"/>
        <v>0</v>
      </c>
      <c r="Y75" s="99">
        <v>0</v>
      </c>
      <c r="Z75" s="99">
        <v>0</v>
      </c>
      <c r="AA75" s="98">
        <f t="shared" si="52"/>
        <v>0</v>
      </c>
      <c r="AB75" s="98">
        <f t="shared" si="53"/>
        <v>1347</v>
      </c>
      <c r="AC75" s="244">
        <f t="shared" si="54"/>
        <v>0</v>
      </c>
      <c r="AD75" s="98">
        <f t="shared" si="55"/>
        <v>0</v>
      </c>
      <c r="AE75" s="99">
        <v>0</v>
      </c>
      <c r="AF75" s="244">
        <f t="shared" si="56"/>
        <v>0</v>
      </c>
      <c r="AG75" s="99">
        <v>378.34</v>
      </c>
      <c r="AH75" s="99"/>
      <c r="AI75" s="99"/>
      <c r="AJ75" s="99"/>
      <c r="AK75" s="99"/>
      <c r="AL75" s="128">
        <f t="shared" si="57"/>
        <v>0</v>
      </c>
      <c r="AM75" s="99">
        <v>0</v>
      </c>
      <c r="AN75" s="100">
        <f t="shared" si="58"/>
        <v>0</v>
      </c>
      <c r="AO75" s="101">
        <f t="shared" si="59"/>
        <v>-378.34</v>
      </c>
      <c r="AP75" s="102"/>
      <c r="AQ75" s="103">
        <f t="shared" si="8"/>
        <v>0</v>
      </c>
      <c r="AR75" s="104">
        <f t="shared" si="37"/>
        <v>134.79</v>
      </c>
      <c r="AS75" s="104">
        <f t="shared" si="10"/>
        <v>0</v>
      </c>
      <c r="AT75" s="104">
        <f t="shared" si="11"/>
        <v>378.34</v>
      </c>
      <c r="AU75" s="104">
        <f t="shared" si="60"/>
        <v>0</v>
      </c>
      <c r="AV75" s="104">
        <f t="array" ref="AV75">_xlfn.IFS(U75=0,AO75,U75&lt;0,AO75/-U75,U75&gt;0,AO75/U75)</f>
        <v>-378.34</v>
      </c>
      <c r="AW75" s="244">
        <f t="shared" si="45"/>
        <v>0</v>
      </c>
      <c r="AX75" s="244">
        <f t="shared" si="46"/>
        <v>-2.806884783737666</v>
      </c>
      <c r="AY75" s="105"/>
      <c r="AZ75" s="100">
        <f t="shared" si="14"/>
        <v>0</v>
      </c>
    </row>
    <row r="76" spans="1:52" outlineLevel="1">
      <c r="A76" s="95" t="s">
        <v>124</v>
      </c>
      <c r="B76" s="96">
        <v>507102638</v>
      </c>
      <c r="C76" s="96" t="s">
        <v>198</v>
      </c>
      <c r="D76" s="97" t="s">
        <v>84</v>
      </c>
      <c r="E76" s="242">
        <f t="shared" si="47"/>
        <v>50</v>
      </c>
      <c r="F76" s="99"/>
      <c r="G76" s="99"/>
      <c r="H76" s="282">
        <v>50</v>
      </c>
      <c r="I76" s="99"/>
      <c r="J76" s="99"/>
      <c r="K76" s="99">
        <v>123.09</v>
      </c>
      <c r="L76" s="98">
        <f t="shared" si="44"/>
        <v>6154.5</v>
      </c>
      <c r="M76" s="95"/>
      <c r="N76" s="95">
        <v>0</v>
      </c>
      <c r="O76" s="95">
        <v>0</v>
      </c>
      <c r="P76" s="95">
        <v>0</v>
      </c>
      <c r="Q76" s="243">
        <f t="shared" si="48"/>
        <v>0</v>
      </c>
      <c r="R76" s="98">
        <f t="shared" si="49"/>
        <v>0</v>
      </c>
      <c r="S76" s="99">
        <v>0</v>
      </c>
      <c r="T76" s="99">
        <v>0</v>
      </c>
      <c r="U76" s="98">
        <f t="shared" si="50"/>
        <v>0</v>
      </c>
      <c r="V76" s="99">
        <v>0</v>
      </c>
      <c r="W76" s="99">
        <v>0</v>
      </c>
      <c r="X76" s="98">
        <f t="shared" si="51"/>
        <v>0</v>
      </c>
      <c r="Y76" s="99">
        <v>0</v>
      </c>
      <c r="Z76" s="99">
        <v>0</v>
      </c>
      <c r="AA76" s="98">
        <f t="shared" si="52"/>
        <v>0</v>
      </c>
      <c r="AB76" s="98">
        <f t="shared" si="53"/>
        <v>0</v>
      </c>
      <c r="AC76" s="244">
        <f t="shared" si="54"/>
        <v>0</v>
      </c>
      <c r="AD76" s="98">
        <f t="shared" si="55"/>
        <v>0</v>
      </c>
      <c r="AE76" s="99">
        <v>0</v>
      </c>
      <c r="AF76" s="244">
        <f t="shared" si="56"/>
        <v>0</v>
      </c>
      <c r="AG76" s="99">
        <v>0</v>
      </c>
      <c r="AH76" s="99"/>
      <c r="AI76" s="99"/>
      <c r="AJ76" s="99"/>
      <c r="AK76" s="99"/>
      <c r="AL76" s="128">
        <f t="shared" si="57"/>
        <v>14.387761597835601</v>
      </c>
      <c r="AM76" s="99">
        <v>0</v>
      </c>
      <c r="AN76" s="100">
        <f t="shared" si="58"/>
        <v>0</v>
      </c>
      <c r="AO76" s="101">
        <f t="shared" si="59"/>
        <v>-14.387761597835601</v>
      </c>
      <c r="AP76" s="102"/>
      <c r="AQ76" s="103">
        <f t="shared" si="8"/>
        <v>0</v>
      </c>
      <c r="AR76" s="104">
        <f t="shared" si="37"/>
        <v>123.09</v>
      </c>
      <c r="AS76" s="104">
        <f t="shared" si="10"/>
        <v>0</v>
      </c>
      <c r="AT76" s="104">
        <f t="shared" si="11"/>
        <v>0</v>
      </c>
      <c r="AU76" s="104">
        <f t="shared" si="60"/>
        <v>0</v>
      </c>
      <c r="AV76" s="104">
        <f t="array" ref="AV76">_xlfn.IFS(U76=0,AO76,U76&lt;0,AO76/-U76,U76&gt;0,AO76/U76)</f>
        <v>-14.387761597835601</v>
      </c>
      <c r="AW76" s="244">
        <f t="shared" si="45"/>
        <v>0</v>
      </c>
      <c r="AX76" s="244">
        <f t="shared" si="46"/>
        <v>-0.11688814361715492</v>
      </c>
      <c r="AY76" s="105"/>
      <c r="AZ76" s="100">
        <f t="shared" si="14"/>
        <v>-719.38807989178008</v>
      </c>
    </row>
    <row r="77" spans="1:52" outlineLevel="1">
      <c r="A77" s="95" t="s">
        <v>124</v>
      </c>
      <c r="B77" s="96">
        <v>507103278</v>
      </c>
      <c r="C77" s="96" t="s">
        <v>199</v>
      </c>
      <c r="D77" s="97" t="s">
        <v>84</v>
      </c>
      <c r="E77" s="242">
        <f t="shared" si="47"/>
        <v>39</v>
      </c>
      <c r="F77" s="99"/>
      <c r="G77" s="99"/>
      <c r="H77" s="282">
        <v>39</v>
      </c>
      <c r="I77" s="99"/>
      <c r="J77" s="99"/>
      <c r="K77" s="99">
        <v>123.09</v>
      </c>
      <c r="L77" s="98">
        <f t="shared" si="44"/>
        <v>4800.51</v>
      </c>
      <c r="M77" s="95"/>
      <c r="N77" s="95">
        <v>0</v>
      </c>
      <c r="O77" s="95">
        <v>0</v>
      </c>
      <c r="P77" s="95">
        <v>0</v>
      </c>
      <c r="Q77" s="243">
        <f t="shared" si="48"/>
        <v>0</v>
      </c>
      <c r="R77" s="98">
        <f t="shared" si="49"/>
        <v>0</v>
      </c>
      <c r="S77" s="99">
        <v>0</v>
      </c>
      <c r="T77" s="99">
        <v>0</v>
      </c>
      <c r="U77" s="98">
        <f t="shared" si="50"/>
        <v>0</v>
      </c>
      <c r="V77" s="99">
        <v>0</v>
      </c>
      <c r="W77" s="99">
        <v>0</v>
      </c>
      <c r="X77" s="98">
        <f t="shared" si="51"/>
        <v>0</v>
      </c>
      <c r="Y77" s="99">
        <v>0</v>
      </c>
      <c r="Z77" s="99">
        <v>0</v>
      </c>
      <c r="AA77" s="98">
        <f t="shared" si="52"/>
        <v>0</v>
      </c>
      <c r="AB77" s="98">
        <f t="shared" si="53"/>
        <v>0</v>
      </c>
      <c r="AC77" s="244">
        <f t="shared" si="54"/>
        <v>0</v>
      </c>
      <c r="AD77" s="98">
        <f t="shared" si="55"/>
        <v>0</v>
      </c>
      <c r="AE77" s="99">
        <v>0</v>
      </c>
      <c r="AF77" s="244">
        <f t="shared" si="56"/>
        <v>0</v>
      </c>
      <c r="AG77" s="99">
        <v>0</v>
      </c>
      <c r="AH77" s="99"/>
      <c r="AI77" s="99"/>
      <c r="AJ77" s="99"/>
      <c r="AK77" s="99"/>
      <c r="AL77" s="128">
        <f t="shared" si="57"/>
        <v>11.222454046311768</v>
      </c>
      <c r="AM77" s="99">
        <v>0</v>
      </c>
      <c r="AN77" s="100">
        <f t="shared" si="58"/>
        <v>0</v>
      </c>
      <c r="AO77" s="101">
        <f t="shared" si="59"/>
        <v>-11.222454046311768</v>
      </c>
      <c r="AP77" s="102"/>
      <c r="AQ77" s="103">
        <f t="shared" si="8"/>
        <v>0</v>
      </c>
      <c r="AR77" s="104">
        <f t="shared" si="37"/>
        <v>123.09</v>
      </c>
      <c r="AS77" s="104">
        <f t="shared" si="10"/>
        <v>0</v>
      </c>
      <c r="AT77" s="104">
        <f t="shared" si="11"/>
        <v>0</v>
      </c>
      <c r="AU77" s="104">
        <f t="shared" si="60"/>
        <v>0</v>
      </c>
      <c r="AV77" s="104">
        <f t="array" ref="AV77">_xlfn.IFS(U77=0,AO77,U77&lt;0,AO77/-U77,U77&gt;0,AO77/U77)</f>
        <v>-11.222454046311768</v>
      </c>
      <c r="AW77" s="244">
        <f t="shared" si="45"/>
        <v>0</v>
      </c>
      <c r="AX77" s="244">
        <f t="shared" si="46"/>
        <v>-9.1172752021380837E-2</v>
      </c>
      <c r="AY77" s="105"/>
      <c r="AZ77" s="100">
        <f t="shared" si="14"/>
        <v>-437.67570780615893</v>
      </c>
    </row>
    <row r="78" spans="1:52" outlineLevel="1">
      <c r="A78" s="95" t="s">
        <v>124</v>
      </c>
      <c r="B78" s="96">
        <v>507103836</v>
      </c>
      <c r="C78" s="96" t="s">
        <v>200</v>
      </c>
      <c r="D78" s="97" t="s">
        <v>84</v>
      </c>
      <c r="E78" s="242">
        <f t="shared" si="47"/>
        <v>30</v>
      </c>
      <c r="F78" s="99"/>
      <c r="G78" s="99"/>
      <c r="H78" s="282">
        <v>30</v>
      </c>
      <c r="I78" s="99"/>
      <c r="J78" s="99"/>
      <c r="K78" s="99">
        <v>123.09</v>
      </c>
      <c r="L78" s="98">
        <f t="shared" si="44"/>
        <v>3692.7000000000003</v>
      </c>
      <c r="M78" s="95"/>
      <c r="N78" s="95">
        <v>0</v>
      </c>
      <c r="O78" s="95">
        <v>0</v>
      </c>
      <c r="P78" s="95">
        <v>0</v>
      </c>
      <c r="Q78" s="243">
        <f t="shared" si="48"/>
        <v>0</v>
      </c>
      <c r="R78" s="98">
        <f t="shared" si="49"/>
        <v>0</v>
      </c>
      <c r="S78" s="99">
        <v>0</v>
      </c>
      <c r="T78" s="99">
        <v>0</v>
      </c>
      <c r="U78" s="98">
        <f t="shared" si="50"/>
        <v>0</v>
      </c>
      <c r="V78" s="99">
        <v>0</v>
      </c>
      <c r="W78" s="99">
        <v>0</v>
      </c>
      <c r="X78" s="98">
        <f t="shared" si="51"/>
        <v>0</v>
      </c>
      <c r="Y78" s="99">
        <v>0</v>
      </c>
      <c r="Z78" s="99">
        <v>0</v>
      </c>
      <c r="AA78" s="98">
        <f t="shared" si="52"/>
        <v>0</v>
      </c>
      <c r="AB78" s="98">
        <f t="shared" si="53"/>
        <v>0</v>
      </c>
      <c r="AC78" s="244">
        <f t="shared" si="54"/>
        <v>0</v>
      </c>
      <c r="AD78" s="98">
        <f t="shared" si="55"/>
        <v>0</v>
      </c>
      <c r="AE78" s="99">
        <v>0</v>
      </c>
      <c r="AF78" s="244">
        <f t="shared" si="56"/>
        <v>0</v>
      </c>
      <c r="AG78" s="99">
        <v>0</v>
      </c>
      <c r="AH78" s="99"/>
      <c r="AI78" s="99"/>
      <c r="AJ78" s="99"/>
      <c r="AK78" s="99"/>
      <c r="AL78" s="128">
        <f t="shared" si="57"/>
        <v>8.6326569587013608</v>
      </c>
      <c r="AM78" s="99">
        <v>0</v>
      </c>
      <c r="AN78" s="100">
        <f t="shared" si="58"/>
        <v>0</v>
      </c>
      <c r="AO78" s="101">
        <f t="shared" si="59"/>
        <v>-8.6326569587013608</v>
      </c>
      <c r="AP78" s="102"/>
      <c r="AQ78" s="103">
        <f t="shared" si="8"/>
        <v>0</v>
      </c>
      <c r="AR78" s="104">
        <f t="shared" si="37"/>
        <v>123.09</v>
      </c>
      <c r="AS78" s="104">
        <f t="shared" si="10"/>
        <v>0</v>
      </c>
      <c r="AT78" s="104">
        <f t="shared" si="11"/>
        <v>0</v>
      </c>
      <c r="AU78" s="104">
        <f t="shared" si="60"/>
        <v>0</v>
      </c>
      <c r="AV78" s="104">
        <f t="array" ref="AV78">_xlfn.IFS(U78=0,AO78,U78&lt;0,AO78/-U78,U78&gt;0,AO78/U78)</f>
        <v>-8.6326569587013608</v>
      </c>
      <c r="AW78" s="244">
        <f t="shared" si="45"/>
        <v>0</v>
      </c>
      <c r="AX78" s="244">
        <f t="shared" si="46"/>
        <v>-7.0132886170292966E-2</v>
      </c>
      <c r="AY78" s="105"/>
      <c r="AZ78" s="100">
        <f t="shared" si="14"/>
        <v>-258.9797087610408</v>
      </c>
    </row>
    <row r="79" spans="1:52" outlineLevel="1">
      <c r="A79" s="95" t="s">
        <v>124</v>
      </c>
      <c r="B79" s="96">
        <v>507100961</v>
      </c>
      <c r="C79" s="96" t="s">
        <v>201</v>
      </c>
      <c r="D79" s="97" t="s">
        <v>84</v>
      </c>
      <c r="E79" s="242">
        <f t="shared" si="47"/>
        <v>49</v>
      </c>
      <c r="F79" s="99"/>
      <c r="G79" s="99"/>
      <c r="H79" s="282">
        <v>49</v>
      </c>
      <c r="I79" s="99"/>
      <c r="J79" s="99"/>
      <c r="K79" s="99">
        <v>164.04</v>
      </c>
      <c r="L79" s="98">
        <f t="shared" si="44"/>
        <v>8037.96</v>
      </c>
      <c r="M79" s="95"/>
      <c r="N79" s="95">
        <v>0</v>
      </c>
      <c r="O79" s="95">
        <v>0</v>
      </c>
      <c r="P79" s="95">
        <v>0</v>
      </c>
      <c r="Q79" s="243">
        <f t="shared" si="48"/>
        <v>0</v>
      </c>
      <c r="R79" s="98">
        <f t="shared" si="49"/>
        <v>0</v>
      </c>
      <c r="S79" s="99">
        <v>0</v>
      </c>
      <c r="T79" s="99">
        <v>0</v>
      </c>
      <c r="U79" s="98">
        <f t="shared" si="50"/>
        <v>0</v>
      </c>
      <c r="V79" s="99">
        <v>0</v>
      </c>
      <c r="W79" s="99">
        <v>0</v>
      </c>
      <c r="X79" s="98">
        <f t="shared" si="51"/>
        <v>0</v>
      </c>
      <c r="Y79" s="99">
        <v>0</v>
      </c>
      <c r="Z79" s="99">
        <v>0</v>
      </c>
      <c r="AA79" s="98">
        <f t="shared" si="52"/>
        <v>0</v>
      </c>
      <c r="AB79" s="98">
        <f t="shared" si="53"/>
        <v>0</v>
      </c>
      <c r="AC79" s="244">
        <f t="shared" si="54"/>
        <v>0</v>
      </c>
      <c r="AD79" s="98">
        <f t="shared" si="55"/>
        <v>0</v>
      </c>
      <c r="AE79" s="99">
        <v>0</v>
      </c>
      <c r="AF79" s="244">
        <f t="shared" si="56"/>
        <v>0</v>
      </c>
      <c r="AG79" s="99">
        <v>0</v>
      </c>
      <c r="AH79" s="99"/>
      <c r="AI79" s="99"/>
      <c r="AJ79" s="99"/>
      <c r="AK79" s="99"/>
      <c r="AL79" s="128">
        <f t="shared" si="57"/>
        <v>14.100006365878889</v>
      </c>
      <c r="AM79" s="99">
        <v>0</v>
      </c>
      <c r="AN79" s="100">
        <f t="shared" si="58"/>
        <v>0</v>
      </c>
      <c r="AO79" s="101">
        <f t="shared" si="59"/>
        <v>-14.100006365878889</v>
      </c>
      <c r="AP79" s="102"/>
      <c r="AQ79" s="103">
        <f t="shared" si="8"/>
        <v>0</v>
      </c>
      <c r="AR79" s="104">
        <f t="shared" si="37"/>
        <v>164.04</v>
      </c>
      <c r="AS79" s="104">
        <f t="shared" si="10"/>
        <v>0</v>
      </c>
      <c r="AT79" s="104">
        <f t="shared" si="11"/>
        <v>0</v>
      </c>
      <c r="AU79" s="104">
        <f t="shared" si="60"/>
        <v>0</v>
      </c>
      <c r="AV79" s="104">
        <f t="array" ref="AV79">_xlfn.IFS(U79=0,AO79,U79&lt;0,AO79/-U79,U79&gt;0,AO79/U79)</f>
        <v>-14.100006365878889</v>
      </c>
      <c r="AW79" s="244">
        <f t="shared" si="45"/>
        <v>0</v>
      </c>
      <c r="AX79" s="244">
        <f t="shared" si="46"/>
        <v>-8.5954684015355332E-2</v>
      </c>
      <c r="AY79" s="105"/>
      <c r="AZ79" s="100">
        <f t="shared" si="14"/>
        <v>-690.90031192806555</v>
      </c>
    </row>
    <row r="80" spans="1:52" outlineLevel="1">
      <c r="A80" s="95" t="s">
        <v>124</v>
      </c>
      <c r="B80" s="96">
        <v>507101212</v>
      </c>
      <c r="C80" s="96" t="s">
        <v>202</v>
      </c>
      <c r="D80" s="97" t="s">
        <v>84</v>
      </c>
      <c r="E80" s="242">
        <f t="shared" si="47"/>
        <v>49</v>
      </c>
      <c r="F80" s="99"/>
      <c r="G80" s="99"/>
      <c r="H80" s="282">
        <v>49</v>
      </c>
      <c r="I80" s="99"/>
      <c r="J80" s="99"/>
      <c r="K80" s="99">
        <v>164.04</v>
      </c>
      <c r="L80" s="98">
        <f t="shared" si="44"/>
        <v>8037.96</v>
      </c>
      <c r="M80" s="95"/>
      <c r="N80" s="95">
        <v>0</v>
      </c>
      <c r="O80" s="95">
        <v>0</v>
      </c>
      <c r="P80" s="95">
        <v>0</v>
      </c>
      <c r="Q80" s="243">
        <f t="shared" si="48"/>
        <v>0</v>
      </c>
      <c r="R80" s="98">
        <f t="shared" si="49"/>
        <v>0</v>
      </c>
      <c r="S80" s="99">
        <v>0</v>
      </c>
      <c r="T80" s="99">
        <v>0</v>
      </c>
      <c r="U80" s="98">
        <f t="shared" si="50"/>
        <v>0</v>
      </c>
      <c r="V80" s="99">
        <v>0</v>
      </c>
      <c r="W80" s="99">
        <v>0</v>
      </c>
      <c r="X80" s="98">
        <f t="shared" si="51"/>
        <v>0</v>
      </c>
      <c r="Y80" s="99">
        <v>0</v>
      </c>
      <c r="Z80" s="99">
        <v>0</v>
      </c>
      <c r="AA80" s="98">
        <f t="shared" si="52"/>
        <v>0</v>
      </c>
      <c r="AB80" s="98">
        <f t="shared" si="53"/>
        <v>0</v>
      </c>
      <c r="AC80" s="244">
        <f t="shared" si="54"/>
        <v>0</v>
      </c>
      <c r="AD80" s="98">
        <f t="shared" si="55"/>
        <v>0</v>
      </c>
      <c r="AE80" s="99">
        <v>0</v>
      </c>
      <c r="AF80" s="244">
        <f t="shared" si="56"/>
        <v>0</v>
      </c>
      <c r="AG80" s="99">
        <v>0</v>
      </c>
      <c r="AH80" s="99"/>
      <c r="AI80" s="99"/>
      <c r="AJ80" s="99"/>
      <c r="AK80" s="99"/>
      <c r="AL80" s="128">
        <f t="shared" si="57"/>
        <v>14.100006365878889</v>
      </c>
      <c r="AM80" s="99">
        <v>0</v>
      </c>
      <c r="AN80" s="100">
        <f t="shared" si="58"/>
        <v>0</v>
      </c>
      <c r="AO80" s="101">
        <f t="shared" si="59"/>
        <v>-14.100006365878889</v>
      </c>
      <c r="AP80" s="102"/>
      <c r="AQ80" s="103">
        <f t="shared" si="8"/>
        <v>0</v>
      </c>
      <c r="AR80" s="104">
        <f t="shared" si="37"/>
        <v>164.04</v>
      </c>
      <c r="AS80" s="104">
        <f t="shared" si="10"/>
        <v>0</v>
      </c>
      <c r="AT80" s="104">
        <f t="shared" si="11"/>
        <v>0</v>
      </c>
      <c r="AU80" s="104">
        <f t="shared" si="60"/>
        <v>0</v>
      </c>
      <c r="AV80" s="104">
        <f t="array" ref="AV80">_xlfn.IFS(U80=0,AO80,U80&lt;0,AO80/-U80,U80&gt;0,AO80/U80)</f>
        <v>-14.100006365878889</v>
      </c>
      <c r="AW80" s="244">
        <f t="shared" si="45"/>
        <v>0</v>
      </c>
      <c r="AX80" s="244">
        <f t="shared" si="46"/>
        <v>-8.5954684015355332E-2</v>
      </c>
      <c r="AY80" s="105"/>
      <c r="AZ80" s="100">
        <f t="shared" si="14"/>
        <v>-690.90031192806555</v>
      </c>
    </row>
    <row r="81" spans="1:52" outlineLevel="1">
      <c r="A81" s="95" t="s">
        <v>124</v>
      </c>
      <c r="B81" s="96">
        <v>507102032</v>
      </c>
      <c r="C81" s="96" t="s">
        <v>203</v>
      </c>
      <c r="D81" s="97" t="s">
        <v>84</v>
      </c>
      <c r="E81" s="242">
        <f t="shared" si="47"/>
        <v>49</v>
      </c>
      <c r="F81" s="99"/>
      <c r="G81" s="99"/>
      <c r="H81" s="282">
        <v>49</v>
      </c>
      <c r="I81" s="99"/>
      <c r="J81" s="99"/>
      <c r="K81" s="99">
        <v>128.94</v>
      </c>
      <c r="L81" s="98">
        <f t="shared" si="44"/>
        <v>6318.0599999999995</v>
      </c>
      <c r="M81" s="95"/>
      <c r="N81" s="95">
        <v>0</v>
      </c>
      <c r="O81" s="95">
        <v>0</v>
      </c>
      <c r="P81" s="95">
        <v>0</v>
      </c>
      <c r="Q81" s="243">
        <f t="shared" si="48"/>
        <v>0</v>
      </c>
      <c r="R81" s="98">
        <f t="shared" si="49"/>
        <v>0</v>
      </c>
      <c r="S81" s="99">
        <v>0</v>
      </c>
      <c r="T81" s="99">
        <v>0</v>
      </c>
      <c r="U81" s="98">
        <f t="shared" si="50"/>
        <v>0</v>
      </c>
      <c r="V81" s="99">
        <v>0</v>
      </c>
      <c r="W81" s="99">
        <v>0</v>
      </c>
      <c r="X81" s="98">
        <f t="shared" si="51"/>
        <v>0</v>
      </c>
      <c r="Y81" s="99">
        <v>0</v>
      </c>
      <c r="Z81" s="99">
        <v>0</v>
      </c>
      <c r="AA81" s="98">
        <f t="shared" si="52"/>
        <v>0</v>
      </c>
      <c r="AB81" s="98">
        <f t="shared" si="53"/>
        <v>0</v>
      </c>
      <c r="AC81" s="244">
        <f t="shared" si="54"/>
        <v>0</v>
      </c>
      <c r="AD81" s="98">
        <f t="shared" si="55"/>
        <v>0</v>
      </c>
      <c r="AE81" s="99">
        <v>0</v>
      </c>
      <c r="AF81" s="244">
        <f t="shared" si="56"/>
        <v>0</v>
      </c>
      <c r="AG81" s="99">
        <v>0</v>
      </c>
      <c r="AH81" s="99"/>
      <c r="AI81" s="99"/>
      <c r="AJ81" s="99"/>
      <c r="AK81" s="99"/>
      <c r="AL81" s="128">
        <f t="shared" si="57"/>
        <v>14.100006365878889</v>
      </c>
      <c r="AM81" s="99">
        <v>0</v>
      </c>
      <c r="AN81" s="100">
        <f t="shared" si="58"/>
        <v>0</v>
      </c>
      <c r="AO81" s="101">
        <f t="shared" si="59"/>
        <v>-14.100006365878889</v>
      </c>
      <c r="AP81" s="102"/>
      <c r="AQ81" s="103">
        <f t="shared" si="8"/>
        <v>0</v>
      </c>
      <c r="AR81" s="104">
        <f t="shared" si="37"/>
        <v>128.94</v>
      </c>
      <c r="AS81" s="104">
        <f t="shared" si="10"/>
        <v>0</v>
      </c>
      <c r="AT81" s="104">
        <f t="shared" si="11"/>
        <v>0</v>
      </c>
      <c r="AU81" s="104">
        <f t="shared" si="60"/>
        <v>0</v>
      </c>
      <c r="AV81" s="104">
        <f t="array" ref="AV81">_xlfn.IFS(U81=0,AO81,U81&lt;0,AO81/-U81,U81&gt;0,AO81/U81)</f>
        <v>-14.100006365878889</v>
      </c>
      <c r="AW81" s="244">
        <f t="shared" si="45"/>
        <v>0</v>
      </c>
      <c r="AX81" s="244">
        <f t="shared" si="46"/>
        <v>-0.10935323689994485</v>
      </c>
      <c r="AY81" s="105"/>
      <c r="AZ81" s="100">
        <f t="shared" si="14"/>
        <v>-690.90031192806555</v>
      </c>
    </row>
    <row r="82" spans="1:52" outlineLevel="1">
      <c r="A82" s="95" t="s">
        <v>124</v>
      </c>
      <c r="B82" s="96">
        <v>507102327</v>
      </c>
      <c r="C82" s="96" t="s">
        <v>204</v>
      </c>
      <c r="D82" s="97" t="s">
        <v>84</v>
      </c>
      <c r="E82" s="242">
        <f t="shared" si="47"/>
        <v>49</v>
      </c>
      <c r="F82" s="99"/>
      <c r="G82" s="99"/>
      <c r="H82" s="282">
        <v>49</v>
      </c>
      <c r="I82" s="99"/>
      <c r="J82" s="99"/>
      <c r="K82" s="99">
        <v>128.94</v>
      </c>
      <c r="L82" s="98">
        <f t="shared" si="44"/>
        <v>6318.0599999999995</v>
      </c>
      <c r="M82" s="95"/>
      <c r="N82" s="95">
        <v>0</v>
      </c>
      <c r="O82" s="95">
        <v>0</v>
      </c>
      <c r="P82" s="95">
        <v>0</v>
      </c>
      <c r="Q82" s="243">
        <f t="shared" si="48"/>
        <v>0</v>
      </c>
      <c r="R82" s="98">
        <f t="shared" si="49"/>
        <v>0</v>
      </c>
      <c r="S82" s="99">
        <v>0</v>
      </c>
      <c r="T82" s="99">
        <v>0</v>
      </c>
      <c r="U82" s="98">
        <f t="shared" si="50"/>
        <v>0</v>
      </c>
      <c r="V82" s="99">
        <v>0</v>
      </c>
      <c r="W82" s="99">
        <v>0</v>
      </c>
      <c r="X82" s="98">
        <f t="shared" si="51"/>
        <v>0</v>
      </c>
      <c r="Y82" s="99">
        <v>0</v>
      </c>
      <c r="Z82" s="99">
        <v>0</v>
      </c>
      <c r="AA82" s="98">
        <f t="shared" si="52"/>
        <v>0</v>
      </c>
      <c r="AB82" s="98">
        <f t="shared" si="53"/>
        <v>0</v>
      </c>
      <c r="AC82" s="244">
        <f t="shared" si="54"/>
        <v>0</v>
      </c>
      <c r="AD82" s="98">
        <f t="shared" si="55"/>
        <v>0</v>
      </c>
      <c r="AE82" s="99">
        <v>0</v>
      </c>
      <c r="AF82" s="244">
        <f t="shared" si="56"/>
        <v>0</v>
      </c>
      <c r="AG82" s="99">
        <v>0</v>
      </c>
      <c r="AH82" s="99"/>
      <c r="AI82" s="99"/>
      <c r="AJ82" s="99"/>
      <c r="AK82" s="99"/>
      <c r="AL82" s="128">
        <f t="shared" si="57"/>
        <v>14.100006365878889</v>
      </c>
      <c r="AM82" s="99">
        <v>0</v>
      </c>
      <c r="AN82" s="100">
        <f t="shared" si="58"/>
        <v>0</v>
      </c>
      <c r="AO82" s="101">
        <f t="shared" si="59"/>
        <v>-14.100006365878889</v>
      </c>
      <c r="AP82" s="102"/>
      <c r="AQ82" s="103">
        <f t="shared" si="8"/>
        <v>0</v>
      </c>
      <c r="AR82" s="104">
        <f t="shared" si="37"/>
        <v>128.94</v>
      </c>
      <c r="AS82" s="104">
        <f t="shared" si="10"/>
        <v>0</v>
      </c>
      <c r="AT82" s="104">
        <f t="shared" si="11"/>
        <v>0</v>
      </c>
      <c r="AU82" s="104">
        <f t="shared" si="60"/>
        <v>0</v>
      </c>
      <c r="AV82" s="104">
        <f t="array" ref="AV82">_xlfn.IFS(U82=0,AO82,U82&lt;0,AO82/-U82,U82&gt;0,AO82/U82)</f>
        <v>-14.100006365878889</v>
      </c>
      <c r="AW82" s="244">
        <f t="shared" si="45"/>
        <v>0</v>
      </c>
      <c r="AX82" s="244">
        <f t="shared" si="46"/>
        <v>-0.10935323689994485</v>
      </c>
      <c r="AY82" s="105"/>
      <c r="AZ82" s="100">
        <f t="shared" si="14"/>
        <v>-690.90031192806555</v>
      </c>
    </row>
    <row r="83" spans="1:52" outlineLevel="1">
      <c r="A83" s="95" t="s">
        <v>124</v>
      </c>
      <c r="B83" s="96">
        <v>507098553</v>
      </c>
      <c r="C83" s="96" t="s">
        <v>205</v>
      </c>
      <c r="D83" s="97" t="s">
        <v>84</v>
      </c>
      <c r="E83" s="242">
        <f t="shared" si="47"/>
        <v>48</v>
      </c>
      <c r="F83" s="99"/>
      <c r="G83" s="99"/>
      <c r="H83" s="282">
        <v>48</v>
      </c>
      <c r="I83" s="99"/>
      <c r="J83" s="99"/>
      <c r="K83" s="99">
        <v>123.09</v>
      </c>
      <c r="L83" s="98">
        <f t="shared" si="44"/>
        <v>5908.32</v>
      </c>
      <c r="M83" s="95"/>
      <c r="N83" s="95">
        <v>0</v>
      </c>
      <c r="O83" s="95">
        <v>0</v>
      </c>
      <c r="P83" s="95">
        <v>0</v>
      </c>
      <c r="Q83" s="243">
        <f t="shared" si="48"/>
        <v>0</v>
      </c>
      <c r="R83" s="98">
        <f t="shared" si="49"/>
        <v>0</v>
      </c>
      <c r="S83" s="99">
        <v>0</v>
      </c>
      <c r="T83" s="99">
        <v>0</v>
      </c>
      <c r="U83" s="98">
        <f t="shared" si="50"/>
        <v>0</v>
      </c>
      <c r="V83" s="99">
        <v>0</v>
      </c>
      <c r="W83" s="99">
        <v>0</v>
      </c>
      <c r="X83" s="98">
        <f t="shared" si="51"/>
        <v>0</v>
      </c>
      <c r="Y83" s="99">
        <v>0</v>
      </c>
      <c r="Z83" s="99">
        <v>0</v>
      </c>
      <c r="AA83" s="98">
        <f t="shared" si="52"/>
        <v>0</v>
      </c>
      <c r="AB83" s="98">
        <f t="shared" si="53"/>
        <v>0</v>
      </c>
      <c r="AC83" s="244">
        <f t="shared" si="54"/>
        <v>0</v>
      </c>
      <c r="AD83" s="98">
        <f t="shared" si="55"/>
        <v>0</v>
      </c>
      <c r="AE83" s="99">
        <v>0</v>
      </c>
      <c r="AF83" s="244">
        <f t="shared" si="56"/>
        <v>0</v>
      </c>
      <c r="AG83" s="99">
        <v>0</v>
      </c>
      <c r="AH83" s="99"/>
      <c r="AI83" s="99"/>
      <c r="AJ83" s="99"/>
      <c r="AK83" s="99"/>
      <c r="AL83" s="128">
        <f t="shared" si="57"/>
        <v>13.812251133922176</v>
      </c>
      <c r="AM83" s="99">
        <v>0</v>
      </c>
      <c r="AN83" s="100">
        <f t="shared" si="58"/>
        <v>0</v>
      </c>
      <c r="AO83" s="101">
        <f t="shared" si="59"/>
        <v>-13.812251133922176</v>
      </c>
      <c r="AP83" s="102"/>
      <c r="AQ83" s="103">
        <f t="shared" si="8"/>
        <v>0</v>
      </c>
      <c r="AR83" s="104">
        <f t="shared" si="37"/>
        <v>123.09</v>
      </c>
      <c r="AS83" s="104">
        <f t="shared" si="10"/>
        <v>0</v>
      </c>
      <c r="AT83" s="104">
        <f t="shared" si="11"/>
        <v>0</v>
      </c>
      <c r="AU83" s="104">
        <f t="shared" si="60"/>
        <v>0</v>
      </c>
      <c r="AV83" s="104">
        <f t="array" ref="AV83">_xlfn.IFS(U83=0,AO83,U83&lt;0,AO83/-U83,U83&gt;0,AO83/U83)</f>
        <v>-13.812251133922176</v>
      </c>
      <c r="AW83" s="244">
        <f t="shared" si="45"/>
        <v>0</v>
      </c>
      <c r="AX83" s="244">
        <f t="shared" si="46"/>
        <v>-0.11221261787246872</v>
      </c>
      <c r="AY83" s="105"/>
      <c r="AZ83" s="100">
        <f t="shared" si="14"/>
        <v>-662.98805442826449</v>
      </c>
    </row>
    <row r="84" spans="1:52" outlineLevel="1">
      <c r="A84" s="95" t="s">
        <v>124</v>
      </c>
      <c r="B84" s="96">
        <v>507097715</v>
      </c>
      <c r="C84" s="96" t="s">
        <v>206</v>
      </c>
      <c r="D84" s="97" t="s">
        <v>84</v>
      </c>
      <c r="E84" s="242">
        <f t="shared" si="47"/>
        <v>46</v>
      </c>
      <c r="F84" s="99"/>
      <c r="G84" s="99"/>
      <c r="H84" s="282">
        <v>46</v>
      </c>
      <c r="I84" s="99"/>
      <c r="J84" s="99"/>
      <c r="K84" s="99">
        <v>146.49</v>
      </c>
      <c r="L84" s="98">
        <f t="shared" si="44"/>
        <v>6738.5400000000009</v>
      </c>
      <c r="M84" s="95"/>
      <c r="N84" s="95">
        <v>0</v>
      </c>
      <c r="O84" s="95">
        <v>0</v>
      </c>
      <c r="P84" s="95">
        <v>0</v>
      </c>
      <c r="Q84" s="243">
        <f t="shared" si="48"/>
        <v>0</v>
      </c>
      <c r="R84" s="98">
        <f t="shared" si="49"/>
        <v>0</v>
      </c>
      <c r="S84" s="99">
        <v>0</v>
      </c>
      <c r="T84" s="99">
        <v>0</v>
      </c>
      <c r="U84" s="98">
        <f t="shared" si="50"/>
        <v>0</v>
      </c>
      <c r="V84" s="99">
        <v>0</v>
      </c>
      <c r="W84" s="99">
        <v>0</v>
      </c>
      <c r="X84" s="98">
        <f t="shared" si="51"/>
        <v>0</v>
      </c>
      <c r="Y84" s="99">
        <v>0</v>
      </c>
      <c r="Z84" s="99">
        <v>0</v>
      </c>
      <c r="AA84" s="98">
        <f t="shared" si="52"/>
        <v>0</v>
      </c>
      <c r="AB84" s="98">
        <f t="shared" si="53"/>
        <v>0</v>
      </c>
      <c r="AC84" s="244">
        <f t="shared" si="54"/>
        <v>0</v>
      </c>
      <c r="AD84" s="98">
        <f t="shared" si="55"/>
        <v>0</v>
      </c>
      <c r="AE84" s="99">
        <v>0</v>
      </c>
      <c r="AF84" s="244">
        <f t="shared" si="56"/>
        <v>0</v>
      </c>
      <c r="AG84" s="99">
        <v>0</v>
      </c>
      <c r="AH84" s="99"/>
      <c r="AI84" s="99"/>
      <c r="AJ84" s="99"/>
      <c r="AK84" s="99"/>
      <c r="AL84" s="128">
        <f t="shared" si="57"/>
        <v>13.236740670008754</v>
      </c>
      <c r="AM84" s="99">
        <v>0</v>
      </c>
      <c r="AN84" s="100">
        <f t="shared" si="58"/>
        <v>0</v>
      </c>
      <c r="AO84" s="101">
        <f t="shared" si="59"/>
        <v>-13.236740670008754</v>
      </c>
      <c r="AP84" s="102"/>
      <c r="AQ84" s="103">
        <f t="shared" si="8"/>
        <v>0</v>
      </c>
      <c r="AR84" s="104">
        <f t="shared" si="37"/>
        <v>146.49</v>
      </c>
      <c r="AS84" s="104">
        <f t="shared" si="10"/>
        <v>0</v>
      </c>
      <c r="AT84" s="104">
        <f t="shared" si="11"/>
        <v>0</v>
      </c>
      <c r="AU84" s="104">
        <f t="shared" si="60"/>
        <v>0</v>
      </c>
      <c r="AV84" s="104">
        <f t="array" ref="AV84">_xlfn.IFS(U84=0,AO84,U84&lt;0,AO84/-U84,U84&gt;0,AO84/U84)</f>
        <v>-13.236740670008754</v>
      </c>
      <c r="AW84" s="244">
        <f t="shared" si="45"/>
        <v>0</v>
      </c>
      <c r="AX84" s="244">
        <f t="shared" si="46"/>
        <v>-9.0359346508353824E-2</v>
      </c>
      <c r="AY84" s="105"/>
      <c r="AZ84" s="100">
        <f t="shared" si="14"/>
        <v>-608.89007082040268</v>
      </c>
    </row>
    <row r="85" spans="1:52" outlineLevel="1">
      <c r="A85" s="95" t="s">
        <v>124</v>
      </c>
      <c r="B85" s="96">
        <v>507115441</v>
      </c>
      <c r="C85" s="96" t="s">
        <v>207</v>
      </c>
      <c r="D85" s="97" t="s">
        <v>84</v>
      </c>
      <c r="E85" s="242">
        <f t="shared" si="47"/>
        <v>42</v>
      </c>
      <c r="F85" s="99"/>
      <c r="G85" s="99"/>
      <c r="H85" s="282">
        <v>42</v>
      </c>
      <c r="I85" s="99"/>
      <c r="J85" s="99"/>
      <c r="K85" s="99">
        <v>103.2</v>
      </c>
      <c r="L85" s="98">
        <f t="shared" si="44"/>
        <v>4334.4000000000005</v>
      </c>
      <c r="M85" s="95"/>
      <c r="N85" s="95">
        <v>1</v>
      </c>
      <c r="O85" s="95">
        <v>1080</v>
      </c>
      <c r="P85" s="95">
        <v>0</v>
      </c>
      <c r="Q85" s="243">
        <f t="shared" si="48"/>
        <v>0.33333333333333331</v>
      </c>
      <c r="R85" s="98">
        <f t="shared" si="49"/>
        <v>0</v>
      </c>
      <c r="S85" s="99">
        <v>0</v>
      </c>
      <c r="T85" s="99">
        <v>0</v>
      </c>
      <c r="U85" s="98">
        <f t="shared" si="50"/>
        <v>0</v>
      </c>
      <c r="V85" s="99">
        <v>0</v>
      </c>
      <c r="W85" s="99">
        <v>0</v>
      </c>
      <c r="X85" s="98">
        <f t="shared" si="51"/>
        <v>0</v>
      </c>
      <c r="Y85" s="99">
        <v>0</v>
      </c>
      <c r="Z85" s="99">
        <v>0</v>
      </c>
      <c r="AA85" s="98">
        <f t="shared" si="52"/>
        <v>0</v>
      </c>
      <c r="AB85" s="98">
        <f t="shared" si="53"/>
        <v>0</v>
      </c>
      <c r="AC85" s="244">
        <f t="shared" si="54"/>
        <v>0</v>
      </c>
      <c r="AD85" s="98">
        <f t="shared" si="55"/>
        <v>0</v>
      </c>
      <c r="AE85" s="99">
        <v>0</v>
      </c>
      <c r="AF85" s="244">
        <f t="shared" si="56"/>
        <v>0</v>
      </c>
      <c r="AG85" s="99">
        <v>91.81</v>
      </c>
      <c r="AH85" s="99"/>
      <c r="AI85" s="99"/>
      <c r="AJ85" s="99"/>
      <c r="AK85" s="99"/>
      <c r="AL85" s="128">
        <f t="shared" si="57"/>
        <v>12.085719742181904</v>
      </c>
      <c r="AM85" s="99">
        <v>0</v>
      </c>
      <c r="AN85" s="100">
        <f t="shared" si="58"/>
        <v>0</v>
      </c>
      <c r="AO85" s="101">
        <f t="shared" si="59"/>
        <v>-103.89571974218191</v>
      </c>
      <c r="AP85" s="102"/>
      <c r="AQ85" s="103">
        <f t="shared" si="8"/>
        <v>0</v>
      </c>
      <c r="AR85" s="104">
        <f t="shared" si="37"/>
        <v>103.2</v>
      </c>
      <c r="AS85" s="104">
        <f t="shared" si="10"/>
        <v>0</v>
      </c>
      <c r="AT85" s="104">
        <f t="shared" si="11"/>
        <v>91.81</v>
      </c>
      <c r="AU85" s="104">
        <f t="shared" si="60"/>
        <v>0</v>
      </c>
      <c r="AV85" s="104">
        <f t="array" ref="AV85">_xlfn.IFS(U85=0,AO85,U85&lt;0,AO85/-U85,U85&gt;0,AO85/U85)</f>
        <v>-103.89571974218191</v>
      </c>
      <c r="AW85" s="244">
        <f t="shared" si="45"/>
        <v>0</v>
      </c>
      <c r="AX85" s="244">
        <f t="shared" si="46"/>
        <v>-1.0067414703699797</v>
      </c>
      <c r="AY85" s="105"/>
      <c r="AZ85" s="100">
        <f t="shared" si="14"/>
        <v>-4363.6202291716399</v>
      </c>
    </row>
    <row r="86" spans="1:52" outlineLevel="1">
      <c r="A86" s="95" t="s">
        <v>124</v>
      </c>
      <c r="B86" s="96">
        <v>507115668</v>
      </c>
      <c r="C86" s="96" t="s">
        <v>208</v>
      </c>
      <c r="D86" s="97" t="s">
        <v>84</v>
      </c>
      <c r="E86" s="242">
        <f t="shared" si="47"/>
        <v>49</v>
      </c>
      <c r="F86" s="99"/>
      <c r="G86" s="99"/>
      <c r="H86" s="282">
        <v>49</v>
      </c>
      <c r="I86" s="99"/>
      <c r="J86" s="99"/>
      <c r="K86" s="99">
        <v>150</v>
      </c>
      <c r="L86" s="98">
        <f t="shared" si="44"/>
        <v>7350</v>
      </c>
      <c r="M86" s="95"/>
      <c r="N86" s="95">
        <v>0</v>
      </c>
      <c r="O86" s="95">
        <v>0</v>
      </c>
      <c r="P86" s="95">
        <v>0</v>
      </c>
      <c r="Q86" s="243">
        <f t="shared" si="48"/>
        <v>0</v>
      </c>
      <c r="R86" s="98">
        <f t="shared" si="49"/>
        <v>0</v>
      </c>
      <c r="S86" s="99">
        <v>0</v>
      </c>
      <c r="T86" s="99">
        <v>0</v>
      </c>
      <c r="U86" s="98">
        <f t="shared" si="50"/>
        <v>0</v>
      </c>
      <c r="V86" s="99">
        <v>0</v>
      </c>
      <c r="W86" s="99">
        <v>0</v>
      </c>
      <c r="X86" s="98">
        <f t="shared" si="51"/>
        <v>0</v>
      </c>
      <c r="Y86" s="99">
        <v>0</v>
      </c>
      <c r="Z86" s="99">
        <v>0</v>
      </c>
      <c r="AA86" s="98">
        <f t="shared" si="52"/>
        <v>0</v>
      </c>
      <c r="AB86" s="98">
        <f t="shared" si="53"/>
        <v>0</v>
      </c>
      <c r="AC86" s="244">
        <f t="shared" si="54"/>
        <v>0</v>
      </c>
      <c r="AD86" s="98">
        <f t="shared" si="55"/>
        <v>0</v>
      </c>
      <c r="AE86" s="99">
        <v>0</v>
      </c>
      <c r="AF86" s="244">
        <f t="shared" si="56"/>
        <v>0</v>
      </c>
      <c r="AG86" s="99">
        <v>0</v>
      </c>
      <c r="AH86" s="99"/>
      <c r="AI86" s="99"/>
      <c r="AJ86" s="99"/>
      <c r="AK86" s="99"/>
      <c r="AL86" s="128">
        <f t="shared" si="57"/>
        <v>14.100006365878889</v>
      </c>
      <c r="AM86" s="99">
        <v>0</v>
      </c>
      <c r="AN86" s="100">
        <f t="shared" si="58"/>
        <v>0</v>
      </c>
      <c r="AO86" s="101">
        <f t="shared" si="59"/>
        <v>-14.100006365878889</v>
      </c>
      <c r="AP86" s="102"/>
      <c r="AQ86" s="103">
        <f t="shared" si="8"/>
        <v>0</v>
      </c>
      <c r="AR86" s="104">
        <f t="shared" si="37"/>
        <v>150</v>
      </c>
      <c r="AS86" s="104">
        <f t="shared" si="10"/>
        <v>0</v>
      </c>
      <c r="AT86" s="104">
        <f t="shared" si="11"/>
        <v>0</v>
      </c>
      <c r="AU86" s="104">
        <f t="shared" si="60"/>
        <v>0</v>
      </c>
      <c r="AV86" s="104">
        <f t="array" ref="AV86">_xlfn.IFS(U86=0,AO86,U86&lt;0,AO86/-U86,U86&gt;0,AO86/U86)</f>
        <v>-14.100006365878889</v>
      </c>
      <c r="AW86" s="244">
        <f t="shared" si="45"/>
        <v>0</v>
      </c>
      <c r="AX86" s="244">
        <f t="shared" si="46"/>
        <v>-9.4000042439192591E-2</v>
      </c>
      <c r="AY86" s="105"/>
      <c r="AZ86" s="100">
        <f t="shared" si="14"/>
        <v>-690.90031192806555</v>
      </c>
    </row>
    <row r="87" spans="1:52" outlineLevel="1">
      <c r="A87" s="95" t="s">
        <v>124</v>
      </c>
      <c r="B87" s="96">
        <v>507116209</v>
      </c>
      <c r="C87" s="96" t="s">
        <v>209</v>
      </c>
      <c r="D87" s="97" t="s">
        <v>84</v>
      </c>
      <c r="E87" s="242">
        <f t="shared" si="47"/>
        <v>46</v>
      </c>
      <c r="F87" s="99"/>
      <c r="G87" s="99"/>
      <c r="H87" s="282">
        <v>46</v>
      </c>
      <c r="I87" s="99"/>
      <c r="J87" s="99"/>
      <c r="K87" s="99">
        <v>150</v>
      </c>
      <c r="L87" s="98">
        <f t="shared" si="44"/>
        <v>6900</v>
      </c>
      <c r="M87" s="95"/>
      <c r="N87" s="95">
        <v>0</v>
      </c>
      <c r="O87" s="95">
        <v>0</v>
      </c>
      <c r="P87" s="95">
        <v>0</v>
      </c>
      <c r="Q87" s="243">
        <f t="shared" si="48"/>
        <v>0</v>
      </c>
      <c r="R87" s="98">
        <f t="shared" si="49"/>
        <v>0</v>
      </c>
      <c r="S87" s="99">
        <v>0</v>
      </c>
      <c r="T87" s="99">
        <v>0</v>
      </c>
      <c r="U87" s="98">
        <f t="shared" si="50"/>
        <v>0</v>
      </c>
      <c r="V87" s="99">
        <v>0</v>
      </c>
      <c r="W87" s="99">
        <v>0</v>
      </c>
      <c r="X87" s="98">
        <f t="shared" si="51"/>
        <v>0</v>
      </c>
      <c r="Y87" s="99">
        <v>0</v>
      </c>
      <c r="Z87" s="99">
        <v>0</v>
      </c>
      <c r="AA87" s="98">
        <f t="shared" si="52"/>
        <v>0</v>
      </c>
      <c r="AB87" s="98">
        <f t="shared" si="53"/>
        <v>0</v>
      </c>
      <c r="AC87" s="244">
        <f t="shared" si="54"/>
        <v>0</v>
      </c>
      <c r="AD87" s="98">
        <f t="shared" si="55"/>
        <v>0</v>
      </c>
      <c r="AE87" s="99">
        <v>0</v>
      </c>
      <c r="AF87" s="244">
        <f t="shared" si="56"/>
        <v>0</v>
      </c>
      <c r="AG87" s="99">
        <v>0</v>
      </c>
      <c r="AH87" s="99"/>
      <c r="AI87" s="99"/>
      <c r="AJ87" s="99"/>
      <c r="AK87" s="99"/>
      <c r="AL87" s="128">
        <f t="shared" si="57"/>
        <v>13.236740670008754</v>
      </c>
      <c r="AM87" s="99">
        <v>0</v>
      </c>
      <c r="AN87" s="100">
        <f t="shared" si="58"/>
        <v>0</v>
      </c>
      <c r="AO87" s="101">
        <f t="shared" si="59"/>
        <v>-13.236740670008754</v>
      </c>
      <c r="AP87" s="102"/>
      <c r="AQ87" s="103">
        <f t="shared" si="8"/>
        <v>0</v>
      </c>
      <c r="AR87" s="104">
        <f t="shared" si="37"/>
        <v>150</v>
      </c>
      <c r="AS87" s="104">
        <f t="shared" si="10"/>
        <v>0</v>
      </c>
      <c r="AT87" s="104">
        <f t="shared" si="11"/>
        <v>0</v>
      </c>
      <c r="AU87" s="104">
        <f t="shared" si="60"/>
        <v>0</v>
      </c>
      <c r="AV87" s="104">
        <f t="array" ref="AV87">_xlfn.IFS(U87=0,AO87,U87&lt;0,AO87/-U87,U87&gt;0,AO87/U87)</f>
        <v>-13.236740670008754</v>
      </c>
      <c r="AW87" s="244">
        <f t="shared" si="45"/>
        <v>0</v>
      </c>
      <c r="AX87" s="244">
        <f t="shared" si="46"/>
        <v>-8.8244937800058362E-2</v>
      </c>
      <c r="AY87" s="105"/>
      <c r="AZ87" s="100">
        <f t="shared" si="14"/>
        <v>-608.89007082040268</v>
      </c>
    </row>
    <row r="88" spans="1:52" outlineLevel="1">
      <c r="A88" s="95" t="s">
        <v>124</v>
      </c>
      <c r="B88" s="96">
        <v>507115918</v>
      </c>
      <c r="C88" s="96" t="s">
        <v>210</v>
      </c>
      <c r="D88" s="97" t="s">
        <v>84</v>
      </c>
      <c r="E88" s="242">
        <f t="shared" si="47"/>
        <v>31</v>
      </c>
      <c r="F88" s="99"/>
      <c r="G88" s="99"/>
      <c r="H88" s="282">
        <v>31</v>
      </c>
      <c r="I88" s="99"/>
      <c r="J88" s="99"/>
      <c r="K88" s="99">
        <v>150</v>
      </c>
      <c r="L88" s="98">
        <f t="shared" si="44"/>
        <v>4650</v>
      </c>
      <c r="M88" s="95"/>
      <c r="N88" s="95">
        <v>5</v>
      </c>
      <c r="O88" s="95">
        <v>1347</v>
      </c>
      <c r="P88" s="95">
        <v>40</v>
      </c>
      <c r="Q88" s="243">
        <f t="shared" si="48"/>
        <v>1.6666666666666667</v>
      </c>
      <c r="R88" s="98">
        <f t="shared" si="49"/>
        <v>0.33333333333333331</v>
      </c>
      <c r="S88" s="99">
        <v>1</v>
      </c>
      <c r="T88" s="99">
        <v>0</v>
      </c>
      <c r="U88" s="98">
        <f t="shared" si="50"/>
        <v>1</v>
      </c>
      <c r="V88" s="99">
        <v>1152</v>
      </c>
      <c r="W88" s="99">
        <v>0</v>
      </c>
      <c r="X88" s="98">
        <f t="shared" si="51"/>
        <v>1152</v>
      </c>
      <c r="Y88" s="99">
        <v>1347</v>
      </c>
      <c r="Z88" s="99">
        <v>0</v>
      </c>
      <c r="AA88" s="98">
        <f t="shared" si="52"/>
        <v>1347</v>
      </c>
      <c r="AB88" s="98">
        <f t="shared" si="53"/>
        <v>2694</v>
      </c>
      <c r="AC88" s="244">
        <f t="shared" si="54"/>
        <v>1.0248133405590155E-2</v>
      </c>
      <c r="AD88" s="98">
        <f t="shared" si="55"/>
        <v>150</v>
      </c>
      <c r="AE88" s="99">
        <v>496.69000000000005</v>
      </c>
      <c r="AF88" s="244">
        <f t="shared" si="56"/>
        <v>0.36873793615441725</v>
      </c>
      <c r="AG88" s="99">
        <v>498.12</v>
      </c>
      <c r="AH88" s="99"/>
      <c r="AI88" s="99"/>
      <c r="AJ88" s="99"/>
      <c r="AK88" s="99"/>
      <c r="AL88" s="128">
        <f t="shared" si="57"/>
        <v>8.9204121906580713</v>
      </c>
      <c r="AM88" s="99">
        <v>0</v>
      </c>
      <c r="AN88" s="100">
        <f t="shared" si="58"/>
        <v>65.779200000000003</v>
      </c>
      <c r="AO88" s="101">
        <f t="shared" si="59"/>
        <v>127.49038780934185</v>
      </c>
      <c r="AP88" s="102"/>
      <c r="AQ88" s="103">
        <f t="shared" si="8"/>
        <v>1347</v>
      </c>
      <c r="AR88" s="104">
        <f t="shared" si="37"/>
        <v>150</v>
      </c>
      <c r="AS88" s="104">
        <f t="shared" si="10"/>
        <v>496.69000000000005</v>
      </c>
      <c r="AT88" s="104">
        <f t="shared" si="11"/>
        <v>498.12</v>
      </c>
      <c r="AU88" s="104">
        <f t="shared" si="60"/>
        <v>0</v>
      </c>
      <c r="AV88" s="104">
        <f t="array" ref="AV88">_xlfn.IFS(U88=0,AO88,U88&lt;0,AO88/-U88,U88&gt;0,AO88/U88)</f>
        <v>127.49038780934185</v>
      </c>
      <c r="AW88" s="244">
        <f t="shared" si="45"/>
        <v>9.4647652419704423E-2</v>
      </c>
      <c r="AX88" s="244">
        <f t="shared" si="46"/>
        <v>0.84993591872894569</v>
      </c>
      <c r="AY88" s="105"/>
      <c r="AZ88" s="100">
        <f t="shared" si="14"/>
        <v>3952.2020220895974</v>
      </c>
    </row>
    <row r="89" spans="1:52" outlineLevel="1">
      <c r="A89" s="95" t="s">
        <v>124</v>
      </c>
      <c r="B89" s="96">
        <v>507113512</v>
      </c>
      <c r="C89" s="96" t="s">
        <v>211</v>
      </c>
      <c r="D89" s="97" t="s">
        <v>84</v>
      </c>
      <c r="E89" s="242">
        <f t="shared" si="47"/>
        <v>46</v>
      </c>
      <c r="F89" s="99"/>
      <c r="G89" s="99"/>
      <c r="H89" s="282">
        <v>46</v>
      </c>
      <c r="I89" s="99"/>
      <c r="J89" s="99"/>
      <c r="K89" s="99">
        <v>169.89</v>
      </c>
      <c r="L89" s="98">
        <f t="shared" si="44"/>
        <v>7814.94</v>
      </c>
      <c r="M89" s="95"/>
      <c r="N89" s="95">
        <v>0</v>
      </c>
      <c r="O89" s="95">
        <v>0</v>
      </c>
      <c r="P89" s="95">
        <v>0</v>
      </c>
      <c r="Q89" s="243">
        <f t="shared" si="48"/>
        <v>0</v>
      </c>
      <c r="R89" s="98">
        <f t="shared" si="49"/>
        <v>0</v>
      </c>
      <c r="S89" s="99">
        <v>0</v>
      </c>
      <c r="T89" s="99">
        <v>0</v>
      </c>
      <c r="U89" s="98">
        <f t="shared" si="50"/>
        <v>0</v>
      </c>
      <c r="V89" s="99">
        <v>0</v>
      </c>
      <c r="W89" s="99">
        <v>0</v>
      </c>
      <c r="X89" s="98">
        <f t="shared" si="51"/>
        <v>0</v>
      </c>
      <c r="Y89" s="99">
        <v>0</v>
      </c>
      <c r="Z89" s="99">
        <v>0</v>
      </c>
      <c r="AA89" s="98">
        <f t="shared" si="52"/>
        <v>0</v>
      </c>
      <c r="AB89" s="98">
        <f t="shared" si="53"/>
        <v>0</v>
      </c>
      <c r="AC89" s="244">
        <f t="shared" si="54"/>
        <v>0</v>
      </c>
      <c r="AD89" s="98">
        <f t="shared" si="55"/>
        <v>0</v>
      </c>
      <c r="AE89" s="99">
        <v>0</v>
      </c>
      <c r="AF89" s="244">
        <f t="shared" si="56"/>
        <v>0</v>
      </c>
      <c r="AG89" s="99">
        <v>0</v>
      </c>
      <c r="AH89" s="99"/>
      <c r="AI89" s="99"/>
      <c r="AJ89" s="99"/>
      <c r="AK89" s="99"/>
      <c r="AL89" s="128">
        <f t="shared" si="57"/>
        <v>13.236740670008754</v>
      </c>
      <c r="AM89" s="99">
        <v>0</v>
      </c>
      <c r="AN89" s="100">
        <f t="shared" si="58"/>
        <v>0</v>
      </c>
      <c r="AO89" s="101">
        <f t="shared" si="59"/>
        <v>-13.236740670008754</v>
      </c>
      <c r="AP89" s="102"/>
      <c r="AQ89" s="103">
        <f t="shared" si="8"/>
        <v>0</v>
      </c>
      <c r="AR89" s="104">
        <f t="shared" si="37"/>
        <v>169.89</v>
      </c>
      <c r="AS89" s="104">
        <f t="shared" si="10"/>
        <v>0</v>
      </c>
      <c r="AT89" s="104">
        <f t="shared" si="11"/>
        <v>0</v>
      </c>
      <c r="AU89" s="104">
        <f t="shared" si="60"/>
        <v>0</v>
      </c>
      <c r="AV89" s="104">
        <f t="array" ref="AV89">_xlfn.IFS(U89=0,AO89,U89&lt;0,AO89/-U89,U89&gt;0,AO89/U89)</f>
        <v>-13.236740670008754</v>
      </c>
      <c r="AW89" s="244">
        <f t="shared" si="45"/>
        <v>0</v>
      </c>
      <c r="AX89" s="244">
        <f t="shared" si="46"/>
        <v>-7.7913595090992729E-2</v>
      </c>
      <c r="AY89" s="105"/>
      <c r="AZ89" s="100">
        <f t="shared" si="14"/>
        <v>-608.89007082040268</v>
      </c>
    </row>
    <row r="90" spans="1:52" outlineLevel="1">
      <c r="A90" s="95" t="s">
        <v>124</v>
      </c>
      <c r="B90" s="96">
        <v>507114447</v>
      </c>
      <c r="C90" s="96" t="s">
        <v>212</v>
      </c>
      <c r="D90" s="97" t="s">
        <v>84</v>
      </c>
      <c r="E90" s="242">
        <f t="shared" si="47"/>
        <v>50</v>
      </c>
      <c r="F90" s="99"/>
      <c r="G90" s="99"/>
      <c r="H90" s="282">
        <v>50</v>
      </c>
      <c r="I90" s="99"/>
      <c r="J90" s="99"/>
      <c r="K90" s="99">
        <v>107.88</v>
      </c>
      <c r="L90" s="98">
        <f t="shared" si="44"/>
        <v>5394</v>
      </c>
      <c r="M90" s="95"/>
      <c r="N90" s="95">
        <v>0</v>
      </c>
      <c r="O90" s="95">
        <v>0</v>
      </c>
      <c r="P90" s="95">
        <v>0</v>
      </c>
      <c r="Q90" s="243">
        <f t="shared" si="48"/>
        <v>0</v>
      </c>
      <c r="R90" s="98">
        <f t="shared" si="49"/>
        <v>0</v>
      </c>
      <c r="S90" s="99">
        <v>0</v>
      </c>
      <c r="T90" s="99">
        <v>0</v>
      </c>
      <c r="U90" s="98">
        <f t="shared" si="50"/>
        <v>0</v>
      </c>
      <c r="V90" s="99">
        <v>0</v>
      </c>
      <c r="W90" s="99">
        <v>0</v>
      </c>
      <c r="X90" s="98">
        <f t="shared" si="51"/>
        <v>0</v>
      </c>
      <c r="Y90" s="99">
        <v>0</v>
      </c>
      <c r="Z90" s="99">
        <v>0</v>
      </c>
      <c r="AA90" s="98">
        <f t="shared" si="52"/>
        <v>0</v>
      </c>
      <c r="AB90" s="98">
        <f t="shared" si="53"/>
        <v>0</v>
      </c>
      <c r="AC90" s="244">
        <f t="shared" si="54"/>
        <v>0</v>
      </c>
      <c r="AD90" s="98">
        <f t="shared" si="55"/>
        <v>0</v>
      </c>
      <c r="AE90" s="99">
        <v>0</v>
      </c>
      <c r="AF90" s="244">
        <f t="shared" si="56"/>
        <v>0</v>
      </c>
      <c r="AG90" s="99">
        <v>0</v>
      </c>
      <c r="AH90" s="99"/>
      <c r="AI90" s="99"/>
      <c r="AJ90" s="99"/>
      <c r="AK90" s="99"/>
      <c r="AL90" s="128">
        <f t="shared" si="57"/>
        <v>14.387761597835601</v>
      </c>
      <c r="AM90" s="99">
        <v>0</v>
      </c>
      <c r="AN90" s="100">
        <f t="shared" si="58"/>
        <v>0</v>
      </c>
      <c r="AO90" s="101">
        <f t="shared" si="59"/>
        <v>-14.387761597835601</v>
      </c>
      <c r="AP90" s="102"/>
      <c r="AQ90" s="103">
        <f t="shared" si="8"/>
        <v>0</v>
      </c>
      <c r="AR90" s="104">
        <f t="shared" si="37"/>
        <v>107.88</v>
      </c>
      <c r="AS90" s="104">
        <f t="shared" si="10"/>
        <v>0</v>
      </c>
      <c r="AT90" s="104">
        <f t="shared" si="11"/>
        <v>0</v>
      </c>
      <c r="AU90" s="104">
        <f t="shared" si="60"/>
        <v>0</v>
      </c>
      <c r="AV90" s="104">
        <f t="array" ref="AV90">_xlfn.IFS(U90=0,AO90,U90&lt;0,AO90/-U90,U90&gt;0,AO90/U90)</f>
        <v>-14.387761597835601</v>
      </c>
      <c r="AW90" s="244">
        <f t="shared" si="45"/>
        <v>0</v>
      </c>
      <c r="AX90" s="244">
        <f t="shared" si="46"/>
        <v>-0.13336820168553579</v>
      </c>
      <c r="AY90" s="105"/>
      <c r="AZ90" s="100">
        <f t="shared" si="14"/>
        <v>-719.38807989178008</v>
      </c>
    </row>
    <row r="91" spans="1:52" outlineLevel="1">
      <c r="A91" s="95" t="s">
        <v>124</v>
      </c>
      <c r="B91" s="96">
        <v>507096642</v>
      </c>
      <c r="C91" s="96" t="s">
        <v>213</v>
      </c>
      <c r="D91" s="97" t="s">
        <v>84</v>
      </c>
      <c r="E91" s="242">
        <f t="shared" si="47"/>
        <v>37</v>
      </c>
      <c r="F91" s="99"/>
      <c r="G91" s="99"/>
      <c r="H91" s="282">
        <v>37</v>
      </c>
      <c r="I91" s="99"/>
      <c r="J91" s="99"/>
      <c r="K91" s="99">
        <v>93.84</v>
      </c>
      <c r="L91" s="98">
        <f t="shared" si="44"/>
        <v>3472.08</v>
      </c>
      <c r="M91" s="95"/>
      <c r="N91" s="95">
        <v>0</v>
      </c>
      <c r="O91" s="95">
        <v>0</v>
      </c>
      <c r="P91" s="95">
        <v>0</v>
      </c>
      <c r="Q91" s="243">
        <f t="shared" si="48"/>
        <v>0</v>
      </c>
      <c r="R91" s="98">
        <f t="shared" si="49"/>
        <v>0</v>
      </c>
      <c r="S91" s="99">
        <v>0</v>
      </c>
      <c r="T91" s="99">
        <v>0</v>
      </c>
      <c r="U91" s="98">
        <f t="shared" si="50"/>
        <v>0</v>
      </c>
      <c r="V91" s="99">
        <v>0</v>
      </c>
      <c r="W91" s="99">
        <v>0</v>
      </c>
      <c r="X91" s="98">
        <f t="shared" si="51"/>
        <v>0</v>
      </c>
      <c r="Y91" s="99">
        <v>0</v>
      </c>
      <c r="Z91" s="99">
        <v>0</v>
      </c>
      <c r="AA91" s="98">
        <f t="shared" si="52"/>
        <v>0</v>
      </c>
      <c r="AB91" s="98">
        <f t="shared" si="53"/>
        <v>0</v>
      </c>
      <c r="AC91" s="244">
        <f t="shared" si="54"/>
        <v>0</v>
      </c>
      <c r="AD91" s="98">
        <f t="shared" si="55"/>
        <v>0</v>
      </c>
      <c r="AE91" s="99">
        <v>0</v>
      </c>
      <c r="AF91" s="244">
        <f t="shared" si="56"/>
        <v>0</v>
      </c>
      <c r="AG91" s="99">
        <v>0</v>
      </c>
      <c r="AH91" s="99"/>
      <c r="AI91" s="99"/>
      <c r="AJ91" s="99"/>
      <c r="AK91" s="99"/>
      <c r="AL91" s="128">
        <f t="shared" si="57"/>
        <v>10.646943582398343</v>
      </c>
      <c r="AM91" s="99">
        <v>0</v>
      </c>
      <c r="AN91" s="100">
        <f t="shared" si="58"/>
        <v>0</v>
      </c>
      <c r="AO91" s="101">
        <f t="shared" si="59"/>
        <v>-10.646943582398343</v>
      </c>
      <c r="AP91" s="102"/>
      <c r="AQ91" s="103">
        <f t="shared" si="8"/>
        <v>0</v>
      </c>
      <c r="AR91" s="104">
        <f t="shared" si="37"/>
        <v>93.84</v>
      </c>
      <c r="AS91" s="104">
        <f t="shared" si="10"/>
        <v>0</v>
      </c>
      <c r="AT91" s="104">
        <f t="shared" si="11"/>
        <v>0</v>
      </c>
      <c r="AU91" s="104">
        <f t="shared" si="60"/>
        <v>0</v>
      </c>
      <c r="AV91" s="104">
        <f t="array" ref="AV91">_xlfn.IFS(U91=0,AO91,U91&lt;0,AO91/-U91,U91&gt;0,AO91/U91)</f>
        <v>-10.646943582398343</v>
      </c>
      <c r="AW91" s="244">
        <f t="shared" si="45"/>
        <v>0</v>
      </c>
      <c r="AX91" s="244">
        <f t="shared" si="46"/>
        <v>-0.11345847807329862</v>
      </c>
      <c r="AY91" s="105"/>
      <c r="AZ91" s="100">
        <f t="shared" si="14"/>
        <v>-393.93691254873869</v>
      </c>
    </row>
    <row r="92" spans="1:52" outlineLevel="1">
      <c r="A92" s="95" t="s">
        <v>124</v>
      </c>
      <c r="B92" s="96">
        <v>507100232</v>
      </c>
      <c r="C92" s="96" t="s">
        <v>214</v>
      </c>
      <c r="D92" s="97" t="s">
        <v>84</v>
      </c>
      <c r="E92" s="242">
        <f t="shared" si="47"/>
        <v>49</v>
      </c>
      <c r="F92" s="99"/>
      <c r="G92" s="99"/>
      <c r="H92" s="282">
        <v>49</v>
      </c>
      <c r="I92" s="99"/>
      <c r="J92" s="99"/>
      <c r="K92" s="99">
        <v>139.47</v>
      </c>
      <c r="L92" s="98">
        <f t="shared" si="44"/>
        <v>6834.03</v>
      </c>
      <c r="M92" s="95"/>
      <c r="N92" s="95">
        <v>0</v>
      </c>
      <c r="O92" s="95">
        <v>0</v>
      </c>
      <c r="P92" s="95">
        <v>0</v>
      </c>
      <c r="Q92" s="243">
        <f t="shared" si="48"/>
        <v>0</v>
      </c>
      <c r="R92" s="98">
        <f t="shared" si="49"/>
        <v>0</v>
      </c>
      <c r="S92" s="99">
        <v>0</v>
      </c>
      <c r="T92" s="99">
        <v>0</v>
      </c>
      <c r="U92" s="98">
        <f t="shared" si="50"/>
        <v>0</v>
      </c>
      <c r="V92" s="99">
        <v>0</v>
      </c>
      <c r="W92" s="99">
        <v>0</v>
      </c>
      <c r="X92" s="98">
        <f t="shared" si="51"/>
        <v>0</v>
      </c>
      <c r="Y92" s="99">
        <v>0</v>
      </c>
      <c r="Z92" s="99">
        <v>0</v>
      </c>
      <c r="AA92" s="98">
        <f t="shared" si="52"/>
        <v>0</v>
      </c>
      <c r="AB92" s="98">
        <f t="shared" si="53"/>
        <v>0</v>
      </c>
      <c r="AC92" s="244">
        <f t="shared" si="54"/>
        <v>0</v>
      </c>
      <c r="AD92" s="98">
        <f t="shared" si="55"/>
        <v>0</v>
      </c>
      <c r="AE92" s="99">
        <v>0</v>
      </c>
      <c r="AF92" s="244">
        <f t="shared" si="56"/>
        <v>0</v>
      </c>
      <c r="AG92" s="99">
        <v>0</v>
      </c>
      <c r="AH92" s="99"/>
      <c r="AI92" s="99"/>
      <c r="AJ92" s="99"/>
      <c r="AK92" s="99"/>
      <c r="AL92" s="128">
        <f t="shared" si="57"/>
        <v>14.100006365878889</v>
      </c>
      <c r="AM92" s="99">
        <v>0</v>
      </c>
      <c r="AN92" s="100">
        <f t="shared" si="58"/>
        <v>0</v>
      </c>
      <c r="AO92" s="101">
        <f t="shared" si="59"/>
        <v>-14.100006365878889</v>
      </c>
      <c r="AP92" s="102"/>
      <c r="AQ92" s="103">
        <f t="shared" si="8"/>
        <v>0</v>
      </c>
      <c r="AR92" s="104">
        <f t="shared" si="37"/>
        <v>139.47</v>
      </c>
      <c r="AS92" s="104">
        <f t="shared" si="10"/>
        <v>0</v>
      </c>
      <c r="AT92" s="104">
        <f t="shared" si="11"/>
        <v>0</v>
      </c>
      <c r="AU92" s="104">
        <f t="shared" si="60"/>
        <v>0</v>
      </c>
      <c r="AV92" s="104">
        <f t="array" ref="AV92">_xlfn.IFS(U92=0,AO92,U92&lt;0,AO92/-U92,U92&gt;0,AO92/U92)</f>
        <v>-14.100006365878889</v>
      </c>
      <c r="AW92" s="244">
        <f t="shared" si="45"/>
        <v>0</v>
      </c>
      <c r="AX92" s="244">
        <f t="shared" si="46"/>
        <v>-0.10109705575305721</v>
      </c>
      <c r="AY92" s="105"/>
      <c r="AZ92" s="100">
        <f t="shared" si="14"/>
        <v>-690.90031192806555</v>
      </c>
    </row>
    <row r="93" spans="1:52" outlineLevel="1">
      <c r="A93" s="95" t="s">
        <v>124</v>
      </c>
      <c r="B93" s="96">
        <v>507099885</v>
      </c>
      <c r="C93" s="96" t="s">
        <v>215</v>
      </c>
      <c r="D93" s="97" t="s">
        <v>84</v>
      </c>
      <c r="E93" s="242">
        <f t="shared" si="47"/>
        <v>47</v>
      </c>
      <c r="F93" s="99"/>
      <c r="G93" s="99"/>
      <c r="H93" s="282">
        <v>47</v>
      </c>
      <c r="I93" s="99"/>
      <c r="J93" s="99"/>
      <c r="K93" s="99">
        <v>139.47</v>
      </c>
      <c r="L93" s="98">
        <f t="shared" si="44"/>
        <v>6555.09</v>
      </c>
      <c r="M93" s="95"/>
      <c r="N93" s="95">
        <v>0</v>
      </c>
      <c r="O93" s="95">
        <v>0</v>
      </c>
      <c r="P93" s="95">
        <v>0</v>
      </c>
      <c r="Q93" s="243">
        <f t="shared" si="48"/>
        <v>0</v>
      </c>
      <c r="R93" s="98">
        <f t="shared" si="49"/>
        <v>0</v>
      </c>
      <c r="S93" s="99">
        <v>0</v>
      </c>
      <c r="T93" s="99">
        <v>0</v>
      </c>
      <c r="U93" s="98">
        <f t="shared" si="50"/>
        <v>0</v>
      </c>
      <c r="V93" s="99">
        <v>0</v>
      </c>
      <c r="W93" s="99">
        <v>0</v>
      </c>
      <c r="X93" s="98">
        <f t="shared" si="51"/>
        <v>0</v>
      </c>
      <c r="Y93" s="99">
        <v>0</v>
      </c>
      <c r="Z93" s="99">
        <v>0</v>
      </c>
      <c r="AA93" s="98">
        <f t="shared" si="52"/>
        <v>0</v>
      </c>
      <c r="AB93" s="98">
        <f t="shared" si="53"/>
        <v>0</v>
      </c>
      <c r="AC93" s="244">
        <f t="shared" si="54"/>
        <v>0</v>
      </c>
      <c r="AD93" s="98">
        <f t="shared" si="55"/>
        <v>0</v>
      </c>
      <c r="AE93" s="99">
        <v>0</v>
      </c>
      <c r="AF93" s="244">
        <f t="shared" si="56"/>
        <v>0</v>
      </c>
      <c r="AG93" s="99">
        <v>0</v>
      </c>
      <c r="AH93" s="99"/>
      <c r="AI93" s="99"/>
      <c r="AJ93" s="99"/>
      <c r="AK93" s="99"/>
      <c r="AL93" s="128">
        <f t="shared" si="57"/>
        <v>13.524495901965464</v>
      </c>
      <c r="AM93" s="99">
        <v>0</v>
      </c>
      <c r="AN93" s="100">
        <f t="shared" si="58"/>
        <v>0</v>
      </c>
      <c r="AO93" s="101">
        <f t="shared" si="59"/>
        <v>-13.524495901965464</v>
      </c>
      <c r="AP93" s="102"/>
      <c r="AQ93" s="103">
        <f t="shared" si="8"/>
        <v>0</v>
      </c>
      <c r="AR93" s="104">
        <f t="shared" si="37"/>
        <v>139.47</v>
      </c>
      <c r="AS93" s="104">
        <f t="shared" si="10"/>
        <v>0</v>
      </c>
      <c r="AT93" s="104">
        <f t="shared" si="11"/>
        <v>0</v>
      </c>
      <c r="AU93" s="104">
        <f t="shared" si="60"/>
        <v>0</v>
      </c>
      <c r="AV93" s="104">
        <f t="array" ref="AV93">_xlfn.IFS(U93=0,AO93,U93&lt;0,AO93/-U93,U93&gt;0,AO93/U93)</f>
        <v>-13.524495901965464</v>
      </c>
      <c r="AW93" s="244">
        <f t="shared" si="45"/>
        <v>0</v>
      </c>
      <c r="AX93" s="244">
        <f t="shared" si="46"/>
        <v>-9.6970645314156903E-2</v>
      </c>
      <c r="AY93" s="105"/>
      <c r="AZ93" s="100">
        <f t="shared" si="14"/>
        <v>-635.65130739237679</v>
      </c>
    </row>
    <row r="94" spans="1:52" outlineLevel="1">
      <c r="A94" s="95" t="s">
        <v>124</v>
      </c>
      <c r="B94" s="96">
        <v>342776517</v>
      </c>
      <c r="C94" s="96" t="s">
        <v>216</v>
      </c>
      <c r="D94" s="97" t="s">
        <v>84</v>
      </c>
      <c r="E94" s="242">
        <f t="shared" si="47"/>
        <v>2</v>
      </c>
      <c r="F94" s="99"/>
      <c r="G94" s="99"/>
      <c r="H94" s="282">
        <v>2</v>
      </c>
      <c r="I94" s="99"/>
      <c r="J94" s="99"/>
      <c r="K94" s="99">
        <v>400.08</v>
      </c>
      <c r="L94" s="98">
        <f t="shared" si="44"/>
        <v>800.16</v>
      </c>
      <c r="M94" s="95"/>
      <c r="N94" s="95">
        <v>0</v>
      </c>
      <c r="O94" s="95">
        <v>0</v>
      </c>
      <c r="P94" s="95">
        <v>0</v>
      </c>
      <c r="Q94" s="243">
        <f t="shared" si="48"/>
        <v>0</v>
      </c>
      <c r="R94" s="98">
        <f t="shared" si="49"/>
        <v>0</v>
      </c>
      <c r="S94" s="99">
        <v>0</v>
      </c>
      <c r="T94" s="99">
        <v>0</v>
      </c>
      <c r="U94" s="98">
        <f t="shared" si="50"/>
        <v>0</v>
      </c>
      <c r="V94" s="99">
        <v>0</v>
      </c>
      <c r="W94" s="99">
        <v>0</v>
      </c>
      <c r="X94" s="98">
        <f t="shared" si="51"/>
        <v>0</v>
      </c>
      <c r="Y94" s="99">
        <v>0</v>
      </c>
      <c r="Z94" s="99">
        <v>0</v>
      </c>
      <c r="AA94" s="98">
        <f t="shared" si="52"/>
        <v>0</v>
      </c>
      <c r="AB94" s="98">
        <f t="shared" si="53"/>
        <v>0</v>
      </c>
      <c r="AC94" s="244">
        <f t="shared" si="54"/>
        <v>0</v>
      </c>
      <c r="AD94" s="98">
        <f t="shared" si="55"/>
        <v>0</v>
      </c>
      <c r="AE94" s="99">
        <v>0</v>
      </c>
      <c r="AF94" s="244">
        <f t="shared" si="56"/>
        <v>0</v>
      </c>
      <c r="AG94" s="99">
        <v>0</v>
      </c>
      <c r="AH94" s="99"/>
      <c r="AI94" s="99"/>
      <c r="AJ94" s="99"/>
      <c r="AK94" s="99"/>
      <c r="AL94" s="128">
        <f t="shared" si="57"/>
        <v>0.57551046391342398</v>
      </c>
      <c r="AM94" s="99">
        <v>0</v>
      </c>
      <c r="AN94" s="100">
        <f t="shared" si="58"/>
        <v>0</v>
      </c>
      <c r="AO94" s="101">
        <f t="shared" si="59"/>
        <v>-0.57551046391342398</v>
      </c>
      <c r="AP94" s="102"/>
      <c r="AQ94" s="103">
        <f t="shared" si="8"/>
        <v>0</v>
      </c>
      <c r="AR94" s="104">
        <f t="shared" si="37"/>
        <v>400.08</v>
      </c>
      <c r="AS94" s="104">
        <f t="shared" si="10"/>
        <v>0</v>
      </c>
      <c r="AT94" s="104">
        <f t="shared" si="11"/>
        <v>0</v>
      </c>
      <c r="AU94" s="104">
        <f t="shared" si="60"/>
        <v>0</v>
      </c>
      <c r="AV94" s="104">
        <f t="array" ref="AV94">_xlfn.IFS(U94=0,AO94,U94&lt;0,AO94/-U94,U94&gt;0,AO94/U94)</f>
        <v>-0.57551046391342398</v>
      </c>
      <c r="AW94" s="244">
        <f t="shared" si="45"/>
        <v>0</v>
      </c>
      <c r="AX94" s="244">
        <f t="shared" si="46"/>
        <v>-1.4384884620911417E-3</v>
      </c>
      <c r="AY94" s="105"/>
      <c r="AZ94" s="100">
        <f t="shared" si="14"/>
        <v>-1.151020927826848</v>
      </c>
    </row>
    <row r="95" spans="1:52" outlineLevel="1">
      <c r="A95" s="95" t="s">
        <v>124</v>
      </c>
      <c r="B95" s="96">
        <v>342751979</v>
      </c>
      <c r="C95" s="96" t="s">
        <v>217</v>
      </c>
      <c r="D95" s="97" t="s">
        <v>84</v>
      </c>
      <c r="E95" s="242">
        <f t="shared" si="47"/>
        <v>1</v>
      </c>
      <c r="F95" s="99"/>
      <c r="G95" s="99"/>
      <c r="H95" s="282">
        <v>1</v>
      </c>
      <c r="I95" s="99"/>
      <c r="J95" s="99"/>
      <c r="K95" s="99">
        <v>400.08</v>
      </c>
      <c r="L95" s="98">
        <f t="shared" si="44"/>
        <v>400.08</v>
      </c>
      <c r="M95" s="95"/>
      <c r="N95" s="95">
        <v>0</v>
      </c>
      <c r="O95" s="95">
        <v>0</v>
      </c>
      <c r="P95" s="95">
        <v>0</v>
      </c>
      <c r="Q95" s="243">
        <f t="shared" si="48"/>
        <v>0</v>
      </c>
      <c r="R95" s="98">
        <f t="shared" si="49"/>
        <v>0</v>
      </c>
      <c r="S95" s="99">
        <v>0</v>
      </c>
      <c r="T95" s="99">
        <v>0</v>
      </c>
      <c r="U95" s="98">
        <f t="shared" si="50"/>
        <v>0</v>
      </c>
      <c r="V95" s="99">
        <v>0</v>
      </c>
      <c r="W95" s="99">
        <v>0</v>
      </c>
      <c r="X95" s="98">
        <f t="shared" si="51"/>
        <v>0</v>
      </c>
      <c r="Y95" s="99">
        <v>0</v>
      </c>
      <c r="Z95" s="99">
        <v>0</v>
      </c>
      <c r="AA95" s="98">
        <f t="shared" si="52"/>
        <v>0</v>
      </c>
      <c r="AB95" s="98">
        <f t="shared" si="53"/>
        <v>0</v>
      </c>
      <c r="AC95" s="244">
        <f t="shared" si="54"/>
        <v>0</v>
      </c>
      <c r="AD95" s="98">
        <f t="shared" si="55"/>
        <v>0</v>
      </c>
      <c r="AE95" s="99">
        <v>0</v>
      </c>
      <c r="AF95" s="244">
        <f t="shared" si="56"/>
        <v>0</v>
      </c>
      <c r="AG95" s="99">
        <v>0</v>
      </c>
      <c r="AH95" s="99"/>
      <c r="AI95" s="99"/>
      <c r="AJ95" s="99"/>
      <c r="AK95" s="99"/>
      <c r="AL95" s="128">
        <f t="shared" si="57"/>
        <v>0.28775523195671199</v>
      </c>
      <c r="AM95" s="99">
        <v>0</v>
      </c>
      <c r="AN95" s="100">
        <f t="shared" si="58"/>
        <v>0</v>
      </c>
      <c r="AO95" s="101">
        <f t="shared" si="59"/>
        <v>-0.28775523195671199</v>
      </c>
      <c r="AP95" s="102"/>
      <c r="AQ95" s="103">
        <f t="shared" si="8"/>
        <v>0</v>
      </c>
      <c r="AR95" s="104">
        <f t="shared" si="37"/>
        <v>400.08</v>
      </c>
      <c r="AS95" s="104">
        <f t="shared" si="10"/>
        <v>0</v>
      </c>
      <c r="AT95" s="104">
        <f t="shared" si="11"/>
        <v>0</v>
      </c>
      <c r="AU95" s="104">
        <f t="shared" si="60"/>
        <v>0</v>
      </c>
      <c r="AV95" s="104">
        <f t="array" ref="AV95">_xlfn.IFS(U95=0,AO95,U95&lt;0,AO95/-U95,U95&gt;0,AO95/U95)</f>
        <v>-0.28775523195671199</v>
      </c>
      <c r="AW95" s="244">
        <f t="shared" si="45"/>
        <v>0</v>
      </c>
      <c r="AX95" s="244">
        <f t="shared" si="46"/>
        <v>-7.1924423104557087E-4</v>
      </c>
      <c r="AY95" s="105"/>
      <c r="AZ95" s="100">
        <f t="shared" si="14"/>
        <v>-0.28775523195671199</v>
      </c>
    </row>
    <row r="96" spans="1:52" outlineLevel="1">
      <c r="A96" s="95" t="s">
        <v>124</v>
      </c>
      <c r="B96" s="96">
        <v>342792174</v>
      </c>
      <c r="C96" s="96" t="s">
        <v>218</v>
      </c>
      <c r="D96" s="97" t="s">
        <v>84</v>
      </c>
      <c r="E96" s="242">
        <f t="shared" si="47"/>
        <v>1</v>
      </c>
      <c r="F96" s="99"/>
      <c r="G96" s="99"/>
      <c r="H96" s="282">
        <v>1</v>
      </c>
      <c r="I96" s="99"/>
      <c r="J96" s="99"/>
      <c r="K96" s="99">
        <v>300.08</v>
      </c>
      <c r="L96" s="98">
        <f t="shared" si="44"/>
        <v>300.08</v>
      </c>
      <c r="M96" s="95"/>
      <c r="N96" s="95">
        <v>0</v>
      </c>
      <c r="O96" s="95">
        <v>0</v>
      </c>
      <c r="P96" s="95">
        <v>0</v>
      </c>
      <c r="Q96" s="243">
        <f t="shared" si="48"/>
        <v>0</v>
      </c>
      <c r="R96" s="98">
        <f t="shared" si="49"/>
        <v>0</v>
      </c>
      <c r="S96" s="99">
        <v>0</v>
      </c>
      <c r="T96" s="99">
        <v>0</v>
      </c>
      <c r="U96" s="98">
        <f t="shared" si="50"/>
        <v>0</v>
      </c>
      <c r="V96" s="99">
        <v>0</v>
      </c>
      <c r="W96" s="99">
        <v>0</v>
      </c>
      <c r="X96" s="98">
        <f t="shared" si="51"/>
        <v>0</v>
      </c>
      <c r="Y96" s="99">
        <v>0</v>
      </c>
      <c r="Z96" s="99">
        <v>0</v>
      </c>
      <c r="AA96" s="98">
        <f t="shared" si="52"/>
        <v>0</v>
      </c>
      <c r="AB96" s="98">
        <f t="shared" si="53"/>
        <v>0</v>
      </c>
      <c r="AC96" s="244">
        <f t="shared" si="54"/>
        <v>0</v>
      </c>
      <c r="AD96" s="98">
        <f t="shared" si="55"/>
        <v>0</v>
      </c>
      <c r="AE96" s="99">
        <v>0</v>
      </c>
      <c r="AF96" s="244">
        <f t="shared" si="56"/>
        <v>0</v>
      </c>
      <c r="AG96" s="99">
        <v>0</v>
      </c>
      <c r="AH96" s="99"/>
      <c r="AI96" s="99"/>
      <c r="AJ96" s="99"/>
      <c r="AK96" s="99"/>
      <c r="AL96" s="128">
        <f t="shared" si="57"/>
        <v>0.28775523195671199</v>
      </c>
      <c r="AM96" s="99">
        <v>0</v>
      </c>
      <c r="AN96" s="100">
        <f t="shared" si="58"/>
        <v>0</v>
      </c>
      <c r="AO96" s="101">
        <f t="shared" si="59"/>
        <v>-0.28775523195671199</v>
      </c>
      <c r="AP96" s="102"/>
      <c r="AQ96" s="103">
        <f t="shared" si="8"/>
        <v>0</v>
      </c>
      <c r="AR96" s="104">
        <f t="shared" si="37"/>
        <v>300.08</v>
      </c>
      <c r="AS96" s="104">
        <f t="shared" si="10"/>
        <v>0</v>
      </c>
      <c r="AT96" s="104">
        <f t="shared" si="11"/>
        <v>0</v>
      </c>
      <c r="AU96" s="104">
        <f t="shared" si="60"/>
        <v>0</v>
      </c>
      <c r="AV96" s="104">
        <f t="array" ref="AV96">_xlfn.IFS(U96=0,AO96,U96&lt;0,AO96/-U96,U96&gt;0,AO96/U96)</f>
        <v>-0.28775523195671199</v>
      </c>
      <c r="AW96" s="244">
        <f t="shared" si="45"/>
        <v>0</v>
      </c>
      <c r="AX96" s="244">
        <f t="shared" si="46"/>
        <v>-9.589283922844308E-4</v>
      </c>
      <c r="AY96" s="105"/>
      <c r="AZ96" s="100">
        <f t="shared" si="14"/>
        <v>-0.28775523195671199</v>
      </c>
    </row>
    <row r="97" spans="1:52" outlineLevel="1">
      <c r="A97" s="95" t="s">
        <v>124</v>
      </c>
      <c r="B97" s="96">
        <v>342807082</v>
      </c>
      <c r="C97" s="96" t="s">
        <v>219</v>
      </c>
      <c r="D97" s="97" t="s">
        <v>84</v>
      </c>
      <c r="E97" s="242">
        <f t="shared" si="47"/>
        <v>4</v>
      </c>
      <c r="F97" s="99"/>
      <c r="G97" s="99"/>
      <c r="H97" s="282">
        <v>4</v>
      </c>
      <c r="I97" s="99"/>
      <c r="J97" s="99"/>
      <c r="K97" s="99">
        <v>400.08</v>
      </c>
      <c r="L97" s="98">
        <f t="shared" si="44"/>
        <v>1600.32</v>
      </c>
      <c r="M97" s="95"/>
      <c r="N97" s="95">
        <v>0</v>
      </c>
      <c r="O97" s="95">
        <v>0</v>
      </c>
      <c r="P97" s="95">
        <v>0</v>
      </c>
      <c r="Q97" s="243">
        <f t="shared" si="48"/>
        <v>0</v>
      </c>
      <c r="R97" s="98">
        <f t="shared" si="49"/>
        <v>0</v>
      </c>
      <c r="S97" s="99">
        <v>0</v>
      </c>
      <c r="T97" s="99">
        <v>0</v>
      </c>
      <c r="U97" s="98">
        <f t="shared" si="50"/>
        <v>0</v>
      </c>
      <c r="V97" s="99">
        <v>0</v>
      </c>
      <c r="W97" s="99">
        <v>0</v>
      </c>
      <c r="X97" s="98">
        <f t="shared" si="51"/>
        <v>0</v>
      </c>
      <c r="Y97" s="99">
        <v>0</v>
      </c>
      <c r="Z97" s="99">
        <v>0</v>
      </c>
      <c r="AA97" s="98">
        <f t="shared" si="52"/>
        <v>0</v>
      </c>
      <c r="AB97" s="98">
        <f t="shared" si="53"/>
        <v>0</v>
      </c>
      <c r="AC97" s="244">
        <f t="shared" si="54"/>
        <v>0</v>
      </c>
      <c r="AD97" s="98">
        <f t="shared" si="55"/>
        <v>0</v>
      </c>
      <c r="AE97" s="99">
        <v>0</v>
      </c>
      <c r="AF97" s="244">
        <f t="shared" si="56"/>
        <v>0</v>
      </c>
      <c r="AG97" s="99">
        <v>0</v>
      </c>
      <c r="AH97" s="99"/>
      <c r="AI97" s="99"/>
      <c r="AJ97" s="99"/>
      <c r="AK97" s="99"/>
      <c r="AL97" s="128">
        <f t="shared" si="57"/>
        <v>1.151020927826848</v>
      </c>
      <c r="AM97" s="99">
        <v>0</v>
      </c>
      <c r="AN97" s="100">
        <f t="shared" si="58"/>
        <v>0</v>
      </c>
      <c r="AO97" s="101">
        <f t="shared" si="59"/>
        <v>-1.151020927826848</v>
      </c>
      <c r="AP97" s="102"/>
      <c r="AQ97" s="103">
        <f t="shared" si="8"/>
        <v>0</v>
      </c>
      <c r="AR97" s="104">
        <f t="shared" si="37"/>
        <v>400.08</v>
      </c>
      <c r="AS97" s="104">
        <f t="shared" si="10"/>
        <v>0</v>
      </c>
      <c r="AT97" s="104">
        <f t="shared" si="11"/>
        <v>0</v>
      </c>
      <c r="AU97" s="104">
        <f t="shared" si="60"/>
        <v>0</v>
      </c>
      <c r="AV97" s="104">
        <f t="array" ref="AV97">_xlfn.IFS(U97=0,AO97,U97&lt;0,AO97/-U97,U97&gt;0,AO97/U97)</f>
        <v>-1.151020927826848</v>
      </c>
      <c r="AW97" s="244">
        <f t="shared" si="45"/>
        <v>0</v>
      </c>
      <c r="AX97" s="244">
        <f t="shared" si="46"/>
        <v>-2.8769769241822835E-3</v>
      </c>
      <c r="AY97" s="105"/>
      <c r="AZ97" s="100">
        <f t="shared" si="14"/>
        <v>-4.6040837113073918</v>
      </c>
    </row>
    <row r="98" spans="1:52" outlineLevel="1">
      <c r="A98" s="95" t="s">
        <v>124</v>
      </c>
      <c r="B98" s="96">
        <v>342820134</v>
      </c>
      <c r="C98" s="96" t="s">
        <v>220</v>
      </c>
      <c r="D98" s="97" t="s">
        <v>84</v>
      </c>
      <c r="E98" s="242">
        <f t="shared" si="47"/>
        <v>16</v>
      </c>
      <c r="F98" s="99"/>
      <c r="G98" s="99"/>
      <c r="H98" s="282">
        <v>16</v>
      </c>
      <c r="I98" s="99"/>
      <c r="J98" s="99"/>
      <c r="K98" s="99">
        <v>300.08</v>
      </c>
      <c r="L98" s="98">
        <f t="shared" si="44"/>
        <v>4801.28</v>
      </c>
      <c r="M98" s="95"/>
      <c r="N98" s="95">
        <v>0</v>
      </c>
      <c r="O98" s="95">
        <v>0</v>
      </c>
      <c r="P98" s="95">
        <v>0</v>
      </c>
      <c r="Q98" s="243">
        <f t="shared" si="48"/>
        <v>0</v>
      </c>
      <c r="R98" s="98">
        <f t="shared" si="49"/>
        <v>0</v>
      </c>
      <c r="S98" s="99">
        <v>0</v>
      </c>
      <c r="T98" s="99">
        <v>0</v>
      </c>
      <c r="U98" s="98">
        <f t="shared" si="50"/>
        <v>0</v>
      </c>
      <c r="V98" s="99">
        <v>0</v>
      </c>
      <c r="W98" s="99">
        <v>0</v>
      </c>
      <c r="X98" s="98">
        <f t="shared" si="51"/>
        <v>0</v>
      </c>
      <c r="Y98" s="99">
        <v>0</v>
      </c>
      <c r="Z98" s="99">
        <v>0</v>
      </c>
      <c r="AA98" s="98">
        <f t="shared" si="52"/>
        <v>0</v>
      </c>
      <c r="AB98" s="98">
        <f t="shared" si="53"/>
        <v>0</v>
      </c>
      <c r="AC98" s="244">
        <f t="shared" si="54"/>
        <v>0</v>
      </c>
      <c r="AD98" s="98">
        <f t="shared" si="55"/>
        <v>0</v>
      </c>
      <c r="AE98" s="99">
        <v>0</v>
      </c>
      <c r="AF98" s="244">
        <f t="shared" si="56"/>
        <v>0</v>
      </c>
      <c r="AG98" s="99">
        <v>0</v>
      </c>
      <c r="AH98" s="99"/>
      <c r="AI98" s="99"/>
      <c r="AJ98" s="99"/>
      <c r="AK98" s="99"/>
      <c r="AL98" s="128">
        <f t="shared" si="57"/>
        <v>4.6040837113073918</v>
      </c>
      <c r="AM98" s="99">
        <v>0</v>
      </c>
      <c r="AN98" s="100">
        <f t="shared" si="58"/>
        <v>0</v>
      </c>
      <c r="AO98" s="101">
        <f t="shared" si="59"/>
        <v>-4.6040837113073918</v>
      </c>
      <c r="AP98" s="102"/>
      <c r="AQ98" s="103">
        <f t="shared" ref="AQ98" si="61">IF(U98=0,0,AA98/U98)</f>
        <v>0</v>
      </c>
      <c r="AR98" s="104">
        <f t="shared" si="37"/>
        <v>300.08</v>
      </c>
      <c r="AS98" s="104">
        <f t="shared" ref="AS98" si="62">IF(U98=0,0,AE98/U98)</f>
        <v>0</v>
      </c>
      <c r="AT98" s="104">
        <f t="shared" ref="AT98" si="63">IF(S98=0,AG98/1,AG98/S98)</f>
        <v>0</v>
      </c>
      <c r="AU98" s="104">
        <f t="shared" si="60"/>
        <v>0</v>
      </c>
      <c r="AV98" s="104">
        <f t="array" ref="AV98">_xlfn.IFS(U98=0,AO98,U98&lt;0,AO98/-U98,U98&gt;0,AO98/U98)</f>
        <v>-4.6040837113073918</v>
      </c>
      <c r="AW98" s="244">
        <f t="shared" si="45"/>
        <v>0</v>
      </c>
      <c r="AX98" s="244">
        <f t="shared" si="46"/>
        <v>-1.5342854276550893E-2</v>
      </c>
      <c r="AY98" s="105"/>
      <c r="AZ98" s="100">
        <f t="shared" ref="AZ98" si="64">AV98*E98</f>
        <v>-73.665339380918269</v>
      </c>
    </row>
    <row r="99" spans="1:52" s="119" customFormat="1" outlineLevel="1">
      <c r="A99" s="107"/>
      <c r="B99" s="108"/>
      <c r="C99" s="109" t="s">
        <v>221</v>
      </c>
      <c r="D99" s="110"/>
      <c r="E99" s="245"/>
      <c r="F99" s="111"/>
      <c r="G99" s="111"/>
      <c r="H99" s="112"/>
      <c r="I99" s="112"/>
      <c r="J99" s="112"/>
      <c r="K99" s="111"/>
      <c r="L99" s="111"/>
      <c r="M99" s="109"/>
      <c r="N99" s="109"/>
      <c r="O99" s="109"/>
      <c r="P99" s="109"/>
      <c r="Q99" s="246"/>
      <c r="R99" s="111"/>
      <c r="S99" s="112"/>
      <c r="T99" s="112"/>
      <c r="U99" s="111"/>
      <c r="V99" s="112"/>
      <c r="W99" s="112"/>
      <c r="X99" s="111"/>
      <c r="Y99" s="112"/>
      <c r="Z99" s="112"/>
      <c r="AA99" s="111"/>
      <c r="AB99" s="111"/>
      <c r="AC99" s="247"/>
      <c r="AD99" s="111"/>
      <c r="AE99" s="112"/>
      <c r="AF99" s="247"/>
      <c r="AG99" s="112"/>
      <c r="AH99" s="112"/>
      <c r="AI99" s="112"/>
      <c r="AJ99" s="112"/>
      <c r="AK99" s="112"/>
      <c r="AL99" s="113"/>
      <c r="AM99" s="112"/>
      <c r="AN99" s="114"/>
      <c r="AO99" s="115"/>
      <c r="AP99" s="116"/>
      <c r="AQ99" s="117">
        <f t="shared" ref="AQ99:AX99" si="65">AVERAGE(AQ7:AQ98)</f>
        <v>268.49660326086956</v>
      </c>
      <c r="AR99" s="117">
        <f t="shared" si="65"/>
        <v>141.22217391304349</v>
      </c>
      <c r="AS99" s="117">
        <f t="shared" si="65"/>
        <v>98.095032938076415</v>
      </c>
      <c r="AT99" s="117">
        <f t="shared" si="65"/>
        <v>46.515038372859024</v>
      </c>
      <c r="AU99" s="117">
        <f t="shared" si="65"/>
        <v>0</v>
      </c>
      <c r="AV99" s="117">
        <f t="shared" si="65"/>
        <v>44.079199909827075</v>
      </c>
      <c r="AW99" s="118">
        <f t="shared" si="65"/>
        <v>5.5330657416847819E-2</v>
      </c>
      <c r="AX99" s="118">
        <f t="shared" si="65"/>
        <v>0.35249103266891385</v>
      </c>
      <c r="AY99" s="105"/>
      <c r="AZ99" s="114"/>
    </row>
    <row r="100" spans="1:52" s="126" customFormat="1">
      <c r="A100" s="120" t="s">
        <v>85</v>
      </c>
      <c r="B100" s="121"/>
      <c r="C100" s="122"/>
      <c r="D100" s="122"/>
      <c r="E100" s="248">
        <f t="shared" ref="E100:J100" si="66">SUM(E3:E98)</f>
        <v>12566</v>
      </c>
      <c r="F100" s="122">
        <f t="shared" si="66"/>
        <v>0</v>
      </c>
      <c r="G100" s="122">
        <f t="shared" si="66"/>
        <v>0</v>
      </c>
      <c r="H100" s="122">
        <f t="shared" si="66"/>
        <v>12566</v>
      </c>
      <c r="I100" s="122">
        <f t="shared" si="66"/>
        <v>0</v>
      </c>
      <c r="J100" s="122">
        <f t="shared" si="66"/>
        <v>0</v>
      </c>
      <c r="K100" s="122"/>
      <c r="L100" s="122">
        <f>SUM(L3:L98)</f>
        <v>1597964.3499999996</v>
      </c>
      <c r="M100" s="122"/>
      <c r="N100" s="122">
        <f>SUM(N3:N98)</f>
        <v>129</v>
      </c>
      <c r="O100" s="122"/>
      <c r="P100" s="122"/>
      <c r="Q100" s="221"/>
      <c r="R100" s="122"/>
      <c r="S100" s="122">
        <f t="shared" ref="S100:AE100" si="67">SUM(S3:S98)</f>
        <v>127</v>
      </c>
      <c r="T100" s="122">
        <f t="shared" si="67"/>
        <v>-5</v>
      </c>
      <c r="U100" s="122">
        <f t="shared" si="67"/>
        <v>122</v>
      </c>
      <c r="V100" s="122">
        <f t="shared" si="67"/>
        <v>118047.57</v>
      </c>
      <c r="W100" s="122">
        <f t="shared" si="67"/>
        <v>-6409</v>
      </c>
      <c r="X100" s="122">
        <f t="shared" si="67"/>
        <v>111638.57</v>
      </c>
      <c r="Y100" s="122">
        <f t="shared" si="67"/>
        <v>138964.57</v>
      </c>
      <c r="Z100" s="122">
        <f t="shared" si="67"/>
        <v>-7526</v>
      </c>
      <c r="AA100" s="122">
        <f t="shared" si="67"/>
        <v>131438.57</v>
      </c>
      <c r="AB100" s="122">
        <f t="shared" si="67"/>
        <v>82870.180000000008</v>
      </c>
      <c r="AC100" s="249">
        <f t="shared" si="67"/>
        <v>1</v>
      </c>
      <c r="AD100" s="123">
        <f t="shared" si="67"/>
        <v>15240.450000000004</v>
      </c>
      <c r="AE100" s="122">
        <f t="shared" si="67"/>
        <v>48126.54</v>
      </c>
      <c r="AF100" s="249">
        <f>AE100/AA100</f>
        <v>0.3661523402149004</v>
      </c>
      <c r="AG100" s="122">
        <f t="shared" ref="AG100:AO100" si="68">SUM(AG3:AG98)</f>
        <v>17381.100000000002</v>
      </c>
      <c r="AH100" s="123">
        <f t="shared" si="68"/>
        <v>0</v>
      </c>
      <c r="AI100" s="123">
        <f t="shared" si="68"/>
        <v>0</v>
      </c>
      <c r="AJ100" s="123">
        <f>SUM(AJ3:AJ98)</f>
        <v>0</v>
      </c>
      <c r="AK100" s="123">
        <f t="shared" si="68"/>
        <v>0</v>
      </c>
      <c r="AL100" s="123">
        <f t="shared" si="68"/>
        <v>3615.932244768042</v>
      </c>
      <c r="AM100" s="122">
        <f t="shared" si="68"/>
        <v>0</v>
      </c>
      <c r="AN100" s="123">
        <f t="shared" si="68"/>
        <v>6374.5623469999991</v>
      </c>
      <c r="AO100" s="123">
        <f t="shared" si="68"/>
        <v>40699.985408231994</v>
      </c>
      <c r="AP100" s="124"/>
      <c r="AQ100" s="122"/>
      <c r="AR100" s="122"/>
      <c r="AS100" s="122"/>
      <c r="AT100" s="122"/>
      <c r="AU100" s="250">
        <f>(AH100+AI100+AJ100)/S100</f>
        <v>0</v>
      </c>
      <c r="AV100" s="122"/>
      <c r="AW100" s="122"/>
      <c r="AX100" s="122"/>
      <c r="AY100" s="125"/>
      <c r="AZ100" s="122">
        <f>SUM(AZ3:AZ98)</f>
        <v>2830593.7020130209</v>
      </c>
    </row>
    <row r="101" spans="1:52">
      <c r="A101" s="95"/>
      <c r="B101" s="96"/>
      <c r="C101" s="96"/>
      <c r="D101" s="127"/>
      <c r="E101" s="251"/>
      <c r="F101" s="99"/>
      <c r="G101" s="99"/>
      <c r="H101" s="99"/>
      <c r="I101" s="99"/>
      <c r="J101" s="99"/>
      <c r="K101" s="99"/>
      <c r="L101" s="99"/>
      <c r="M101" s="95"/>
      <c r="N101" s="95"/>
      <c r="O101" s="95"/>
      <c r="P101" s="95"/>
      <c r="Q101" s="252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253"/>
      <c r="AD101" s="99"/>
      <c r="AE101" s="99"/>
      <c r="AF101" s="253"/>
      <c r="AG101" s="99"/>
      <c r="AH101" s="350"/>
      <c r="AI101" s="350"/>
      <c r="AJ101" s="226"/>
      <c r="AK101" s="226"/>
      <c r="AL101" s="128"/>
      <c r="AM101" s="99"/>
      <c r="AN101" s="129"/>
      <c r="AO101" s="130"/>
      <c r="AP101" s="102"/>
      <c r="AQ101" s="131"/>
      <c r="AR101" s="132"/>
      <c r="AS101" s="132"/>
      <c r="AT101" s="132"/>
      <c r="AU101" s="132"/>
      <c r="AV101" s="132"/>
      <c r="AW101" s="254"/>
      <c r="AX101" s="254"/>
      <c r="AY101" s="105"/>
      <c r="AZ101" s="129"/>
    </row>
    <row r="102" spans="1:52">
      <c r="A102" s="95" t="s">
        <v>222</v>
      </c>
      <c r="B102" s="96">
        <v>437023601</v>
      </c>
      <c r="C102" s="96" t="s">
        <v>223</v>
      </c>
      <c r="D102" s="127" t="s">
        <v>224</v>
      </c>
      <c r="E102" s="242">
        <f t="shared" ref="E102:E106" si="69">SUM(F102:J102)</f>
        <v>1</v>
      </c>
      <c r="F102" s="99"/>
      <c r="G102" s="99"/>
      <c r="H102" s="282">
        <v>0</v>
      </c>
      <c r="I102" s="99">
        <v>0</v>
      </c>
      <c r="J102" s="99">
        <v>1</v>
      </c>
      <c r="K102" s="99">
        <v>579.17999999999995</v>
      </c>
      <c r="L102" s="98">
        <f>E102*K102</f>
        <v>579.17999999999995</v>
      </c>
      <c r="M102" s="95"/>
      <c r="N102" s="95">
        <v>0</v>
      </c>
      <c r="O102" s="95">
        <v>0</v>
      </c>
      <c r="P102" s="95">
        <v>0</v>
      </c>
      <c r="Q102" s="243">
        <f t="shared" ref="Q102" si="70">N102/3</f>
        <v>0</v>
      </c>
      <c r="R102" s="98">
        <f t="shared" ref="R102" si="71">U102/3</f>
        <v>0</v>
      </c>
      <c r="S102" s="99">
        <v>0</v>
      </c>
      <c r="T102" s="99">
        <v>0</v>
      </c>
      <c r="U102" s="98">
        <f t="shared" ref="U102" si="72">S102+T102</f>
        <v>0</v>
      </c>
      <c r="V102" s="99">
        <v>0</v>
      </c>
      <c r="W102" s="99">
        <v>0</v>
      </c>
      <c r="X102" s="98">
        <f t="shared" ref="X102" si="73">V102+W102</f>
        <v>0</v>
      </c>
      <c r="Y102" s="99">
        <v>0</v>
      </c>
      <c r="Z102" s="99">
        <v>0</v>
      </c>
      <c r="AA102" s="98">
        <f t="shared" ref="AA102" si="74">Y102+Z102</f>
        <v>0</v>
      </c>
      <c r="AB102" s="98">
        <f t="shared" ref="AB102" si="75">N102*O102*P102/100</f>
        <v>0</v>
      </c>
      <c r="AC102" s="244">
        <f t="shared" ref="AC102" si="76">AA102/$AA$121</f>
        <v>0</v>
      </c>
      <c r="AD102" s="98">
        <f t="shared" ref="AD102" si="77">U102*K102</f>
        <v>0</v>
      </c>
      <c r="AE102" s="99">
        <v>0</v>
      </c>
      <c r="AF102" s="244">
        <f t="shared" ref="AF102" si="78">IF(AA102=0,0,AE102/AA102)</f>
        <v>0</v>
      </c>
      <c r="AG102" s="99">
        <v>0</v>
      </c>
      <c r="AH102" s="99"/>
      <c r="AI102" s="99"/>
      <c r="AJ102" s="99"/>
      <c r="AK102" s="99"/>
      <c r="AL102" s="251">
        <f t="shared" ref="AL102" si="79">IFERROR($AL$121*H102/$H$121,0)</f>
        <v>0</v>
      </c>
      <c r="AM102" s="99">
        <v>0</v>
      </c>
      <c r="AN102" s="100">
        <f t="shared" ref="AN102" si="80">X102*5.71%</f>
        <v>0</v>
      </c>
      <c r="AO102" s="101">
        <f t="shared" ref="AO102:AO106" si="81">AA102-AD102-AE102-AG102-AH102-AI102-AK102-AL102-AN102-AM102</f>
        <v>0</v>
      </c>
      <c r="AP102" s="102"/>
      <c r="AQ102" s="103">
        <f t="shared" ref="AQ102:AQ106" si="82">IF(U102=0,0,AA102/U102)</f>
        <v>0</v>
      </c>
      <c r="AR102" s="104">
        <f t="shared" ref="AR102:AR106" si="83">K102</f>
        <v>579.17999999999995</v>
      </c>
      <c r="AS102" s="104">
        <f t="shared" ref="AS102:AS106" si="84">IF(U102=0,0,AE102/U102)</f>
        <v>0</v>
      </c>
      <c r="AT102" s="104">
        <f t="shared" ref="AT102:AT106" si="85">IF(S102=0,AG102/1,AG102/S102)</f>
        <v>0</v>
      </c>
      <c r="AU102" s="104">
        <f t="shared" ref="AU102:AU106" si="86">IF(S102=0,0,(AH102+AI102+AJ102)/S102)</f>
        <v>0</v>
      </c>
      <c r="AV102" s="104">
        <f t="array" ref="AV102">_xlfn.IFS(U102=0,AO102,U102&lt;0,AO102/-U102,U102&gt;0,AO102/U102)</f>
        <v>0</v>
      </c>
      <c r="AW102" s="244">
        <f t="shared" ref="AW102:AW106" si="87">IF(AQ102=0,0,AV102/AQ102)</f>
        <v>0</v>
      </c>
      <c r="AX102" s="244">
        <f t="shared" ref="AX102:AX106" si="88">IF(AR102=0,0,AV102/AR102)</f>
        <v>0</v>
      </c>
      <c r="AY102" s="105"/>
      <c r="AZ102" s="100">
        <f t="shared" ref="AZ102:AZ106" si="89">AV102*E102</f>
        <v>0</v>
      </c>
    </row>
    <row r="103" spans="1:52">
      <c r="A103" s="95" t="s">
        <v>222</v>
      </c>
      <c r="B103" s="96">
        <v>437027509</v>
      </c>
      <c r="C103" s="96" t="s">
        <v>225</v>
      </c>
      <c r="D103" s="127" t="s">
        <v>224</v>
      </c>
      <c r="E103" s="242">
        <f t="shared" si="69"/>
        <v>2</v>
      </c>
      <c r="F103" s="99"/>
      <c r="G103" s="99"/>
      <c r="H103" s="282">
        <v>1</v>
      </c>
      <c r="I103" s="99">
        <v>0</v>
      </c>
      <c r="J103" s="99">
        <v>1</v>
      </c>
      <c r="K103" s="99">
        <v>579.17999999999995</v>
      </c>
      <c r="L103" s="98">
        <f t="shared" ref="L103:L106" si="90">E103*K103</f>
        <v>1158.3599999999999</v>
      </c>
      <c r="M103" s="95"/>
      <c r="N103" s="95">
        <v>0</v>
      </c>
      <c r="O103" s="95">
        <v>0</v>
      </c>
      <c r="P103" s="95">
        <v>0</v>
      </c>
      <c r="Q103" s="243">
        <f t="shared" ref="Q103:Q106" si="91">N103/3</f>
        <v>0</v>
      </c>
      <c r="R103" s="98">
        <f t="shared" ref="R103:R106" si="92">U103/3</f>
        <v>0</v>
      </c>
      <c r="S103" s="99">
        <v>0</v>
      </c>
      <c r="T103" s="99">
        <v>0</v>
      </c>
      <c r="U103" s="98">
        <f t="shared" ref="U103:U106" si="93">S103+T103</f>
        <v>0</v>
      </c>
      <c r="V103" s="99">
        <v>0</v>
      </c>
      <c r="W103" s="99">
        <v>0</v>
      </c>
      <c r="X103" s="98">
        <f t="shared" ref="X103:X106" si="94">V103+W103</f>
        <v>0</v>
      </c>
      <c r="Y103" s="99">
        <v>0</v>
      </c>
      <c r="Z103" s="99">
        <v>0</v>
      </c>
      <c r="AA103" s="98">
        <f t="shared" ref="AA103:AA106" si="95">Y103+Z103</f>
        <v>0</v>
      </c>
      <c r="AB103" s="98">
        <f t="shared" ref="AB103:AB106" si="96">N103*O103*P103/100</f>
        <v>0</v>
      </c>
      <c r="AC103" s="244">
        <f t="shared" ref="AC103:AC106" si="97">AA103/$AA$121</f>
        <v>0</v>
      </c>
      <c r="AD103" s="98">
        <f t="shared" ref="AD103:AD106" si="98">U103*K103</f>
        <v>0</v>
      </c>
      <c r="AE103" s="99">
        <v>0</v>
      </c>
      <c r="AF103" s="244">
        <f t="shared" ref="AF103:AF106" si="99">IF(AA103=0,0,AE103/AA103)</f>
        <v>0</v>
      </c>
      <c r="AG103" s="99">
        <v>0</v>
      </c>
      <c r="AH103" s="99"/>
      <c r="AI103" s="99"/>
      <c r="AJ103" s="99"/>
      <c r="AK103" s="99"/>
      <c r="AL103" s="251">
        <f t="shared" ref="AL103:AL106" si="100">IFERROR($AL$121*H103/$H$121,0)</f>
        <v>0.28775523195671199</v>
      </c>
      <c r="AM103" s="99">
        <v>0</v>
      </c>
      <c r="AN103" s="100">
        <f t="shared" ref="AN103:AN106" si="101">X103*5.71%</f>
        <v>0</v>
      </c>
      <c r="AO103" s="101">
        <f t="shared" si="81"/>
        <v>-0.28775523195671199</v>
      </c>
      <c r="AP103" s="102"/>
      <c r="AQ103" s="103">
        <f t="shared" si="82"/>
        <v>0</v>
      </c>
      <c r="AR103" s="104">
        <f t="shared" si="83"/>
        <v>579.17999999999995</v>
      </c>
      <c r="AS103" s="104">
        <f t="shared" si="84"/>
        <v>0</v>
      </c>
      <c r="AT103" s="104">
        <f t="shared" si="85"/>
        <v>0</v>
      </c>
      <c r="AU103" s="104">
        <f t="shared" si="86"/>
        <v>0</v>
      </c>
      <c r="AV103" s="104">
        <f t="array" ref="AV103">_xlfn.IFS(U103=0,AO103,U103&lt;0,AO103/-U103,U103&gt;0,AO103/U103)</f>
        <v>-0.28775523195671199</v>
      </c>
      <c r="AW103" s="244">
        <f t="shared" si="87"/>
        <v>0</v>
      </c>
      <c r="AX103" s="244">
        <f t="shared" si="88"/>
        <v>-4.9683212810648159E-4</v>
      </c>
      <c r="AY103" s="105"/>
      <c r="AZ103" s="100">
        <f t="shared" si="89"/>
        <v>-0.57551046391342398</v>
      </c>
    </row>
    <row r="104" spans="1:52">
      <c r="A104" s="95" t="s">
        <v>222</v>
      </c>
      <c r="B104" s="96">
        <v>437097997</v>
      </c>
      <c r="C104" s="96" t="s">
        <v>226</v>
      </c>
      <c r="D104" s="127" t="s">
        <v>224</v>
      </c>
      <c r="E104" s="242">
        <f t="shared" si="69"/>
        <v>2</v>
      </c>
      <c r="F104" s="99"/>
      <c r="G104" s="99"/>
      <c r="H104" s="282">
        <v>0</v>
      </c>
      <c r="I104" s="99">
        <v>0</v>
      </c>
      <c r="J104" s="99">
        <v>2</v>
      </c>
      <c r="K104" s="99">
        <v>541.67999999999995</v>
      </c>
      <c r="L104" s="98">
        <f t="shared" si="90"/>
        <v>1083.3599999999999</v>
      </c>
      <c r="M104" s="95"/>
      <c r="N104" s="95">
        <v>0</v>
      </c>
      <c r="O104" s="95">
        <v>0</v>
      </c>
      <c r="P104" s="95">
        <v>0</v>
      </c>
      <c r="Q104" s="243">
        <f t="shared" si="91"/>
        <v>0</v>
      </c>
      <c r="R104" s="98">
        <f t="shared" si="92"/>
        <v>0</v>
      </c>
      <c r="S104" s="99">
        <v>0</v>
      </c>
      <c r="T104" s="99">
        <v>0</v>
      </c>
      <c r="U104" s="98">
        <f t="shared" si="93"/>
        <v>0</v>
      </c>
      <c r="V104" s="99">
        <v>0</v>
      </c>
      <c r="W104" s="99">
        <v>0</v>
      </c>
      <c r="X104" s="98">
        <f t="shared" si="94"/>
        <v>0</v>
      </c>
      <c r="Y104" s="99">
        <v>0</v>
      </c>
      <c r="Z104" s="99">
        <v>0</v>
      </c>
      <c r="AA104" s="98">
        <f t="shared" si="95"/>
        <v>0</v>
      </c>
      <c r="AB104" s="98">
        <f t="shared" si="96"/>
        <v>0</v>
      </c>
      <c r="AC104" s="244">
        <f t="shared" si="97"/>
        <v>0</v>
      </c>
      <c r="AD104" s="98">
        <f t="shared" si="98"/>
        <v>0</v>
      </c>
      <c r="AE104" s="99">
        <v>0</v>
      </c>
      <c r="AF104" s="244">
        <f t="shared" si="99"/>
        <v>0</v>
      </c>
      <c r="AG104" s="99">
        <v>0</v>
      </c>
      <c r="AH104" s="99"/>
      <c r="AI104" s="99"/>
      <c r="AJ104" s="99"/>
      <c r="AK104" s="99"/>
      <c r="AL104" s="251">
        <f t="shared" si="100"/>
        <v>0</v>
      </c>
      <c r="AM104" s="99">
        <v>0</v>
      </c>
      <c r="AN104" s="100">
        <f t="shared" si="101"/>
        <v>0</v>
      </c>
      <c r="AO104" s="101">
        <f t="shared" si="81"/>
        <v>0</v>
      </c>
      <c r="AP104" s="102"/>
      <c r="AQ104" s="103">
        <f t="shared" si="82"/>
        <v>0</v>
      </c>
      <c r="AR104" s="104">
        <f t="shared" si="83"/>
        <v>541.67999999999995</v>
      </c>
      <c r="AS104" s="104">
        <f t="shared" si="84"/>
        <v>0</v>
      </c>
      <c r="AT104" s="104">
        <f t="shared" si="85"/>
        <v>0</v>
      </c>
      <c r="AU104" s="104">
        <f t="shared" si="86"/>
        <v>0</v>
      </c>
      <c r="AV104" s="104">
        <f t="array" ref="AV104">_xlfn.IFS(U104=0,AO104,U104&lt;0,AO104/-U104,U104&gt;0,AO104/U104)</f>
        <v>0</v>
      </c>
      <c r="AW104" s="244">
        <f t="shared" si="87"/>
        <v>0</v>
      </c>
      <c r="AX104" s="244">
        <f t="shared" si="88"/>
        <v>0</v>
      </c>
      <c r="AY104" s="105"/>
      <c r="AZ104" s="100">
        <f t="shared" si="89"/>
        <v>0</v>
      </c>
    </row>
    <row r="105" spans="1:52">
      <c r="A105" s="95" t="s">
        <v>222</v>
      </c>
      <c r="B105" s="96">
        <v>437061068</v>
      </c>
      <c r="C105" s="96" t="s">
        <v>227</v>
      </c>
      <c r="D105" s="127" t="s">
        <v>224</v>
      </c>
      <c r="E105" s="242">
        <f t="shared" si="69"/>
        <v>1</v>
      </c>
      <c r="F105" s="99"/>
      <c r="G105" s="99"/>
      <c r="H105" s="282">
        <v>0</v>
      </c>
      <c r="I105" s="99">
        <v>0</v>
      </c>
      <c r="J105" s="99">
        <v>1</v>
      </c>
      <c r="K105" s="99">
        <v>541.67999999999995</v>
      </c>
      <c r="L105" s="98">
        <f t="shared" si="90"/>
        <v>541.67999999999995</v>
      </c>
      <c r="M105" s="95"/>
      <c r="N105" s="95">
        <v>0</v>
      </c>
      <c r="O105" s="95">
        <v>0</v>
      </c>
      <c r="P105" s="95">
        <v>0</v>
      </c>
      <c r="Q105" s="243">
        <f t="shared" si="91"/>
        <v>0</v>
      </c>
      <c r="R105" s="98">
        <f t="shared" si="92"/>
        <v>0</v>
      </c>
      <c r="S105" s="99">
        <v>0</v>
      </c>
      <c r="T105" s="99">
        <v>0</v>
      </c>
      <c r="U105" s="98">
        <f t="shared" si="93"/>
        <v>0</v>
      </c>
      <c r="V105" s="99">
        <v>0</v>
      </c>
      <c r="W105" s="99">
        <v>0</v>
      </c>
      <c r="X105" s="98">
        <f t="shared" si="94"/>
        <v>0</v>
      </c>
      <c r="Y105" s="99">
        <v>0</v>
      </c>
      <c r="Z105" s="99">
        <v>0</v>
      </c>
      <c r="AA105" s="98">
        <f t="shared" si="95"/>
        <v>0</v>
      </c>
      <c r="AB105" s="98">
        <f t="shared" si="96"/>
        <v>0</v>
      </c>
      <c r="AC105" s="244">
        <f t="shared" si="97"/>
        <v>0</v>
      </c>
      <c r="AD105" s="98">
        <f t="shared" si="98"/>
        <v>0</v>
      </c>
      <c r="AE105" s="99">
        <v>0</v>
      </c>
      <c r="AF105" s="244">
        <f t="shared" si="99"/>
        <v>0</v>
      </c>
      <c r="AG105" s="99">
        <v>0</v>
      </c>
      <c r="AH105" s="99"/>
      <c r="AI105" s="99"/>
      <c r="AJ105" s="99"/>
      <c r="AK105" s="99"/>
      <c r="AL105" s="251">
        <f t="shared" si="100"/>
        <v>0</v>
      </c>
      <c r="AM105" s="99">
        <v>0</v>
      </c>
      <c r="AN105" s="100">
        <f t="shared" si="101"/>
        <v>0</v>
      </c>
      <c r="AO105" s="101">
        <f t="shared" si="81"/>
        <v>0</v>
      </c>
      <c r="AP105" s="102"/>
      <c r="AQ105" s="103">
        <f t="shared" si="82"/>
        <v>0</v>
      </c>
      <c r="AR105" s="104">
        <f t="shared" si="83"/>
        <v>541.67999999999995</v>
      </c>
      <c r="AS105" s="104">
        <f t="shared" si="84"/>
        <v>0</v>
      </c>
      <c r="AT105" s="104">
        <f t="shared" si="85"/>
        <v>0</v>
      </c>
      <c r="AU105" s="104">
        <f t="shared" si="86"/>
        <v>0</v>
      </c>
      <c r="AV105" s="104">
        <f t="array" ref="AV105">_xlfn.IFS(U105=0,AO105,U105&lt;0,AO105/-U105,U105&gt;0,AO105/U105)</f>
        <v>0</v>
      </c>
      <c r="AW105" s="244">
        <f t="shared" si="87"/>
        <v>0</v>
      </c>
      <c r="AX105" s="244">
        <f t="shared" si="88"/>
        <v>0</v>
      </c>
      <c r="AY105" s="105"/>
      <c r="AZ105" s="100">
        <f t="shared" si="89"/>
        <v>0</v>
      </c>
    </row>
    <row r="106" spans="1:52">
      <c r="A106" s="95" t="s">
        <v>222</v>
      </c>
      <c r="B106" s="96">
        <v>437095304</v>
      </c>
      <c r="C106" s="96" t="s">
        <v>228</v>
      </c>
      <c r="D106" s="127" t="s">
        <v>224</v>
      </c>
      <c r="E106" s="242">
        <f t="shared" si="69"/>
        <v>1</v>
      </c>
      <c r="F106" s="99"/>
      <c r="G106" s="99"/>
      <c r="H106" s="282">
        <v>0</v>
      </c>
      <c r="I106" s="99">
        <v>0</v>
      </c>
      <c r="J106" s="99">
        <v>1</v>
      </c>
      <c r="K106" s="99">
        <v>541.67999999999995</v>
      </c>
      <c r="L106" s="98">
        <f t="shared" si="90"/>
        <v>541.67999999999995</v>
      </c>
      <c r="M106" s="95"/>
      <c r="N106" s="95">
        <v>0</v>
      </c>
      <c r="O106" s="95">
        <v>0</v>
      </c>
      <c r="P106" s="95">
        <v>0</v>
      </c>
      <c r="Q106" s="243">
        <f t="shared" si="91"/>
        <v>0</v>
      </c>
      <c r="R106" s="98">
        <f t="shared" si="92"/>
        <v>0</v>
      </c>
      <c r="S106" s="99">
        <v>0</v>
      </c>
      <c r="T106" s="99">
        <v>0</v>
      </c>
      <c r="U106" s="98">
        <f t="shared" si="93"/>
        <v>0</v>
      </c>
      <c r="V106" s="99">
        <v>0</v>
      </c>
      <c r="W106" s="99">
        <v>0</v>
      </c>
      <c r="X106" s="98">
        <f t="shared" si="94"/>
        <v>0</v>
      </c>
      <c r="Y106" s="99">
        <v>0</v>
      </c>
      <c r="Z106" s="99">
        <v>0</v>
      </c>
      <c r="AA106" s="98">
        <f t="shared" si="95"/>
        <v>0</v>
      </c>
      <c r="AB106" s="98">
        <f t="shared" si="96"/>
        <v>0</v>
      </c>
      <c r="AC106" s="244">
        <f t="shared" si="97"/>
        <v>0</v>
      </c>
      <c r="AD106" s="98">
        <f t="shared" si="98"/>
        <v>0</v>
      </c>
      <c r="AE106" s="99">
        <v>0</v>
      </c>
      <c r="AF106" s="244">
        <f t="shared" si="99"/>
        <v>0</v>
      </c>
      <c r="AG106" s="99">
        <v>0</v>
      </c>
      <c r="AH106" s="99"/>
      <c r="AI106" s="99"/>
      <c r="AJ106" s="99"/>
      <c r="AK106" s="99"/>
      <c r="AL106" s="251">
        <f t="shared" si="100"/>
        <v>0</v>
      </c>
      <c r="AM106" s="99">
        <v>0</v>
      </c>
      <c r="AN106" s="100">
        <f t="shared" si="101"/>
        <v>0</v>
      </c>
      <c r="AO106" s="101">
        <f t="shared" si="81"/>
        <v>0</v>
      </c>
      <c r="AP106" s="102"/>
      <c r="AQ106" s="103">
        <f t="shared" si="82"/>
        <v>0</v>
      </c>
      <c r="AR106" s="104">
        <f t="shared" si="83"/>
        <v>541.67999999999995</v>
      </c>
      <c r="AS106" s="104">
        <f t="shared" si="84"/>
        <v>0</v>
      </c>
      <c r="AT106" s="104">
        <f t="shared" si="85"/>
        <v>0</v>
      </c>
      <c r="AU106" s="104">
        <f t="shared" si="86"/>
        <v>0</v>
      </c>
      <c r="AV106" s="104">
        <f t="array" ref="AV106">_xlfn.IFS(U106=0,AO106,U106&lt;0,AO106/-U106,U106&gt;0,AO106/U106)</f>
        <v>0</v>
      </c>
      <c r="AW106" s="244">
        <f t="shared" si="87"/>
        <v>0</v>
      </c>
      <c r="AX106" s="244">
        <f t="shared" si="88"/>
        <v>0</v>
      </c>
      <c r="AY106" s="105"/>
      <c r="AZ106" s="100">
        <f t="shared" si="89"/>
        <v>0</v>
      </c>
    </row>
    <row r="107" spans="1:52">
      <c r="A107" s="95"/>
      <c r="B107" s="106"/>
      <c r="C107" s="106"/>
      <c r="D107" s="106"/>
      <c r="E107" s="106"/>
      <c r="H107" s="280"/>
      <c r="K107" s="99"/>
      <c r="L107" s="99"/>
      <c r="M107" s="95"/>
      <c r="N107" s="95"/>
      <c r="O107" s="95"/>
      <c r="P107" s="95"/>
      <c r="Q107" s="252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253"/>
      <c r="AD107" s="99"/>
      <c r="AE107" s="99"/>
      <c r="AF107" s="253"/>
      <c r="AG107" s="99"/>
      <c r="AH107" s="226"/>
      <c r="AI107" s="226"/>
      <c r="AJ107" s="226"/>
      <c r="AK107" s="226"/>
      <c r="AL107" s="128"/>
      <c r="AM107" s="99"/>
      <c r="AN107" s="129"/>
      <c r="AO107" s="130"/>
      <c r="AP107" s="102"/>
      <c r="AQ107" s="255">
        <f>AVERAGE(AQ102:AQ106)</f>
        <v>0</v>
      </c>
      <c r="AR107" s="255">
        <f>AVERAGE(AR102:AR106)</f>
        <v>556.67999999999995</v>
      </c>
      <c r="AS107" s="255">
        <f t="shared" ref="AS107:AX107" si="102">AVERAGE(AS102:AS106)</f>
        <v>0</v>
      </c>
      <c r="AT107" s="255">
        <f t="shared" si="102"/>
        <v>0</v>
      </c>
      <c r="AU107" s="255">
        <f t="shared" si="102"/>
        <v>0</v>
      </c>
      <c r="AV107" s="255">
        <f t="shared" si="102"/>
        <v>-5.7551046391342398E-2</v>
      </c>
      <c r="AW107" s="256">
        <f t="shared" si="102"/>
        <v>0</v>
      </c>
      <c r="AX107" s="256">
        <f t="shared" si="102"/>
        <v>-9.9366425621296315E-5</v>
      </c>
      <c r="AY107" s="105"/>
      <c r="AZ107" s="129"/>
    </row>
    <row r="108" spans="1:52" s="126" customFormat="1">
      <c r="A108" s="257" t="s">
        <v>229</v>
      </c>
      <c r="B108" s="258"/>
      <c r="C108" s="259"/>
      <c r="D108" s="259"/>
      <c r="E108" s="260">
        <f t="shared" ref="E108:J108" si="103">SUM(E102:E106)</f>
        <v>7</v>
      </c>
      <c r="F108" s="259">
        <f t="shared" si="103"/>
        <v>0</v>
      </c>
      <c r="G108" s="259">
        <f t="shared" si="103"/>
        <v>0</v>
      </c>
      <c r="H108" s="259">
        <f t="shared" si="103"/>
        <v>1</v>
      </c>
      <c r="I108" s="259">
        <f t="shared" si="103"/>
        <v>0</v>
      </c>
      <c r="J108" s="259">
        <f t="shared" si="103"/>
        <v>6</v>
      </c>
      <c r="K108" s="259"/>
      <c r="L108" s="259">
        <f>SUM(L102:L106)</f>
        <v>3904.2599999999993</v>
      </c>
      <c r="M108" s="259"/>
      <c r="N108" s="259">
        <f>SUM(N102:N106)</f>
        <v>0</v>
      </c>
      <c r="O108" s="259"/>
      <c r="P108" s="259"/>
      <c r="Q108" s="261"/>
      <c r="R108" s="259"/>
      <c r="S108" s="259">
        <f t="shared" ref="S108:AE108" si="104">SUM(S102:S106)</f>
        <v>0</v>
      </c>
      <c r="T108" s="259">
        <f t="shared" si="104"/>
        <v>0</v>
      </c>
      <c r="U108" s="259">
        <f t="shared" si="104"/>
        <v>0</v>
      </c>
      <c r="V108" s="259">
        <f t="shared" si="104"/>
        <v>0</v>
      </c>
      <c r="W108" s="259">
        <f t="shared" si="104"/>
        <v>0</v>
      </c>
      <c r="X108" s="259">
        <f t="shared" si="104"/>
        <v>0</v>
      </c>
      <c r="Y108" s="259">
        <f t="shared" si="104"/>
        <v>0</v>
      </c>
      <c r="Z108" s="259">
        <f t="shared" si="104"/>
        <v>0</v>
      </c>
      <c r="AA108" s="259">
        <f t="shared" si="104"/>
        <v>0</v>
      </c>
      <c r="AB108" s="259">
        <f t="shared" si="104"/>
        <v>0</v>
      </c>
      <c r="AC108" s="262">
        <f t="shared" si="104"/>
        <v>0</v>
      </c>
      <c r="AD108" s="263">
        <f t="shared" si="104"/>
        <v>0</v>
      </c>
      <c r="AE108" s="259">
        <f t="shared" si="104"/>
        <v>0</v>
      </c>
      <c r="AF108" s="262" t="e">
        <f>AE108/AA108</f>
        <v>#DIV/0!</v>
      </c>
      <c r="AG108" s="259">
        <f t="shared" ref="AG108:AO108" si="105">SUM(AG102:AG106)</f>
        <v>0</v>
      </c>
      <c r="AH108" s="263">
        <f t="shared" si="105"/>
        <v>0</v>
      </c>
      <c r="AI108" s="263">
        <f t="shared" si="105"/>
        <v>0</v>
      </c>
      <c r="AJ108" s="263">
        <f t="shared" si="105"/>
        <v>0</v>
      </c>
      <c r="AK108" s="263">
        <f t="shared" si="105"/>
        <v>0</v>
      </c>
      <c r="AL108" s="263">
        <f>SUM(AL102:AL106)</f>
        <v>0.28775523195671199</v>
      </c>
      <c r="AM108" s="259">
        <f t="shared" si="105"/>
        <v>0</v>
      </c>
      <c r="AN108" s="263">
        <f t="shared" si="105"/>
        <v>0</v>
      </c>
      <c r="AO108" s="263">
        <f t="shared" si="105"/>
        <v>-0.28775523195671199</v>
      </c>
      <c r="AP108" s="264"/>
      <c r="AQ108" s="259"/>
      <c r="AR108" s="259"/>
      <c r="AS108" s="259"/>
      <c r="AT108" s="259"/>
      <c r="AU108" s="265" t="e">
        <f>(AH108+AI108+AJ108)/S108</f>
        <v>#DIV/0!</v>
      </c>
      <c r="AV108" s="259"/>
      <c r="AW108" s="259"/>
      <c r="AX108" s="259"/>
      <c r="AY108" s="266"/>
      <c r="AZ108" s="259">
        <f>SUM(AZ102:AZ106)</f>
        <v>-0.57551046391342398</v>
      </c>
    </row>
    <row r="109" spans="1:52" s="126" customFormat="1">
      <c r="A109" s="267"/>
      <c r="B109" s="268"/>
      <c r="C109" s="145"/>
      <c r="D109" s="145"/>
      <c r="E109" s="269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270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271"/>
      <c r="AD109" s="272"/>
      <c r="AE109" s="145"/>
      <c r="AF109" s="271"/>
      <c r="AG109" s="145"/>
      <c r="AH109" s="351"/>
      <c r="AI109" s="352"/>
      <c r="AJ109" s="273"/>
      <c r="AK109" s="272"/>
      <c r="AL109" s="272"/>
      <c r="AM109" s="145"/>
      <c r="AN109" s="272"/>
      <c r="AO109" s="272"/>
      <c r="AP109" s="102"/>
      <c r="AQ109" s="145"/>
      <c r="AR109" s="145"/>
      <c r="AS109" s="145"/>
      <c r="AT109" s="145"/>
      <c r="AU109" s="145"/>
      <c r="AV109" s="145"/>
      <c r="AW109" s="145"/>
      <c r="AX109" s="145"/>
      <c r="AY109" s="102"/>
      <c r="AZ109" s="145"/>
    </row>
    <row r="110" spans="1:52" outlineLevel="1">
      <c r="A110" s="95" t="s">
        <v>222</v>
      </c>
      <c r="B110" s="96">
        <v>260411674</v>
      </c>
      <c r="C110" s="96" t="s">
        <v>230</v>
      </c>
      <c r="D110" s="97"/>
      <c r="E110" s="242">
        <f>SUM(F110:J110)</f>
        <v>2</v>
      </c>
      <c r="F110" s="99"/>
      <c r="G110" s="99"/>
      <c r="H110" s="282">
        <v>0</v>
      </c>
      <c r="I110" s="99">
        <v>1</v>
      </c>
      <c r="J110" s="99">
        <v>1</v>
      </c>
      <c r="K110" s="98">
        <v>140</v>
      </c>
      <c r="L110" s="98">
        <f t="shared" ref="L110:L117" si="106">E110*K110</f>
        <v>280</v>
      </c>
      <c r="M110" s="95"/>
      <c r="N110" s="95">
        <v>0</v>
      </c>
      <c r="O110" s="95">
        <v>0</v>
      </c>
      <c r="P110" s="95">
        <v>0</v>
      </c>
      <c r="Q110" s="243">
        <f t="shared" ref="Q110" si="107">N110/3</f>
        <v>0</v>
      </c>
      <c r="R110" s="98">
        <f t="shared" ref="R110" si="108">U110/3</f>
        <v>0</v>
      </c>
      <c r="S110" s="99">
        <v>0</v>
      </c>
      <c r="T110" s="99">
        <v>0</v>
      </c>
      <c r="U110" s="98">
        <f t="shared" ref="U110" si="109">S110+T110</f>
        <v>0</v>
      </c>
      <c r="V110" s="99">
        <v>0</v>
      </c>
      <c r="W110" s="99">
        <v>0</v>
      </c>
      <c r="X110" s="98">
        <f t="shared" ref="X110" si="110">V110+W110</f>
        <v>0</v>
      </c>
      <c r="Y110" s="99">
        <v>0</v>
      </c>
      <c r="Z110" s="99">
        <v>0</v>
      </c>
      <c r="AA110" s="98">
        <f t="shared" ref="AA110" si="111">Y110+Z110</f>
        <v>0</v>
      </c>
      <c r="AB110" s="98">
        <f t="shared" ref="AB110" si="112">N110*O110*P110/100</f>
        <v>0</v>
      </c>
      <c r="AC110" s="244">
        <f t="shared" ref="AC110" si="113">AA110/$AA$121</f>
        <v>0</v>
      </c>
      <c r="AD110" s="98">
        <f t="shared" ref="AD110" si="114">U110*K110</f>
        <v>0</v>
      </c>
      <c r="AE110" s="99">
        <v>0</v>
      </c>
      <c r="AF110" s="244">
        <f t="shared" ref="AF110" si="115">IF(AA110=0,0,AE110/AA110)</f>
        <v>0</v>
      </c>
      <c r="AG110" s="99">
        <v>0</v>
      </c>
      <c r="AH110" s="99"/>
      <c r="AI110" s="99"/>
      <c r="AJ110" s="99"/>
      <c r="AK110" s="99"/>
      <c r="AL110" s="128">
        <f t="shared" ref="AL110" si="116">IFERROR($AL$121*H110/$H$121,0)</f>
        <v>0</v>
      </c>
      <c r="AM110" s="99">
        <v>0</v>
      </c>
      <c r="AN110" s="100">
        <f t="shared" ref="AN110:AN117" si="117">X110*5.71%</f>
        <v>0</v>
      </c>
      <c r="AO110" s="101">
        <f t="shared" ref="AO110:AO117" si="118">AA110-AD110-AE110-AG110-AH110-AI110-AK110-AL110-AN110-AM110</f>
        <v>0</v>
      </c>
      <c r="AP110" s="102"/>
      <c r="AQ110" s="103">
        <f t="shared" ref="AQ110:AQ117" si="119">IF(U110=0,0,AA110/U110)</f>
        <v>0</v>
      </c>
      <c r="AR110" s="104">
        <f t="shared" ref="AR110:AR117" si="120">K110</f>
        <v>140</v>
      </c>
      <c r="AS110" s="104">
        <f t="shared" ref="AS110:AS117" si="121">IF(U110=0,0,AE110/U110)</f>
        <v>0</v>
      </c>
      <c r="AT110" s="104">
        <f t="shared" ref="AT110:AT117" si="122">IF(S110=0,AG110/1,AG110/S110)</f>
        <v>0</v>
      </c>
      <c r="AU110" s="104">
        <f t="shared" ref="AU110:AU117" si="123">IF(S110=0,0,(AH110+AI110+AJ110)/S110)</f>
        <v>0</v>
      </c>
      <c r="AV110" s="104">
        <f t="array" ref="AV110">_xlfn.IFS(U110=0,AO110,U110&lt;0,AO110/-U110,U110&gt;0,AO110/U110)</f>
        <v>0</v>
      </c>
      <c r="AW110" s="244">
        <f t="shared" ref="AW110:AW117" si="124">IF(AQ110=0,0,AV110/AQ110)</f>
        <v>0</v>
      </c>
      <c r="AX110" s="244">
        <f t="shared" ref="AX110:AX117" si="125">IF(AR110=0,0,AV110/AR110)</f>
        <v>0</v>
      </c>
      <c r="AY110" s="105"/>
      <c r="AZ110" s="100">
        <f t="shared" ref="AZ110:AZ117" si="126">AV110*E110</f>
        <v>0</v>
      </c>
    </row>
    <row r="111" spans="1:52" outlineLevel="1">
      <c r="A111" s="95" t="s">
        <v>222</v>
      </c>
      <c r="B111" s="96">
        <v>260945325</v>
      </c>
      <c r="C111" s="96" t="s">
        <v>231</v>
      </c>
      <c r="D111" s="97"/>
      <c r="E111" s="242">
        <f t="shared" ref="E111:E117" si="127">SUM(F111:J111)</f>
        <v>1</v>
      </c>
      <c r="F111" s="99"/>
      <c r="G111" s="99"/>
      <c r="H111" s="282">
        <v>0</v>
      </c>
      <c r="I111" s="99">
        <v>1</v>
      </c>
      <c r="J111" s="99"/>
      <c r="K111" s="98">
        <v>154</v>
      </c>
      <c r="L111" s="98">
        <f t="shared" si="106"/>
        <v>154</v>
      </c>
      <c r="M111" s="95"/>
      <c r="N111" s="95">
        <v>0</v>
      </c>
      <c r="O111" s="95">
        <v>0</v>
      </c>
      <c r="P111" s="95">
        <v>0</v>
      </c>
      <c r="Q111" s="243">
        <f t="shared" ref="Q111:Q117" si="128">N111/3</f>
        <v>0</v>
      </c>
      <c r="R111" s="98">
        <f t="shared" ref="R111:R117" si="129">U111/3</f>
        <v>0</v>
      </c>
      <c r="S111" s="99">
        <v>0</v>
      </c>
      <c r="T111" s="99">
        <v>0</v>
      </c>
      <c r="U111" s="98">
        <f t="shared" ref="U111:U117" si="130">S111+T111</f>
        <v>0</v>
      </c>
      <c r="V111" s="99">
        <v>0</v>
      </c>
      <c r="W111" s="99">
        <v>0</v>
      </c>
      <c r="X111" s="98">
        <f t="shared" ref="X111:X117" si="131">V111+W111</f>
        <v>0</v>
      </c>
      <c r="Y111" s="99">
        <v>0</v>
      </c>
      <c r="Z111" s="99">
        <v>0</v>
      </c>
      <c r="AA111" s="98">
        <f t="shared" ref="AA111:AA117" si="132">Y111+Z111</f>
        <v>0</v>
      </c>
      <c r="AB111" s="98">
        <f t="shared" ref="AB111:AB117" si="133">N111*O111*P111/100</f>
        <v>0</v>
      </c>
      <c r="AC111" s="244">
        <f t="shared" ref="AC111:AC117" si="134">AA111/$AA$121</f>
        <v>0</v>
      </c>
      <c r="AD111" s="98">
        <f t="shared" ref="AD111:AD117" si="135">U111*K111</f>
        <v>0</v>
      </c>
      <c r="AE111" s="99">
        <v>0</v>
      </c>
      <c r="AF111" s="244">
        <f t="shared" ref="AF111:AF117" si="136">IF(AA111=0,0,AE111/AA111)</f>
        <v>0</v>
      </c>
      <c r="AG111" s="99">
        <v>0</v>
      </c>
      <c r="AH111" s="99"/>
      <c r="AI111" s="99"/>
      <c r="AJ111" s="99"/>
      <c r="AK111" s="99"/>
      <c r="AL111" s="128">
        <f t="shared" ref="AL111:AL117" si="137">IFERROR($AL$121*H111/$H$121,0)</f>
        <v>0</v>
      </c>
      <c r="AM111" s="99">
        <v>0</v>
      </c>
      <c r="AN111" s="100">
        <f t="shared" si="117"/>
        <v>0</v>
      </c>
      <c r="AO111" s="101">
        <f t="shared" si="118"/>
        <v>0</v>
      </c>
      <c r="AP111" s="102"/>
      <c r="AQ111" s="103">
        <f t="shared" si="119"/>
        <v>0</v>
      </c>
      <c r="AR111" s="104">
        <f t="shared" si="120"/>
        <v>154</v>
      </c>
      <c r="AS111" s="104">
        <f t="shared" si="121"/>
        <v>0</v>
      </c>
      <c r="AT111" s="104">
        <f t="shared" si="122"/>
        <v>0</v>
      </c>
      <c r="AU111" s="104">
        <f t="shared" si="123"/>
        <v>0</v>
      </c>
      <c r="AV111" s="104">
        <f t="array" ref="AV111">_xlfn.IFS(U111=0,AO111,U111&lt;0,AO111/-U111,U111&gt;0,AO111/U111)</f>
        <v>0</v>
      </c>
      <c r="AW111" s="244">
        <f t="shared" si="124"/>
        <v>0</v>
      </c>
      <c r="AX111" s="244">
        <f t="shared" si="125"/>
        <v>0</v>
      </c>
      <c r="AY111" s="105"/>
      <c r="AZ111" s="100">
        <f t="shared" si="126"/>
        <v>0</v>
      </c>
    </row>
    <row r="112" spans="1:52" outlineLevel="1">
      <c r="A112" s="95" t="s">
        <v>222</v>
      </c>
      <c r="B112" s="96">
        <v>261545954</v>
      </c>
      <c r="C112" s="96" t="s">
        <v>232</v>
      </c>
      <c r="D112" s="97"/>
      <c r="E112" s="242">
        <f t="shared" si="127"/>
        <v>1</v>
      </c>
      <c r="F112" s="99"/>
      <c r="G112" s="99"/>
      <c r="H112" s="282">
        <v>0</v>
      </c>
      <c r="I112" s="99">
        <v>1</v>
      </c>
      <c r="J112" s="99"/>
      <c r="K112" s="98">
        <v>220</v>
      </c>
      <c r="L112" s="98">
        <f t="shared" si="106"/>
        <v>220</v>
      </c>
      <c r="M112" s="95"/>
      <c r="N112" s="95">
        <v>0</v>
      </c>
      <c r="O112" s="95">
        <v>0</v>
      </c>
      <c r="P112" s="95">
        <v>0</v>
      </c>
      <c r="Q112" s="243">
        <f t="shared" si="128"/>
        <v>0</v>
      </c>
      <c r="R112" s="98">
        <f t="shared" si="129"/>
        <v>0</v>
      </c>
      <c r="S112" s="99">
        <v>0</v>
      </c>
      <c r="T112" s="99">
        <v>0</v>
      </c>
      <c r="U112" s="98">
        <f t="shared" si="130"/>
        <v>0</v>
      </c>
      <c r="V112" s="99">
        <v>0</v>
      </c>
      <c r="W112" s="99">
        <v>0</v>
      </c>
      <c r="X112" s="98">
        <f t="shared" si="131"/>
        <v>0</v>
      </c>
      <c r="Y112" s="99">
        <v>0</v>
      </c>
      <c r="Z112" s="99">
        <v>0</v>
      </c>
      <c r="AA112" s="98">
        <f t="shared" si="132"/>
        <v>0</v>
      </c>
      <c r="AB112" s="98">
        <f t="shared" si="133"/>
        <v>0</v>
      </c>
      <c r="AC112" s="244">
        <f t="shared" si="134"/>
        <v>0</v>
      </c>
      <c r="AD112" s="98">
        <f t="shared" si="135"/>
        <v>0</v>
      </c>
      <c r="AE112" s="99">
        <v>0</v>
      </c>
      <c r="AF112" s="244">
        <f t="shared" si="136"/>
        <v>0</v>
      </c>
      <c r="AG112" s="99">
        <v>0</v>
      </c>
      <c r="AH112" s="99"/>
      <c r="AI112" s="99"/>
      <c r="AJ112" s="99"/>
      <c r="AK112" s="99"/>
      <c r="AL112" s="128">
        <f t="shared" si="137"/>
        <v>0</v>
      </c>
      <c r="AM112" s="99">
        <v>0</v>
      </c>
      <c r="AN112" s="100">
        <f t="shared" si="117"/>
        <v>0</v>
      </c>
      <c r="AO112" s="101">
        <f t="shared" si="118"/>
        <v>0</v>
      </c>
      <c r="AP112" s="102"/>
      <c r="AQ112" s="103">
        <f t="shared" si="119"/>
        <v>0</v>
      </c>
      <c r="AR112" s="104">
        <f t="shared" si="120"/>
        <v>220</v>
      </c>
      <c r="AS112" s="104">
        <f t="shared" si="121"/>
        <v>0</v>
      </c>
      <c r="AT112" s="104">
        <f t="shared" si="122"/>
        <v>0</v>
      </c>
      <c r="AU112" s="104">
        <f t="shared" si="123"/>
        <v>0</v>
      </c>
      <c r="AV112" s="104">
        <f t="array" ref="AV112">_xlfn.IFS(U112=0,AO112,U112&lt;0,AO112/-U112,U112&gt;0,AO112/U112)</f>
        <v>0</v>
      </c>
      <c r="AW112" s="244">
        <f t="shared" si="124"/>
        <v>0</v>
      </c>
      <c r="AX112" s="244">
        <f t="shared" si="125"/>
        <v>0</v>
      </c>
      <c r="AY112" s="105"/>
      <c r="AZ112" s="100">
        <f t="shared" si="126"/>
        <v>0</v>
      </c>
    </row>
    <row r="113" spans="1:52" outlineLevel="1">
      <c r="A113" s="95" t="s">
        <v>222</v>
      </c>
      <c r="B113" s="96">
        <v>261546082</v>
      </c>
      <c r="C113" s="96" t="s">
        <v>233</v>
      </c>
      <c r="D113" s="97"/>
      <c r="E113" s="242">
        <f t="shared" si="127"/>
        <v>1</v>
      </c>
      <c r="F113" s="99"/>
      <c r="G113" s="99"/>
      <c r="H113" s="282">
        <v>0</v>
      </c>
      <c r="I113" s="99">
        <v>1</v>
      </c>
      <c r="J113" s="99"/>
      <c r="K113" s="98">
        <v>220</v>
      </c>
      <c r="L113" s="98">
        <f t="shared" si="106"/>
        <v>220</v>
      </c>
      <c r="M113" s="95"/>
      <c r="N113" s="95">
        <v>0</v>
      </c>
      <c r="O113" s="95">
        <v>0</v>
      </c>
      <c r="P113" s="95">
        <v>0</v>
      </c>
      <c r="Q113" s="243">
        <f t="shared" si="128"/>
        <v>0</v>
      </c>
      <c r="R113" s="98">
        <f t="shared" si="129"/>
        <v>0</v>
      </c>
      <c r="S113" s="99">
        <v>0</v>
      </c>
      <c r="T113" s="99">
        <v>0</v>
      </c>
      <c r="U113" s="98">
        <f t="shared" si="130"/>
        <v>0</v>
      </c>
      <c r="V113" s="99">
        <v>0</v>
      </c>
      <c r="W113" s="99">
        <v>0</v>
      </c>
      <c r="X113" s="98">
        <f t="shared" si="131"/>
        <v>0</v>
      </c>
      <c r="Y113" s="99">
        <v>0</v>
      </c>
      <c r="Z113" s="99">
        <v>0</v>
      </c>
      <c r="AA113" s="98">
        <f t="shared" si="132"/>
        <v>0</v>
      </c>
      <c r="AB113" s="98">
        <f t="shared" si="133"/>
        <v>0</v>
      </c>
      <c r="AC113" s="244">
        <f t="shared" si="134"/>
        <v>0</v>
      </c>
      <c r="AD113" s="98">
        <f t="shared" si="135"/>
        <v>0</v>
      </c>
      <c r="AE113" s="99">
        <v>0</v>
      </c>
      <c r="AF113" s="244">
        <f t="shared" si="136"/>
        <v>0</v>
      </c>
      <c r="AG113" s="99">
        <v>0</v>
      </c>
      <c r="AH113" s="99"/>
      <c r="AI113" s="99"/>
      <c r="AJ113" s="99"/>
      <c r="AK113" s="99"/>
      <c r="AL113" s="128">
        <f t="shared" si="137"/>
        <v>0</v>
      </c>
      <c r="AM113" s="99">
        <v>0</v>
      </c>
      <c r="AN113" s="100">
        <f t="shared" si="117"/>
        <v>0</v>
      </c>
      <c r="AO113" s="101">
        <f t="shared" si="118"/>
        <v>0</v>
      </c>
      <c r="AP113" s="102"/>
      <c r="AQ113" s="103">
        <f t="shared" si="119"/>
        <v>0</v>
      </c>
      <c r="AR113" s="104">
        <f t="shared" si="120"/>
        <v>220</v>
      </c>
      <c r="AS113" s="104">
        <f t="shared" si="121"/>
        <v>0</v>
      </c>
      <c r="AT113" s="104">
        <f t="shared" si="122"/>
        <v>0</v>
      </c>
      <c r="AU113" s="104">
        <f t="shared" si="123"/>
        <v>0</v>
      </c>
      <c r="AV113" s="104">
        <f t="array" ref="AV113">_xlfn.IFS(U113=0,AO113,U113&lt;0,AO113/-U113,U113&gt;0,AO113/U113)</f>
        <v>0</v>
      </c>
      <c r="AW113" s="244">
        <f t="shared" si="124"/>
        <v>0</v>
      </c>
      <c r="AX113" s="244">
        <f t="shared" si="125"/>
        <v>0</v>
      </c>
      <c r="AY113" s="105"/>
      <c r="AZ113" s="100">
        <f t="shared" si="126"/>
        <v>0</v>
      </c>
    </row>
    <row r="114" spans="1:52" outlineLevel="1">
      <c r="A114" s="95" t="s">
        <v>222</v>
      </c>
      <c r="B114" s="96">
        <v>261546175</v>
      </c>
      <c r="C114" s="96" t="s">
        <v>234</v>
      </c>
      <c r="D114" s="97"/>
      <c r="E114" s="242">
        <f t="shared" si="127"/>
        <v>6</v>
      </c>
      <c r="F114" s="99"/>
      <c r="G114" s="99"/>
      <c r="H114" s="282">
        <v>0</v>
      </c>
      <c r="I114" s="99">
        <v>1</v>
      </c>
      <c r="J114" s="99">
        <v>5</v>
      </c>
      <c r="K114" s="98">
        <v>220</v>
      </c>
      <c r="L114" s="98">
        <f t="shared" si="106"/>
        <v>1320</v>
      </c>
      <c r="M114" s="95"/>
      <c r="N114" s="95">
        <v>0</v>
      </c>
      <c r="O114" s="95">
        <v>0</v>
      </c>
      <c r="P114" s="95">
        <v>0</v>
      </c>
      <c r="Q114" s="243">
        <f t="shared" si="128"/>
        <v>0</v>
      </c>
      <c r="R114" s="98">
        <f t="shared" si="129"/>
        <v>0</v>
      </c>
      <c r="S114" s="99">
        <v>0</v>
      </c>
      <c r="T114" s="99">
        <v>0</v>
      </c>
      <c r="U114" s="98">
        <f t="shared" si="130"/>
        <v>0</v>
      </c>
      <c r="V114" s="99">
        <v>0</v>
      </c>
      <c r="W114" s="99">
        <v>0</v>
      </c>
      <c r="X114" s="98">
        <f t="shared" si="131"/>
        <v>0</v>
      </c>
      <c r="Y114" s="99">
        <v>0</v>
      </c>
      <c r="Z114" s="99">
        <v>0</v>
      </c>
      <c r="AA114" s="98">
        <f t="shared" si="132"/>
        <v>0</v>
      </c>
      <c r="AB114" s="98">
        <f t="shared" si="133"/>
        <v>0</v>
      </c>
      <c r="AC114" s="244">
        <f t="shared" si="134"/>
        <v>0</v>
      </c>
      <c r="AD114" s="98">
        <f t="shared" si="135"/>
        <v>0</v>
      </c>
      <c r="AE114" s="99">
        <v>0</v>
      </c>
      <c r="AF114" s="244">
        <f t="shared" si="136"/>
        <v>0</v>
      </c>
      <c r="AG114" s="99">
        <v>0</v>
      </c>
      <c r="AH114" s="99"/>
      <c r="AI114" s="99"/>
      <c r="AJ114" s="99"/>
      <c r="AK114" s="99"/>
      <c r="AL114" s="128">
        <f t="shared" si="137"/>
        <v>0</v>
      </c>
      <c r="AM114" s="99">
        <v>0</v>
      </c>
      <c r="AN114" s="100">
        <f t="shared" si="117"/>
        <v>0</v>
      </c>
      <c r="AO114" s="101">
        <f t="shared" si="118"/>
        <v>0</v>
      </c>
      <c r="AP114" s="102"/>
      <c r="AQ114" s="103">
        <f t="shared" si="119"/>
        <v>0</v>
      </c>
      <c r="AR114" s="104">
        <f t="shared" si="120"/>
        <v>220</v>
      </c>
      <c r="AS114" s="104">
        <f t="shared" si="121"/>
        <v>0</v>
      </c>
      <c r="AT114" s="104">
        <f t="shared" si="122"/>
        <v>0</v>
      </c>
      <c r="AU114" s="104">
        <f t="shared" si="123"/>
        <v>0</v>
      </c>
      <c r="AV114" s="104">
        <f t="array" ref="AV114">_xlfn.IFS(U114=0,AO114,U114&lt;0,AO114/-U114,U114&gt;0,AO114/U114)</f>
        <v>0</v>
      </c>
      <c r="AW114" s="244">
        <f t="shared" si="124"/>
        <v>0</v>
      </c>
      <c r="AX114" s="244">
        <f t="shared" si="125"/>
        <v>0</v>
      </c>
      <c r="AY114" s="105"/>
      <c r="AZ114" s="100">
        <f t="shared" si="126"/>
        <v>0</v>
      </c>
    </row>
    <row r="115" spans="1:52" outlineLevel="1">
      <c r="A115" s="95" t="s">
        <v>222</v>
      </c>
      <c r="B115" s="96">
        <v>261548725</v>
      </c>
      <c r="C115" s="96" t="s">
        <v>235</v>
      </c>
      <c r="D115" s="97"/>
      <c r="E115" s="242">
        <f t="shared" si="127"/>
        <v>1</v>
      </c>
      <c r="F115" s="99"/>
      <c r="G115" s="99"/>
      <c r="H115" s="282">
        <v>0</v>
      </c>
      <c r="I115" s="99">
        <v>1</v>
      </c>
      <c r="J115" s="99"/>
      <c r="K115" s="98">
        <v>205</v>
      </c>
      <c r="L115" s="98">
        <f t="shared" si="106"/>
        <v>205</v>
      </c>
      <c r="M115" s="95"/>
      <c r="N115" s="95">
        <v>0</v>
      </c>
      <c r="O115" s="95">
        <v>0</v>
      </c>
      <c r="P115" s="95">
        <v>0</v>
      </c>
      <c r="Q115" s="243">
        <f t="shared" si="128"/>
        <v>0</v>
      </c>
      <c r="R115" s="98">
        <f t="shared" si="129"/>
        <v>0</v>
      </c>
      <c r="S115" s="99">
        <v>0</v>
      </c>
      <c r="T115" s="99">
        <v>0</v>
      </c>
      <c r="U115" s="98">
        <f t="shared" si="130"/>
        <v>0</v>
      </c>
      <c r="V115" s="99">
        <v>0</v>
      </c>
      <c r="W115" s="99">
        <v>0</v>
      </c>
      <c r="X115" s="98">
        <f t="shared" si="131"/>
        <v>0</v>
      </c>
      <c r="Y115" s="99">
        <v>0</v>
      </c>
      <c r="Z115" s="99">
        <v>0</v>
      </c>
      <c r="AA115" s="98">
        <f t="shared" si="132"/>
        <v>0</v>
      </c>
      <c r="AB115" s="98">
        <f t="shared" si="133"/>
        <v>0</v>
      </c>
      <c r="AC115" s="244">
        <f t="shared" si="134"/>
        <v>0</v>
      </c>
      <c r="AD115" s="98">
        <f t="shared" si="135"/>
        <v>0</v>
      </c>
      <c r="AE115" s="99">
        <v>0</v>
      </c>
      <c r="AF115" s="244">
        <f t="shared" si="136"/>
        <v>0</v>
      </c>
      <c r="AG115" s="99">
        <v>0</v>
      </c>
      <c r="AH115" s="99"/>
      <c r="AI115" s="99"/>
      <c r="AJ115" s="99"/>
      <c r="AK115" s="99"/>
      <c r="AL115" s="128">
        <f t="shared" si="137"/>
        <v>0</v>
      </c>
      <c r="AM115" s="99">
        <v>0</v>
      </c>
      <c r="AN115" s="100">
        <f t="shared" si="117"/>
        <v>0</v>
      </c>
      <c r="AO115" s="101">
        <f t="shared" si="118"/>
        <v>0</v>
      </c>
      <c r="AP115" s="102"/>
      <c r="AQ115" s="103">
        <f t="shared" si="119"/>
        <v>0</v>
      </c>
      <c r="AR115" s="104">
        <f t="shared" si="120"/>
        <v>205</v>
      </c>
      <c r="AS115" s="104">
        <f t="shared" si="121"/>
        <v>0</v>
      </c>
      <c r="AT115" s="104">
        <f t="shared" si="122"/>
        <v>0</v>
      </c>
      <c r="AU115" s="104">
        <f t="shared" si="123"/>
        <v>0</v>
      </c>
      <c r="AV115" s="104">
        <f t="array" ref="AV115">_xlfn.IFS(U115=0,AO115,U115&lt;0,AO115/-U115,U115&gt;0,AO115/U115)</f>
        <v>0</v>
      </c>
      <c r="AW115" s="244">
        <f t="shared" si="124"/>
        <v>0</v>
      </c>
      <c r="AX115" s="244">
        <f t="shared" si="125"/>
        <v>0</v>
      </c>
      <c r="AY115" s="105"/>
      <c r="AZ115" s="100">
        <f t="shared" si="126"/>
        <v>0</v>
      </c>
    </row>
    <row r="116" spans="1:52" outlineLevel="1">
      <c r="A116" s="95" t="s">
        <v>222</v>
      </c>
      <c r="B116" s="96">
        <v>261549082</v>
      </c>
      <c r="C116" s="96" t="s">
        <v>236</v>
      </c>
      <c r="D116" s="97"/>
      <c r="E116" s="242">
        <f t="shared" si="127"/>
        <v>1</v>
      </c>
      <c r="F116" s="99"/>
      <c r="G116" s="99"/>
      <c r="H116" s="282">
        <v>0</v>
      </c>
      <c r="I116" s="99">
        <v>1</v>
      </c>
      <c r="J116" s="99"/>
      <c r="K116" s="98">
        <v>205</v>
      </c>
      <c r="L116" s="98">
        <f t="shared" si="106"/>
        <v>205</v>
      </c>
      <c r="M116" s="95"/>
      <c r="N116" s="95">
        <v>0</v>
      </c>
      <c r="O116" s="95">
        <v>0</v>
      </c>
      <c r="P116" s="95">
        <v>0</v>
      </c>
      <c r="Q116" s="243">
        <f t="shared" si="128"/>
        <v>0</v>
      </c>
      <c r="R116" s="98">
        <f t="shared" si="129"/>
        <v>0</v>
      </c>
      <c r="S116" s="99">
        <v>0</v>
      </c>
      <c r="T116" s="99">
        <v>0</v>
      </c>
      <c r="U116" s="98">
        <f t="shared" si="130"/>
        <v>0</v>
      </c>
      <c r="V116" s="99">
        <v>0</v>
      </c>
      <c r="W116" s="99">
        <v>0</v>
      </c>
      <c r="X116" s="98">
        <f t="shared" si="131"/>
        <v>0</v>
      </c>
      <c r="Y116" s="99">
        <v>0</v>
      </c>
      <c r="Z116" s="99">
        <v>0</v>
      </c>
      <c r="AA116" s="98">
        <f t="shared" si="132"/>
        <v>0</v>
      </c>
      <c r="AB116" s="98">
        <f t="shared" si="133"/>
        <v>0</v>
      </c>
      <c r="AC116" s="244">
        <f t="shared" si="134"/>
        <v>0</v>
      </c>
      <c r="AD116" s="98">
        <f t="shared" si="135"/>
        <v>0</v>
      </c>
      <c r="AE116" s="99">
        <v>0</v>
      </c>
      <c r="AF116" s="244">
        <f t="shared" si="136"/>
        <v>0</v>
      </c>
      <c r="AG116" s="99">
        <v>0</v>
      </c>
      <c r="AH116" s="99"/>
      <c r="AI116" s="99"/>
      <c r="AJ116" s="99"/>
      <c r="AK116" s="99"/>
      <c r="AL116" s="128">
        <f t="shared" si="137"/>
        <v>0</v>
      </c>
      <c r="AM116" s="99">
        <v>0</v>
      </c>
      <c r="AN116" s="100">
        <f t="shared" si="117"/>
        <v>0</v>
      </c>
      <c r="AO116" s="101">
        <f t="shared" si="118"/>
        <v>0</v>
      </c>
      <c r="AP116" s="102"/>
      <c r="AQ116" s="103">
        <f t="shared" si="119"/>
        <v>0</v>
      </c>
      <c r="AR116" s="104">
        <f t="shared" si="120"/>
        <v>205</v>
      </c>
      <c r="AS116" s="104">
        <f t="shared" si="121"/>
        <v>0</v>
      </c>
      <c r="AT116" s="104">
        <f t="shared" si="122"/>
        <v>0</v>
      </c>
      <c r="AU116" s="104">
        <f t="shared" si="123"/>
        <v>0</v>
      </c>
      <c r="AV116" s="104">
        <f t="array" ref="AV116">_xlfn.IFS(U116=0,AO116,U116&lt;0,AO116/-U116,U116&gt;0,AO116/U116)</f>
        <v>0</v>
      </c>
      <c r="AW116" s="244">
        <f t="shared" si="124"/>
        <v>0</v>
      </c>
      <c r="AX116" s="244">
        <f t="shared" si="125"/>
        <v>0</v>
      </c>
      <c r="AY116" s="105"/>
      <c r="AZ116" s="100">
        <f t="shared" si="126"/>
        <v>0</v>
      </c>
    </row>
    <row r="117" spans="1:52" outlineLevel="1">
      <c r="A117" s="95" t="s">
        <v>222</v>
      </c>
      <c r="B117" s="96">
        <v>261561322</v>
      </c>
      <c r="C117" s="96" t="s">
        <v>237</v>
      </c>
      <c r="D117" s="127"/>
      <c r="E117" s="251">
        <f t="shared" si="127"/>
        <v>1</v>
      </c>
      <c r="F117" s="99"/>
      <c r="G117" s="99"/>
      <c r="H117" s="282">
        <v>0</v>
      </c>
      <c r="I117" s="99">
        <v>1</v>
      </c>
      <c r="J117" s="99"/>
      <c r="K117" s="98">
        <v>453</v>
      </c>
      <c r="L117" s="98">
        <f t="shared" si="106"/>
        <v>453</v>
      </c>
      <c r="M117" s="95"/>
      <c r="N117" s="95">
        <v>0</v>
      </c>
      <c r="O117" s="95">
        <v>0</v>
      </c>
      <c r="P117" s="95">
        <v>0</v>
      </c>
      <c r="Q117" s="243">
        <f t="shared" si="128"/>
        <v>0</v>
      </c>
      <c r="R117" s="98">
        <f t="shared" si="129"/>
        <v>0</v>
      </c>
      <c r="S117" s="99">
        <v>0</v>
      </c>
      <c r="T117" s="99">
        <v>0</v>
      </c>
      <c r="U117" s="98">
        <f t="shared" si="130"/>
        <v>0</v>
      </c>
      <c r="V117" s="99">
        <v>0</v>
      </c>
      <c r="W117" s="99">
        <v>0</v>
      </c>
      <c r="X117" s="98">
        <f t="shared" si="131"/>
        <v>0</v>
      </c>
      <c r="Y117" s="99">
        <v>0</v>
      </c>
      <c r="Z117" s="99">
        <v>0</v>
      </c>
      <c r="AA117" s="98">
        <f t="shared" si="132"/>
        <v>0</v>
      </c>
      <c r="AB117" s="98">
        <f t="shared" si="133"/>
        <v>0</v>
      </c>
      <c r="AC117" s="244">
        <f t="shared" si="134"/>
        <v>0</v>
      </c>
      <c r="AD117" s="98">
        <f t="shared" si="135"/>
        <v>0</v>
      </c>
      <c r="AE117" s="99">
        <v>0</v>
      </c>
      <c r="AF117" s="244">
        <f t="shared" si="136"/>
        <v>0</v>
      </c>
      <c r="AG117" s="99">
        <v>0</v>
      </c>
      <c r="AH117" s="99"/>
      <c r="AI117" s="99"/>
      <c r="AJ117" s="99"/>
      <c r="AK117" s="99"/>
      <c r="AL117" s="128">
        <f t="shared" si="137"/>
        <v>0</v>
      </c>
      <c r="AM117" s="99">
        <v>0</v>
      </c>
      <c r="AN117" s="100">
        <f t="shared" si="117"/>
        <v>0</v>
      </c>
      <c r="AO117" s="101">
        <f t="shared" si="118"/>
        <v>0</v>
      </c>
      <c r="AP117" s="102"/>
      <c r="AQ117" s="103">
        <f t="shared" si="119"/>
        <v>0</v>
      </c>
      <c r="AR117" s="104">
        <f t="shared" si="120"/>
        <v>453</v>
      </c>
      <c r="AS117" s="104">
        <f t="shared" si="121"/>
        <v>0</v>
      </c>
      <c r="AT117" s="104">
        <f t="shared" si="122"/>
        <v>0</v>
      </c>
      <c r="AU117" s="104">
        <f t="shared" si="123"/>
        <v>0</v>
      </c>
      <c r="AV117" s="104">
        <f t="array" ref="AV117">_xlfn.IFS(U117=0,AO117,U117&lt;0,AO117/-U117,U117&gt;0,AO117/U117)</f>
        <v>0</v>
      </c>
      <c r="AW117" s="244">
        <f t="shared" si="124"/>
        <v>0</v>
      </c>
      <c r="AX117" s="244">
        <f t="shared" si="125"/>
        <v>0</v>
      </c>
      <c r="AY117" s="105"/>
      <c r="AZ117" s="100">
        <f t="shared" si="126"/>
        <v>0</v>
      </c>
    </row>
    <row r="118" spans="1:52">
      <c r="A118" s="133"/>
      <c r="B118" s="106"/>
      <c r="C118" s="95"/>
      <c r="D118" s="133"/>
      <c r="E118" s="242"/>
      <c r="F118" s="98"/>
      <c r="G118" s="98"/>
      <c r="H118" s="99"/>
      <c r="I118" s="98"/>
      <c r="J118" s="99"/>
      <c r="K118" s="98"/>
      <c r="L118" s="98"/>
      <c r="M118" s="95"/>
      <c r="N118" s="135"/>
      <c r="O118" s="135"/>
      <c r="P118" s="135"/>
      <c r="Q118" s="243"/>
      <c r="R118" s="134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244"/>
      <c r="AD118" s="98"/>
      <c r="AE118" s="98"/>
      <c r="AF118" s="244"/>
      <c r="AG118" s="98"/>
      <c r="AH118" s="99"/>
      <c r="AI118" s="99"/>
      <c r="AJ118" s="99"/>
      <c r="AK118" s="99"/>
      <c r="AL118" s="128"/>
      <c r="AN118" s="100"/>
      <c r="AO118" s="101"/>
      <c r="AP118" s="102"/>
      <c r="AQ118" s="136">
        <f t="shared" ref="AQ118:AX118" si="138">AVERAGE(AQ110:AQ117)</f>
        <v>0</v>
      </c>
      <c r="AR118" s="136">
        <f t="shared" si="138"/>
        <v>227.125</v>
      </c>
      <c r="AS118" s="136">
        <f t="shared" si="138"/>
        <v>0</v>
      </c>
      <c r="AT118" s="136">
        <f t="shared" si="138"/>
        <v>0</v>
      </c>
      <c r="AU118" s="136">
        <f t="shared" si="138"/>
        <v>0</v>
      </c>
      <c r="AV118" s="136">
        <f t="shared" si="138"/>
        <v>0</v>
      </c>
      <c r="AW118" s="137">
        <f t="shared" si="138"/>
        <v>0</v>
      </c>
      <c r="AX118" s="137">
        <f t="shared" si="138"/>
        <v>0</v>
      </c>
      <c r="AY118" s="105"/>
      <c r="AZ118" s="100"/>
    </row>
    <row r="119" spans="1:52" s="145" customFormat="1" ht="15" customHeight="1">
      <c r="A119" s="138" t="s">
        <v>238</v>
      </c>
      <c r="B119" s="139"/>
      <c r="C119" s="140"/>
      <c r="D119" s="140"/>
      <c r="E119" s="274">
        <f t="shared" ref="E119:J119" si="139">SUM(E110:E117)</f>
        <v>14</v>
      </c>
      <c r="F119" s="140">
        <f t="shared" si="139"/>
        <v>0</v>
      </c>
      <c r="G119" s="140">
        <f t="shared" si="139"/>
        <v>0</v>
      </c>
      <c r="H119" s="140">
        <f t="shared" si="139"/>
        <v>0</v>
      </c>
      <c r="I119" s="140">
        <f t="shared" si="139"/>
        <v>8</v>
      </c>
      <c r="J119" s="140">
        <f t="shared" si="139"/>
        <v>6</v>
      </c>
      <c r="K119" s="140"/>
      <c r="L119" s="140">
        <f>SUM(L110:L117)</f>
        <v>3057</v>
      </c>
      <c r="M119" s="140"/>
      <c r="N119" s="140">
        <f>SUM(N110:N117)</f>
        <v>0</v>
      </c>
      <c r="O119" s="140"/>
      <c r="P119" s="140"/>
      <c r="Q119" s="222"/>
      <c r="R119" s="140"/>
      <c r="S119" s="140">
        <f t="shared" ref="S119:AE119" si="140">SUM(S110:S117)</f>
        <v>0</v>
      </c>
      <c r="T119" s="140">
        <f t="shared" si="140"/>
        <v>0</v>
      </c>
      <c r="U119" s="140">
        <f t="shared" si="140"/>
        <v>0</v>
      </c>
      <c r="V119" s="140">
        <f t="shared" si="140"/>
        <v>0</v>
      </c>
      <c r="W119" s="140">
        <f t="shared" si="140"/>
        <v>0</v>
      </c>
      <c r="X119" s="140">
        <f t="shared" si="140"/>
        <v>0</v>
      </c>
      <c r="Y119" s="140">
        <f t="shared" si="140"/>
        <v>0</v>
      </c>
      <c r="Z119" s="140">
        <f t="shared" si="140"/>
        <v>0</v>
      </c>
      <c r="AA119" s="140">
        <f t="shared" si="140"/>
        <v>0</v>
      </c>
      <c r="AB119" s="140">
        <f t="shared" si="140"/>
        <v>0</v>
      </c>
      <c r="AC119" s="275">
        <f t="shared" si="140"/>
        <v>0</v>
      </c>
      <c r="AD119" s="141">
        <f t="shared" si="140"/>
        <v>0</v>
      </c>
      <c r="AE119" s="140">
        <f t="shared" si="140"/>
        <v>0</v>
      </c>
      <c r="AF119" s="275" t="e">
        <f>AE119/AA119</f>
        <v>#DIV/0!</v>
      </c>
      <c r="AG119" s="140">
        <f t="shared" ref="AG119:AO119" si="141">SUM(AG110:AG117)</f>
        <v>0</v>
      </c>
      <c r="AH119" s="140">
        <f t="shared" si="141"/>
        <v>0</v>
      </c>
      <c r="AI119" s="140">
        <f t="shared" si="141"/>
        <v>0</v>
      </c>
      <c r="AJ119" s="140">
        <f t="shared" si="141"/>
        <v>0</v>
      </c>
      <c r="AK119" s="140">
        <f t="shared" si="141"/>
        <v>0</v>
      </c>
      <c r="AL119" s="142">
        <f t="shared" si="141"/>
        <v>0</v>
      </c>
      <c r="AM119" s="140">
        <f t="shared" si="141"/>
        <v>0</v>
      </c>
      <c r="AN119" s="140">
        <f t="shared" si="141"/>
        <v>0</v>
      </c>
      <c r="AO119" s="140">
        <f t="shared" si="141"/>
        <v>0</v>
      </c>
      <c r="AP119" s="143"/>
      <c r="AQ119" s="140"/>
      <c r="AR119" s="140"/>
      <c r="AS119" s="140"/>
      <c r="AT119" s="140"/>
      <c r="AU119" s="140" t="e">
        <f>(AH119+AI119+AJ119)/S119</f>
        <v>#DIV/0!</v>
      </c>
      <c r="AV119" s="140"/>
      <c r="AW119" s="140"/>
      <c r="AX119" s="140"/>
      <c r="AY119" s="144"/>
      <c r="AZ119" s="140">
        <f>SUM(AZ110:AZ117)</f>
        <v>0</v>
      </c>
    </row>
    <row r="120" spans="1:52" s="149" customFormat="1">
      <c r="A120" s="146"/>
      <c r="B120" s="147"/>
      <c r="C120" s="148"/>
      <c r="D120" s="148"/>
      <c r="E120" s="276"/>
      <c r="H120" s="150"/>
      <c r="N120" s="150"/>
      <c r="O120" s="150"/>
      <c r="P120" s="150"/>
      <c r="Q120" s="223"/>
      <c r="R120" s="151"/>
      <c r="S120" s="152"/>
      <c r="T120" s="152"/>
      <c r="U120" s="153"/>
      <c r="V120" s="153"/>
      <c r="W120" s="153"/>
      <c r="X120" s="153"/>
      <c r="Y120" s="152"/>
      <c r="Z120" s="153"/>
      <c r="AA120" s="153"/>
      <c r="AB120" s="153"/>
      <c r="AE120" s="154"/>
      <c r="AG120" s="152"/>
      <c r="AH120" s="353"/>
      <c r="AI120" s="353"/>
      <c r="AJ120" s="227"/>
      <c r="AK120" s="227"/>
      <c r="AL120" s="155"/>
      <c r="AM120" s="156"/>
      <c r="AP120" s="157"/>
      <c r="AQ120" s="150"/>
      <c r="AR120" s="150"/>
      <c r="AS120" s="150"/>
      <c r="AT120" s="150"/>
      <c r="AU120" s="150"/>
      <c r="AV120" s="150"/>
      <c r="AW120" s="150"/>
      <c r="AX120" s="150"/>
      <c r="AY120" s="158"/>
    </row>
    <row r="121" spans="1:52" s="164" customFormat="1">
      <c r="A121" s="159" t="s">
        <v>6</v>
      </c>
      <c r="B121" s="160"/>
      <c r="C121" s="161"/>
      <c r="D121" s="161"/>
      <c r="E121" s="277">
        <f t="shared" ref="E121:AE121" si="142">E100+E108+E119</f>
        <v>12587</v>
      </c>
      <c r="F121" s="277">
        <f t="shared" si="142"/>
        <v>0</v>
      </c>
      <c r="G121" s="277">
        <f t="shared" si="142"/>
        <v>0</v>
      </c>
      <c r="H121" s="277">
        <f t="shared" si="142"/>
        <v>12567</v>
      </c>
      <c r="I121" s="277">
        <f t="shared" si="142"/>
        <v>8</v>
      </c>
      <c r="J121" s="277">
        <f t="shared" si="142"/>
        <v>12</v>
      </c>
      <c r="K121" s="277">
        <f t="shared" si="142"/>
        <v>0</v>
      </c>
      <c r="L121" s="277">
        <f t="shared" si="142"/>
        <v>1604925.6099999996</v>
      </c>
      <c r="M121" s="277">
        <f t="shared" si="142"/>
        <v>0</v>
      </c>
      <c r="N121" s="277">
        <f t="shared" si="142"/>
        <v>129</v>
      </c>
      <c r="O121" s="277">
        <f t="shared" si="142"/>
        <v>0</v>
      </c>
      <c r="P121" s="277">
        <f t="shared" si="142"/>
        <v>0</v>
      </c>
      <c r="Q121" s="224">
        <f t="shared" si="142"/>
        <v>0</v>
      </c>
      <c r="R121" s="277">
        <f t="shared" si="142"/>
        <v>0</v>
      </c>
      <c r="S121" s="277">
        <f t="shared" si="142"/>
        <v>127</v>
      </c>
      <c r="T121" s="277">
        <f t="shared" si="142"/>
        <v>-5</v>
      </c>
      <c r="U121" s="277">
        <f t="shared" si="142"/>
        <v>122</v>
      </c>
      <c r="V121" s="277">
        <f t="shared" si="142"/>
        <v>118047.57</v>
      </c>
      <c r="W121" s="277">
        <f t="shared" si="142"/>
        <v>-6409</v>
      </c>
      <c r="X121" s="277">
        <f t="shared" si="142"/>
        <v>111638.57</v>
      </c>
      <c r="Y121" s="277">
        <f t="shared" si="142"/>
        <v>138964.57</v>
      </c>
      <c r="Z121" s="277">
        <f t="shared" si="142"/>
        <v>-7526</v>
      </c>
      <c r="AA121" s="277">
        <f t="shared" si="142"/>
        <v>131438.57</v>
      </c>
      <c r="AB121" s="277">
        <f t="shared" si="142"/>
        <v>82870.180000000008</v>
      </c>
      <c r="AC121" s="277">
        <f t="shared" si="142"/>
        <v>1</v>
      </c>
      <c r="AD121" s="277">
        <f t="shared" si="142"/>
        <v>15240.450000000004</v>
      </c>
      <c r="AE121" s="277">
        <f t="shared" si="142"/>
        <v>48126.54</v>
      </c>
      <c r="AF121" s="278">
        <f>AE121/AA121</f>
        <v>0.3661523402149004</v>
      </c>
      <c r="AG121" s="277">
        <f>AG100+AG108+AG119</f>
        <v>17381.100000000002</v>
      </c>
      <c r="AH121" s="277">
        <f>AH100+AH108+AH119</f>
        <v>0</v>
      </c>
      <c r="AI121" s="277">
        <f>AI100+AI108+AI119</f>
        <v>0</v>
      </c>
      <c r="AJ121" s="277">
        <f>AJ100+AJ108+AJ119</f>
        <v>0</v>
      </c>
      <c r="AK121" s="277">
        <f>AK100+AK108+AK119</f>
        <v>0</v>
      </c>
      <c r="AL121" s="162">
        <v>3616.22</v>
      </c>
      <c r="AM121" s="277">
        <f>AM100+AM108+AM119</f>
        <v>0</v>
      </c>
      <c r="AN121" s="277">
        <f>AN100+AN108+AN119</f>
        <v>6374.5623469999991</v>
      </c>
      <c r="AO121" s="277">
        <f>AO100+AO108+AO119</f>
        <v>40699.697653000039</v>
      </c>
      <c r="AP121" s="161"/>
      <c r="AQ121" s="161"/>
      <c r="AR121" s="161"/>
      <c r="AS121" s="161"/>
      <c r="AT121" s="161"/>
      <c r="AU121" s="161">
        <f>(AH121+AI121)/S121</f>
        <v>0</v>
      </c>
      <c r="AV121" s="161"/>
      <c r="AW121" s="161"/>
      <c r="AX121" s="161"/>
      <c r="AY121" s="163"/>
      <c r="AZ121" s="161">
        <f>AZ100+AZ119</f>
        <v>2830593.7020130209</v>
      </c>
    </row>
    <row r="122" spans="1:52" s="149" customFormat="1">
      <c r="A122" s="148"/>
      <c r="B122" s="147"/>
      <c r="C122" s="165" t="s">
        <v>239</v>
      </c>
      <c r="D122" s="148"/>
      <c r="E122" s="276"/>
      <c r="N122" s="150"/>
      <c r="O122" s="150"/>
      <c r="P122" s="150"/>
      <c r="R122" s="151"/>
      <c r="S122" s="152"/>
      <c r="T122" s="152"/>
      <c r="U122" s="153"/>
      <c r="V122" s="153"/>
      <c r="W122" s="153"/>
      <c r="X122" s="153"/>
      <c r="Y122" s="152"/>
      <c r="Z122" s="153"/>
      <c r="AA122" s="153"/>
      <c r="AB122" s="153"/>
      <c r="AE122" s="154"/>
      <c r="AG122" s="166"/>
      <c r="AH122" s="353">
        <f>AH101+AH109+AH120</f>
        <v>0</v>
      </c>
      <c r="AI122" s="353"/>
      <c r="AJ122" s="227"/>
      <c r="AK122" s="227"/>
      <c r="AL122" s="155"/>
      <c r="AM122" s="156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8"/>
    </row>
    <row r="123" spans="1:52">
      <c r="C123" s="168"/>
      <c r="D123" s="168"/>
    </row>
    <row r="124" spans="1:52">
      <c r="C124" s="168"/>
      <c r="D124" s="168"/>
    </row>
  </sheetData>
  <mergeCells count="12">
    <mergeCell ref="AH122:AI122"/>
    <mergeCell ref="AH1:AI1"/>
    <mergeCell ref="Y1:Z1"/>
    <mergeCell ref="AQ1:AX1"/>
    <mergeCell ref="AH101:AI101"/>
    <mergeCell ref="AH109:AI109"/>
    <mergeCell ref="AH120:AI120"/>
    <mergeCell ref="F1:H1"/>
    <mergeCell ref="I1:J1"/>
    <mergeCell ref="N1:P1"/>
    <mergeCell ref="S1:T1"/>
    <mergeCell ref="V1:W1"/>
  </mergeCells>
  <conditionalFormatting sqref="AC123:AC1048576">
    <cfRule type="cellIs" dxfId="5" priority="8" operator="greaterThan">
      <formula>0.23</formula>
    </cfRule>
  </conditionalFormatting>
  <conditionalFormatting sqref="M118:O118 M3:M99 M101:M107">
    <cfRule type="cellIs" dxfId="4" priority="28" operator="greaterThan">
      <formula>120</formula>
    </cfRule>
  </conditionalFormatting>
  <conditionalFormatting sqref="AC120 AC122">
    <cfRule type="cellIs" dxfId="3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2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0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Реклама</vt:lpstr>
      <vt:lpstr>Сводная</vt:lpstr>
      <vt:lpstr>АВС 8</vt:lpstr>
      <vt:lpstr>АВС ЯНВАРЬ</vt:lpstr>
      <vt:lpstr>Юнит 9</vt:lpstr>
      <vt:lpstr>Юнит 8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2026-02-23T13:38:49Z</dcterms:modified>
</cp:coreProperties>
</file>