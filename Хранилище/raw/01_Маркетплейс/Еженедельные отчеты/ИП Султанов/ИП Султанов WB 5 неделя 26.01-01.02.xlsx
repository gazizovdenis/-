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5 нед 26.01-01.02\"/>
    </mc:Choice>
  </mc:AlternateContent>
  <xr:revisionPtr revIDLastSave="0" documentId="13_ncr:1_{E1399C7C-738F-4F72-9195-E22294FC6EB2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6" sheetId="21" state="hidden" r:id="rId3"/>
    <sheet name="АВС ЯНВАРЬ" sheetId="16" r:id="rId4"/>
    <sheet name="АВС 5" sheetId="15" r:id="rId5"/>
    <sheet name="АВС 4" sheetId="14" state="hidden" r:id="rId6"/>
    <sheet name="АВС 3" sheetId="7" state="hidden" r:id="rId7"/>
    <sheet name="АВС 2" sheetId="18" state="hidden" r:id="rId8"/>
    <sheet name="АВС 1" sheetId="17" state="hidden" r:id="rId9"/>
    <sheet name="Юнит 6" sheetId="19" state="hidden" r:id="rId10"/>
    <sheet name="ЯНВАРЬ" sheetId="13" r:id="rId11"/>
    <sheet name="Юнит 5" sheetId="10" r:id="rId12"/>
    <sheet name="Юнит 4" sheetId="9" state="hidden" r:id="rId13"/>
    <sheet name="Юнит 3" sheetId="8" state="hidden" r:id="rId14"/>
    <sheet name="Юнит 2" sheetId="11" state="hidden" r:id="rId15"/>
    <sheet name="Юнит 1" sheetId="12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9" i="3" l="1"/>
  <c r="J8" i="16" l="1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15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15" i="15"/>
  <c r="C4" i="15"/>
  <c r="C12" i="15"/>
  <c r="C11" i="15"/>
  <c r="C9" i="15"/>
  <c r="C8" i="15"/>
  <c r="C10" i="15"/>
  <c r="C7" i="15"/>
  <c r="C14" i="15"/>
  <c r="C5" i="15"/>
  <c r="AF3" i="10" l="1"/>
  <c r="AG5" i="10"/>
  <c r="J73" i="21" l="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J17" i="21"/>
  <c r="K10" i="21" s="1"/>
  <c r="C17" i="21"/>
  <c r="D16" i="21"/>
  <c r="D15" i="21"/>
  <c r="D14" i="21"/>
  <c r="D13" i="21"/>
  <c r="D12" i="21"/>
  <c r="K11" i="21"/>
  <c r="D11" i="21"/>
  <c r="D10" i="21"/>
  <c r="K9" i="21"/>
  <c r="D9" i="21"/>
  <c r="D8" i="21"/>
  <c r="D7" i="21"/>
  <c r="D6" i="21"/>
  <c r="D5" i="21"/>
  <c r="D4" i="21"/>
  <c r="D17" i="21" s="1"/>
  <c r="AF75" i="19"/>
  <c r="P74" i="19"/>
  <c r="O74" i="19"/>
  <c r="N74" i="19"/>
  <c r="M74" i="19"/>
  <c r="K74" i="19"/>
  <c r="I74" i="19"/>
  <c r="AJ72" i="19"/>
  <c r="AH72" i="19"/>
  <c r="AG72" i="19"/>
  <c r="AF72" i="19"/>
  <c r="AR72" i="19" s="1"/>
  <c r="AE72" i="19"/>
  <c r="AC72" i="19"/>
  <c r="X72" i="19"/>
  <c r="W72" i="19"/>
  <c r="U72" i="19"/>
  <c r="T72" i="19"/>
  <c r="R72" i="19"/>
  <c r="Q72" i="19"/>
  <c r="L72" i="19"/>
  <c r="H72" i="19"/>
  <c r="G72" i="19"/>
  <c r="F72" i="19"/>
  <c r="AR70" i="19"/>
  <c r="AQ70" i="19"/>
  <c r="AO70" i="19"/>
  <c r="AU70" i="19" s="1"/>
  <c r="AD70" i="19"/>
  <c r="Z70" i="19"/>
  <c r="Y70" i="19"/>
  <c r="V70" i="19"/>
  <c r="AK70" i="19" s="1"/>
  <c r="S70" i="19"/>
  <c r="P70" i="19" s="1"/>
  <c r="O70" i="19"/>
  <c r="J70" i="19"/>
  <c r="E70" i="19"/>
  <c r="AR69" i="19"/>
  <c r="AQ69" i="19"/>
  <c r="AO69" i="19"/>
  <c r="AU69" i="19" s="1"/>
  <c r="AD69" i="19"/>
  <c r="Z69" i="19"/>
  <c r="Y69" i="19"/>
  <c r="V69" i="19"/>
  <c r="AK69" i="19" s="1"/>
  <c r="S69" i="19"/>
  <c r="P69" i="19"/>
  <c r="O69" i="19"/>
  <c r="J69" i="19"/>
  <c r="E69" i="19"/>
  <c r="AR68" i="19"/>
  <c r="AQ68" i="19"/>
  <c r="AO68" i="19"/>
  <c r="AU68" i="19" s="1"/>
  <c r="AK68" i="19"/>
  <c r="AD68" i="19"/>
  <c r="Z68" i="19"/>
  <c r="Y68" i="19"/>
  <c r="V68" i="19"/>
  <c r="S68" i="19"/>
  <c r="P68" i="19"/>
  <c r="O68" i="19"/>
  <c r="J68" i="19"/>
  <c r="E68" i="19"/>
  <c r="AR67" i="19"/>
  <c r="AQ67" i="19"/>
  <c r="AO67" i="19"/>
  <c r="AU67" i="19" s="1"/>
  <c r="AD67" i="19"/>
  <c r="Z67" i="19"/>
  <c r="Y67" i="19"/>
  <c r="V67" i="19"/>
  <c r="AK67" i="19" s="1"/>
  <c r="S67" i="19"/>
  <c r="O67" i="19"/>
  <c r="J67" i="19"/>
  <c r="E67" i="19"/>
  <c r="AR66" i="19"/>
  <c r="AQ66" i="19"/>
  <c r="AO66" i="19"/>
  <c r="AU66" i="19" s="1"/>
  <c r="AK66" i="19"/>
  <c r="AD66" i="19"/>
  <c r="Z66" i="19"/>
  <c r="Y66" i="19"/>
  <c r="V66" i="19"/>
  <c r="S66" i="19"/>
  <c r="P66" i="19" s="1"/>
  <c r="O66" i="19"/>
  <c r="J66" i="19"/>
  <c r="E66" i="19"/>
  <c r="AR65" i="19"/>
  <c r="AQ65" i="19"/>
  <c r="AO65" i="19"/>
  <c r="AU65" i="19" s="1"/>
  <c r="AK65" i="19"/>
  <c r="AI65" i="19"/>
  <c r="AD65" i="19"/>
  <c r="Z65" i="19"/>
  <c r="Y65" i="19"/>
  <c r="V65" i="19"/>
  <c r="S65" i="19"/>
  <c r="O65" i="19"/>
  <c r="J65" i="19"/>
  <c r="E65" i="19"/>
  <c r="AR64" i="19"/>
  <c r="AQ64" i="19"/>
  <c r="AO64" i="19"/>
  <c r="AU64" i="19" s="1"/>
  <c r="AK64" i="19"/>
  <c r="AD64" i="19"/>
  <c r="Z64" i="19"/>
  <c r="Y64" i="19"/>
  <c r="V64" i="19"/>
  <c r="S64" i="19"/>
  <c r="P64" i="19"/>
  <c r="O64" i="19"/>
  <c r="J64" i="19"/>
  <c r="E64" i="19"/>
  <c r="AR63" i="19"/>
  <c r="AQ63" i="19"/>
  <c r="AO63" i="19"/>
  <c r="AU63" i="19" s="1"/>
  <c r="AD63" i="19"/>
  <c r="Z63" i="19"/>
  <c r="Y63" i="19"/>
  <c r="V63" i="19"/>
  <c r="AK63" i="19" s="1"/>
  <c r="S63" i="19"/>
  <c r="O63" i="19"/>
  <c r="J63" i="19"/>
  <c r="E63" i="19"/>
  <c r="AR62" i="19"/>
  <c r="AQ62" i="19"/>
  <c r="AO62" i="19"/>
  <c r="AU62" i="19" s="1"/>
  <c r="AK62" i="19"/>
  <c r="AD62" i="19"/>
  <c r="Z62" i="19"/>
  <c r="Y62" i="19"/>
  <c r="V62" i="19"/>
  <c r="S62" i="19"/>
  <c r="P62" i="19" s="1"/>
  <c r="O62" i="19"/>
  <c r="J62" i="19"/>
  <c r="E62" i="19"/>
  <c r="AR61" i="19"/>
  <c r="AQ61" i="19"/>
  <c r="AO61" i="19"/>
  <c r="AU61" i="19" s="1"/>
  <c r="AK61" i="19"/>
  <c r="AD61" i="19"/>
  <c r="Z61" i="19"/>
  <c r="Y61" i="19"/>
  <c r="V61" i="19"/>
  <c r="S61" i="19"/>
  <c r="O61" i="19"/>
  <c r="J61" i="19"/>
  <c r="E61" i="19"/>
  <c r="AR60" i="19"/>
  <c r="AQ60" i="19"/>
  <c r="AO60" i="19"/>
  <c r="AU60" i="19" s="1"/>
  <c r="AK60" i="19"/>
  <c r="AD60" i="19"/>
  <c r="Z60" i="19"/>
  <c r="Y60" i="19"/>
  <c r="V60" i="19"/>
  <c r="S60" i="19"/>
  <c r="P60" i="19"/>
  <c r="O60" i="19"/>
  <c r="J60" i="19"/>
  <c r="E60" i="19"/>
  <c r="AR59" i="19"/>
  <c r="AQ59" i="19"/>
  <c r="AO59" i="19"/>
  <c r="AU59" i="19" s="1"/>
  <c r="AD59" i="19"/>
  <c r="Z59" i="19"/>
  <c r="Y59" i="19"/>
  <c r="V59" i="19"/>
  <c r="AK59" i="19" s="1"/>
  <c r="S59" i="19"/>
  <c r="O59" i="19"/>
  <c r="J59" i="19"/>
  <c r="E59" i="19"/>
  <c r="AR58" i="19"/>
  <c r="AQ58" i="19"/>
  <c r="AO58" i="19"/>
  <c r="AU58" i="19" s="1"/>
  <c r="AK58" i="19"/>
  <c r="AD58" i="19"/>
  <c r="Z58" i="19"/>
  <c r="Y58" i="19"/>
  <c r="V58" i="19"/>
  <c r="S58" i="19"/>
  <c r="P58" i="19" s="1"/>
  <c r="O58" i="19"/>
  <c r="J58" i="19"/>
  <c r="E58" i="19"/>
  <c r="AR57" i="19"/>
  <c r="AQ57" i="19"/>
  <c r="AO57" i="19"/>
  <c r="AU57" i="19" s="1"/>
  <c r="AK57" i="19"/>
  <c r="AD57" i="19"/>
  <c r="Z57" i="19"/>
  <c r="Y57" i="19"/>
  <c r="V57" i="19"/>
  <c r="S57" i="19"/>
  <c r="O57" i="19"/>
  <c r="J57" i="19"/>
  <c r="E57" i="19"/>
  <c r="AR56" i="19"/>
  <c r="AQ56" i="19"/>
  <c r="AO56" i="19"/>
  <c r="AU56" i="19" s="1"/>
  <c r="AK56" i="19"/>
  <c r="AD56" i="19"/>
  <c r="Z56" i="19"/>
  <c r="Y56" i="19"/>
  <c r="V56" i="19"/>
  <c r="S56" i="19"/>
  <c r="P56" i="19"/>
  <c r="O56" i="19"/>
  <c r="J56" i="19"/>
  <c r="E56" i="19"/>
  <c r="AR55" i="19"/>
  <c r="AQ55" i="19"/>
  <c r="AO55" i="19"/>
  <c r="AU55" i="19" s="1"/>
  <c r="AD55" i="19"/>
  <c r="AB55" i="19"/>
  <c r="Z55" i="19"/>
  <c r="Y55" i="19"/>
  <c r="V55" i="19"/>
  <c r="AK55" i="19" s="1"/>
  <c r="S55" i="19"/>
  <c r="P55" i="19"/>
  <c r="O55" i="19"/>
  <c r="J55" i="19"/>
  <c r="E55" i="19"/>
  <c r="AR54" i="19"/>
  <c r="AQ54" i="19"/>
  <c r="AO54" i="19"/>
  <c r="AU54" i="19" s="1"/>
  <c r="AD54" i="19"/>
  <c r="AB54" i="19"/>
  <c r="Z54" i="19"/>
  <c r="Y54" i="19"/>
  <c r="V54" i="19"/>
  <c r="AK54" i="19" s="1"/>
  <c r="S54" i="19"/>
  <c r="O54" i="19"/>
  <c r="J54" i="19"/>
  <c r="E54" i="19"/>
  <c r="AR53" i="19"/>
  <c r="AQ53" i="19"/>
  <c r="AO53" i="19"/>
  <c r="AU53" i="19" s="1"/>
  <c r="AK53" i="19"/>
  <c r="AD53" i="19"/>
  <c r="Z53" i="19"/>
  <c r="Y53" i="19"/>
  <c r="V53" i="19"/>
  <c r="S53" i="19"/>
  <c r="P53" i="19" s="1"/>
  <c r="O53" i="19"/>
  <c r="J53" i="19"/>
  <c r="E53" i="19"/>
  <c r="AR52" i="19"/>
  <c r="AQ52" i="19"/>
  <c r="AO52" i="19"/>
  <c r="AU52" i="19" s="1"/>
  <c r="AK52" i="19"/>
  <c r="AD52" i="19"/>
  <c r="AB52" i="19"/>
  <c r="Z52" i="19"/>
  <c r="Y52" i="19"/>
  <c r="V52" i="19"/>
  <c r="S52" i="19"/>
  <c r="P52" i="19" s="1"/>
  <c r="O52" i="19"/>
  <c r="J52" i="19"/>
  <c r="E52" i="19"/>
  <c r="AR51" i="19"/>
  <c r="AQ51" i="19"/>
  <c r="AO51" i="19"/>
  <c r="AU51" i="19" s="1"/>
  <c r="AD51" i="19"/>
  <c r="Z51" i="19"/>
  <c r="Y51" i="19"/>
  <c r="V51" i="19"/>
  <c r="AK51" i="19" s="1"/>
  <c r="S51" i="19"/>
  <c r="P51" i="19"/>
  <c r="O51" i="19"/>
  <c r="J51" i="19"/>
  <c r="E51" i="19"/>
  <c r="AU50" i="19"/>
  <c r="AR50" i="19"/>
  <c r="AQ50" i="19"/>
  <c r="AO50" i="19"/>
  <c r="AD50" i="19"/>
  <c r="AB50" i="19"/>
  <c r="Z50" i="19"/>
  <c r="Y50" i="19"/>
  <c r="V50" i="19"/>
  <c r="AK50" i="19" s="1"/>
  <c r="S50" i="19"/>
  <c r="P50" i="19"/>
  <c r="O50" i="19"/>
  <c r="J50" i="19"/>
  <c r="E50" i="19"/>
  <c r="AU49" i="19"/>
  <c r="AR49" i="19"/>
  <c r="AQ49" i="19"/>
  <c r="AO49" i="19"/>
  <c r="AI49" i="19"/>
  <c r="AD49" i="19"/>
  <c r="Z49" i="19"/>
  <c r="Y49" i="19"/>
  <c r="V49" i="19"/>
  <c r="AK49" i="19" s="1"/>
  <c r="S49" i="19"/>
  <c r="P49" i="19"/>
  <c r="O49" i="19"/>
  <c r="J49" i="19"/>
  <c r="E49" i="19"/>
  <c r="AU48" i="19"/>
  <c r="AR48" i="19"/>
  <c r="AQ48" i="19"/>
  <c r="AO48" i="19"/>
  <c r="AD48" i="19"/>
  <c r="AB48" i="19"/>
  <c r="Z48" i="19"/>
  <c r="Y48" i="19"/>
  <c r="V48" i="19"/>
  <c r="AK48" i="19" s="1"/>
  <c r="S48" i="19"/>
  <c r="P48" i="19"/>
  <c r="O48" i="19"/>
  <c r="J48" i="19"/>
  <c r="E48" i="19"/>
  <c r="AU47" i="19"/>
  <c r="AR47" i="19"/>
  <c r="AQ47" i="19"/>
  <c r="AO47" i="19"/>
  <c r="AI47" i="19"/>
  <c r="AD47" i="19"/>
  <c r="Z47" i="19"/>
  <c r="Y47" i="19"/>
  <c r="V47" i="19"/>
  <c r="AK47" i="19" s="1"/>
  <c r="S47" i="19"/>
  <c r="P47" i="19"/>
  <c r="O47" i="19"/>
  <c r="J47" i="19"/>
  <c r="E47" i="19"/>
  <c r="AR46" i="19"/>
  <c r="AQ46" i="19"/>
  <c r="AO46" i="19"/>
  <c r="AU46" i="19" s="1"/>
  <c r="AD46" i="19"/>
  <c r="AB46" i="19"/>
  <c r="Z46" i="19"/>
  <c r="Y46" i="19"/>
  <c r="V46" i="19"/>
  <c r="AK46" i="19" s="1"/>
  <c r="S46" i="19"/>
  <c r="O46" i="19"/>
  <c r="J46" i="19"/>
  <c r="E46" i="19"/>
  <c r="AR45" i="19"/>
  <c r="AQ45" i="19"/>
  <c r="AO45" i="19"/>
  <c r="AU45" i="19" s="1"/>
  <c r="AK45" i="19"/>
  <c r="AD45" i="19"/>
  <c r="AB45" i="19"/>
  <c r="Z45" i="19"/>
  <c r="Y45" i="19"/>
  <c r="V45" i="19"/>
  <c r="S45" i="19"/>
  <c r="P45" i="19"/>
  <c r="O45" i="19"/>
  <c r="J45" i="19"/>
  <c r="E45" i="19"/>
  <c r="AR44" i="19"/>
  <c r="AQ44" i="19"/>
  <c r="AO44" i="19"/>
  <c r="AU44" i="19" s="1"/>
  <c r="AK44" i="19"/>
  <c r="AD44" i="19"/>
  <c r="Z44" i="19"/>
  <c r="Y44" i="19"/>
  <c r="V44" i="19"/>
  <c r="S44" i="19"/>
  <c r="P44" i="19"/>
  <c r="O44" i="19"/>
  <c r="J44" i="19"/>
  <c r="E44" i="19"/>
  <c r="AR43" i="19"/>
  <c r="AQ43" i="19"/>
  <c r="AO43" i="19"/>
  <c r="AU43" i="19" s="1"/>
  <c r="AD43" i="19"/>
  <c r="AB43" i="19"/>
  <c r="Z43" i="19"/>
  <c r="Y43" i="19"/>
  <c r="V43" i="19"/>
  <c r="AK43" i="19" s="1"/>
  <c r="S43" i="19"/>
  <c r="P43" i="19"/>
  <c r="O43" i="19"/>
  <c r="J43" i="19"/>
  <c r="E43" i="19"/>
  <c r="AR42" i="19"/>
  <c r="AQ42" i="19"/>
  <c r="AO42" i="19"/>
  <c r="AU42" i="19" s="1"/>
  <c r="AK42" i="19"/>
  <c r="AD42" i="19"/>
  <c r="Z42" i="19"/>
  <c r="Y42" i="19"/>
  <c r="V42" i="19"/>
  <c r="S42" i="19"/>
  <c r="O42" i="19"/>
  <c r="J42" i="19"/>
  <c r="E42" i="19"/>
  <c r="AR41" i="19"/>
  <c r="AQ41" i="19"/>
  <c r="AO41" i="19"/>
  <c r="AU41" i="19" s="1"/>
  <c r="AK41" i="19"/>
  <c r="AD41" i="19"/>
  <c r="Z41" i="19"/>
  <c r="Y41" i="19"/>
  <c r="V41" i="19"/>
  <c r="S41" i="19"/>
  <c r="P41" i="19"/>
  <c r="O41" i="19"/>
  <c r="J41" i="19"/>
  <c r="E41" i="19"/>
  <c r="AR40" i="19"/>
  <c r="AQ40" i="19"/>
  <c r="AO40" i="19"/>
  <c r="AU40" i="19" s="1"/>
  <c r="AD40" i="19"/>
  <c r="Z40" i="19"/>
  <c r="Y40" i="19"/>
  <c r="V40" i="19"/>
  <c r="AK40" i="19" s="1"/>
  <c r="S40" i="19"/>
  <c r="P40" i="19" s="1"/>
  <c r="O40" i="19"/>
  <c r="J40" i="19"/>
  <c r="E40" i="19"/>
  <c r="AR39" i="19"/>
  <c r="AQ39" i="19"/>
  <c r="AO39" i="19"/>
  <c r="AU39" i="19" s="1"/>
  <c r="AD39" i="19"/>
  <c r="Z39" i="19"/>
  <c r="Y39" i="19"/>
  <c r="V39" i="19"/>
  <c r="AK39" i="19" s="1"/>
  <c r="S39" i="19"/>
  <c r="P39" i="19"/>
  <c r="O39" i="19"/>
  <c r="J39" i="19"/>
  <c r="E39" i="19"/>
  <c r="AR38" i="19"/>
  <c r="AQ38" i="19"/>
  <c r="AO38" i="19"/>
  <c r="AU38" i="19" s="1"/>
  <c r="AD38" i="19"/>
  <c r="Z38" i="19"/>
  <c r="Y38" i="19"/>
  <c r="V38" i="19"/>
  <c r="AK38" i="19" s="1"/>
  <c r="S38" i="19"/>
  <c r="O38" i="19"/>
  <c r="J38" i="19"/>
  <c r="E38" i="19"/>
  <c r="AR37" i="19"/>
  <c r="AQ37" i="19"/>
  <c r="AO37" i="19"/>
  <c r="AU37" i="19" s="1"/>
  <c r="AK37" i="19"/>
  <c r="AD37" i="19"/>
  <c r="AB37" i="19"/>
  <c r="Z37" i="19"/>
  <c r="Y37" i="19"/>
  <c r="V37" i="19"/>
  <c r="S37" i="19"/>
  <c r="P37" i="19"/>
  <c r="O37" i="19"/>
  <c r="J37" i="19"/>
  <c r="E37" i="19"/>
  <c r="AR36" i="19"/>
  <c r="AQ36" i="19"/>
  <c r="AO36" i="19"/>
  <c r="AU36" i="19" s="1"/>
  <c r="AK36" i="19"/>
  <c r="AI36" i="19"/>
  <c r="AD36" i="19"/>
  <c r="Z36" i="19"/>
  <c r="Y36" i="19"/>
  <c r="V36" i="19"/>
  <c r="S36" i="19"/>
  <c r="P36" i="19"/>
  <c r="O36" i="19"/>
  <c r="J36" i="19"/>
  <c r="E36" i="19"/>
  <c r="AR35" i="19"/>
  <c r="AQ35" i="19"/>
  <c r="AO35" i="19"/>
  <c r="AU35" i="19" s="1"/>
  <c r="Z35" i="19"/>
  <c r="Y35" i="19"/>
  <c r="V35" i="19"/>
  <c r="AK35" i="19" s="1"/>
  <c r="S35" i="19"/>
  <c r="P35" i="19"/>
  <c r="O35" i="19"/>
  <c r="J35" i="19"/>
  <c r="E35" i="19"/>
  <c r="AU34" i="19"/>
  <c r="AR34" i="19"/>
  <c r="AQ34" i="19"/>
  <c r="AO34" i="19"/>
  <c r="AK34" i="19"/>
  <c r="AD34" i="19"/>
  <c r="Z34" i="19"/>
  <c r="Y34" i="19"/>
  <c r="V34" i="19"/>
  <c r="S34" i="19"/>
  <c r="P34" i="19" s="1"/>
  <c r="O34" i="19"/>
  <c r="J34" i="19"/>
  <c r="E34" i="19"/>
  <c r="AU33" i="19"/>
  <c r="AR33" i="19"/>
  <c r="AQ33" i="19"/>
  <c r="AO33" i="19"/>
  <c r="AN33" i="19"/>
  <c r="AT33" i="19" s="1"/>
  <c r="AD33" i="19"/>
  <c r="AB33" i="19"/>
  <c r="Z33" i="19"/>
  <c r="Y33" i="19"/>
  <c r="V33" i="19"/>
  <c r="AK33" i="19" s="1"/>
  <c r="S33" i="19"/>
  <c r="AP33" i="19" s="1"/>
  <c r="P33" i="19"/>
  <c r="O33" i="19"/>
  <c r="J33" i="19"/>
  <c r="E33" i="19"/>
  <c r="AT32" i="19"/>
  <c r="AR32" i="19"/>
  <c r="AQ32" i="19"/>
  <c r="AP32" i="19"/>
  <c r="AO32" i="19"/>
  <c r="AU32" i="19" s="1"/>
  <c r="AD32" i="19"/>
  <c r="AB32" i="19"/>
  <c r="Z32" i="19"/>
  <c r="Y32" i="19"/>
  <c r="V32" i="19"/>
  <c r="AK32" i="19" s="1"/>
  <c r="S32" i="19"/>
  <c r="AN32" i="19" s="1"/>
  <c r="P32" i="19"/>
  <c r="O32" i="19"/>
  <c r="J32" i="19"/>
  <c r="E32" i="19"/>
  <c r="AT31" i="19"/>
  <c r="AR31" i="19"/>
  <c r="AQ31" i="19"/>
  <c r="AP31" i="19"/>
  <c r="AO31" i="19"/>
  <c r="AU31" i="19" s="1"/>
  <c r="AD31" i="19"/>
  <c r="AB31" i="19"/>
  <c r="Z31" i="19"/>
  <c r="Y31" i="19"/>
  <c r="V31" i="19"/>
  <c r="AK31" i="19" s="1"/>
  <c r="S31" i="19"/>
  <c r="AN31" i="19" s="1"/>
  <c r="P31" i="19"/>
  <c r="O31" i="19"/>
  <c r="J31" i="19"/>
  <c r="E31" i="19"/>
  <c r="AT30" i="19"/>
  <c r="AR30" i="19"/>
  <c r="AQ30" i="19"/>
  <c r="AP30" i="19"/>
  <c r="AO30" i="19"/>
  <c r="AU30" i="19" s="1"/>
  <c r="AD30" i="19"/>
  <c r="AB30" i="19"/>
  <c r="Z30" i="19"/>
  <c r="Y30" i="19"/>
  <c r="V30" i="19"/>
  <c r="AK30" i="19" s="1"/>
  <c r="S30" i="19"/>
  <c r="AN30" i="19" s="1"/>
  <c r="P30" i="19"/>
  <c r="O30" i="19"/>
  <c r="J30" i="19"/>
  <c r="E30" i="19"/>
  <c r="AT29" i="19"/>
  <c r="AR29" i="19"/>
  <c r="AQ29" i="19"/>
  <c r="AP29" i="19"/>
  <c r="AO29" i="19"/>
  <c r="AU29" i="19" s="1"/>
  <c r="AD29" i="19"/>
  <c r="AB29" i="19"/>
  <c r="Z29" i="19"/>
  <c r="Y29" i="19"/>
  <c r="V29" i="19"/>
  <c r="AK29" i="19" s="1"/>
  <c r="S29" i="19"/>
  <c r="AN29" i="19" s="1"/>
  <c r="P29" i="19"/>
  <c r="O29" i="19"/>
  <c r="J29" i="19"/>
  <c r="E29" i="19"/>
  <c r="AT28" i="19"/>
  <c r="AR28" i="19"/>
  <c r="AQ28" i="19"/>
  <c r="AP28" i="19"/>
  <c r="AO28" i="19"/>
  <c r="AU28" i="19" s="1"/>
  <c r="AD28" i="19"/>
  <c r="AB28" i="19"/>
  <c r="Z28" i="19"/>
  <c r="Y28" i="19"/>
  <c r="V28" i="19"/>
  <c r="AK28" i="19" s="1"/>
  <c r="S28" i="19"/>
  <c r="AN28" i="19" s="1"/>
  <c r="P28" i="19"/>
  <c r="O28" i="19"/>
  <c r="J28" i="19"/>
  <c r="E28" i="19"/>
  <c r="AT27" i="19"/>
  <c r="AR27" i="19"/>
  <c r="AQ27" i="19"/>
  <c r="AP27" i="19"/>
  <c r="AO27" i="19"/>
  <c r="AU27" i="19" s="1"/>
  <c r="AD27" i="19"/>
  <c r="AB27" i="19"/>
  <c r="Z27" i="19"/>
  <c r="Y27" i="19"/>
  <c r="V27" i="19"/>
  <c r="AK27" i="19" s="1"/>
  <c r="S27" i="19"/>
  <c r="AN27" i="19" s="1"/>
  <c r="P27" i="19"/>
  <c r="O27" i="19"/>
  <c r="J27" i="19"/>
  <c r="E27" i="19"/>
  <c r="AT26" i="19"/>
  <c r="AR26" i="19"/>
  <c r="AQ26" i="19"/>
  <c r="AP26" i="19"/>
  <c r="AO26" i="19"/>
  <c r="AU26" i="19" s="1"/>
  <c r="AD26" i="19"/>
  <c r="AB26" i="19"/>
  <c r="Z26" i="19"/>
  <c r="Y26" i="19"/>
  <c r="V26" i="19"/>
  <c r="AK26" i="19" s="1"/>
  <c r="S26" i="19"/>
  <c r="AN26" i="19" s="1"/>
  <c r="P26" i="19"/>
  <c r="O26" i="19"/>
  <c r="J26" i="19"/>
  <c r="E26" i="19"/>
  <c r="AT25" i="19"/>
  <c r="AR25" i="19"/>
  <c r="AQ25" i="19"/>
  <c r="AP25" i="19"/>
  <c r="AO25" i="19"/>
  <c r="AU25" i="19" s="1"/>
  <c r="AD25" i="19"/>
  <c r="AB25" i="19"/>
  <c r="Z25" i="19"/>
  <c r="Y25" i="19"/>
  <c r="V25" i="19"/>
  <c r="AK25" i="19" s="1"/>
  <c r="S25" i="19"/>
  <c r="AN25" i="19" s="1"/>
  <c r="P25" i="19"/>
  <c r="O25" i="19"/>
  <c r="J25" i="19"/>
  <c r="E25" i="19"/>
  <c r="AT24" i="19"/>
  <c r="AR24" i="19"/>
  <c r="AQ24" i="19"/>
  <c r="AP24" i="19"/>
  <c r="AO24" i="19"/>
  <c r="AU24" i="19" s="1"/>
  <c r="AI24" i="19"/>
  <c r="AD24" i="19"/>
  <c r="AB24" i="19"/>
  <c r="AL24" i="19" s="1"/>
  <c r="AS24" i="19" s="1" a="1"/>
  <c r="AS24" i="19" s="1"/>
  <c r="AW24" i="19" s="1"/>
  <c r="Z24" i="19"/>
  <c r="Y24" i="19"/>
  <c r="V24" i="19"/>
  <c r="AK24" i="19" s="1"/>
  <c r="S24" i="19"/>
  <c r="AN24" i="19" s="1"/>
  <c r="P24" i="19"/>
  <c r="O24" i="19"/>
  <c r="J24" i="19"/>
  <c r="E24" i="19"/>
  <c r="AR23" i="19"/>
  <c r="AQ23" i="19"/>
  <c r="AP23" i="19"/>
  <c r="AO23" i="19"/>
  <c r="AU23" i="19" s="1"/>
  <c r="AD23" i="19"/>
  <c r="AB23" i="19"/>
  <c r="Z23" i="19"/>
  <c r="Y23" i="19"/>
  <c r="V23" i="19"/>
  <c r="AK23" i="19" s="1"/>
  <c r="S23" i="19"/>
  <c r="AN23" i="19" s="1"/>
  <c r="AT23" i="19" s="1"/>
  <c r="P23" i="19"/>
  <c r="O23" i="19"/>
  <c r="J23" i="19"/>
  <c r="E23" i="19"/>
  <c r="AR22" i="19"/>
  <c r="AQ22" i="19"/>
  <c r="AP22" i="19"/>
  <c r="AO22" i="19"/>
  <c r="AU22" i="19" s="1"/>
  <c r="AD22" i="19"/>
  <c r="AB22" i="19"/>
  <c r="Z22" i="19"/>
  <c r="Y22" i="19"/>
  <c r="V22" i="19"/>
  <c r="AK22" i="19" s="1"/>
  <c r="S22" i="19"/>
  <c r="AN22" i="19" s="1"/>
  <c r="AT22" i="19" s="1"/>
  <c r="P22" i="19"/>
  <c r="O22" i="19"/>
  <c r="J22" i="19"/>
  <c r="E22" i="19"/>
  <c r="AT21" i="19"/>
  <c r="AR21" i="19"/>
  <c r="AQ21" i="19"/>
  <c r="AP21" i="19"/>
  <c r="AO21" i="19"/>
  <c r="AU21" i="19" s="1"/>
  <c r="AD21" i="19"/>
  <c r="AB21" i="19"/>
  <c r="Z21" i="19"/>
  <c r="Y21" i="19"/>
  <c r="V21" i="19"/>
  <c r="AK21" i="19" s="1"/>
  <c r="S21" i="19"/>
  <c r="AN21" i="19" s="1"/>
  <c r="P21" i="19"/>
  <c r="O21" i="19"/>
  <c r="J21" i="19"/>
  <c r="E21" i="19"/>
  <c r="AR20" i="19"/>
  <c r="AQ20" i="19"/>
  <c r="AP20" i="19"/>
  <c r="AO20" i="19"/>
  <c r="AU20" i="19" s="1"/>
  <c r="AI20" i="19"/>
  <c r="AL20" i="19" s="1"/>
  <c r="AS20" i="19" s="1" a="1"/>
  <c r="AS20" i="19" s="1"/>
  <c r="AW20" i="19" s="1"/>
  <c r="AD20" i="19"/>
  <c r="AB20" i="19"/>
  <c r="Z20" i="19"/>
  <c r="Y20" i="19"/>
  <c r="V20" i="19"/>
  <c r="AK20" i="19" s="1"/>
  <c r="S20" i="19"/>
  <c r="AN20" i="19" s="1"/>
  <c r="AT20" i="19" s="1"/>
  <c r="P20" i="19"/>
  <c r="O20" i="19"/>
  <c r="J20" i="19"/>
  <c r="E20" i="19"/>
  <c r="AR19" i="19"/>
  <c r="AQ19" i="19"/>
  <c r="AQ71" i="19" s="1"/>
  <c r="AP19" i="19"/>
  <c r="AO19" i="19"/>
  <c r="AD19" i="19"/>
  <c r="AB19" i="19"/>
  <c r="Z19" i="19"/>
  <c r="Z72" i="19" s="1"/>
  <c r="Y19" i="19"/>
  <c r="V19" i="19"/>
  <c r="S19" i="19"/>
  <c r="P19" i="19"/>
  <c r="O19" i="19"/>
  <c r="J19" i="19"/>
  <c r="E19" i="19"/>
  <c r="E72" i="19" s="1"/>
  <c r="AJ17" i="19"/>
  <c r="AJ74" i="19" s="1"/>
  <c r="AH17" i="19"/>
  <c r="AH74" i="19" s="1"/>
  <c r="AG17" i="19"/>
  <c r="AG74" i="19" s="1"/>
  <c r="AF17" i="19"/>
  <c r="AE17" i="19"/>
  <c r="AE74" i="19" s="1"/>
  <c r="AC17" i="19"/>
  <c r="AC74" i="19" s="1"/>
  <c r="X17" i="19"/>
  <c r="X74" i="19" s="1"/>
  <c r="W17" i="19"/>
  <c r="W74" i="19" s="1"/>
  <c r="U17" i="19"/>
  <c r="U74" i="19" s="1"/>
  <c r="T17" i="19"/>
  <c r="T74" i="19" s="1"/>
  <c r="S17" i="19"/>
  <c r="R17" i="19"/>
  <c r="R74" i="19" s="1"/>
  <c r="Q17" i="19"/>
  <c r="Q74" i="19" s="1"/>
  <c r="L17" i="19"/>
  <c r="L74" i="19" s="1"/>
  <c r="H17" i="19"/>
  <c r="H74" i="19" s="1"/>
  <c r="AI33" i="19" s="1"/>
  <c r="G17" i="19"/>
  <c r="G74" i="19" s="1"/>
  <c r="F17" i="19"/>
  <c r="F74" i="19" s="1"/>
  <c r="E17" i="19"/>
  <c r="E74" i="19" s="1"/>
  <c r="AT15" i="19"/>
  <c r="AR15" i="19"/>
  <c r="AQ15" i="19"/>
  <c r="AP15" i="19"/>
  <c r="AO15" i="19"/>
  <c r="AN15" i="19"/>
  <c r="AI15" i="19"/>
  <c r="AL15" i="19" s="1"/>
  <c r="AS15" i="19" s="1" a="1"/>
  <c r="AS15" i="19" s="1"/>
  <c r="AB15" i="19"/>
  <c r="Z15" i="19"/>
  <c r="Y15" i="19"/>
  <c r="AD15" i="19" s="1"/>
  <c r="V15" i="19"/>
  <c r="AK15" i="19" s="1"/>
  <c r="S15" i="19"/>
  <c r="P15" i="19"/>
  <c r="O15" i="19"/>
  <c r="J15" i="19"/>
  <c r="AR14" i="19"/>
  <c r="AQ14" i="19"/>
  <c r="AP14" i="19"/>
  <c r="AO14" i="19"/>
  <c r="AK14" i="19"/>
  <c r="Z14" i="19"/>
  <c r="Y14" i="19"/>
  <c r="V14" i="19"/>
  <c r="S14" i="19"/>
  <c r="O14" i="19"/>
  <c r="J14" i="19"/>
  <c r="AR13" i="19"/>
  <c r="AQ13" i="19"/>
  <c r="AO13" i="19"/>
  <c r="AK13" i="19"/>
  <c r="Z13" i="19"/>
  <c r="Y13" i="19"/>
  <c r="AD13" i="19" s="1"/>
  <c r="V13" i="19"/>
  <c r="S13" i="19"/>
  <c r="O13" i="19"/>
  <c r="J13" i="19"/>
  <c r="AR12" i="19"/>
  <c r="AQ12" i="19"/>
  <c r="AO12" i="19"/>
  <c r="AK12" i="19"/>
  <c r="AI12" i="19"/>
  <c r="AD12" i="19"/>
  <c r="Z12" i="19"/>
  <c r="Y12" i="19"/>
  <c r="V12" i="19"/>
  <c r="S12" i="19"/>
  <c r="AB12" i="19" s="1"/>
  <c r="AL12" i="19" s="1"/>
  <c r="AS12" i="19" s="1" a="1"/>
  <c r="AS12" i="19" s="1"/>
  <c r="AW12" i="19" s="1"/>
  <c r="P12" i="19"/>
  <c r="O12" i="19"/>
  <c r="J12" i="19"/>
  <c r="AR11" i="19"/>
  <c r="AQ11" i="19"/>
  <c r="AO11" i="19"/>
  <c r="AK11" i="19"/>
  <c r="AI11" i="19"/>
  <c r="AD11" i="19"/>
  <c r="Z11" i="19"/>
  <c r="Y11" i="19"/>
  <c r="V11" i="19"/>
  <c r="S11" i="19"/>
  <c r="AP11" i="19" s="1"/>
  <c r="P11" i="19"/>
  <c r="O11" i="19"/>
  <c r="J11" i="19"/>
  <c r="AT10" i="19"/>
  <c r="AR10" i="19"/>
  <c r="AQ10" i="19"/>
  <c r="AP10" i="19"/>
  <c r="AO10" i="19"/>
  <c r="AN10" i="19"/>
  <c r="AI10" i="19"/>
  <c r="AD10" i="19"/>
  <c r="AB10" i="19"/>
  <c r="Z10" i="19"/>
  <c r="Y10" i="19"/>
  <c r="V10" i="19"/>
  <c r="AK10" i="19" s="1"/>
  <c r="S10" i="19"/>
  <c r="P10" i="19"/>
  <c r="O10" i="19"/>
  <c r="J10" i="19"/>
  <c r="AR9" i="19"/>
  <c r="AQ9" i="19"/>
  <c r="AP9" i="19"/>
  <c r="AO9" i="19"/>
  <c r="AK9" i="19"/>
  <c r="AD9" i="19"/>
  <c r="AB9" i="19"/>
  <c r="Z9" i="19"/>
  <c r="Y9" i="19"/>
  <c r="V9" i="19"/>
  <c r="S9" i="19"/>
  <c r="AN9" i="19" s="1"/>
  <c r="AT9" i="19" s="1"/>
  <c r="O9" i="19"/>
  <c r="J9" i="19"/>
  <c r="AR8" i="19"/>
  <c r="AQ8" i="19"/>
  <c r="AP8" i="19"/>
  <c r="AO8" i="19"/>
  <c r="AN8" i="19"/>
  <c r="AT8" i="19" s="1"/>
  <c r="AI8" i="19"/>
  <c r="AB8" i="19"/>
  <c r="Z8" i="19"/>
  <c r="Y8" i="19"/>
  <c r="AL8" i="19" s="1"/>
  <c r="AS8" i="19" s="1" a="1"/>
  <c r="AS8" i="19" s="1"/>
  <c r="AW8" i="19" s="1"/>
  <c r="V8" i="19"/>
  <c r="AK8" i="19" s="1"/>
  <c r="S8" i="19"/>
  <c r="P8" i="19"/>
  <c r="O8" i="19"/>
  <c r="J8" i="19"/>
  <c r="AR7" i="19"/>
  <c r="AQ7" i="19"/>
  <c r="AP7" i="19"/>
  <c r="AO7" i="19"/>
  <c r="AN7" i="19"/>
  <c r="AT7" i="19" s="1"/>
  <c r="Z7" i="19"/>
  <c r="Y7" i="19"/>
  <c r="V7" i="19"/>
  <c r="AK7" i="19" s="1"/>
  <c r="S7" i="19"/>
  <c r="P7" i="19"/>
  <c r="O7" i="19"/>
  <c r="J7" i="19"/>
  <c r="AT6" i="19"/>
  <c r="AR6" i="19"/>
  <c r="AQ6" i="19"/>
  <c r="AO6" i="19"/>
  <c r="AN6" i="19"/>
  <c r="AB6" i="19"/>
  <c r="Z6" i="19"/>
  <c r="Y6" i="19"/>
  <c r="V6" i="19"/>
  <c r="AK6" i="19" s="1"/>
  <c r="S6" i="19"/>
  <c r="O6" i="19"/>
  <c r="J6" i="19"/>
  <c r="AR5" i="19"/>
  <c r="AQ5" i="19"/>
  <c r="AO5" i="19"/>
  <c r="AK5" i="19"/>
  <c r="Z5" i="19"/>
  <c r="Y5" i="19"/>
  <c r="AD5" i="19" s="1"/>
  <c r="V5" i="19"/>
  <c r="S5" i="19"/>
  <c r="O5" i="19"/>
  <c r="J5" i="19"/>
  <c r="AR4" i="19"/>
  <c r="AQ4" i="19"/>
  <c r="AO4" i="19"/>
  <c r="AO16" i="19" s="1"/>
  <c r="AK4" i="19"/>
  <c r="AI4" i="19"/>
  <c r="AD4" i="19"/>
  <c r="Z4" i="19"/>
  <c r="Y4" i="19"/>
  <c r="V4" i="19"/>
  <c r="S4" i="19"/>
  <c r="P4" i="19"/>
  <c r="O4" i="19"/>
  <c r="J4" i="19"/>
  <c r="AR3" i="19"/>
  <c r="AR16" i="19" s="1"/>
  <c r="AQ3" i="19"/>
  <c r="AQ16" i="19" s="1"/>
  <c r="AP3" i="19"/>
  <c r="AO3" i="19"/>
  <c r="AI3" i="19"/>
  <c r="AD3" i="19"/>
  <c r="AB3" i="19"/>
  <c r="Z3" i="19"/>
  <c r="Z17" i="19" s="1"/>
  <c r="Z74" i="19" s="1"/>
  <c r="Y3" i="19"/>
  <c r="V3" i="19"/>
  <c r="V17" i="19" s="1"/>
  <c r="S3" i="19"/>
  <c r="AN3" i="19" s="1"/>
  <c r="P3" i="19"/>
  <c r="O3" i="19"/>
  <c r="J3" i="19"/>
  <c r="E4" i="21" l="1"/>
  <c r="K7" i="21"/>
  <c r="K15" i="21"/>
  <c r="K23" i="21"/>
  <c r="K31" i="21"/>
  <c r="K39" i="21"/>
  <c r="K47" i="21"/>
  <c r="K55" i="21"/>
  <c r="K63" i="21"/>
  <c r="K71" i="21"/>
  <c r="K8" i="21"/>
  <c r="K16" i="21"/>
  <c r="K6" i="21"/>
  <c r="K14" i="21"/>
  <c r="K22" i="21"/>
  <c r="K30" i="21"/>
  <c r="K38" i="21"/>
  <c r="K46" i="21"/>
  <c r="K54" i="21"/>
  <c r="K62" i="21"/>
  <c r="K70" i="21"/>
  <c r="K72" i="21"/>
  <c r="K5" i="21"/>
  <c r="K13" i="21"/>
  <c r="K21" i="21"/>
  <c r="K29" i="21"/>
  <c r="K37" i="21"/>
  <c r="K45" i="21"/>
  <c r="K53" i="21"/>
  <c r="K61" i="21"/>
  <c r="K69" i="21"/>
  <c r="E21" i="21"/>
  <c r="K4" i="21"/>
  <c r="K12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AW15" i="19"/>
  <c r="AU15" i="19"/>
  <c r="V72" i="19"/>
  <c r="AK19" i="19"/>
  <c r="AK72" i="19" s="1"/>
  <c r="AL46" i="19"/>
  <c r="AS46" i="19" s="1" a="1"/>
  <c r="AS46" i="19" s="1"/>
  <c r="AW46" i="19" s="1"/>
  <c r="V74" i="19"/>
  <c r="AD7" i="19"/>
  <c r="AD14" i="19"/>
  <c r="AS38" i="19" a="1"/>
  <c r="AS38" i="19" s="1"/>
  <c r="AW38" i="19" s="1"/>
  <c r="AU8" i="19"/>
  <c r="AP13" i="19"/>
  <c r="AB13" i="19"/>
  <c r="AN13" i="19"/>
  <c r="AT13" i="19" s="1"/>
  <c r="P13" i="19"/>
  <c r="AN16" i="19"/>
  <c r="AT3" i="19"/>
  <c r="AD6" i="19"/>
  <c r="AL3" i="19"/>
  <c r="AB5" i="19"/>
  <c r="AP5" i="19"/>
  <c r="AN5" i="19"/>
  <c r="AT5" i="19" s="1"/>
  <c r="P5" i="19"/>
  <c r="J17" i="19"/>
  <c r="AB4" i="19"/>
  <c r="AL4" i="19" s="1"/>
  <c r="AS4" i="19" s="1" a="1"/>
  <c r="AS4" i="19" s="1"/>
  <c r="AW4" i="19" s="1"/>
  <c r="AP4" i="19"/>
  <c r="AN4" i="19"/>
  <c r="AT4" i="19" s="1"/>
  <c r="AL9" i="19"/>
  <c r="AS9" i="19" s="1" a="1"/>
  <c r="AS9" i="19" s="1"/>
  <c r="AL31" i="19"/>
  <c r="AS31" i="19" s="1" a="1"/>
  <c r="AS31" i="19" s="1"/>
  <c r="AW31" i="19" s="1"/>
  <c r="AL10" i="19"/>
  <c r="AS10" i="19" s="1" a="1"/>
  <c r="AS10" i="19" s="1"/>
  <c r="AW10" i="19" s="1"/>
  <c r="AU12" i="19"/>
  <c r="AN11" i="19"/>
  <c r="AT11" i="19" s="1"/>
  <c r="AI5" i="19"/>
  <c r="AI17" i="19" s="1"/>
  <c r="AB11" i="19"/>
  <c r="AI13" i="19"/>
  <c r="AO71" i="19"/>
  <c r="AU19" i="19"/>
  <c r="AU71" i="19" s="1"/>
  <c r="AL43" i="19"/>
  <c r="AS43" i="19" s="1" a="1"/>
  <c r="AS43" i="19" s="1"/>
  <c r="AW43" i="19" s="1"/>
  <c r="AI52" i="19"/>
  <c r="AL52" i="19" s="1"/>
  <c r="AS52" i="19" s="1" a="1"/>
  <c r="AS52" i="19" s="1"/>
  <c r="AW52" i="19" s="1"/>
  <c r="AB61" i="19"/>
  <c r="AP61" i="19"/>
  <c r="AN61" i="19"/>
  <c r="AT61" i="19" s="1"/>
  <c r="P61" i="19"/>
  <c r="AI23" i="19"/>
  <c r="AL23" i="19" s="1"/>
  <c r="AS23" i="19" s="1" a="1"/>
  <c r="AS23" i="19" s="1"/>
  <c r="AW23" i="19" s="1"/>
  <c r="AP34" i="19"/>
  <c r="AP71" i="19" s="1"/>
  <c r="AN34" i="19"/>
  <c r="AT34" i="19" s="1"/>
  <c r="AB34" i="19"/>
  <c r="AL37" i="19"/>
  <c r="AS37" i="19" s="1" a="1"/>
  <c r="AS37" i="19" s="1"/>
  <c r="AW37" i="19" s="1"/>
  <c r="AL50" i="19"/>
  <c r="AS50" i="19" s="1" a="1"/>
  <c r="AS50" i="19" s="1"/>
  <c r="AW50" i="19" s="1"/>
  <c r="AI51" i="19"/>
  <c r="AI69" i="19"/>
  <c r="AP53" i="19"/>
  <c r="AN53" i="19"/>
  <c r="AT53" i="19" s="1"/>
  <c r="AB53" i="19"/>
  <c r="AB57" i="19"/>
  <c r="AL57" i="19" s="1"/>
  <c r="AS57" i="19" s="1" a="1"/>
  <c r="AS57" i="19" s="1"/>
  <c r="AW57" i="19" s="1"/>
  <c r="AP57" i="19"/>
  <c r="AN57" i="19"/>
  <c r="AT57" i="19" s="1"/>
  <c r="P57" i="19"/>
  <c r="AB67" i="19"/>
  <c r="AP67" i="19"/>
  <c r="AN67" i="19"/>
  <c r="AT67" i="19" s="1"/>
  <c r="P67" i="19"/>
  <c r="AL33" i="19"/>
  <c r="AS33" i="19" s="1" a="1"/>
  <c r="AS33" i="19" s="1"/>
  <c r="AW33" i="19" s="1"/>
  <c r="AR71" i="19"/>
  <c r="AK3" i="19"/>
  <c r="AK17" i="19" s="1"/>
  <c r="AK74" i="19" s="1"/>
  <c r="AU4" i="19"/>
  <c r="AP6" i="19"/>
  <c r="AP16" i="19" s="1"/>
  <c r="AB7" i="19"/>
  <c r="AL7" i="19" s="1"/>
  <c r="AS7" i="19" s="1" a="1"/>
  <c r="AS7" i="19" s="1"/>
  <c r="AD8" i="19"/>
  <c r="P9" i="19"/>
  <c r="AI9" i="19"/>
  <c r="AL11" i="19"/>
  <c r="AS11" i="19" s="1" a="1"/>
  <c r="AS11" i="19" s="1"/>
  <c r="AN12" i="19"/>
  <c r="AT12" i="19" s="1"/>
  <c r="AI21" i="19"/>
  <c r="AL21" i="19" s="1"/>
  <c r="AS21" i="19" s="1" a="1"/>
  <c r="AS21" i="19" s="1"/>
  <c r="AW21" i="19" s="1"/>
  <c r="AB63" i="19"/>
  <c r="AL63" i="19" s="1"/>
  <c r="AS63" i="19" s="1" a="1"/>
  <c r="AS63" i="19" s="1"/>
  <c r="AW63" i="19" s="1"/>
  <c r="AP63" i="19"/>
  <c r="AN63" i="19"/>
  <c r="AT63" i="19" s="1"/>
  <c r="P63" i="19"/>
  <c r="AP42" i="19"/>
  <c r="AN42" i="19"/>
  <c r="AT42" i="19" s="1"/>
  <c r="P42" i="19"/>
  <c r="AS60" i="19" a="1"/>
  <c r="AS60" i="19" s="1"/>
  <c r="AW60" i="19" s="1"/>
  <c r="AI54" i="19"/>
  <c r="AL54" i="19" s="1"/>
  <c r="AS54" i="19" s="1" a="1"/>
  <c r="AS54" i="19" s="1"/>
  <c r="AW54" i="19" s="1"/>
  <c r="AI42" i="19"/>
  <c r="AI32" i="19"/>
  <c r="AL32" i="19" s="1"/>
  <c r="AS32" i="19" s="1" a="1"/>
  <c r="AS32" i="19" s="1"/>
  <c r="AW32" i="19" s="1"/>
  <c r="AI31" i="19"/>
  <c r="AI30" i="19"/>
  <c r="AL30" i="19" s="1"/>
  <c r="AS30" i="19" s="1" a="1"/>
  <c r="AS30" i="19" s="1"/>
  <c r="AW30" i="19" s="1"/>
  <c r="AI29" i="19"/>
  <c r="AL29" i="19" s="1"/>
  <c r="AS29" i="19" s="1" a="1"/>
  <c r="AS29" i="19" s="1"/>
  <c r="AW29" i="19" s="1"/>
  <c r="AI28" i="19"/>
  <c r="AL28" i="19" s="1"/>
  <c r="AS28" i="19" s="1" a="1"/>
  <c r="AS28" i="19" s="1"/>
  <c r="AW28" i="19" s="1"/>
  <c r="AI27" i="19"/>
  <c r="AL27" i="19" s="1"/>
  <c r="AS27" i="19" s="1" a="1"/>
  <c r="AS27" i="19" s="1"/>
  <c r="AW27" i="19" s="1"/>
  <c r="AI26" i="19"/>
  <c r="AL26" i="19" s="1"/>
  <c r="AS26" i="19" s="1" a="1"/>
  <c r="AS26" i="19" s="1"/>
  <c r="AW26" i="19" s="1"/>
  <c r="AI25" i="19"/>
  <c r="AL25" i="19" s="1"/>
  <c r="AS25" i="19" s="1" a="1"/>
  <c r="AS25" i="19" s="1"/>
  <c r="AW25" i="19" s="1"/>
  <c r="AI68" i="19"/>
  <c r="AI64" i="19"/>
  <c r="AI60" i="19"/>
  <c r="AI56" i="19"/>
  <c r="AI53" i="19"/>
  <c r="AI41" i="19"/>
  <c r="AI34" i="19"/>
  <c r="AI46" i="19"/>
  <c r="AI38" i="19"/>
  <c r="AI67" i="19"/>
  <c r="AI63" i="19"/>
  <c r="AI59" i="19"/>
  <c r="AI55" i="19"/>
  <c r="AL55" i="19" s="1"/>
  <c r="AS55" i="19" s="1" a="1"/>
  <c r="AS55" i="19" s="1"/>
  <c r="AW55" i="19" s="1"/>
  <c r="AI50" i="19"/>
  <c r="AI48" i="19"/>
  <c r="AL48" i="19" s="1"/>
  <c r="AS48" i="19" s="1" a="1"/>
  <c r="AS48" i="19" s="1"/>
  <c r="AW48" i="19" s="1"/>
  <c r="AI43" i="19"/>
  <c r="AI35" i="19"/>
  <c r="AI14" i="19"/>
  <c r="AI70" i="19"/>
  <c r="AI66" i="19"/>
  <c r="AI62" i="19"/>
  <c r="AI58" i="19"/>
  <c r="AI45" i="19"/>
  <c r="AL45" i="19" s="1"/>
  <c r="AS45" i="19" s="1" a="1"/>
  <c r="AS45" i="19" s="1"/>
  <c r="AW45" i="19" s="1"/>
  <c r="AI37" i="19"/>
  <c r="AF74" i="19"/>
  <c r="AR74" i="19" s="1"/>
  <c r="AR17" i="19"/>
  <c r="AI61" i="19"/>
  <c r="Y17" i="19"/>
  <c r="AI7" i="19"/>
  <c r="AP12" i="19"/>
  <c r="AI19" i="19"/>
  <c r="AP41" i="19"/>
  <c r="AN41" i="19"/>
  <c r="AT41" i="19" s="1"/>
  <c r="AB41" i="19"/>
  <c r="AL41" i="19" s="1"/>
  <c r="AS41" i="19" s="1" a="1"/>
  <c r="AS41" i="19" s="1"/>
  <c r="AW41" i="19" s="1"/>
  <c r="AB59" i="19"/>
  <c r="AP59" i="19"/>
  <c r="AN59" i="19"/>
  <c r="AT59" i="19" s="1"/>
  <c r="P59" i="19"/>
  <c r="AB65" i="19"/>
  <c r="AL65" i="19" s="1"/>
  <c r="AS65" i="19" s="1" a="1"/>
  <c r="AS65" i="19" s="1"/>
  <c r="AW65" i="19" s="1"/>
  <c r="AP65" i="19"/>
  <c r="AN65" i="19"/>
  <c r="AT65" i="19" s="1"/>
  <c r="P65" i="19"/>
  <c r="AP38" i="19"/>
  <c r="AN38" i="19"/>
  <c r="AT38" i="19" s="1"/>
  <c r="P38" i="19"/>
  <c r="J72" i="19"/>
  <c r="AD35" i="19"/>
  <c r="AI40" i="19"/>
  <c r="P6" i="19"/>
  <c r="AI6" i="19"/>
  <c r="AL6" i="19" s="1"/>
  <c r="AS6" i="19" s="1" a="1"/>
  <c r="AS6" i="19" s="1"/>
  <c r="P14" i="19"/>
  <c r="AB14" i="19"/>
  <c r="AL14" i="19" s="1"/>
  <c r="AS14" i="19" s="1" a="1"/>
  <c r="AS14" i="19" s="1"/>
  <c r="AN14" i="19"/>
  <c r="AT14" i="19" s="1"/>
  <c r="AI22" i="19"/>
  <c r="AL22" i="19" s="1"/>
  <c r="AS22" i="19" s="1" a="1"/>
  <c r="AS22" i="19" s="1"/>
  <c r="AW22" i="19" s="1"/>
  <c r="AB38" i="19"/>
  <c r="AL38" i="19" s="1"/>
  <c r="AI39" i="19"/>
  <c r="AB42" i="19"/>
  <c r="AL42" i="19" s="1"/>
  <c r="AS42" i="19" s="1" a="1"/>
  <c r="AS42" i="19" s="1"/>
  <c r="AW42" i="19" s="1"/>
  <c r="AI44" i="19"/>
  <c r="AP46" i="19"/>
  <c r="AN46" i="19"/>
  <c r="AT46" i="19" s="1"/>
  <c r="P46" i="19"/>
  <c r="AP54" i="19"/>
  <c r="AN54" i="19"/>
  <c r="AT54" i="19" s="1"/>
  <c r="P54" i="19"/>
  <c r="AI57" i="19"/>
  <c r="S72" i="19"/>
  <c r="S74" i="19" s="1"/>
  <c r="AB35" i="19"/>
  <c r="AL35" i="19" s="1"/>
  <c r="AS35" i="19" s="1" a="1"/>
  <c r="AS35" i="19" s="1"/>
  <c r="AW35" i="19" s="1"/>
  <c r="AP39" i="19"/>
  <c r="AN39" i="19"/>
  <c r="AT39" i="19" s="1"/>
  <c r="AP47" i="19"/>
  <c r="AN47" i="19"/>
  <c r="AT47" i="19" s="1"/>
  <c r="AP49" i="19"/>
  <c r="AN49" i="19"/>
  <c r="AT49" i="19" s="1"/>
  <c r="AP51" i="19"/>
  <c r="AN51" i="19"/>
  <c r="AT51" i="19" s="1"/>
  <c r="AB69" i="19"/>
  <c r="AL69" i="19" s="1"/>
  <c r="AS69" i="19" s="1" a="1"/>
  <c r="AS69" i="19" s="1"/>
  <c r="AW69" i="19" s="1"/>
  <c r="AP69" i="19"/>
  <c r="AN69" i="19"/>
  <c r="AT69" i="19" s="1"/>
  <c r="Y72" i="19"/>
  <c r="AD72" i="19" s="1"/>
  <c r="AN19" i="19"/>
  <c r="AP37" i="19"/>
  <c r="AN37" i="19"/>
  <c r="AT37" i="19" s="1"/>
  <c r="AP45" i="19"/>
  <c r="AN45" i="19"/>
  <c r="AT45" i="19" s="1"/>
  <c r="AB36" i="19"/>
  <c r="AL36" i="19" s="1"/>
  <c r="AS36" i="19" s="1" a="1"/>
  <c r="AS36" i="19" s="1"/>
  <c r="AW36" i="19" s="1"/>
  <c r="AP40" i="19"/>
  <c r="AN40" i="19"/>
  <c r="AT40" i="19" s="1"/>
  <c r="AB44" i="19"/>
  <c r="AL44" i="19" s="1"/>
  <c r="AS44" i="19" s="1" a="1"/>
  <c r="AS44" i="19" s="1"/>
  <c r="AW44" i="19" s="1"/>
  <c r="AP52" i="19"/>
  <c r="AN52" i="19"/>
  <c r="AT52" i="19" s="1"/>
  <c r="AB58" i="19"/>
  <c r="AL58" i="19" s="1"/>
  <c r="AS58" i="19" s="1" a="1"/>
  <c r="AS58" i="19" s="1"/>
  <c r="AW58" i="19" s="1"/>
  <c r="AP58" i="19"/>
  <c r="AN58" i="19"/>
  <c r="AT58" i="19" s="1"/>
  <c r="AB62" i="19"/>
  <c r="AP62" i="19"/>
  <c r="AN62" i="19"/>
  <c r="AT62" i="19" s="1"/>
  <c r="AB66" i="19"/>
  <c r="AL66" i="19" s="1"/>
  <c r="AS66" i="19" s="1" a="1"/>
  <c r="AS66" i="19" s="1"/>
  <c r="AW66" i="19" s="1"/>
  <c r="AP66" i="19"/>
  <c r="AN66" i="19"/>
  <c r="AT66" i="19" s="1"/>
  <c r="AB70" i="19"/>
  <c r="AP70" i="19"/>
  <c r="AN70" i="19"/>
  <c r="AT70" i="19" s="1"/>
  <c r="AP35" i="19"/>
  <c r="AN35" i="19"/>
  <c r="AT35" i="19" s="1"/>
  <c r="AB39" i="19"/>
  <c r="AL39" i="19" s="1"/>
  <c r="AS39" i="19" s="1" a="1"/>
  <c r="AS39" i="19" s="1"/>
  <c r="AW39" i="19" s="1"/>
  <c r="AP43" i="19"/>
  <c r="AN43" i="19"/>
  <c r="AT43" i="19" s="1"/>
  <c r="AB47" i="19"/>
  <c r="AL47" i="19" s="1"/>
  <c r="AS47" i="19" a="1"/>
  <c r="AS47" i="19" s="1"/>
  <c r="AW47" i="19" s="1"/>
  <c r="AP48" i="19"/>
  <c r="AN48" i="19"/>
  <c r="AT48" i="19" s="1"/>
  <c r="AB49" i="19"/>
  <c r="AL49" i="19" s="1"/>
  <c r="AS49" i="19" s="1" a="1"/>
  <c r="AS49" i="19" s="1"/>
  <c r="AW49" i="19" s="1"/>
  <c r="AP50" i="19"/>
  <c r="AN50" i="19"/>
  <c r="AT50" i="19" s="1"/>
  <c r="AB51" i="19"/>
  <c r="AP55" i="19"/>
  <c r="AN55" i="19"/>
  <c r="AT55" i="19" s="1"/>
  <c r="AP36" i="19"/>
  <c r="AN36" i="19"/>
  <c r="AT36" i="19" s="1"/>
  <c r="AB40" i="19"/>
  <c r="AL40" i="19" s="1"/>
  <c r="AS40" i="19" a="1"/>
  <c r="AS40" i="19" s="1"/>
  <c r="AW40" i="19" s="1"/>
  <c r="AP44" i="19"/>
  <c r="AN44" i="19"/>
  <c r="AT44" i="19" s="1"/>
  <c r="AB56" i="19"/>
  <c r="AP56" i="19"/>
  <c r="AN56" i="19"/>
  <c r="AT56" i="19" s="1"/>
  <c r="AB60" i="19"/>
  <c r="AL60" i="19" s="1"/>
  <c r="AP60" i="19"/>
  <c r="AN60" i="19"/>
  <c r="AT60" i="19" s="1"/>
  <c r="AB64" i="19"/>
  <c r="AP64" i="19"/>
  <c r="AN64" i="19"/>
  <c r="AT64" i="19" s="1"/>
  <c r="AB68" i="19"/>
  <c r="AL68" i="19" s="1"/>
  <c r="AS68" i="19" s="1" a="1"/>
  <c r="AS68" i="19" s="1"/>
  <c r="AW68" i="19" s="1"/>
  <c r="AP68" i="19"/>
  <c r="AN68" i="19"/>
  <c r="AT68" i="19" s="1"/>
  <c r="Q4" i="3"/>
  <c r="K17" i="21" l="1"/>
  <c r="L4" i="21"/>
  <c r="K73" i="21"/>
  <c r="L21" i="21"/>
  <c r="M21" i="21" s="1"/>
  <c r="F4" i="21"/>
  <c r="E5" i="21"/>
  <c r="E22" i="21"/>
  <c r="F21" i="21"/>
  <c r="L22" i="21"/>
  <c r="M22" i="21" s="1"/>
  <c r="AW14" i="19"/>
  <c r="AU14" i="19"/>
  <c r="AW6" i="19"/>
  <c r="AU6" i="19"/>
  <c r="AW7" i="19"/>
  <c r="AU7" i="19"/>
  <c r="AW9" i="19"/>
  <c r="AU9" i="19"/>
  <c r="AN71" i="19"/>
  <c r="AT19" i="19"/>
  <c r="AT71" i="19" s="1"/>
  <c r="AB72" i="19"/>
  <c r="J74" i="19"/>
  <c r="Y74" i="19"/>
  <c r="AD17" i="19"/>
  <c r="AU10" i="19"/>
  <c r="AU11" i="19"/>
  <c r="AW11" i="19"/>
  <c r="AS3" i="19"/>
  <c r="AL51" i="19"/>
  <c r="AS51" i="19" s="1" a="1"/>
  <c r="AS51" i="19" s="1"/>
  <c r="AW51" i="19" s="1"/>
  <c r="AL56" i="19"/>
  <c r="AS56" i="19" s="1" a="1"/>
  <c r="AS56" i="19" s="1"/>
  <c r="AW56" i="19" s="1"/>
  <c r="AL53" i="19"/>
  <c r="AS53" i="19" s="1" a="1"/>
  <c r="AS53" i="19" s="1"/>
  <c r="AW53" i="19" s="1"/>
  <c r="AL67" i="19"/>
  <c r="AS67" i="19" s="1" a="1"/>
  <c r="AS67" i="19" s="1"/>
  <c r="AW67" i="19" s="1"/>
  <c r="AL64" i="19"/>
  <c r="AS64" i="19" s="1" a="1"/>
  <c r="AS64" i="19" s="1"/>
  <c r="AW64" i="19" s="1"/>
  <c r="AL59" i="19"/>
  <c r="AS59" i="19" s="1" a="1"/>
  <c r="AS59" i="19" s="1"/>
  <c r="AW59" i="19" s="1"/>
  <c r="AL34" i="19"/>
  <c r="AS34" i="19" s="1" a="1"/>
  <c r="AS34" i="19" s="1"/>
  <c r="AW34" i="19" s="1"/>
  <c r="AL13" i="19"/>
  <c r="AS13" i="19" s="1" a="1"/>
  <c r="AS13" i="19" s="1"/>
  <c r="AL62" i="19"/>
  <c r="AS62" i="19" s="1" a="1"/>
  <c r="AS62" i="19" s="1"/>
  <c r="AW62" i="19" s="1"/>
  <c r="AL70" i="19"/>
  <c r="AS70" i="19" s="1" a="1"/>
  <c r="AS70" i="19" s="1"/>
  <c r="AW70" i="19" s="1"/>
  <c r="AI72" i="19"/>
  <c r="AL19" i="19"/>
  <c r="AL61" i="19"/>
  <c r="AS61" i="19" s="1" a="1"/>
  <c r="AS61" i="19" s="1"/>
  <c r="AW61" i="19" s="1"/>
  <c r="AL5" i="19"/>
  <c r="AS5" i="19" s="1" a="1"/>
  <c r="AS5" i="19" s="1"/>
  <c r="AT16" i="19"/>
  <c r="AB17" i="19"/>
  <c r="AB74" i="19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C17" i="16"/>
  <c r="D14" i="16" s="1"/>
  <c r="K9" i="16"/>
  <c r="K8" i="16"/>
  <c r="K6" i="16"/>
  <c r="K5" i="16"/>
  <c r="K4" i="16"/>
  <c r="D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C17" i="15"/>
  <c r="D12" i="15" s="1"/>
  <c r="D9" i="16" l="1"/>
  <c r="D10" i="16"/>
  <c r="K10" i="16"/>
  <c r="K12" i="16"/>
  <c r="K14" i="16"/>
  <c r="K7" i="16"/>
  <c r="K13" i="16"/>
  <c r="K15" i="16"/>
  <c r="K16" i="16"/>
  <c r="D13" i="16"/>
  <c r="D5" i="16"/>
  <c r="D12" i="16"/>
  <c r="K11" i="15"/>
  <c r="K9" i="15"/>
  <c r="K10" i="15"/>
  <c r="K4" i="15"/>
  <c r="K12" i="15"/>
  <c r="K5" i="15"/>
  <c r="K13" i="15"/>
  <c r="K6" i="15"/>
  <c r="K14" i="15"/>
  <c r="K7" i="15"/>
  <c r="K15" i="15"/>
  <c r="K8" i="15"/>
  <c r="D9" i="15"/>
  <c r="D14" i="15"/>
  <c r="D10" i="15"/>
  <c r="D15" i="15"/>
  <c r="D13" i="15"/>
  <c r="D6" i="15"/>
  <c r="D7" i="15"/>
  <c r="D11" i="15"/>
  <c r="D5" i="15"/>
  <c r="D8" i="15"/>
  <c r="D16" i="15"/>
  <c r="D4" i="15"/>
  <c r="E4" i="15" s="1"/>
  <c r="F22" i="21"/>
  <c r="E23" i="21"/>
  <c r="M4" i="21"/>
  <c r="G4" i="21" s="1"/>
  <c r="L5" i="21"/>
  <c r="E6" i="21"/>
  <c r="F5" i="21"/>
  <c r="L23" i="21"/>
  <c r="AA69" i="19"/>
  <c r="AA68" i="19"/>
  <c r="AA67" i="19"/>
  <c r="AA66" i="19"/>
  <c r="AA65" i="19"/>
  <c r="AA64" i="19"/>
  <c r="AA63" i="19"/>
  <c r="AA62" i="19"/>
  <c r="AA61" i="19"/>
  <c r="AA60" i="19"/>
  <c r="AA59" i="19"/>
  <c r="AA58" i="19"/>
  <c r="AA57" i="19"/>
  <c r="AA56" i="19"/>
  <c r="AA54" i="19"/>
  <c r="AA53" i="19"/>
  <c r="AA32" i="19"/>
  <c r="AA31" i="19"/>
  <c r="AA30" i="19"/>
  <c r="AA29" i="19"/>
  <c r="AA28" i="19"/>
  <c r="AA27" i="19"/>
  <c r="AA26" i="19"/>
  <c r="AA25" i="19"/>
  <c r="AA24" i="19"/>
  <c r="AA23" i="19"/>
  <c r="AA22" i="19"/>
  <c r="AA21" i="19"/>
  <c r="AA20" i="19"/>
  <c r="AA19" i="19"/>
  <c r="AA72" i="19" s="1"/>
  <c r="AA12" i="19"/>
  <c r="AA8" i="19"/>
  <c r="AA10" i="19"/>
  <c r="AA3" i="19"/>
  <c r="AA17" i="19" s="1"/>
  <c r="AA9" i="19"/>
  <c r="AA40" i="19"/>
  <c r="AA44" i="19"/>
  <c r="AA50" i="19"/>
  <c r="AA39" i="19"/>
  <c r="AA46" i="19"/>
  <c r="AA43" i="19"/>
  <c r="AA34" i="19"/>
  <c r="AA51" i="19"/>
  <c r="AA4" i="19"/>
  <c r="AA52" i="19"/>
  <c r="AA70" i="19"/>
  <c r="AA6" i="19"/>
  <c r="AA14" i="19"/>
  <c r="AD74" i="19"/>
  <c r="AA5" i="19"/>
  <c r="AA41" i="19"/>
  <c r="AA42" i="19"/>
  <c r="AA45" i="19"/>
  <c r="AA36" i="19"/>
  <c r="AA47" i="19"/>
  <c r="AA15" i="19"/>
  <c r="AA33" i="19"/>
  <c r="AA7" i="19"/>
  <c r="AA38" i="19"/>
  <c r="AA11" i="19"/>
  <c r="AA35" i="19"/>
  <c r="AA48" i="19"/>
  <c r="AA55" i="19"/>
  <c r="AA13" i="19"/>
  <c r="AA49" i="19"/>
  <c r="AA37" i="19"/>
  <c r="AW13" i="19"/>
  <c r="AU13" i="19"/>
  <c r="AL17" i="19"/>
  <c r="AL74" i="19" s="1"/>
  <c r="AS16" i="19"/>
  <c r="AW3" i="19"/>
  <c r="AW17" i="19" s="1"/>
  <c r="AU3" i="19"/>
  <c r="AU16" i="19" s="1"/>
  <c r="AL72" i="19"/>
  <c r="AS19" i="19" a="1"/>
  <c r="AS19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E4" i="16"/>
  <c r="D11" i="16"/>
  <c r="D27" i="16"/>
  <c r="D35" i="16"/>
  <c r="D43" i="16"/>
  <c r="D51" i="16"/>
  <c r="D59" i="16"/>
  <c r="D67" i="16"/>
  <c r="D8" i="16"/>
  <c r="D16" i="16"/>
  <c r="L21" i="16"/>
  <c r="M21" i="16" s="1"/>
  <c r="D24" i="16"/>
  <c r="D32" i="16"/>
  <c r="D40" i="16"/>
  <c r="D48" i="16"/>
  <c r="D56" i="16"/>
  <c r="D64" i="16"/>
  <c r="D72" i="16"/>
  <c r="L4" i="16"/>
  <c r="D7" i="16"/>
  <c r="D15" i="16"/>
  <c r="D23" i="16"/>
  <c r="D31" i="16"/>
  <c r="D39" i="16"/>
  <c r="D47" i="16"/>
  <c r="D55" i="16"/>
  <c r="D63" i="16"/>
  <c r="D71" i="16"/>
  <c r="D6" i="16"/>
  <c r="D17" i="16" s="1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V9" i="3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M3" i="13"/>
  <c r="N3" i="13"/>
  <c r="M4" i="13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J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K17" i="16" l="1"/>
  <c r="L4" i="15"/>
  <c r="K17" i="15"/>
  <c r="D17" i="15"/>
  <c r="M23" i="21"/>
  <c r="L24" i="21"/>
  <c r="M5" i="21"/>
  <c r="G5" i="21" s="1"/>
  <c r="L6" i="21"/>
  <c r="E7" i="21"/>
  <c r="F6" i="21"/>
  <c r="E24" i="21"/>
  <c r="F23" i="21"/>
  <c r="AS71" i="19"/>
  <c r="AW19" i="19"/>
  <c r="AW72" i="19" s="1"/>
  <c r="AW74" i="19" s="1"/>
  <c r="AA74" i="19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F4" i="16"/>
  <c r="E5" i="16"/>
  <c r="L23" i="16"/>
  <c r="M22" i="16"/>
  <c r="L24" i="15"/>
  <c r="F4" i="15"/>
  <c r="E5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E74" i="13" s="1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L5" i="15" l="1"/>
  <c r="M4" i="15"/>
  <c r="G4" i="15" s="1"/>
  <c r="E8" i="21"/>
  <c r="F7" i="21"/>
  <c r="F24" i="21"/>
  <c r="E25" i="21"/>
  <c r="M6" i="21"/>
  <c r="G6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E6" i="16"/>
  <c r="F5" i="16"/>
  <c r="M5" i="16"/>
  <c r="L6" i="16"/>
  <c r="F5" i="15"/>
  <c r="E6" i="15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AK12" i="13" s="1"/>
  <c r="Y10" i="13"/>
  <c r="AD10" i="13" s="1"/>
  <c r="Z17" i="13"/>
  <c r="Z74" i="13" s="1"/>
  <c r="S12" i="13"/>
  <c r="S15" i="13"/>
  <c r="V13" i="13"/>
  <c r="AK13" i="13" s="1"/>
  <c r="Y11" i="13"/>
  <c r="AD11" i="13" s="1"/>
  <c r="V10" i="13"/>
  <c r="AK10" i="13" s="1"/>
  <c r="Y15" i="13"/>
  <c r="AD15" i="13" s="1"/>
  <c r="AQ10" i="13"/>
  <c r="V14" i="13"/>
  <c r="AK14" i="13" s="1"/>
  <c r="Y12" i="13"/>
  <c r="AD12" i="13" s="1"/>
  <c r="AQ12" i="13"/>
  <c r="AR10" i="13"/>
  <c r="S10" i="13"/>
  <c r="V15" i="13"/>
  <c r="AK15" i="13" s="1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K11" i="13" s="1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G4" i="16" l="1"/>
  <c r="L6" i="15"/>
  <c r="M5" i="15"/>
  <c r="M25" i="21"/>
  <c r="L26" i="21"/>
  <c r="M7" i="21"/>
  <c r="G7" i="21" s="1"/>
  <c r="L8" i="21"/>
  <c r="F25" i="21"/>
  <c r="E26" i="21"/>
  <c r="F8" i="21"/>
  <c r="E9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E7" i="16"/>
  <c r="F6" i="16"/>
  <c r="L7" i="16"/>
  <c r="M6" i="16"/>
  <c r="M24" i="16"/>
  <c r="L25" i="16"/>
  <c r="M25" i="15"/>
  <c r="L26" i="15"/>
  <c r="E25" i="15"/>
  <c r="F24" i="15"/>
  <c r="E7" i="15"/>
  <c r="F6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M6" i="15" l="1"/>
  <c r="L7" i="15"/>
  <c r="M26" i="21"/>
  <c r="L27" i="21"/>
  <c r="F9" i="21"/>
  <c r="E10" i="21"/>
  <c r="L9" i="21"/>
  <c r="M8" i="21"/>
  <c r="G8" i="21" s="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E8" i="16"/>
  <c r="F7" i="16"/>
  <c r="M7" i="16"/>
  <c r="G7" i="16" s="1"/>
  <c r="L8" i="16"/>
  <c r="F25" i="16"/>
  <c r="E26" i="16"/>
  <c r="F25" i="15"/>
  <c r="E26" i="15"/>
  <c r="E8" i="15"/>
  <c r="F7" i="15"/>
  <c r="L27" i="15"/>
  <c r="M26" i="15"/>
  <c r="S7" i="13"/>
  <c r="S9" i="13"/>
  <c r="Y7" i="13"/>
  <c r="V7" i="13"/>
  <c r="AK7" i="13" s="1"/>
  <c r="Y8" i="13"/>
  <c r="AD8" i="13" s="1"/>
  <c r="S8" i="13"/>
  <c r="V9" i="13"/>
  <c r="AK9" i="13" s="1"/>
  <c r="F23" i="14"/>
  <c r="E24" i="14"/>
  <c r="L6" i="14"/>
  <c r="M5" i="14"/>
  <c r="L24" i="14"/>
  <c r="M23" i="14"/>
  <c r="AQ9" i="13"/>
  <c r="AR9" i="13"/>
  <c r="V8" i="13"/>
  <c r="AK8" i="13" s="1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L8" i="15" l="1"/>
  <c r="M7" i="15"/>
  <c r="F27" i="21"/>
  <c r="E28" i="21"/>
  <c r="L10" i="21"/>
  <c r="M9" i="21"/>
  <c r="G9" i="21" s="1"/>
  <c r="F10" i="21"/>
  <c r="E11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F8" i="16"/>
  <c r="E9" i="16"/>
  <c r="M27" i="15"/>
  <c r="L28" i="15"/>
  <c r="E9" i="15"/>
  <c r="F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K6" i="13" s="1"/>
  <c r="AJ5" i="13"/>
  <c r="AE5" i="13"/>
  <c r="AC5" i="13"/>
  <c r="W5" i="13"/>
  <c r="Y5" i="13" s="1"/>
  <c r="T5" i="13"/>
  <c r="V5" i="13" s="1"/>
  <c r="AK5" i="13" s="1"/>
  <c r="AJ4" i="13"/>
  <c r="AE4" i="13"/>
  <c r="AC4" i="13"/>
  <c r="W4" i="13"/>
  <c r="Y4" i="13" s="1"/>
  <c r="T4" i="13"/>
  <c r="V4" i="13" s="1"/>
  <c r="AK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G5" i="16" l="1"/>
  <c r="G5" i="15"/>
  <c r="M8" i="15"/>
  <c r="L9" i="15"/>
  <c r="M28" i="21"/>
  <c r="L29" i="21"/>
  <c r="F11" i="21"/>
  <c r="E12" i="21"/>
  <c r="L11" i="21"/>
  <c r="M10" i="21"/>
  <c r="G10" i="21" s="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F9" i="16"/>
  <c r="E10" i="16"/>
  <c r="M27" i="16"/>
  <c r="L28" i="16"/>
  <c r="M9" i="16"/>
  <c r="G9" i="16" s="1"/>
  <c r="L10" i="16"/>
  <c r="F27" i="16"/>
  <c r="E28" i="16"/>
  <c r="F27" i="15"/>
  <c r="E28" i="15"/>
  <c r="F9" i="15"/>
  <c r="E10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G6" i="15" l="1"/>
  <c r="L10" i="15"/>
  <c r="M9" i="15"/>
  <c r="M29" i="21"/>
  <c r="L30" i="21"/>
  <c r="E30" i="21"/>
  <c r="F29" i="21"/>
  <c r="F12" i="21"/>
  <c r="E13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E11" i="16"/>
  <c r="F10" i="16"/>
  <c r="F10" i="15"/>
  <c r="E11" i="15"/>
  <c r="F28" i="15"/>
  <c r="E29" i="15"/>
  <c r="M29" i="15"/>
  <c r="L30" i="15"/>
  <c r="M26" i="14"/>
  <c r="L27" i="14"/>
  <c r="L9" i="14"/>
  <c r="M8" i="14"/>
  <c r="G7" i="14" s="1"/>
  <c r="F26" i="14"/>
  <c r="E27" i="14"/>
  <c r="AK3" i="13"/>
  <c r="AK17" i="13" s="1"/>
  <c r="AK74" i="13" s="1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G10" i="16" l="1"/>
  <c r="G6" i="16"/>
  <c r="G9" i="15"/>
  <c r="G7" i="15"/>
  <c r="M10" i="15"/>
  <c r="G10" i="15" s="1"/>
  <c r="L11" i="15"/>
  <c r="M30" i="21"/>
  <c r="L31" i="21"/>
  <c r="M12" i="21"/>
  <c r="G12" i="21" s="1"/>
  <c r="L13" i="21"/>
  <c r="E14" i="21"/>
  <c r="F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F11" i="16"/>
  <c r="E12" i="16"/>
  <c r="M29" i="16"/>
  <c r="L30" i="16"/>
  <c r="L12" i="16"/>
  <c r="M11" i="16"/>
  <c r="F29" i="16"/>
  <c r="E30" i="16"/>
  <c r="M30" i="15"/>
  <c r="L31" i="15"/>
  <c r="F29" i="15"/>
  <c r="E30" i="15"/>
  <c r="F11" i="15"/>
  <c r="E12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M11" i="15" l="1"/>
  <c r="L12" i="15"/>
  <c r="M13" i="21"/>
  <c r="G13" i="21" s="1"/>
  <c r="L14" i="21"/>
  <c r="E32" i="21"/>
  <c r="F31" i="21"/>
  <c r="M31" i="21"/>
  <c r="L32" i="21"/>
  <c r="E15" i="21"/>
  <c r="F14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F12" i="16"/>
  <c r="E13" i="16"/>
  <c r="M30" i="16"/>
  <c r="L31" i="16"/>
  <c r="F30" i="15"/>
  <c r="E31" i="15"/>
  <c r="F12" i="15"/>
  <c r="E13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3" i="15" l="1"/>
  <c r="M12" i="15"/>
  <c r="G12" i="15" s="1"/>
  <c r="E16" i="21"/>
  <c r="F16" i="21" s="1"/>
  <c r="F15" i="21"/>
  <c r="M32" i="21"/>
  <c r="L33" i="21"/>
  <c r="F32" i="21"/>
  <c r="E33" i="21"/>
  <c r="M14" i="21"/>
  <c r="G14" i="21" s="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E14" i="16"/>
  <c r="F13" i="16"/>
  <c r="M13" i="16"/>
  <c r="G13" i="16" s="1"/>
  <c r="L14" i="16"/>
  <c r="F31" i="16"/>
  <c r="E32" i="16"/>
  <c r="M32" i="15"/>
  <c r="L33" i="15"/>
  <c r="E14" i="15"/>
  <c r="F13" i="15"/>
  <c r="F31" i="15"/>
  <c r="E32" i="15"/>
  <c r="G10" i="14"/>
  <c r="M29" i="14"/>
  <c r="L30" i="14"/>
  <c r="F29" i="14"/>
  <c r="E30" i="14"/>
  <c r="L12" i="14"/>
  <c r="M11" i="14"/>
  <c r="AA72" i="13"/>
  <c r="AA17" i="13"/>
  <c r="M13" i="15" l="1"/>
  <c r="L14" i="15"/>
  <c r="F33" i="21"/>
  <c r="E34" i="21"/>
  <c r="M15" i="21"/>
  <c r="G15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E15" i="16"/>
  <c r="F14" i="16"/>
  <c r="L15" i="16"/>
  <c r="M14" i="16"/>
  <c r="G14" i="16" s="1"/>
  <c r="M32" i="16"/>
  <c r="L33" i="16"/>
  <c r="E15" i="15"/>
  <c r="F14" i="15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G13" i="15" l="1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E16" i="16"/>
  <c r="F16" i="16" s="1"/>
  <c r="F15" i="16"/>
  <c r="M15" i="16"/>
  <c r="L16" i="16"/>
  <c r="M16" i="16" s="1"/>
  <c r="F33" i="16"/>
  <c r="E34" i="16"/>
  <c r="L34" i="16"/>
  <c r="M33" i="16"/>
  <c r="F33" i="15"/>
  <c r="E34" i="15"/>
  <c r="L35" i="15"/>
  <c r="M34" i="15"/>
  <c r="E16" i="15"/>
  <c r="F16" i="15" s="1"/>
  <c r="F15" i="15"/>
  <c r="L32" i="14"/>
  <c r="M31" i="14"/>
  <c r="F31" i="14"/>
  <c r="E32" i="14"/>
  <c r="L14" i="14"/>
  <c r="M13" i="14"/>
  <c r="Y6" i="3"/>
  <c r="S6" i="3"/>
  <c r="Y5" i="3"/>
  <c r="S5" i="3"/>
  <c r="G16" i="16" l="1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G14" i="15" l="1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O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L8" i="3" s="1"/>
  <c r="Z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AD5" i="10" l="1"/>
  <c r="AN6" i="10"/>
  <c r="AD4" i="10"/>
  <c r="AN7" i="10"/>
  <c r="AN11" i="10"/>
  <c r="AN8" i="10"/>
  <c r="AN12" i="10"/>
  <c r="O8" i="3"/>
  <c r="F8" i="3" s="1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F4" i="3" s="1"/>
  <c r="L4" i="3"/>
  <c r="Z4" i="3" s="1"/>
  <c r="L5" i="3"/>
  <c r="Z5" i="3" s="1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V74" i="10" l="1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B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11" i="10" l="1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B5" i="3" s="1"/>
  <c r="AU12" i="11"/>
  <c r="AL12" i="10"/>
  <c r="AS12" i="10" s="1" a="1"/>
  <c r="AS12" i="10" s="1"/>
  <c r="AT12" i="10" s="1"/>
  <c r="AL8" i="10"/>
  <c r="AS8" i="10" s="1" a="1"/>
  <c r="AS8" i="10" s="1"/>
  <c r="AL7" i="10"/>
  <c r="AS7" i="10" s="1" a="1"/>
  <c r="AS7" i="10" s="1"/>
  <c r="AW7" i="10" s="1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B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U12" i="10" l="1"/>
  <c r="AA17" i="10"/>
  <c r="AW4" i="10"/>
  <c r="AT4" i="10"/>
  <c r="AU6" i="10"/>
  <c r="AT6" i="10"/>
  <c r="AU14" i="10"/>
  <c r="AT14" i="10"/>
  <c r="AU7" i="10"/>
  <c r="AT7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AT16" i="10" l="1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AW74" i="10" l="1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43" i="21" l="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44" i="21" l="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M45" i="21" l="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M46" i="21" l="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E48" i="21" l="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M48" i="21" l="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49" i="21" l="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M50" i="21" l="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51" i="21" l="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M52" i="21" l="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E54" i="21" l="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M54" i="21" l="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56" i="21" l="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O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AR72" i="9" l="1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Z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G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D7" i="3" l="1"/>
  <c r="AB7" i="3"/>
  <c r="AA72" i="9"/>
  <c r="AA74" i="9" s="1"/>
  <c r="AA17" i="9"/>
  <c r="AS16" i="9"/>
  <c r="AW3" i="9"/>
  <c r="AU3" i="9"/>
  <c r="AU16" i="9" s="1"/>
  <c r="AE7" i="3" l="1"/>
  <c r="AF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AA9" i="3"/>
  <c r="T9" i="3"/>
  <c r="Y9" i="3"/>
  <c r="AQ71" i="8" l="1"/>
  <c r="AN20" i="8"/>
  <c r="AT20" i="8" s="1"/>
  <c r="S72" i="8"/>
  <c r="L74" i="8"/>
  <c r="G6" i="3"/>
  <c r="G9" i="3" s="1"/>
  <c r="V72" i="8"/>
  <c r="AF74" i="8"/>
  <c r="W6" i="3" s="1"/>
  <c r="W9" i="3" s="1"/>
  <c r="Z72" i="8"/>
  <c r="AB24" i="8"/>
  <c r="AG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S9" i="3"/>
  <c r="U9" i="3"/>
  <c r="X9" i="3"/>
  <c r="AG5" i="3"/>
  <c r="AD4" i="3"/>
  <c r="AD5" i="3"/>
  <c r="AW11" i="13" l="1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F5" i="3"/>
  <c r="AG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F4" i="3"/>
  <c r="AE4" i="3"/>
  <c r="AE5" i="3"/>
  <c r="AD8" i="3"/>
  <c r="AS3" i="13" l="1"/>
  <c r="AL17" i="13"/>
  <c r="AL72" i="8"/>
  <c r="AS19" i="8" a="1"/>
  <c r="AS19" i="8" s="1"/>
  <c r="AF8" i="3"/>
  <c r="AE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K9" i="3" s="1"/>
  <c r="AW15" i="8"/>
  <c r="P9" i="8"/>
  <c r="AP9" i="8"/>
  <c r="AN9" i="8"/>
  <c r="AB9" i="8"/>
  <c r="AL9" i="8" s="1"/>
  <c r="AD7" i="8"/>
  <c r="R17" i="8"/>
  <c r="X17" i="8"/>
  <c r="X74" i="8" s="1"/>
  <c r="N6" i="3" s="1"/>
  <c r="N9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R74" i="8" l="1"/>
  <c r="I6" i="3"/>
  <c r="I9" i="3" s="1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Q9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H9" i="3" s="1"/>
  <c r="AR5" i="8"/>
  <c r="AQ5" i="8"/>
  <c r="J9" i="7"/>
  <c r="AD4" i="8"/>
  <c r="AU9" i="8" l="1"/>
  <c r="AW7" i="8"/>
  <c r="AU8" i="8"/>
  <c r="AT8" i="8"/>
  <c r="L6" i="3"/>
  <c r="J9" i="3"/>
  <c r="J17" i="7"/>
  <c r="K12" i="7" s="1"/>
  <c r="AW9" i="8"/>
  <c r="M9" i="3"/>
  <c r="N11" i="3" s="1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R9" i="3" s="1"/>
  <c r="AK3" i="8"/>
  <c r="AK17" i="8" s="1"/>
  <c r="AK74" i="8" s="1"/>
  <c r="V17" i="8"/>
  <c r="V74" i="8" s="1"/>
  <c r="AN16" i="8" l="1"/>
  <c r="AS6" i="8" a="1"/>
  <c r="AS6" i="8" s="1"/>
  <c r="AW6" i="8" s="1"/>
  <c r="C6" i="7"/>
  <c r="AS5" i="8" a="1"/>
  <c r="AS5" i="8" s="1"/>
  <c r="AW5" i="8" s="1"/>
  <c r="C10" i="7"/>
  <c r="O9" i="3"/>
  <c r="R11" i="3" s="1"/>
  <c r="AG6" i="3"/>
  <c r="F6" i="3"/>
  <c r="F9" i="3" s="1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Z6" i="3"/>
  <c r="Z9" i="3" s="1"/>
  <c r="L9" i="3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C5" i="7" l="1"/>
  <c r="AB6" i="3"/>
  <c r="AU5" i="8"/>
  <c r="AU6" i="8"/>
  <c r="AU4" i="8"/>
  <c r="AC4" i="3"/>
  <c r="AC9" i="3" s="1"/>
  <c r="AL75" i="13" s="1"/>
  <c r="AE6" i="3"/>
  <c r="AF6" i="3"/>
  <c r="C17" i="7"/>
  <c r="D10" i="7" s="1"/>
  <c r="Z11" i="3"/>
  <c r="L5" i="7"/>
  <c r="M4" i="7"/>
  <c r="G4" i="7" s="1"/>
  <c r="P9" i="3"/>
  <c r="AD6" i="3"/>
  <c r="K17" i="7"/>
  <c r="S11" i="3"/>
  <c r="AG9" i="3"/>
  <c r="W11" i="3"/>
  <c r="U11" i="3"/>
  <c r="V11" i="3"/>
  <c r="Q11" i="3"/>
  <c r="AA17" i="8"/>
  <c r="AL17" i="8"/>
  <c r="AL74" i="8" s="1"/>
  <c r="AS3" i="8"/>
  <c r="AA72" i="8"/>
  <c r="C17" i="14" l="1"/>
  <c r="D13" i="7"/>
  <c r="D6" i="7"/>
  <c r="D14" i="7"/>
  <c r="D11" i="7"/>
  <c r="D8" i="7"/>
  <c r="D12" i="7"/>
  <c r="D9" i="7"/>
  <c r="D7" i="7"/>
  <c r="D4" i="7"/>
  <c r="D16" i="7"/>
  <c r="D15" i="7"/>
  <c r="D5" i="7"/>
  <c r="P11" i="3"/>
  <c r="AD9" i="3"/>
  <c r="L6" i="7"/>
  <c r="M5" i="7"/>
  <c r="G5" i="7" s="1"/>
  <c r="AB11" i="3"/>
  <c r="AF9" i="3"/>
  <c r="AB12" i="3"/>
  <c r="AE9" i="3"/>
  <c r="AA74" i="8"/>
  <c r="AT3" i="8"/>
  <c r="AT16" i="8" s="1"/>
  <c r="AW3" i="8"/>
  <c r="AU3" i="8"/>
  <c r="AU16" i="8" s="1"/>
  <c r="AS16" i="8"/>
  <c r="D14" i="14" l="1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<sst xmlns="http://schemas.openxmlformats.org/spreadsheetml/2006/main" count="1026" uniqueCount="151">
  <si>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</si>
  <si>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</si>
  <si>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</si>
  <si>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</si>
  <si>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</si>
  <si>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</si>
  <si>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</si>
  <si>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</si>
  <si>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</si>
  <si>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</si>
  <si>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</si>
  <si>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</si>
  <si>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</si>
  <si>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</si>
  <si>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</si>
  <si>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</si>
  <si>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</si>
  <si>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</si>
  <si>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</si>
  <si>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</si>
  <si>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</si>
  <si>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</si>
  <si>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</si>
  <si>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</si>
  <si>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</si>
  <si>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</si>
  <si>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</si>
  <si>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</si>
  <si>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</si>
  <si>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</si>
  <si>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</si>
  <si>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</si>
  <si>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</si>
  <si>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</si>
  <si>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</si>
  <si>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</si>
  <si>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</si>
  <si>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</si>
  <si>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</si>
  <si>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</si>
  <si>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</si>
  <si>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</si>
  <si>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</si>
  <si>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</si>
  <si>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</si>
  <si>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</si>
  <si>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</si>
  <si>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</si>
  <si>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</si>
  <si>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</si>
  <si>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</si>
  <si>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</si>
  <si>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</si>
  <si>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</si>
  <si>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</si>
  <si>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</si>
  <si>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</si>
  <si>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</si>
  <si>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</si>
  <si>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</si>
  <si>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</si>
  <si>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</si>
  <si>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</si>
  <si>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</si>
  <si>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</si>
  <si>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</si>
  <si>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</si>
  <si>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</si>
  <si>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</si>
  <si>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</si>
  <si>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</si>
  <si>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</si>
  <si>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</si>
  <si>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</si>
  <si>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</si>
  <si>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</si>
  <si>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</si>
  <si>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</si>
  <si>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</si>
  <si>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</si>
  <si>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</si>
  <si>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</si>
  <si>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</si>
  <si>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</si>
  <si>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</si>
  <si>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</si>
  <si>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</si>
  <si>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</si>
  <si>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</si>
  <si>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</si>
  <si>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</si>
  <si>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</si>
  <si>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</si>
  <si>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</si>
  <si>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</si>
  <si>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</si>
  <si>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</si>
  <si>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</si>
  <si>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</si>
  <si>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</si>
  <si>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</si>
  <si>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</si>
  <si>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</si>
  <si>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</si>
  <si>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</si>
  <si>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</si>
  <si>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</si>
  <si>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</si>
  <si>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</si>
  <si>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</si>
  <si>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</si>
  <si>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</si>
  <si>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</si>
  <si>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</si>
  <si>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</si>
  <si>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</si>
  <si>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</si>
  <si>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</si>
  <si>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</si>
  <si>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</si>
  <si>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</si>
  <si>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</si>
  <si>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</si>
  <si>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</si>
  <si>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</si>
  <si>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</si>
  <si>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</si>
  <si>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</si>
  <si>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</si>
  <si>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</si>
  <si>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</si>
  <si>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</si>
  <si>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</si>
  <si>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</si>
  <si>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</si>
  <si>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</si>
  <si>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</si>
  <si>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</si>
  <si>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</si>
  <si>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</si>
  <si>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</si>
  <si>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</si>
  <si>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</si>
  <si>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</si>
  <si>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>25.01</t>
  </si>
  <si>
    <t/>
  </si>
  <si>
    <t>27-31.01</t>
  </si>
  <si>
    <t>25.01-01.02</t>
  </si>
  <si>
    <t>01.02</t>
  </si>
  <si>
    <t>.</t>
  </si>
  <si>
    <t>25-31.01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</si>
</sst>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05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1" fontId="11" fillId="3" borderId="19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9" xfId="4" applyNumberFormat="1" applyFont="1" applyBorder="1"/>
    <xf numFmtId="3" fontId="9" fillId="0" borderId="9" xfId="4" applyNumberFormat="1" applyFont="1" applyBorder="1"/>
    <xf numFmtId="3" fontId="9" fillId="0" borderId="9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4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8" xfId="0" applyNumberFormat="1" applyFont="1" applyFill="1" applyBorder="1"/>
    <xf numFmtId="49" fontId="9" fillId="13" borderId="19" xfId="0" applyNumberFormat="1" applyFont="1" applyFill="1" applyBorder="1"/>
    <xf numFmtId="49" fontId="9" fillId="13" borderId="19" xfId="3" applyNumberFormat="1" applyFont="1" applyFill="1" applyBorder="1" applyAlignment="1">
      <alignment horizontal="center"/>
    </xf>
    <xf numFmtId="166" fontId="13" fillId="0" borderId="19" xfId="4" applyNumberFormat="1" applyFont="1" applyFill="1" applyBorder="1"/>
    <xf numFmtId="166" fontId="9" fillId="0" borderId="19" xfId="4" applyNumberFormat="1" applyFont="1" applyFill="1" applyBorder="1"/>
    <xf numFmtId="3" fontId="9" fillId="0" borderId="19" xfId="4" applyNumberFormat="1" applyFont="1" applyFill="1" applyBorder="1"/>
    <xf numFmtId="3" fontId="9" fillId="0" borderId="19" xfId="4" applyNumberFormat="1" applyFont="1" applyBorder="1"/>
    <xf numFmtId="167" fontId="9" fillId="0" borderId="31" xfId="4" applyNumberFormat="1" applyFont="1" applyBorder="1"/>
    <xf numFmtId="3" fontId="9" fillId="0" borderId="31" xfId="4" applyNumberFormat="1" applyFont="1" applyBorder="1"/>
    <xf numFmtId="3" fontId="9" fillId="0" borderId="31" xfId="4" applyNumberFormat="1" applyFont="1" applyFill="1" applyBorder="1"/>
    <xf numFmtId="3" fontId="9" fillId="13" borderId="19" xfId="4" applyNumberFormat="1" applyFont="1" applyFill="1" applyBorder="1"/>
    <xf numFmtId="3" fontId="11" fillId="9" borderId="19" xfId="4" applyNumberFormat="1" applyFont="1" applyFill="1" applyBorder="1"/>
    <xf numFmtId="166" fontId="13" fillId="0" borderId="1" xfId="4" applyNumberFormat="1" applyFont="1" applyFill="1" applyBorder="1"/>
    <xf numFmtId="14" fontId="9" fillId="13" borderId="28" xfId="3" applyNumberFormat="1" applyFont="1" applyFill="1" applyBorder="1" applyAlignment="1">
      <alignment horizontal="center"/>
    </xf>
    <xf numFmtId="14" fontId="9" fillId="13" borderId="22" xfId="3" applyNumberFormat="1" applyFont="1" applyFill="1" applyBorder="1" applyAlignment="1">
      <alignment horizontal="center"/>
    </xf>
    <xf numFmtId="49" fontId="14" fillId="0" borderId="30" xfId="0" applyNumberFormat="1" applyFont="1" applyBorder="1"/>
    <xf numFmtId="49" fontId="14" fillId="0" borderId="20" xfId="0" applyNumberFormat="1" applyFont="1" applyBorder="1"/>
    <xf numFmtId="0" fontId="14" fillId="0" borderId="20" xfId="0" applyFont="1" applyBorder="1" applyAlignment="1">
      <alignment horizontal="center"/>
    </xf>
    <xf numFmtId="164" fontId="14" fillId="0" borderId="20" xfId="0" applyNumberFormat="1" applyFont="1" applyBorder="1"/>
    <xf numFmtId="165" fontId="11" fillId="0" borderId="20" xfId="0" applyNumberFormat="1" applyFont="1" applyBorder="1"/>
    <xf numFmtId="168" fontId="11" fillId="0" borderId="20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165" fontId="11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64" fontId="9" fillId="0" borderId="27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15" fillId="0" borderId="27" xfId="3" applyFont="1" applyBorder="1" applyAlignment="1">
      <alignment vertical="center"/>
    </xf>
    <xf numFmtId="9" fontId="11" fillId="0" borderId="27" xfId="2" applyFont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/>
    </xf>
    <xf numFmtId="165" fontId="11" fillId="0" borderId="27" xfId="2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32" xfId="5" applyFont="1" applyBorder="1" applyAlignment="1">
      <alignment horizontal="left" vertical="center"/>
    </xf>
    <xf numFmtId="169" fontId="26" fillId="0" borderId="32" xfId="5" applyNumberFormat="1" applyFont="1" applyBorder="1" applyAlignment="1">
      <alignment horizontal="left" vertical="center"/>
    </xf>
    <xf numFmtId="0" fontId="3" fillId="0" borderId="32" xfId="5" applyFont="1" applyBorder="1" applyAlignment="1">
      <alignment vertical="center"/>
    </xf>
    <xf numFmtId="0" fontId="26" fillId="0" borderId="32" xfId="5" applyFont="1" applyBorder="1" applyAlignment="1">
      <alignment vertical="center"/>
    </xf>
    <xf numFmtId="0" fontId="26" fillId="13" borderId="32" xfId="5" applyFont="1" applyFill="1" applyBorder="1" applyAlignment="1">
      <alignment vertical="center" wrapText="1"/>
    </xf>
    <xf numFmtId="0" fontId="30" fillId="8" borderId="32" xfId="5" applyFont="1" applyFill="1" applyBorder="1" applyAlignment="1">
      <alignment horizontal="center" vertical="center" wrapText="1"/>
    </xf>
    <xf numFmtId="0" fontId="26" fillId="14" borderId="32" xfId="5" applyFont="1" applyFill="1" applyBorder="1" applyAlignment="1">
      <alignment vertical="center"/>
    </xf>
    <xf numFmtId="0" fontId="31" fillId="14" borderId="32" xfId="5" applyFont="1" applyFill="1" applyBorder="1" applyAlignment="1">
      <alignment vertical="center"/>
    </xf>
    <xf numFmtId="0" fontId="26" fillId="3" borderId="32" xfId="5" applyFont="1" applyFill="1" applyBorder="1" applyAlignment="1">
      <alignment horizontal="center" vertical="center" wrapText="1"/>
    </xf>
    <xf numFmtId="169" fontId="26" fillId="3" borderId="32" xfId="5" applyNumberFormat="1" applyFont="1" applyFill="1" applyBorder="1" applyAlignment="1">
      <alignment horizontal="center" vertical="center" wrapText="1"/>
    </xf>
    <xf numFmtId="0" fontId="26" fillId="4" borderId="32" xfId="5" applyFont="1" applyFill="1" applyBorder="1" applyAlignment="1">
      <alignment horizontal="center" vertical="center" wrapText="1"/>
    </xf>
    <xf numFmtId="1" fontId="26" fillId="8" borderId="32" xfId="5" applyNumberFormat="1" applyFont="1" applyFill="1" applyBorder="1" applyAlignment="1">
      <alignment horizontal="center" vertical="center" wrapText="1"/>
    </xf>
    <xf numFmtId="1" fontId="26" fillId="3" borderId="32" xfId="5" applyNumberFormat="1" applyFont="1" applyFill="1" applyBorder="1" applyAlignment="1">
      <alignment horizontal="center" vertical="center" wrapText="1"/>
    </xf>
    <xf numFmtId="0" fontId="26" fillId="8" borderId="32" xfId="5" applyFont="1" applyFill="1" applyBorder="1" applyAlignment="1">
      <alignment horizontal="center" vertical="center" wrapText="1"/>
    </xf>
    <xf numFmtId="167" fontId="26" fillId="15" borderId="32" xfId="6" applyNumberFormat="1" applyFont="1" applyFill="1" applyBorder="1" applyAlignment="1">
      <alignment horizontal="center" vertical="center" wrapText="1"/>
    </xf>
    <xf numFmtId="167" fontId="26" fillId="3" borderId="32" xfId="6" applyNumberFormat="1" applyFont="1" applyFill="1" applyBorder="1" applyAlignment="1">
      <alignment horizontal="center" vertical="center" wrapText="1"/>
    </xf>
    <xf numFmtId="167" fontId="26" fillId="2" borderId="32" xfId="6" applyNumberFormat="1" applyFont="1" applyFill="1" applyBorder="1" applyAlignment="1">
      <alignment horizontal="center" vertical="center" wrapText="1"/>
    </xf>
    <xf numFmtId="167" fontId="26" fillId="8" borderId="32" xfId="6" applyNumberFormat="1" applyFont="1" applyFill="1" applyBorder="1" applyAlignment="1">
      <alignment horizontal="center" vertical="center" wrapText="1"/>
    </xf>
    <xf numFmtId="9" fontId="26" fillId="3" borderId="32" xfId="7" applyFont="1" applyFill="1" applyBorder="1" applyAlignment="1">
      <alignment horizontal="center" vertical="center" wrapText="1"/>
    </xf>
    <xf numFmtId="167" fontId="26" fillId="14" borderId="32" xfId="4" applyNumberFormat="1" applyFont="1" applyFill="1" applyBorder="1" applyAlignment="1">
      <alignment horizontal="center" vertical="center" wrapText="1"/>
    </xf>
    <xf numFmtId="0" fontId="31" fillId="14" borderId="32" xfId="5" applyFont="1" applyFill="1" applyBorder="1" applyAlignment="1">
      <alignment horizontal="center" vertical="center" wrapText="1"/>
    </xf>
    <xf numFmtId="0" fontId="26" fillId="0" borderId="32" xfId="5" applyFont="1" applyBorder="1" applyAlignment="1">
      <alignment horizontal="center" vertical="center" wrapText="1"/>
    </xf>
    <xf numFmtId="0" fontId="29" fillId="0" borderId="32" xfId="0" applyFont="1" applyBorder="1"/>
    <xf numFmtId="0" fontId="29" fillId="0" borderId="32" xfId="0" applyFont="1" applyBorder="1" applyAlignment="1">
      <alignment horizontal="left" vertical="top"/>
    </xf>
    <xf numFmtId="167" fontId="29" fillId="0" borderId="32" xfId="4" applyNumberFormat="1" applyFont="1" applyBorder="1" applyAlignment="1"/>
    <xf numFmtId="167" fontId="29" fillId="0" borderId="32" xfId="4" applyNumberFormat="1" applyFont="1" applyBorder="1"/>
    <xf numFmtId="167" fontId="29" fillId="0" borderId="32" xfId="4" applyNumberFormat="1" applyFont="1" applyFill="1" applyBorder="1"/>
    <xf numFmtId="9" fontId="29" fillId="0" borderId="32" xfId="2" applyFont="1" applyBorder="1"/>
    <xf numFmtId="167" fontId="29" fillId="0" borderId="32" xfId="8" applyNumberFormat="1" applyFont="1" applyBorder="1"/>
    <xf numFmtId="167" fontId="26" fillId="0" borderId="32" xfId="8" applyNumberFormat="1" applyFont="1" applyBorder="1"/>
    <xf numFmtId="167" fontId="29" fillId="14" borderId="32" xfId="8" applyNumberFormat="1" applyFont="1" applyFill="1" applyBorder="1"/>
    <xf numFmtId="171" fontId="29" fillId="0" borderId="32" xfId="9" applyNumberFormat="1" applyFont="1" applyBorder="1"/>
    <xf numFmtId="167" fontId="29" fillId="0" borderId="32" xfId="5" applyNumberFormat="1" applyFont="1" applyBorder="1"/>
    <xf numFmtId="0" fontId="3" fillId="14" borderId="32" xfId="5" applyFont="1" applyFill="1" applyBorder="1"/>
    <xf numFmtId="0" fontId="29" fillId="0" borderId="32" xfId="5" applyFont="1" applyBorder="1"/>
    <xf numFmtId="0" fontId="3" fillId="0" borderId="32" xfId="5" applyFont="1" applyBorder="1" applyAlignment="1">
      <alignment horizontal="left" indent="1"/>
    </xf>
    <xf numFmtId="0" fontId="3" fillId="0" borderId="32" xfId="0" applyFont="1" applyBorder="1" applyAlignment="1">
      <alignment horizontal="left" vertical="top"/>
    </xf>
    <xf numFmtId="0" fontId="3" fillId="0" borderId="32" xfId="0" applyFont="1" applyBorder="1"/>
    <xf numFmtId="167" fontId="3" fillId="0" borderId="32" xfId="4" applyNumberFormat="1" applyFont="1" applyBorder="1" applyAlignment="1"/>
    <xf numFmtId="167" fontId="3" fillId="0" borderId="32" xfId="4" applyNumberFormat="1" applyFont="1" applyBorder="1"/>
    <xf numFmtId="167" fontId="3" fillId="0" borderId="32" xfId="4" applyNumberFormat="1" applyFont="1" applyFill="1" applyBorder="1"/>
    <xf numFmtId="9" fontId="3" fillId="0" borderId="32" xfId="2" applyFont="1" applyBorder="1"/>
    <xf numFmtId="1" fontId="3" fillId="0" borderId="32" xfId="4" applyNumberFormat="1" applyFont="1" applyFill="1" applyBorder="1"/>
    <xf numFmtId="167" fontId="3" fillId="0" borderId="32" xfId="8" applyNumberFormat="1" applyFont="1" applyBorder="1"/>
    <xf numFmtId="167" fontId="31" fillId="0" borderId="32" xfId="8" applyNumberFormat="1" applyFont="1" applyBorder="1"/>
    <xf numFmtId="167" fontId="3" fillId="14" borderId="32" xfId="8" applyNumberFormat="1" applyFont="1" applyFill="1" applyBorder="1"/>
    <xf numFmtId="171" fontId="33" fillId="7" borderId="32" xfId="9" applyNumberFormat="1" applyFont="1" applyFill="1" applyBorder="1"/>
    <xf numFmtId="9" fontId="33" fillId="7" borderId="32" xfId="9" applyNumberFormat="1" applyFont="1" applyFill="1" applyBorder="1"/>
    <xf numFmtId="0" fontId="3" fillId="0" borderId="32" xfId="5" applyFont="1" applyBorder="1"/>
    <xf numFmtId="171" fontId="26" fillId="11" borderId="32" xfId="10" applyNumberFormat="1" applyFont="1" applyFill="1" applyBorder="1" applyAlignment="1">
      <alignment horizontal="left" vertical="center"/>
    </xf>
    <xf numFmtId="169" fontId="26" fillId="11" borderId="32" xfId="10" applyNumberFormat="1" applyFont="1" applyFill="1" applyBorder="1" applyAlignment="1">
      <alignment horizontal="center" vertical="center"/>
    </xf>
    <xf numFmtId="171" fontId="26" fillId="11" borderId="32" xfId="10" applyNumberFormat="1" applyFont="1" applyFill="1" applyBorder="1" applyAlignment="1">
      <alignment horizontal="center" vertical="center"/>
    </xf>
    <xf numFmtId="9" fontId="26" fillId="11" borderId="32" xfId="2" applyFont="1" applyFill="1" applyBorder="1" applyAlignment="1">
      <alignment horizontal="center" vertical="center"/>
    </xf>
    <xf numFmtId="166" fontId="26" fillId="11" borderId="32" xfId="10" applyNumberFormat="1" applyFont="1" applyFill="1" applyBorder="1" applyAlignment="1">
      <alignment horizontal="center" vertical="center"/>
    </xf>
    <xf numFmtId="167" fontId="26" fillId="11" borderId="32" xfId="4" applyNumberFormat="1" applyFont="1" applyFill="1" applyBorder="1" applyAlignment="1">
      <alignment horizontal="center" vertical="center"/>
    </xf>
    <xf numFmtId="171" fontId="31" fillId="11" borderId="32" xfId="10" applyNumberFormat="1" applyFont="1" applyFill="1" applyBorder="1" applyAlignment="1">
      <alignment horizontal="center" vertical="center"/>
    </xf>
    <xf numFmtId="0" fontId="29" fillId="0" borderId="32" xfId="5" applyFont="1" applyBorder="1" applyAlignment="1">
      <alignment horizontal="center" vertical="center"/>
    </xf>
    <xf numFmtId="167" fontId="29" fillId="0" borderId="32" xfId="4" applyNumberFormat="1" applyFont="1" applyFill="1" applyBorder="1" applyAlignment="1"/>
    <xf numFmtId="9" fontId="29" fillId="0" borderId="32" xfId="2" applyFont="1" applyFill="1" applyBorder="1"/>
    <xf numFmtId="168" fontId="27" fillId="0" borderId="32" xfId="4" applyNumberFormat="1" applyFont="1" applyFill="1" applyBorder="1" applyAlignment="1">
      <alignment horizontal="center" vertical="center"/>
    </xf>
    <xf numFmtId="1" fontId="29" fillId="0" borderId="32" xfId="4" applyNumberFormat="1" applyFont="1" applyFill="1" applyBorder="1"/>
    <xf numFmtId="167" fontId="29" fillId="0" borderId="32" xfId="8" applyNumberFormat="1" applyFont="1" applyFill="1" applyBorder="1"/>
    <xf numFmtId="167" fontId="26" fillId="0" borderId="32" xfId="8" applyNumberFormat="1" applyFont="1" applyFill="1" applyBorder="1"/>
    <xf numFmtId="171" fontId="29" fillId="14" borderId="32" xfId="9" applyNumberFormat="1" applyFont="1" applyFill="1" applyBorder="1"/>
    <xf numFmtId="167" fontId="29" fillId="14" borderId="32" xfId="5" applyNumberFormat="1" applyFont="1" applyFill="1" applyBorder="1"/>
    <xf numFmtId="9" fontId="29" fillId="14" borderId="32" xfId="2" applyFont="1" applyFill="1" applyBorder="1"/>
    <xf numFmtId="167" fontId="29" fillId="0" borderId="32" xfId="4" applyNumberFormat="1" applyFont="1" applyBorder="1" applyAlignment="1">
      <alignment horizontal="left" indent="1"/>
    </xf>
    <xf numFmtId="0" fontId="29" fillId="0" borderId="32" xfId="4" applyNumberFormat="1" applyFont="1" applyBorder="1"/>
    <xf numFmtId="0" fontId="29" fillId="0" borderId="32" xfId="4" applyNumberFormat="1" applyFont="1" applyFill="1" applyBorder="1"/>
    <xf numFmtId="171" fontId="33" fillId="6" borderId="32" xfId="9" applyNumberFormat="1" applyFont="1" applyFill="1" applyBorder="1"/>
    <xf numFmtId="9" fontId="33" fillId="6" borderId="32" xfId="9" applyNumberFormat="1" applyFont="1" applyFill="1" applyBorder="1"/>
    <xf numFmtId="171" fontId="26" fillId="12" borderId="32" xfId="10" applyNumberFormat="1" applyFont="1" applyFill="1" applyBorder="1" applyAlignment="1">
      <alignment horizontal="left" vertical="center"/>
    </xf>
    <xf numFmtId="169" fontId="26" fillId="12" borderId="32" xfId="10" applyNumberFormat="1" applyFont="1" applyFill="1" applyBorder="1" applyAlignment="1">
      <alignment horizontal="center" vertical="center"/>
    </xf>
    <xf numFmtId="171" fontId="26" fillId="12" borderId="32" xfId="10" applyNumberFormat="1" applyFont="1" applyFill="1" applyBorder="1" applyAlignment="1">
      <alignment horizontal="center" vertical="center"/>
    </xf>
    <xf numFmtId="9" fontId="26" fillId="12" borderId="32" xfId="2" applyFont="1" applyFill="1" applyBorder="1" applyAlignment="1">
      <alignment horizontal="center" vertical="center"/>
    </xf>
    <xf numFmtId="166" fontId="26" fillId="12" borderId="32" xfId="10" applyNumberFormat="1" applyFont="1" applyFill="1" applyBorder="1" applyAlignment="1">
      <alignment horizontal="center" vertical="center"/>
    </xf>
    <xf numFmtId="1" fontId="26" fillId="12" borderId="32" xfId="10" applyNumberFormat="1" applyFont="1" applyFill="1" applyBorder="1" applyAlignment="1">
      <alignment horizontal="center" vertical="center"/>
    </xf>
    <xf numFmtId="167" fontId="26" fillId="12" borderId="32" xfId="4" applyNumberFormat="1" applyFont="1" applyFill="1" applyBorder="1" applyAlignment="1">
      <alignment horizontal="center" vertical="center"/>
    </xf>
    <xf numFmtId="171" fontId="31" fillId="12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left" vertical="center" indent="1"/>
    </xf>
    <xf numFmtId="169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center" vertical="center"/>
    </xf>
    <xf numFmtId="171" fontId="29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center" vertical="center"/>
    </xf>
    <xf numFmtId="171" fontId="31" fillId="0" borderId="32" xfId="10" applyNumberFormat="1" applyFont="1" applyFill="1" applyBorder="1" applyAlignment="1">
      <alignment horizontal="center" vertical="center"/>
    </xf>
    <xf numFmtId="171" fontId="31" fillId="0" borderId="32" xfId="10" applyNumberFormat="1" applyFont="1" applyBorder="1" applyAlignment="1">
      <alignment horizontal="center" vertical="center"/>
    </xf>
    <xf numFmtId="170" fontId="31" fillId="0" borderId="32" xfId="10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" fontId="29" fillId="0" borderId="32" xfId="4" applyNumberFormat="1" applyFont="1" applyBorder="1" applyAlignment="1">
      <alignment horizontal="center" vertical="center"/>
    </xf>
    <xf numFmtId="167" fontId="3" fillId="0" borderId="32" xfId="4" applyNumberFormat="1" applyFont="1" applyFill="1" applyBorder="1" applyAlignment="1">
      <alignment horizontal="center" vertical="center"/>
    </xf>
    <xf numFmtId="171" fontId="29" fillId="14" borderId="32" xfId="10" applyNumberFormat="1" applyFont="1" applyFill="1" applyBorder="1" applyAlignment="1">
      <alignment horizontal="center" vertical="center"/>
    </xf>
    <xf numFmtId="171" fontId="3" fillId="14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left" vertical="center"/>
    </xf>
    <xf numFmtId="169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 vertical="center"/>
    </xf>
    <xf numFmtId="9" fontId="26" fillId="10" borderId="32" xfId="2" applyFont="1" applyFill="1" applyBorder="1" applyAlignment="1">
      <alignment horizontal="center" vertical="center"/>
    </xf>
    <xf numFmtId="166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/>
    </xf>
    <xf numFmtId="1" fontId="34" fillId="16" borderId="32" xfId="10" applyNumberFormat="1" applyFont="1" applyFill="1" applyBorder="1" applyAlignment="1">
      <alignment horizontal="center"/>
    </xf>
    <xf numFmtId="171" fontId="31" fillId="10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Border="1" applyAlignment="1">
      <alignment horizontal="center" vertical="center"/>
    </xf>
    <xf numFmtId="171" fontId="27" fillId="0" borderId="32" xfId="10" applyNumberFormat="1" applyFont="1" applyBorder="1" applyAlignment="1">
      <alignment horizontal="left" vertical="center" indent="1"/>
    </xf>
    <xf numFmtId="167" fontId="29" fillId="0" borderId="32" xfId="4" applyNumberFormat="1" applyFont="1" applyBorder="1" applyAlignment="1">
      <alignment horizontal="right" vertical="center"/>
    </xf>
    <xf numFmtId="0" fontId="29" fillId="0" borderId="32" xfId="5" applyFont="1" applyBorder="1" applyAlignment="1">
      <alignment horizontal="left" indent="1"/>
    </xf>
    <xf numFmtId="0" fontId="29" fillId="0" borderId="32" xfId="0" applyFont="1" applyBorder="1" applyAlignment="1">
      <alignment horizontal="left" indent="1"/>
    </xf>
    <xf numFmtId="167" fontId="29" fillId="0" borderId="32" xfId="6" applyNumberFormat="1" applyFont="1" applyBorder="1"/>
    <xf numFmtId="9" fontId="29" fillId="0" borderId="32" xfId="7" applyFont="1" applyBorder="1"/>
    <xf numFmtId="1" fontId="29" fillId="0" borderId="32" xfId="4" applyNumberFormat="1" applyFont="1" applyBorder="1"/>
    <xf numFmtId="169" fontId="29" fillId="0" borderId="32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2" fontId="6" fillId="0" borderId="0" xfId="0" applyNumberFormat="1" applyFont="1" applyFill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49" fontId="6" fillId="0" borderId="36" xfId="0" applyNumberFormat="1" applyFont="1" applyFill="1" applyBorder="1" applyAlignment="1">
      <alignment horizontal="center" wrapText="1"/>
    </xf>
    <xf numFmtId="0" fontId="6" fillId="0" borderId="36" xfId="0" applyFont="1" applyFill="1" applyBorder="1" applyAlignment="1">
      <alignment horizontal="center" wrapText="1"/>
    </xf>
    <xf numFmtId="2" fontId="6" fillId="0" borderId="7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2" fontId="6" fillId="0" borderId="9" xfId="0" applyNumberFormat="1" applyFont="1" applyFill="1" applyBorder="1" applyAlignment="1">
      <alignment horizontal="center" wrapText="1"/>
    </xf>
    <xf numFmtId="43" fontId="29" fillId="0" borderId="32" xfId="4" applyNumberFormat="1" applyFont="1" applyBorder="1"/>
    <xf numFmtId="168" fontId="27" fillId="0" borderId="32" xfId="4" applyNumberFormat="1" applyFont="1" applyFill="1" applyBorder="1" applyAlignment="1">
      <alignment vertical="center"/>
    </xf>
    <xf numFmtId="168" fontId="27" fillId="0" borderId="32" xfId="10" applyNumberFormat="1" applyFont="1" applyFill="1" applyBorder="1" applyAlignment="1">
      <alignment vertical="center"/>
    </xf>
    <xf numFmtId="0" fontId="37" fillId="0" borderId="40" xfId="0" applyFont="1" applyBorder="1" applyAlignment="1">
      <alignment horizontal="center" vertical="center" wrapText="1"/>
    </xf>
    <xf numFmtId="0" fontId="36" fillId="17" borderId="41" xfId="0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6" fillId="14" borderId="41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42" xfId="0" applyFont="1" applyFill="1" applyBorder="1" applyAlignment="1">
      <alignment horizontal="center" wrapText="1"/>
    </xf>
    <xf numFmtId="9" fontId="38" fillId="0" borderId="42" xfId="0" applyNumberFormat="1" applyFont="1" applyBorder="1" applyAlignment="1">
      <alignment horizontal="center" vertical="center" wrapText="1"/>
    </xf>
    <xf numFmtId="0" fontId="38" fillId="19" borderId="42" xfId="0" applyFont="1" applyFill="1" applyBorder="1" applyAlignment="1">
      <alignment horizontal="center" wrapText="1"/>
    </xf>
    <xf numFmtId="0" fontId="38" fillId="20" borderId="42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41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67" fontId="29" fillId="16" borderId="32" xfId="4" applyNumberFormat="1" applyFont="1" applyFill="1" applyBorder="1"/>
    <xf numFmtId="0" fontId="27" fillId="0" borderId="32" xfId="5" applyFont="1" applyFill="1" applyBorder="1" applyAlignment="1">
      <alignment vertical="center" wrapText="1"/>
    </xf>
    <xf numFmtId="0" fontId="26" fillId="0" borderId="32" xfId="5" applyFont="1" applyFill="1" applyBorder="1" applyAlignment="1">
      <alignment vertical="center" wrapText="1"/>
    </xf>
    <xf numFmtId="2" fontId="29" fillId="0" borderId="32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5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9" xfId="4" applyNumberFormat="1" applyFont="1" applyBorder="1"/>
    <xf numFmtId="4" fontId="9" fillId="0" borderId="9" xfId="4" applyNumberFormat="1" applyFont="1" applyBorder="1"/>
    <xf numFmtId="49" fontId="6" fillId="0" borderId="10" xfId="0" applyNumberFormat="1" applyFon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2" fillId="3" borderId="12" xfId="0" applyNumberFormat="1" applyFont="1" applyFill="1" applyBorder="1" applyAlignment="1">
      <alignment horizontal="center" vertical="center" wrapText="1"/>
    </xf>
    <xf numFmtId="164" fontId="12" fillId="3" borderId="19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165" fontId="11" fillId="9" borderId="29" xfId="1" applyNumberFormat="1" applyFont="1" applyFill="1" applyBorder="1" applyAlignment="1">
      <alignment horizontal="center" vertical="center"/>
    </xf>
    <xf numFmtId="9" fontId="11" fillId="0" borderId="0" xfId="2" applyFont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6" fillId="11" borderId="37" xfId="0" applyFont="1" applyFill="1" applyBorder="1" applyAlignment="1">
      <alignment horizontal="center" vertical="center" wrapText="1"/>
    </xf>
    <xf numFmtId="0" fontId="36" fillId="11" borderId="38" xfId="0" applyFont="1" applyFill="1" applyBorder="1" applyAlignment="1">
      <alignment horizontal="center" vertical="center" wrapText="1"/>
    </xf>
    <xf numFmtId="0" fontId="36" fillId="11" borderId="39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6" fillId="12" borderId="38" xfId="0" applyFont="1" applyFill="1" applyBorder="1" applyAlignment="1">
      <alignment horizontal="center" vertical="center" wrapText="1"/>
    </xf>
    <xf numFmtId="0" fontId="36" fillId="12" borderId="39" xfId="0" applyFont="1" applyFill="1" applyBorder="1" applyAlignment="1">
      <alignment horizontal="center" vertical="center" wrapText="1"/>
    </xf>
    <xf numFmtId="0" fontId="2" fillId="14" borderId="33" xfId="5" applyFont="1" applyFill="1" applyBorder="1" applyAlignment="1">
      <alignment horizontal="center" vertical="center"/>
    </xf>
    <xf numFmtId="0" fontId="2" fillId="14" borderId="35" xfId="5" applyFont="1" applyFill="1" applyBorder="1" applyAlignment="1">
      <alignment horizontal="center" vertical="center"/>
    </xf>
    <xf numFmtId="0" fontId="2" fillId="14" borderId="34" xfId="5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0" fontId="27" fillId="0" borderId="32" xfId="5" applyFont="1" applyFill="1" applyBorder="1" applyAlignment="1">
      <alignment horizontal="center" vertical="center" wrapText="1"/>
    </xf>
    <xf numFmtId="0" fontId="27" fillId="0" borderId="33" xfId="5" applyFont="1" applyFill="1" applyBorder="1" applyAlignment="1">
      <alignment horizontal="center" vertical="center" wrapText="1"/>
    </xf>
    <xf numFmtId="0" fontId="26" fillId="0" borderId="34" xfId="5" applyFont="1" applyFill="1" applyBorder="1" applyAlignment="1">
      <alignment horizontal="center" vertical="center" wrapText="1"/>
    </xf>
    <xf numFmtId="49" fontId="29" fillId="0" borderId="32" xfId="4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topLeftCell="A5" zoomScale="60" zoomScaleNormal="60" workbookViewId="0">
      <selection activeCell="F24" sqref="F24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6" max="6" width="13.54296875" bestFit="1" customWidth="1"/>
    <col min="11" max="11" width="19.36328125" customWidth="1"/>
    <col min="13" max="13" width="13.7265625" bestFit="1" customWidth="1"/>
  </cols>
  <sheetData>
    <row r="2" spans="2:15" ht="15.5" customHeight="1">
      <c r="B2" s="259" t="s">
        <v>0</v>
      </c>
      <c r="C2" s="260" t="s">
        <v>1</v>
      </c>
      <c r="D2" s="260"/>
      <c r="E2" s="260"/>
      <c r="F2" s="260" t="s">
        <v>2</v>
      </c>
      <c r="G2" s="260"/>
      <c r="H2" s="260"/>
      <c r="I2" s="261" t="s">
        <v>3</v>
      </c>
      <c r="J2" s="258"/>
      <c r="O2" s="1"/>
    </row>
    <row r="3" spans="2:15" ht="31">
      <c r="B3" s="259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262"/>
      <c r="J3" s="258"/>
    </row>
    <row r="4" spans="2:15" ht="15.5">
      <c r="B4" s="4" t="s">
        <v>136</v>
      </c>
      <c r="C4" s="205"/>
      <c r="D4" s="205"/>
      <c r="E4" s="207"/>
      <c r="F4" s="205">
        <v>277607349</v>
      </c>
      <c r="G4" s="246">
        <v>4738</v>
      </c>
      <c r="H4" s="207" t="s">
        <v>136</v>
      </c>
      <c r="I4" s="235" t="s">
        <v>41</v>
      </c>
    </row>
    <row r="5" spans="2:15" ht="15.5">
      <c r="B5" s="4" t="s">
        <v>137</v>
      </c>
      <c r="C5" s="205"/>
      <c r="D5" s="244"/>
      <c r="E5" s="207"/>
      <c r="F5" s="244">
        <v>279228154</v>
      </c>
      <c r="G5" s="245">
        <v>6535</v>
      </c>
      <c r="H5" s="207" t="s">
        <v>137</v>
      </c>
      <c r="I5" s="235" t="s">
        <v>42</v>
      </c>
    </row>
    <row r="6" spans="2:15" ht="15.5">
      <c r="B6" s="4" t="s">
        <v>141</v>
      </c>
      <c r="C6" s="205">
        <v>280305485</v>
      </c>
      <c r="D6" s="206">
        <v>2922</v>
      </c>
      <c r="E6" s="207" t="s">
        <v>109</v>
      </c>
      <c r="F6" s="210">
        <v>280297200</v>
      </c>
      <c r="G6" s="206">
        <v>3464</v>
      </c>
      <c r="H6" s="207" t="s">
        <v>111</v>
      </c>
      <c r="I6" s="255" t="s">
        <v>43</v>
      </c>
    </row>
    <row r="7" spans="2:15" ht="15.5">
      <c r="B7" s="6"/>
      <c r="C7" s="208">
        <v>0</v>
      </c>
      <c r="D7" s="211">
        <v>923</v>
      </c>
      <c r="E7" s="212" t="s">
        <v>110</v>
      </c>
      <c r="F7" s="213">
        <v>0</v>
      </c>
      <c r="G7" s="214">
        <v>114</v>
      </c>
      <c r="H7" s="212" t="s">
        <v>110</v>
      </c>
      <c r="I7" s="256"/>
    </row>
    <row r="8" spans="2:15" ht="15.5">
      <c r="B8" s="4" t="s">
        <v>142</v>
      </c>
      <c r="C8" s="205">
        <v>281290485</v>
      </c>
      <c r="D8" s="206">
        <v>5916</v>
      </c>
      <c r="E8" s="209" t="s">
        <v>143</v>
      </c>
      <c r="F8" s="210">
        <v>281290488</v>
      </c>
      <c r="G8" s="206">
        <v>2033</v>
      </c>
      <c r="H8" s="207" t="s">
        <v>142</v>
      </c>
      <c r="I8" s="255" t="s">
        <v>44</v>
      </c>
    </row>
    <row r="9" spans="2:15" ht="15.5">
      <c r="B9" s="5"/>
      <c r="C9" s="213">
        <v>0</v>
      </c>
      <c r="D9" s="211">
        <v>1216</v>
      </c>
      <c r="E9" s="212" t="s">
        <v>144</v>
      </c>
      <c r="F9" s="213"/>
      <c r="G9" s="214"/>
      <c r="H9" s="212"/>
      <c r="I9" s="257"/>
    </row>
    <row r="10" spans="2:15" ht="15.5">
      <c r="B10" s="4" t="s">
        <v>147</v>
      </c>
      <c r="C10" s="205">
        <v>282283796</v>
      </c>
      <c r="D10" s="206">
        <v>12613</v>
      </c>
      <c r="E10" s="209" t="s">
        <v>146</v>
      </c>
      <c r="F10" s="210">
        <v>282343451</v>
      </c>
      <c r="G10" s="206">
        <v>9553</v>
      </c>
      <c r="H10" s="207" t="s">
        <v>150</v>
      </c>
      <c r="I10" s="255">
        <v>5</v>
      </c>
    </row>
    <row r="11" spans="2:15" ht="15.5">
      <c r="B11" s="6"/>
      <c r="C11" s="208">
        <v>282375547</v>
      </c>
      <c r="D11" s="206">
        <v>1000</v>
      </c>
      <c r="E11" s="254" t="s">
        <v>148</v>
      </c>
      <c r="F11" s="208"/>
      <c r="G11" s="206"/>
      <c r="H11" s="254"/>
      <c r="I11" s="256"/>
    </row>
    <row r="12" spans="2:15" ht="15.5">
      <c r="B12" s="5"/>
      <c r="C12" s="213">
        <v>0</v>
      </c>
      <c r="D12" s="211">
        <v>1791</v>
      </c>
      <c r="E12" s="212" t="s">
        <v>148</v>
      </c>
      <c r="F12" s="213">
        <v>0</v>
      </c>
      <c r="G12" s="214">
        <v>539</v>
      </c>
      <c r="H12" s="212" t="s">
        <v>148</v>
      </c>
      <c r="I12" s="257"/>
    </row>
    <row r="39" spans="8:8">
      <c r="H39" t="s">
        <v>149</v>
      </c>
    </row>
  </sheetData>
  <mergeCells count="8">
    <mergeCell ref="I10:I12"/>
    <mergeCell ref="J2:J3"/>
    <mergeCell ref="I6:I7"/>
    <mergeCell ref="I8:I9"/>
    <mergeCell ref="B2:B3"/>
    <mergeCell ref="C2:E2"/>
    <mergeCell ref="F2:H2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B1:AG21"/>
  <sheetViews>
    <sheetView tabSelected="1" topLeftCell="J1" zoomScale="50" zoomScaleNormal="50" workbookViewId="0">
      <selection activeCell="U20" sqref="U20"/>
    </sheetView>
  </sheetViews>
  <sheetFormatPr defaultColWidth="12.08984375" defaultRowHeight="13.5"/>
  <cols>
    <col min="1" max="1" width="3.08984375" style="7" customWidth="1"/>
    <col min="2" max="2" width="12.453125" style="8" customWidth="1"/>
    <col min="3" max="3" width="12.6328125" style="8" customWidth="1"/>
    <col min="4" max="4" width="10.08984375" style="9" customWidth="1"/>
    <col min="5" max="5" width="13.6328125" style="10" hidden="1" customWidth="1"/>
    <col min="6" max="6" width="17" style="7" customWidth="1"/>
    <col min="7" max="7" width="9.54296875" style="7" customWidth="1"/>
    <col min="8" max="8" width="10.90625" style="7" customWidth="1"/>
    <col min="9" max="9" width="12.90625" style="7" customWidth="1"/>
    <col min="10" max="10" width="17.1796875" style="7" bestFit="1" customWidth="1"/>
    <col min="11" max="11" width="13.90625" style="7" bestFit="1" customWidth="1"/>
    <col min="12" max="12" width="17.1796875" style="7" bestFit="1" customWidth="1"/>
    <col min="13" max="13" width="18.36328125" style="7" customWidth="1"/>
    <col min="14" max="14" width="16.54296875" style="7" customWidth="1"/>
    <col min="15" max="15" width="17.81640625" style="7" customWidth="1"/>
    <col min="16" max="17" width="16.453125" style="7" customWidth="1"/>
    <col min="18" max="18" width="17.36328125" style="7" customWidth="1"/>
    <col min="19" max="19" width="15.54296875" style="7" customWidth="1"/>
    <col min="20" max="20" width="15.90625" style="7" customWidth="1"/>
    <col min="21" max="21" width="14.453125" style="7" bestFit="1" customWidth="1"/>
    <col min="22" max="22" width="18.81640625" style="7" customWidth="1"/>
    <col min="23" max="23" width="15.6328125" style="7" customWidth="1"/>
    <col min="24" max="24" width="13.90625" style="7" customWidth="1"/>
    <col min="25" max="25" width="15.7265625" style="7" customWidth="1"/>
    <col min="26" max="26" width="13.81640625" style="7" customWidth="1"/>
    <col min="27" max="27" width="15" style="7" customWidth="1"/>
    <col min="28" max="29" width="16.90625" style="7" customWidth="1"/>
    <col min="30" max="30" width="18.26953125" style="7" customWidth="1"/>
    <col min="31" max="33" width="18.26953125" style="11" customWidth="1"/>
    <col min="34" max="16384" width="12.08984375" style="7"/>
  </cols>
  <sheetData>
    <row r="1" spans="2:33" ht="14" thickBot="1"/>
    <row r="2" spans="2:33" s="12" customFormat="1" ht="26" customHeight="1">
      <c r="B2" s="265" t="s">
        <v>12</v>
      </c>
      <c r="C2" s="266"/>
      <c r="D2" s="266"/>
      <c r="E2" s="267" t="s">
        <v>13</v>
      </c>
      <c r="F2" s="269" t="s">
        <v>14</v>
      </c>
      <c r="G2" s="271" t="s">
        <v>15</v>
      </c>
      <c r="H2" s="272"/>
      <c r="I2" s="273"/>
      <c r="J2" s="274" t="s">
        <v>16</v>
      </c>
      <c r="K2" s="274"/>
      <c r="L2" s="274"/>
      <c r="M2" s="275" t="s">
        <v>17</v>
      </c>
      <c r="N2" s="275"/>
      <c r="O2" s="275"/>
      <c r="P2" s="276" t="s">
        <v>18</v>
      </c>
      <c r="Q2" s="263" t="s">
        <v>19</v>
      </c>
      <c r="R2" s="263" t="s">
        <v>20</v>
      </c>
      <c r="S2" s="263" t="s">
        <v>21</v>
      </c>
      <c r="T2" s="263" t="s">
        <v>22</v>
      </c>
      <c r="U2" s="263" t="s">
        <v>23</v>
      </c>
      <c r="V2" s="263" t="s">
        <v>24</v>
      </c>
      <c r="W2" s="263" t="s">
        <v>25</v>
      </c>
      <c r="X2" s="276" t="s">
        <v>26</v>
      </c>
      <c r="Y2" s="282" t="s">
        <v>27</v>
      </c>
      <c r="Z2" s="263" t="s">
        <v>28</v>
      </c>
      <c r="AA2" s="263" t="s">
        <v>29</v>
      </c>
      <c r="AB2" s="284" t="s">
        <v>30</v>
      </c>
      <c r="AC2" s="286" t="s">
        <v>31</v>
      </c>
      <c r="AD2" s="288" t="s">
        <v>32</v>
      </c>
      <c r="AE2" s="281" t="s">
        <v>33</v>
      </c>
      <c r="AF2" s="281" t="s">
        <v>34</v>
      </c>
      <c r="AG2" s="281" t="s">
        <v>35</v>
      </c>
    </row>
    <row r="3" spans="2:33" s="12" customFormat="1" ht="24" customHeight="1" thickBot="1">
      <c r="B3" s="14" t="s">
        <v>36</v>
      </c>
      <c r="C3" s="15" t="s">
        <v>6</v>
      </c>
      <c r="D3" s="16" t="s">
        <v>37</v>
      </c>
      <c r="E3" s="268"/>
      <c r="F3" s="270"/>
      <c r="G3" s="17" t="s">
        <v>38</v>
      </c>
      <c r="H3" s="17" t="s">
        <v>39</v>
      </c>
      <c r="I3" s="17" t="s">
        <v>10</v>
      </c>
      <c r="J3" s="18" t="s">
        <v>39</v>
      </c>
      <c r="K3" s="18" t="s">
        <v>10</v>
      </c>
      <c r="L3" s="18" t="s">
        <v>40</v>
      </c>
      <c r="M3" s="19" t="s">
        <v>39</v>
      </c>
      <c r="N3" s="19" t="s">
        <v>10</v>
      </c>
      <c r="O3" s="19" t="s">
        <v>40</v>
      </c>
      <c r="P3" s="277"/>
      <c r="Q3" s="264"/>
      <c r="R3" s="264"/>
      <c r="S3" s="264"/>
      <c r="T3" s="264"/>
      <c r="U3" s="264"/>
      <c r="V3" s="264"/>
      <c r="W3" s="264"/>
      <c r="X3" s="277"/>
      <c r="Y3" s="283"/>
      <c r="Z3" s="264"/>
      <c r="AA3" s="264"/>
      <c r="AB3" s="285"/>
      <c r="AC3" s="287"/>
      <c r="AD3" s="288"/>
      <c r="AE3" s="281"/>
      <c r="AF3" s="281"/>
      <c r="AG3" s="281"/>
    </row>
    <row r="4" spans="2:33" s="20" customFormat="1" ht="25.75" customHeight="1">
      <c r="B4" s="32" t="s">
        <v>122</v>
      </c>
      <c r="C4" s="21" t="s">
        <v>126</v>
      </c>
      <c r="D4" s="30" t="s">
        <v>41</v>
      </c>
      <c r="E4" s="50"/>
      <c r="F4" s="49">
        <f t="shared" ref="F4:F5" si="0">IFERROR(O4-SUM(Q4:W4)+AA4,0)</f>
        <v>29279.639999999996</v>
      </c>
      <c r="G4" s="35">
        <f>'Юнит 1'!L$17</f>
        <v>66</v>
      </c>
      <c r="H4" s="35">
        <f>'Юнит 1'!Q$17</f>
        <v>45</v>
      </c>
      <c r="I4" s="35">
        <f>'Юнит 1'!R$17</f>
        <v>0</v>
      </c>
      <c r="J4" s="22">
        <f>'Юнит 1'!T$74</f>
        <v>46145.63</v>
      </c>
      <c r="K4" s="23">
        <f>'Юнит 1'!U$74</f>
        <v>0</v>
      </c>
      <c r="L4" s="24">
        <f t="shared" ref="L4:L5" si="1">IFERROR(J4+K4,0)</f>
        <v>46145.63</v>
      </c>
      <c r="M4" s="22">
        <f>'Юнит 1'!W$74</f>
        <v>54988.62000000001</v>
      </c>
      <c r="N4" s="23">
        <f>'Юнит 1'!X$74</f>
        <v>0</v>
      </c>
      <c r="O4" s="24">
        <f t="shared" ref="O4:O5" si="2">IFERROR(M4+N4,0)</f>
        <v>54988.62000000001</v>
      </c>
      <c r="P4" s="251">
        <f>'Юнит 1'!AB$74</f>
        <v>5712.2100000000009</v>
      </c>
      <c r="Q4" s="253">
        <f>'Юнит 1'!AE$74</f>
        <v>4543.050000000002</v>
      </c>
      <c r="R4" s="23">
        <f>'Юнит 1'!AC$74</f>
        <v>19854.220000000008</v>
      </c>
      <c r="S4" s="25">
        <f>'Юнит 1'!AI$74</f>
        <v>1049.6300000000001</v>
      </c>
      <c r="T4" s="23"/>
      <c r="U4" s="23">
        <f>'Юнит 1'!AJ$74</f>
        <v>0</v>
      </c>
      <c r="V4" s="251">
        <v>262.08</v>
      </c>
      <c r="W4" s="26">
        <f>'Юнит 1'!AF$74</f>
        <v>0</v>
      </c>
      <c r="X4" s="27">
        <f>'Юнит 1'!AG$74</f>
        <v>4738</v>
      </c>
      <c r="Y4" s="27">
        <f>'Юнит 1'!AH84</f>
        <v>0</v>
      </c>
      <c r="Z4" s="22">
        <f t="shared" ref="Z4:Z5" si="3">IFERROR((L4)*0.01,0)</f>
        <v>461.4563</v>
      </c>
      <c r="AA4" s="27"/>
      <c r="AB4" s="36">
        <f>O4-SUM(P4:Z4)+AA4-Y4</f>
        <v>18367.973699999995</v>
      </c>
      <c r="AC4" s="278">
        <f>SUM(AB4:AB8)</f>
        <v>67227.562799999985</v>
      </c>
      <c r="AD4" s="11">
        <f t="shared" ref="AD4:AD8" si="4">P4/O4</f>
        <v>0.10387985732320615</v>
      </c>
      <c r="AE4" s="11">
        <f t="shared" ref="AE4:AE6" si="5">AB4/P4</f>
        <v>3.2155634509235465</v>
      </c>
      <c r="AF4" s="11">
        <f t="shared" ref="AF4:AF9" si="6">AB4/O4</f>
        <v>0.33403227249565443</v>
      </c>
      <c r="AG4" s="11">
        <f t="shared" ref="AG4:AG8" si="7">(W4+X4+Y4)/O4</f>
        <v>8.6163282511908815E-2</v>
      </c>
    </row>
    <row r="5" spans="2:33" s="20" customFormat="1" ht="25.75" customHeight="1">
      <c r="B5" s="32" t="s">
        <v>123</v>
      </c>
      <c r="C5" s="28" t="s">
        <v>127</v>
      </c>
      <c r="D5" s="29" t="s">
        <v>42</v>
      </c>
      <c r="E5" s="51"/>
      <c r="F5" s="49">
        <f t="shared" si="0"/>
        <v>25524.230000000003</v>
      </c>
      <c r="G5" s="35">
        <f>'Юнит 2'!L$17</f>
        <v>86</v>
      </c>
      <c r="H5" s="35">
        <f>'Юнит 2'!Q$17</f>
        <v>43</v>
      </c>
      <c r="I5" s="35">
        <f>'Юнит 2'!R$17</f>
        <v>-1</v>
      </c>
      <c r="J5" s="22">
        <f>'Юнит 2'!T$74</f>
        <v>43245.32</v>
      </c>
      <c r="K5" s="23">
        <f>'Юнит 2'!U$74</f>
        <v>-931</v>
      </c>
      <c r="L5" s="24">
        <f t="shared" si="1"/>
        <v>42314.32</v>
      </c>
      <c r="M5" s="22">
        <f>'Юнит 2'!W$74</f>
        <v>52197.86</v>
      </c>
      <c r="N5" s="23">
        <f>'Юнит 2'!X$74</f>
        <v>-1199</v>
      </c>
      <c r="O5" s="24">
        <f t="shared" si="2"/>
        <v>50998.86</v>
      </c>
      <c r="P5" s="251">
        <f>'Юнит 2'!AB$74</f>
        <v>5562.9000000000005</v>
      </c>
      <c r="Q5" s="25">
        <f>'Юнит 2'!AE$74</f>
        <v>5752.8</v>
      </c>
      <c r="R5" s="23">
        <f>'Юнит 2'!AC$74</f>
        <v>18463.039999999997</v>
      </c>
      <c r="S5" s="25">
        <f>'Юнит 2'!AI$74</f>
        <v>1083.1099999999999</v>
      </c>
      <c r="T5" s="23"/>
      <c r="U5" s="23">
        <f>'Юнит 2'!AJ$74</f>
        <v>0</v>
      </c>
      <c r="V5" s="251">
        <v>175.68</v>
      </c>
      <c r="W5" s="26">
        <f>'Юнит 2'!AF$74</f>
        <v>0</v>
      </c>
      <c r="X5" s="27">
        <f>'Юнит 2'!AG$74</f>
        <v>6535</v>
      </c>
      <c r="Y5" s="27">
        <f>'Юнит 2'!AH85</f>
        <v>0</v>
      </c>
      <c r="Z5" s="22">
        <f t="shared" si="3"/>
        <v>423.14319999999998</v>
      </c>
      <c r="AA5" s="27"/>
      <c r="AB5" s="36">
        <f>O5-SUM(P5:Z5)+AA5-Y5</f>
        <v>13003.186800000003</v>
      </c>
      <c r="AC5" s="279"/>
      <c r="AD5" s="11">
        <f t="shared" si="4"/>
        <v>0.10907890882266781</v>
      </c>
      <c r="AE5" s="11">
        <f t="shared" si="5"/>
        <v>2.3374834708515344</v>
      </c>
      <c r="AF5" s="11">
        <f t="shared" si="6"/>
        <v>0.25497014639150761</v>
      </c>
      <c r="AG5" s="11">
        <f t="shared" si="7"/>
        <v>0.12814011921050783</v>
      </c>
    </row>
    <row r="6" spans="2:33" s="20" customFormat="1" ht="25.75" customHeight="1">
      <c r="B6" s="32" t="s">
        <v>124</v>
      </c>
      <c r="C6" s="33" t="s">
        <v>128</v>
      </c>
      <c r="D6" s="34" t="s">
        <v>43</v>
      </c>
      <c r="E6" s="50"/>
      <c r="F6" s="49">
        <f t="shared" ref="F6" si="8">IFERROR(O6-SUM(Q6:W6)+AA6,0)</f>
        <v>25982.83</v>
      </c>
      <c r="G6" s="35">
        <f>'Юнит 3'!L$17</f>
        <v>62</v>
      </c>
      <c r="H6" s="35">
        <f>'Юнит 3'!Q$17</f>
        <v>49</v>
      </c>
      <c r="I6" s="35">
        <f>'Юнит 3'!R$17</f>
        <v>-1</v>
      </c>
      <c r="J6" s="22">
        <f>'Юнит 3'!T$74</f>
        <v>45785.47</v>
      </c>
      <c r="K6" s="23">
        <f>'Юнит 3'!U$74</f>
        <v>-948</v>
      </c>
      <c r="L6" s="24">
        <f t="shared" ref="L6" si="9">IFERROR(J6+K6,0)</f>
        <v>44837.47</v>
      </c>
      <c r="M6" s="22">
        <f>'Юнит 3'!W$74</f>
        <v>56919.740000000005</v>
      </c>
      <c r="N6" s="23">
        <f>'Юнит 3'!X$74</f>
        <v>-1174</v>
      </c>
      <c r="O6" s="24">
        <f t="shared" ref="O6" si="10">IFERROR(M6+N6,0)</f>
        <v>55745.740000000005</v>
      </c>
      <c r="P6" s="251">
        <f>'Юнит 3'!AB$74</f>
        <v>6528.420000000001</v>
      </c>
      <c r="Q6" s="25">
        <f>'Юнит 3'!AE$74</f>
        <v>6055.25</v>
      </c>
      <c r="R6" s="23">
        <f>'Юнит 3'!AC$74</f>
        <v>19306.860000000004</v>
      </c>
      <c r="S6" s="25">
        <f>'Юнит 3'!AI$74</f>
        <v>1361.68</v>
      </c>
      <c r="T6" s="23"/>
      <c r="U6" s="23">
        <f>'Юнит 3'!AJ$74</f>
        <v>0</v>
      </c>
      <c r="V6" s="251">
        <v>117.12</v>
      </c>
      <c r="W6" s="26">
        <f>'Юнит 3'!AF$74</f>
        <v>2922</v>
      </c>
      <c r="X6" s="27">
        <f>'Юнит 3'!AG$74</f>
        <v>3464</v>
      </c>
      <c r="Y6" s="27">
        <f>'Юнит 3'!AH86</f>
        <v>0</v>
      </c>
      <c r="Z6" s="22">
        <f t="shared" ref="Z6" si="11">IFERROR((L6)*0.01,0)</f>
        <v>448.37470000000002</v>
      </c>
      <c r="AA6" s="27"/>
      <c r="AB6" s="36">
        <f>O6-SUM(P6:Z6)+AA6-Y6</f>
        <v>15542.035299999996</v>
      </c>
      <c r="AC6" s="279"/>
      <c r="AD6" s="11">
        <f t="shared" si="4"/>
        <v>0.11711065276019299</v>
      </c>
      <c r="AE6" s="11">
        <f t="shared" si="5"/>
        <v>2.3806733175867962</v>
      </c>
      <c r="AF6" s="11">
        <f t="shared" si="6"/>
        <v>0.27880220623136392</v>
      </c>
      <c r="AG6" s="11">
        <f t="shared" si="7"/>
        <v>0.11455583870624014</v>
      </c>
    </row>
    <row r="7" spans="2:33" s="20" customFormat="1" ht="25.5" customHeight="1">
      <c r="B7" s="32" t="s">
        <v>125</v>
      </c>
      <c r="C7" s="33" t="s">
        <v>130</v>
      </c>
      <c r="D7" s="34" t="s">
        <v>44</v>
      </c>
      <c r="E7" s="50"/>
      <c r="F7" s="49">
        <f t="shared" ref="F7:F8" si="12">IFERROR(O7-SUM(Q7:W7)+AA7,0)</f>
        <v>22836.85</v>
      </c>
      <c r="G7" s="35">
        <f>'Юнит 4'!L$17</f>
        <v>86</v>
      </c>
      <c r="H7" s="35">
        <f>'Юнит 4'!Q$17</f>
        <v>49</v>
      </c>
      <c r="I7" s="35">
        <f>'Юнит 4'!R$17</f>
        <v>-2</v>
      </c>
      <c r="J7" s="22">
        <f>'Юнит 4'!T$74</f>
        <v>44338.880000000005</v>
      </c>
      <c r="K7" s="23">
        <f>'Юнит 4'!U$74</f>
        <v>-1888</v>
      </c>
      <c r="L7" s="24">
        <f t="shared" ref="L7:L8" si="13">IFERROR(J7+K7,0)</f>
        <v>42450.880000000005</v>
      </c>
      <c r="M7" s="22">
        <f>'Юнит 4'!W$74</f>
        <v>59321.67</v>
      </c>
      <c r="N7" s="23">
        <f>'Юнит 4'!X$74</f>
        <v>-2412</v>
      </c>
      <c r="O7" s="24">
        <f t="shared" ref="O7:O8" si="14">IFERROR(M7+N7,0)</f>
        <v>56909.67</v>
      </c>
      <c r="P7" s="251">
        <f>'Юнит 4'!AB$74</f>
        <v>6764.5200000000013</v>
      </c>
      <c r="Q7" s="25">
        <f>'Юнит 4'!AE$74</f>
        <v>6115.35</v>
      </c>
      <c r="R7" s="23">
        <f>'Юнит 4'!AC$74</f>
        <v>20543.919999999998</v>
      </c>
      <c r="S7" s="25">
        <f>'Юнит 4'!AI$74</f>
        <v>1438.99</v>
      </c>
      <c r="T7" s="23"/>
      <c r="U7" s="23">
        <f>'Юнит 4'!AJ$74</f>
        <v>0</v>
      </c>
      <c r="V7" s="251">
        <v>58.56</v>
      </c>
      <c r="W7" s="26">
        <f>'Юнит 4'!AF$74</f>
        <v>5916</v>
      </c>
      <c r="X7" s="27">
        <f>'Юнит 4'!AG$74</f>
        <v>2033</v>
      </c>
      <c r="Y7" s="27">
        <f>'Юнит 4'!AH87</f>
        <v>0</v>
      </c>
      <c r="Z7" s="22">
        <f t="shared" ref="Z7:Z8" si="15">IFERROR((L7)*0.01,0)</f>
        <v>424.50880000000006</v>
      </c>
      <c r="AA7" s="27"/>
      <c r="AB7" s="36">
        <f>O7-SUM(P7:Z7)+AA7-Y7</f>
        <v>13614.821199999998</v>
      </c>
      <c r="AC7" s="279"/>
      <c r="AD7" s="11">
        <f t="shared" ref="AD7" si="16">P7/O7</f>
        <v>0.11886415788388865</v>
      </c>
      <c r="AE7" s="11">
        <f>AB7/P7</f>
        <v>2.0126810475835679</v>
      </c>
      <c r="AF7" s="11">
        <f t="shared" ref="AF7" si="17">AB7/O7</f>
        <v>0.23923563780988361</v>
      </c>
      <c r="AG7" s="11">
        <f t="shared" ref="AG7" si="18">(W7+X7+Y7)/O7</f>
        <v>0.13967749241912666</v>
      </c>
    </row>
    <row r="8" spans="2:33" s="20" customFormat="1" ht="25.5" customHeight="1" thickBot="1">
      <c r="B8" s="37" t="s">
        <v>129</v>
      </c>
      <c r="C8" s="38" t="s">
        <v>131</v>
      </c>
      <c r="D8" s="39" t="s">
        <v>45</v>
      </c>
      <c r="E8" s="51"/>
      <c r="F8" s="40">
        <f t="shared" si="12"/>
        <v>26541.809999999998</v>
      </c>
      <c r="G8" s="41">
        <f>'Юнит 5'!L$17</f>
        <v>157</v>
      </c>
      <c r="H8" s="41">
        <f>'Юнит 5'!Q$17</f>
        <v>70</v>
      </c>
      <c r="I8" s="41">
        <f>'Юнит 5'!R$17</f>
        <v>-1</v>
      </c>
      <c r="J8" s="42">
        <f>'Юнит 5'!T$74</f>
        <v>53707.42</v>
      </c>
      <c r="K8" s="43">
        <f>'Юнит 5'!U$74</f>
        <v>-813</v>
      </c>
      <c r="L8" s="44">
        <f t="shared" si="13"/>
        <v>52894.42</v>
      </c>
      <c r="M8" s="42">
        <f>'Юнит 5'!W$74</f>
        <v>80352</v>
      </c>
      <c r="N8" s="43">
        <f>'Юнит 5'!X$74</f>
        <v>-1238</v>
      </c>
      <c r="O8" s="44">
        <f t="shared" si="14"/>
        <v>79114</v>
      </c>
      <c r="P8" s="252">
        <f>'Юнит 5'!AB$74</f>
        <v>9760.3200000000015</v>
      </c>
      <c r="Q8" s="45">
        <f>'Юнит 5'!AE$74</f>
        <v>8509.6</v>
      </c>
      <c r="R8" s="43">
        <f>'Юнит 5'!AC$74</f>
        <v>28720.66</v>
      </c>
      <c r="S8" s="45">
        <f>'Юнит 5'!AI$74</f>
        <v>1377.57</v>
      </c>
      <c r="T8" s="43"/>
      <c r="U8" s="43">
        <f>'Юнит 5'!AJ$74</f>
        <v>0</v>
      </c>
      <c r="V8" s="252">
        <v>351.36</v>
      </c>
      <c r="W8" s="46">
        <f>'Юнит 5'!AF$74</f>
        <v>13613</v>
      </c>
      <c r="X8" s="47">
        <f>'Юнит 5'!AG$74</f>
        <v>9553</v>
      </c>
      <c r="Y8" s="47">
        <f>'Юнит 5'!AH88</f>
        <v>0</v>
      </c>
      <c r="Z8" s="42">
        <f t="shared" si="15"/>
        <v>528.94420000000002</v>
      </c>
      <c r="AA8" s="47"/>
      <c r="AB8" s="48">
        <f>O8-SUM(P8:Z8)+AA8-Y8</f>
        <v>6699.5457999999926</v>
      </c>
      <c r="AC8" s="280"/>
      <c r="AD8" s="11">
        <f t="shared" si="4"/>
        <v>0.12337032636448671</v>
      </c>
      <c r="AE8" s="11">
        <f>AB8/P8</f>
        <v>0.68640636782400488</v>
      </c>
      <c r="AF8" s="11">
        <f t="shared" si="6"/>
        <v>8.4682177617109389E-2</v>
      </c>
      <c r="AG8" s="11">
        <f t="shared" si="7"/>
        <v>0.29281795889475948</v>
      </c>
    </row>
    <row r="9" spans="2:33" ht="22" customHeight="1" thickBot="1">
      <c r="B9" s="52" t="s">
        <v>30</v>
      </c>
      <c r="C9" s="53"/>
      <c r="D9" s="54"/>
      <c r="E9" s="55"/>
      <c r="F9" s="56">
        <f t="shared" ref="F9:AC9" si="19">SUM(F4:F8)</f>
        <v>130165.35999999999</v>
      </c>
      <c r="G9" s="57">
        <f t="shared" si="19"/>
        <v>457</v>
      </c>
      <c r="H9" s="57">
        <f t="shared" si="19"/>
        <v>256</v>
      </c>
      <c r="I9" s="57">
        <f t="shared" si="19"/>
        <v>-5</v>
      </c>
      <c r="J9" s="56">
        <f t="shared" si="19"/>
        <v>233222.71999999997</v>
      </c>
      <c r="K9" s="56">
        <f t="shared" si="19"/>
        <v>-4580</v>
      </c>
      <c r="L9" s="56">
        <f t="shared" si="19"/>
        <v>228642.71999999997</v>
      </c>
      <c r="M9" s="56">
        <f t="shared" si="19"/>
        <v>303779.89</v>
      </c>
      <c r="N9" s="56">
        <f t="shared" si="19"/>
        <v>-6023</v>
      </c>
      <c r="O9" s="56">
        <f t="shared" si="19"/>
        <v>297756.89</v>
      </c>
      <c r="P9" s="56">
        <f t="shared" si="19"/>
        <v>34328.370000000003</v>
      </c>
      <c r="Q9" s="56">
        <f t="shared" si="19"/>
        <v>30976.050000000003</v>
      </c>
      <c r="R9" s="56">
        <f t="shared" si="19"/>
        <v>106888.70000000001</v>
      </c>
      <c r="S9" s="56">
        <f t="shared" si="19"/>
        <v>6310.98</v>
      </c>
      <c r="T9" s="56">
        <f t="shared" si="19"/>
        <v>0</v>
      </c>
      <c r="U9" s="56">
        <f t="shared" si="19"/>
        <v>0</v>
      </c>
      <c r="V9" s="56">
        <f t="shared" si="19"/>
        <v>964.80000000000007</v>
      </c>
      <c r="W9" s="56">
        <f t="shared" si="19"/>
        <v>22451</v>
      </c>
      <c r="X9" s="56">
        <f t="shared" si="19"/>
        <v>26323</v>
      </c>
      <c r="Y9" s="56">
        <f t="shared" si="19"/>
        <v>0</v>
      </c>
      <c r="Z9" s="56">
        <f t="shared" si="19"/>
        <v>2286.4272000000001</v>
      </c>
      <c r="AA9" s="56">
        <f t="shared" si="19"/>
        <v>0</v>
      </c>
      <c r="AB9" s="56">
        <f>SUM(AB4:AB8)</f>
        <v>67227.562799999985</v>
      </c>
      <c r="AC9" s="56">
        <f t="shared" si="19"/>
        <v>67227.562799999985</v>
      </c>
      <c r="AD9" s="58">
        <f>P9/O9</f>
        <v>0.11528992662436796</v>
      </c>
      <c r="AE9" s="58">
        <f t="shared" ref="AE9" si="20">AB9/P9</f>
        <v>1.9583674610824802</v>
      </c>
      <c r="AF9" s="58">
        <f t="shared" si="6"/>
        <v>0.22578004089174891</v>
      </c>
      <c r="AG9" s="58">
        <f>(W9+X9+Y9)/O9</f>
        <v>0.16380477375351415</v>
      </c>
    </row>
    <row r="10" spans="2:33" ht="13.5" customHeight="1">
      <c r="B10" s="59"/>
      <c r="C10" s="59"/>
      <c r="D10" s="31"/>
      <c r="E10" s="60"/>
      <c r="F10" s="61"/>
      <c r="G10" s="61"/>
      <c r="H10" s="61"/>
      <c r="I10" s="61"/>
      <c r="J10" s="61"/>
      <c r="K10" s="61"/>
      <c r="L10" s="61"/>
      <c r="M10" s="62" t="s">
        <v>46</v>
      </c>
      <c r="N10" s="62"/>
      <c r="O10" s="62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58"/>
      <c r="AE10" s="58"/>
      <c r="AF10" s="58"/>
      <c r="AG10" s="58"/>
    </row>
    <row r="11" spans="2:33" s="9" customFormat="1">
      <c r="B11" s="63"/>
      <c r="C11" s="63"/>
      <c r="E11" s="64"/>
      <c r="F11" s="65"/>
      <c r="G11" s="66"/>
      <c r="H11" s="66"/>
      <c r="I11" s="66"/>
      <c r="J11" s="66"/>
      <c r="K11" s="66"/>
      <c r="L11" s="66"/>
      <c r="M11" s="62"/>
      <c r="N11" s="67">
        <f>-N9/M9</f>
        <v>1.982685555650178E-2</v>
      </c>
      <c r="O11" s="68"/>
      <c r="P11" s="67">
        <f>P9/$O$9</f>
        <v>0.11528992662436796</v>
      </c>
      <c r="Q11" s="67">
        <f>Q9/$O$9</f>
        <v>0.10403134584056141</v>
      </c>
      <c r="R11" s="67">
        <f>R9/$O$9</f>
        <v>0.35897977037575857</v>
      </c>
      <c r="S11" s="67">
        <f>S9/$O$9</f>
        <v>2.1195076291937356E-2</v>
      </c>
      <c r="T11" s="67"/>
      <c r="U11" s="67">
        <f>U9/$O$9</f>
        <v>0</v>
      </c>
      <c r="V11" s="67">
        <f>V9/$O$9</f>
        <v>3.2402272874357332E-3</v>
      </c>
      <c r="W11" s="67">
        <f>W9/$O$9</f>
        <v>7.5400438256861158E-2</v>
      </c>
      <c r="X11" s="69"/>
      <c r="Y11" s="70"/>
      <c r="Z11" s="67">
        <f>Z9/$O$9</f>
        <v>7.6788389346758692E-3</v>
      </c>
      <c r="AA11" s="70"/>
      <c r="AB11" s="67">
        <f>AB9/P9</f>
        <v>1.9583674610824802</v>
      </c>
      <c r="AC11" s="13" t="s">
        <v>33</v>
      </c>
      <c r="AD11" s="70"/>
      <c r="AE11" s="71"/>
      <c r="AF11" s="71"/>
      <c r="AG11" s="71"/>
    </row>
    <row r="12" spans="2:33" s="9" customFormat="1">
      <c r="B12" s="72"/>
      <c r="C12" s="72"/>
      <c r="D12" s="73"/>
      <c r="E12" s="74"/>
      <c r="F12" s="75"/>
      <c r="G12" s="75"/>
      <c r="H12" s="75"/>
      <c r="I12" s="75"/>
      <c r="J12" s="75"/>
      <c r="K12" s="75"/>
      <c r="L12" s="75"/>
      <c r="M12" s="76"/>
      <c r="N12" s="77"/>
      <c r="O12" s="78"/>
      <c r="P12" s="77"/>
      <c r="Q12" s="77"/>
      <c r="R12" s="77"/>
      <c r="S12" s="77"/>
      <c r="T12" s="77"/>
      <c r="U12" s="77"/>
      <c r="V12" s="77"/>
      <c r="W12" s="77"/>
      <c r="X12" s="79"/>
      <c r="Y12" s="80"/>
      <c r="Z12" s="77"/>
      <c r="AA12" s="80"/>
      <c r="AB12" s="77">
        <f>AB9/O9</f>
        <v>0.22578004089174891</v>
      </c>
      <c r="AC12" s="81" t="s">
        <v>34</v>
      </c>
      <c r="AD12" s="70"/>
      <c r="AE12" s="71"/>
      <c r="AF12" s="71"/>
      <c r="AG12" s="71"/>
    </row>
    <row r="13" spans="2:33"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86"/>
    </row>
    <row r="14" spans="2:33"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5"/>
      <c r="T14" s="86"/>
    </row>
    <row r="15" spans="2:33" ht="15.5">
      <c r="F15" s="84"/>
      <c r="G15" s="84"/>
      <c r="H15" s="84"/>
      <c r="I15" s="84"/>
      <c r="J15" s="84"/>
      <c r="K15" s="84"/>
      <c r="L15" s="84"/>
      <c r="M15" s="87"/>
      <c r="N15" s="84"/>
      <c r="O15" s="84"/>
      <c r="P15" s="88"/>
      <c r="Q15" s="89"/>
      <c r="R15" s="84"/>
      <c r="S15" s="84"/>
      <c r="T15" s="84"/>
    </row>
    <row r="16" spans="2:33">
      <c r="F16" s="84"/>
      <c r="G16" s="84"/>
      <c r="H16" s="84"/>
      <c r="I16" s="84"/>
      <c r="J16" s="84"/>
      <c r="K16" s="84"/>
      <c r="L16" s="84"/>
      <c r="M16" s="90"/>
      <c r="N16" s="84"/>
      <c r="O16" s="84"/>
      <c r="P16" s="85"/>
      <c r="Q16" s="91"/>
      <c r="R16" s="84"/>
      <c r="S16" s="84"/>
      <c r="T16" s="84"/>
    </row>
    <row r="17" spans="6:20">
      <c r="F17" s="84"/>
      <c r="G17" s="84"/>
      <c r="H17" s="84"/>
      <c r="I17" s="84"/>
      <c r="J17" s="84"/>
      <c r="K17" s="84"/>
      <c r="L17" s="84"/>
      <c r="M17" s="85"/>
      <c r="N17" s="84"/>
      <c r="O17" s="84"/>
      <c r="P17" s="85"/>
      <c r="Q17" s="91"/>
      <c r="R17" s="84"/>
      <c r="S17" s="84"/>
      <c r="T17" s="84"/>
    </row>
    <row r="18" spans="6:20">
      <c r="F18" s="84"/>
      <c r="G18" s="84"/>
      <c r="H18" s="84"/>
      <c r="I18" s="84"/>
      <c r="J18" s="84"/>
      <c r="K18" s="84"/>
      <c r="L18" s="84"/>
      <c r="M18" s="85"/>
      <c r="N18" s="84"/>
      <c r="O18" s="84"/>
      <c r="P18" s="85"/>
      <c r="Q18" s="91"/>
      <c r="R18" s="84"/>
      <c r="S18" s="84"/>
      <c r="T18" s="84"/>
    </row>
    <row r="19" spans="6:20">
      <c r="F19" s="84"/>
      <c r="G19" s="84"/>
      <c r="H19" s="84"/>
      <c r="I19" s="84"/>
      <c r="J19" s="84"/>
      <c r="K19" s="84"/>
      <c r="L19" s="84"/>
      <c r="M19" s="85"/>
      <c r="N19" s="86"/>
      <c r="O19" s="84"/>
      <c r="P19" s="85"/>
      <c r="Q19" s="91"/>
      <c r="R19" s="84"/>
      <c r="S19" s="84"/>
      <c r="T19" s="84"/>
    </row>
    <row r="20" spans="6:20"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</row>
    <row r="21" spans="6:20" ht="15.5">
      <c r="F21" s="82"/>
      <c r="G21" s="82"/>
      <c r="H21" s="82"/>
      <c r="I21" s="82"/>
      <c r="J21" s="82"/>
      <c r="K21" s="82"/>
      <c r="L21" s="82"/>
      <c r="M21" s="83"/>
      <c r="N21" s="82"/>
      <c r="O21" s="82"/>
      <c r="P21" s="92"/>
      <c r="Q21" s="82"/>
      <c r="R21" s="82"/>
      <c r="S21" s="82"/>
      <c r="T21" s="93"/>
    </row>
  </sheetData>
  <mergeCells count="25">
    <mergeCell ref="AC4:AC8"/>
    <mergeCell ref="AF2:AF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</mergeCells>
  <conditionalFormatting sqref="O3">
    <cfRule type="dataBar" priority="2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E8:AE10 AE4:AE6">
    <cfRule type="dataBar" priority="2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F8:AF10 AF4:AF6">
    <cfRule type="dataBar" priority="2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G8:AG10 AG4:AG6">
    <cfRule type="dataBar" priority="2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E7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F7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G7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1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AE8:AE10 AE4:AE6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AF8:AF10 AF4:AF6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AG8:AG10 AG4:AG6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M13" sqref="M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92</v>
      </c>
      <c r="C4" s="222"/>
      <c r="D4" s="223" t="e">
        <f t="shared" ref="D4:D16" si="0">C4/C$17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VLOOKUP(B$4:B$16,I$4:M$16,5,0)</f>
        <v>#DIV/0!</v>
      </c>
      <c r="I4" s="117" t="s">
        <v>92</v>
      </c>
      <c r="J4" s="222"/>
      <c r="K4" s="223" t="e">
        <f t="shared" ref="K4:K16" si="1">J4/J$17</f>
        <v>#DIV/0!</v>
      </c>
      <c r="L4" s="223" t="e">
        <f>K4</f>
        <v>#DIV/0!</v>
      </c>
      <c r="M4" s="224" t="e">
        <f>_xlfn.IFS(L4&lt;80%,"A",L4&lt;=95%,"B",L4&gt;95%,"C")</f>
        <v>#DIV/0!</v>
      </c>
      <c r="P4" s="225" t="s">
        <v>119</v>
      </c>
      <c r="Q4" s="226">
        <v>0.8</v>
      </c>
    </row>
    <row r="5" spans="2:17" ht="15" outlineLevel="1" thickBot="1">
      <c r="B5" s="117" t="s">
        <v>94</v>
      </c>
      <c r="C5" s="222"/>
      <c r="D5" s="223" t="e">
        <f t="shared" si="0"/>
        <v>#DIV/0!</v>
      </c>
      <c r="E5" s="223" t="e">
        <f>E4+D5</f>
        <v>#DIV/0!</v>
      </c>
      <c r="F5" s="224" t="e">
        <f t="shared" ref="F5:F16" si="2">IF(AND(E5&lt;=0),"C",IF(E5&lt;=0.8,"A",IF(E5&lt;=0.95,"B","C")))</f>
        <v>#DIV/0!</v>
      </c>
      <c r="G5" s="224" t="e">
        <f t="shared" ref="G5:G16" si="3">VLOOKUP(B$4:B$16,I$4:M$16,5,0)</f>
        <v>#DIV/0!</v>
      </c>
      <c r="I5" s="117" t="s">
        <v>94</v>
      </c>
      <c r="J5" s="222"/>
      <c r="K5" s="223" t="e">
        <f t="shared" si="1"/>
        <v>#DIV/0!</v>
      </c>
      <c r="L5" s="223" t="e">
        <f>L4+K5</f>
        <v>#DIV/0!</v>
      </c>
      <c r="M5" s="224" t="e">
        <f t="shared" ref="M5:M16" si="4">_xlfn.IFS(L5&lt;80%,"A",L5&lt;=95%,"B",L5&gt;95%,"C")</f>
        <v>#DIV/0!</v>
      </c>
      <c r="P5" s="227" t="s">
        <v>120</v>
      </c>
      <c r="Q5" s="226">
        <v>0.15</v>
      </c>
    </row>
    <row r="6" spans="2:17" ht="15" outlineLevel="1" thickBot="1">
      <c r="B6" s="117" t="s">
        <v>95</v>
      </c>
      <c r="C6" s="222"/>
      <c r="D6" s="223" t="e">
        <f t="shared" si="0"/>
        <v>#DIV/0!</v>
      </c>
      <c r="E6" s="223" t="e">
        <f t="shared" ref="E6:E16" si="5">E5+D6</f>
        <v>#DIV/0!</v>
      </c>
      <c r="F6" s="224" t="e">
        <f t="shared" si="2"/>
        <v>#DIV/0!</v>
      </c>
      <c r="G6" s="224" t="e">
        <f t="shared" si="3"/>
        <v>#DIV/0!</v>
      </c>
      <c r="I6" s="117" t="s">
        <v>95</v>
      </c>
      <c r="J6" s="222"/>
      <c r="K6" s="223" t="e">
        <f t="shared" si="1"/>
        <v>#DIV/0!</v>
      </c>
      <c r="L6" s="223" t="e">
        <f t="shared" ref="L6:L16" si="6">L5+K6</f>
        <v>#DIV/0!</v>
      </c>
      <c r="M6" s="224" t="e">
        <f t="shared" si="4"/>
        <v>#DIV/0!</v>
      </c>
      <c r="P6" s="228" t="s">
        <v>121</v>
      </c>
      <c r="Q6" s="226">
        <v>0.05</v>
      </c>
    </row>
    <row r="7" spans="2:17" outlineLevel="1">
      <c r="B7" s="117" t="s">
        <v>96</v>
      </c>
      <c r="C7" s="222"/>
      <c r="D7" s="223" t="e">
        <f t="shared" si="0"/>
        <v>#DIV/0!</v>
      </c>
      <c r="E7" s="223" t="e">
        <f t="shared" si="5"/>
        <v>#DIV/0!</v>
      </c>
      <c r="F7" s="224" t="e">
        <f t="shared" si="2"/>
        <v>#DIV/0!</v>
      </c>
      <c r="G7" s="224" t="e">
        <f t="shared" si="3"/>
        <v>#DIV/0!</v>
      </c>
      <c r="I7" s="117" t="s">
        <v>96</v>
      </c>
      <c r="J7" s="222"/>
      <c r="K7" s="223" t="e">
        <f t="shared" si="1"/>
        <v>#DIV/0!</v>
      </c>
      <c r="L7" s="223" t="e">
        <f t="shared" si="6"/>
        <v>#DIV/0!</v>
      </c>
      <c r="M7" s="224" t="e">
        <f t="shared" si="4"/>
        <v>#DIV/0!</v>
      </c>
    </row>
    <row r="8" spans="2:17" outlineLevel="1">
      <c r="B8" s="117" t="s">
        <v>97</v>
      </c>
      <c r="C8" s="222"/>
      <c r="D8" s="223" t="e">
        <f t="shared" si="0"/>
        <v>#DIV/0!</v>
      </c>
      <c r="E8" s="223" t="e">
        <f t="shared" si="5"/>
        <v>#DIV/0!</v>
      </c>
      <c r="F8" s="224" t="e">
        <f t="shared" si="2"/>
        <v>#DIV/0!</v>
      </c>
      <c r="G8" s="224" t="e">
        <f t="shared" si="3"/>
        <v>#DIV/0!</v>
      </c>
      <c r="I8" s="117" t="s">
        <v>97</v>
      </c>
      <c r="J8" s="222"/>
      <c r="K8" s="223" t="e">
        <f t="shared" si="1"/>
        <v>#DIV/0!</v>
      </c>
      <c r="L8" s="223" t="e">
        <f t="shared" si="6"/>
        <v>#DIV/0!</v>
      </c>
      <c r="M8" s="224" t="e">
        <f t="shared" si="4"/>
        <v>#DIV/0!</v>
      </c>
    </row>
    <row r="9" spans="2:17" outlineLevel="1">
      <c r="B9" s="117" t="s">
        <v>98</v>
      </c>
      <c r="C9" s="222"/>
      <c r="D9" s="223" t="e">
        <f t="shared" si="0"/>
        <v>#DIV/0!</v>
      </c>
      <c r="E9" s="223" t="e">
        <f t="shared" si="5"/>
        <v>#DIV/0!</v>
      </c>
      <c r="F9" s="224" t="e">
        <f t="shared" si="2"/>
        <v>#DIV/0!</v>
      </c>
      <c r="G9" s="224" t="e">
        <f t="shared" si="3"/>
        <v>#DIV/0!</v>
      </c>
      <c r="I9" s="117" t="s">
        <v>98</v>
      </c>
      <c r="J9" s="222"/>
      <c r="K9" s="223" t="e">
        <f t="shared" si="1"/>
        <v>#DIV/0!</v>
      </c>
      <c r="L9" s="223" t="e">
        <f t="shared" si="6"/>
        <v>#DIV/0!</v>
      </c>
      <c r="M9" s="224" t="e">
        <f t="shared" si="4"/>
        <v>#DIV/0!</v>
      </c>
    </row>
    <row r="10" spans="2:17" outlineLevel="1">
      <c r="B10" s="117" t="s">
        <v>99</v>
      </c>
      <c r="C10" s="222"/>
      <c r="D10" s="223" t="e">
        <f t="shared" si="0"/>
        <v>#DIV/0!</v>
      </c>
      <c r="E10" s="223" t="e">
        <f t="shared" si="5"/>
        <v>#DIV/0!</v>
      </c>
      <c r="F10" s="224" t="e">
        <f t="shared" si="2"/>
        <v>#DIV/0!</v>
      </c>
      <c r="G10" s="224" t="e">
        <f t="shared" si="3"/>
        <v>#DIV/0!</v>
      </c>
      <c r="I10" s="117" t="s">
        <v>99</v>
      </c>
      <c r="J10" s="222"/>
      <c r="K10" s="223" t="e">
        <f t="shared" si="1"/>
        <v>#DIV/0!</v>
      </c>
      <c r="L10" s="223" t="e">
        <f t="shared" si="6"/>
        <v>#DIV/0!</v>
      </c>
      <c r="M10" s="224" t="e">
        <f t="shared" si="4"/>
        <v>#DIV/0!</v>
      </c>
    </row>
    <row r="11" spans="2:17" outlineLevel="1">
      <c r="B11" s="117" t="s">
        <v>100</v>
      </c>
      <c r="C11" s="222"/>
      <c r="D11" s="223" t="e">
        <f t="shared" si="0"/>
        <v>#DIV/0!</v>
      </c>
      <c r="E11" s="223" t="e">
        <f t="shared" si="5"/>
        <v>#DIV/0!</v>
      </c>
      <c r="F11" s="224" t="e">
        <f t="shared" si="2"/>
        <v>#DIV/0!</v>
      </c>
      <c r="G11" s="224" t="e">
        <f t="shared" si="3"/>
        <v>#DIV/0!</v>
      </c>
      <c r="I11" s="117" t="s">
        <v>100</v>
      </c>
      <c r="J11" s="222"/>
      <c r="K11" s="223" t="e">
        <f t="shared" si="1"/>
        <v>#DIV/0!</v>
      </c>
      <c r="L11" s="223" t="e">
        <f t="shared" si="6"/>
        <v>#DIV/0!</v>
      </c>
      <c r="M11" s="224" t="e">
        <f t="shared" si="4"/>
        <v>#DIV/0!</v>
      </c>
    </row>
    <row r="12" spans="2:17" outlineLevel="1">
      <c r="B12" s="117" t="s">
        <v>101</v>
      </c>
      <c r="C12" s="222"/>
      <c r="D12" s="223" t="e">
        <f t="shared" si="0"/>
        <v>#DIV/0!</v>
      </c>
      <c r="E12" s="223" t="e">
        <f t="shared" si="5"/>
        <v>#DIV/0!</v>
      </c>
      <c r="F12" s="224" t="e">
        <f t="shared" si="2"/>
        <v>#DIV/0!</v>
      </c>
      <c r="G12" s="224" t="e">
        <f t="shared" si="3"/>
        <v>#DIV/0!</v>
      </c>
      <c r="I12" s="117" t="s">
        <v>101</v>
      </c>
      <c r="J12" s="222"/>
      <c r="K12" s="223" t="e">
        <f t="shared" si="1"/>
        <v>#DIV/0!</v>
      </c>
      <c r="L12" s="223" t="e">
        <f t="shared" si="6"/>
        <v>#DIV/0!</v>
      </c>
      <c r="M12" s="224" t="e">
        <f t="shared" si="4"/>
        <v>#DIV/0!</v>
      </c>
    </row>
    <row r="13" spans="2:17" outlineLevel="1">
      <c r="B13" s="117" t="s">
        <v>102</v>
      </c>
      <c r="C13" s="222"/>
      <c r="D13" s="223" t="e">
        <f t="shared" si="0"/>
        <v>#DIV/0!</v>
      </c>
      <c r="E13" s="223" t="e">
        <f t="shared" si="5"/>
        <v>#DIV/0!</v>
      </c>
      <c r="F13" s="224" t="e">
        <f t="shared" si="2"/>
        <v>#DIV/0!</v>
      </c>
      <c r="G13" s="224" t="e">
        <f t="shared" si="3"/>
        <v>#DIV/0!</v>
      </c>
      <c r="I13" s="117" t="s">
        <v>102</v>
      </c>
      <c r="J13" s="222"/>
      <c r="K13" s="223" t="e">
        <f t="shared" si="1"/>
        <v>#DIV/0!</v>
      </c>
      <c r="L13" s="223" t="e">
        <f t="shared" si="6"/>
        <v>#DIV/0!</v>
      </c>
      <c r="M13" s="224" t="e">
        <f t="shared" si="4"/>
        <v>#DIV/0!</v>
      </c>
    </row>
    <row r="14" spans="2:17" outlineLevel="1">
      <c r="B14" s="117" t="s">
        <v>103</v>
      </c>
      <c r="C14" s="222"/>
      <c r="D14" s="223" t="e">
        <f t="shared" si="0"/>
        <v>#DIV/0!</v>
      </c>
      <c r="E14" s="223" t="e">
        <f t="shared" si="5"/>
        <v>#DIV/0!</v>
      </c>
      <c r="F14" s="224" t="e">
        <f t="shared" si="2"/>
        <v>#DIV/0!</v>
      </c>
      <c r="G14" s="224" t="e">
        <f t="shared" si="3"/>
        <v>#DIV/0!</v>
      </c>
      <c r="I14" s="117" t="s">
        <v>103</v>
      </c>
      <c r="J14" s="222"/>
      <c r="K14" s="223" t="e">
        <f t="shared" si="1"/>
        <v>#DIV/0!</v>
      </c>
      <c r="L14" s="223" t="e">
        <f t="shared" si="6"/>
        <v>#DIV/0!</v>
      </c>
      <c r="M14" s="224" t="e">
        <f t="shared" si="4"/>
        <v>#DIV/0!</v>
      </c>
    </row>
    <row r="15" spans="2:17" outlineLevel="1">
      <c r="B15" s="117" t="s">
        <v>104</v>
      </c>
      <c r="C15" s="222"/>
      <c r="D15" s="223" t="e">
        <f t="shared" si="0"/>
        <v>#DIV/0!</v>
      </c>
      <c r="E15" s="223" t="e">
        <f t="shared" si="5"/>
        <v>#DIV/0!</v>
      </c>
      <c r="F15" s="224" t="e">
        <f t="shared" si="2"/>
        <v>#DIV/0!</v>
      </c>
      <c r="G15" s="224" t="e">
        <f t="shared" si="3"/>
        <v>#DIV/0!</v>
      </c>
      <c r="I15" s="117" t="s">
        <v>104</v>
      </c>
      <c r="J15" s="222"/>
      <c r="K15" s="223" t="e">
        <f t="shared" si="1"/>
        <v>#DIV/0!</v>
      </c>
      <c r="L15" s="223" t="e">
        <f t="shared" si="6"/>
        <v>#DIV/0!</v>
      </c>
      <c r="M15" s="224" t="e">
        <f t="shared" si="4"/>
        <v>#DIV/0!</v>
      </c>
    </row>
    <row r="16" spans="2:17" outlineLevel="1">
      <c r="B16" s="117" t="s">
        <v>105</v>
      </c>
      <c r="C16" s="222"/>
      <c r="D16" s="223" t="e">
        <f t="shared" si="0"/>
        <v>#DIV/0!</v>
      </c>
      <c r="E16" s="223" t="e">
        <f t="shared" si="5"/>
        <v>#DIV/0!</v>
      </c>
      <c r="F16" s="224" t="e">
        <f t="shared" si="2"/>
        <v>#DIV/0!</v>
      </c>
      <c r="G16" s="224" t="e">
        <f t="shared" si="3"/>
        <v>#DIV/0!</v>
      </c>
      <c r="I16" s="117" t="s">
        <v>105</v>
      </c>
      <c r="J16" s="222"/>
      <c r="K16" s="223" t="e">
        <f t="shared" si="1"/>
        <v>#DIV/0!</v>
      </c>
      <c r="L16" s="223" t="e">
        <f t="shared" si="6"/>
        <v>#DIV/0!</v>
      </c>
      <c r="M16" s="224" t="e">
        <f t="shared" si="4"/>
        <v>#DIV/0!</v>
      </c>
    </row>
    <row r="17" spans="2:16" outlineLevel="1">
      <c r="C17" s="229">
        <f>SUM(C4:C16)</f>
        <v>0</v>
      </c>
      <c r="D17" s="230" t="e">
        <f>SUM(D4:D16)</f>
        <v>#DIV/0!</v>
      </c>
      <c r="J17" s="229">
        <f>SUM(J4:J16)</f>
        <v>0</v>
      </c>
      <c r="K17" s="230" t="e">
        <f>SUM(K4:K16)</f>
        <v>#DIV/0!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mergeCells count="2">
    <mergeCell ref="B2:M2"/>
    <mergeCell ref="B19:M19"/>
  </mergeCells>
  <conditionalFormatting sqref="M21:M72 K21:K72 D21:D72 G4:G16 D4:D16 K4:K16 M4:M16">
    <cfRule type="cellIs" dxfId="110" priority="10" operator="equal">
      <formula>"C"</formula>
    </cfRule>
    <cfRule type="cellIs" dxfId="109" priority="11" operator="equal">
      <formula>"B"</formula>
    </cfRule>
    <cfRule type="cellIs" dxfId="108" priority="12" operator="equal">
      <formula>"A"</formula>
    </cfRule>
  </conditionalFormatting>
  <conditionalFormatting sqref="G21:G72">
    <cfRule type="cellIs" dxfId="107" priority="7" operator="equal">
      <formula>"C"</formula>
    </cfRule>
    <cfRule type="cellIs" dxfId="106" priority="8" operator="equal">
      <formula>"B"</formula>
    </cfRule>
    <cfRule type="cellIs" dxfId="105" priority="9" operator="equal">
      <formula>"A"</formula>
    </cfRule>
  </conditionalFormatting>
  <conditionalFormatting sqref="F4:F16">
    <cfRule type="cellIs" dxfId="104" priority="4" operator="equal">
      <formula>"C"</formula>
    </cfRule>
    <cfRule type="cellIs" dxfId="103" priority="5" operator="equal">
      <formula>"B"</formula>
    </cfRule>
    <cfRule type="cellIs" dxfId="102" priority="6" operator="equal">
      <formula>"A"</formula>
    </cfRule>
  </conditionalFormatting>
  <conditionalFormatting sqref="F21:F72">
    <cfRule type="cellIs" dxfId="101" priority="1" operator="equal">
      <formula>"C"</formula>
    </cfRule>
    <cfRule type="cellIs" dxfId="100" priority="2" operator="equal">
      <formula>"B"</formula>
    </cfRule>
    <cfRule type="cellIs" dxfId="99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98</v>
      </c>
      <c r="C4" s="222">
        <f>'Юнит 5'!AL8</f>
        <v>2045.1120516462852</v>
      </c>
      <c r="D4" s="223">
        <f t="shared" ref="D4:D16" si="0">C4/C$17</f>
        <v>0.29004954961194995</v>
      </c>
      <c r="E4" s="223">
        <f>D4</f>
        <v>0.29004954961194995</v>
      </c>
      <c r="F4" s="224" t="str">
        <f>IF(AND(E4&lt;=0),"C",IF(E4&lt;=0.8,"A",IF(E4&lt;=0.95,"B","C")))</f>
        <v>A</v>
      </c>
      <c r="G4" s="224" t="str">
        <f>VLOOKUP(B$4:B$16,I$4:M$16,5,0)</f>
        <v>A</v>
      </c>
      <c r="I4" s="117" t="s">
        <v>98</v>
      </c>
      <c r="J4" s="222">
        <f>ЯНВАРЬ!S8</f>
        <v>107</v>
      </c>
      <c r="K4" s="223">
        <f t="shared" ref="K4:K16" si="1">J4/J$17</f>
        <v>0.42629482071713148</v>
      </c>
      <c r="L4" s="223">
        <f>K4</f>
        <v>0.42629482071713148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92</v>
      </c>
      <c r="C5" s="222">
        <f>'Юнит 5'!AL3</f>
        <v>1813.3318043273737</v>
      </c>
      <c r="D5" s="223">
        <f t="shared" si="0"/>
        <v>0.25717714230806688</v>
      </c>
      <c r="E5" s="223">
        <f>E4+D5</f>
        <v>0.54722669192001683</v>
      </c>
      <c r="F5" s="224" t="str">
        <f t="shared" ref="F5:F16" si="2">IF(AND(E5&lt;=0),"C",IF(E5&lt;=0.8,"A",IF(E5&lt;=0.95,"B","C")))</f>
        <v>A</v>
      </c>
      <c r="G5" s="224" t="str">
        <f t="shared" ref="G5:G16" si="3">VLOOKUP(B$4:B$16,I$4:M$16,5,0)</f>
        <v>A</v>
      </c>
      <c r="I5" s="117" t="s">
        <v>92</v>
      </c>
      <c r="J5" s="222">
        <f>ЯНВАРЬ!S3</f>
        <v>62</v>
      </c>
      <c r="K5" s="223">
        <f t="shared" si="1"/>
        <v>0.24701195219123506</v>
      </c>
      <c r="L5" s="223">
        <f>L4+K5</f>
        <v>0.6733067729083666</v>
      </c>
      <c r="M5" s="224" t="str">
        <f t="shared" ref="M5:M16" si="4">_xlfn.IFS(L5&lt;80%,"A",L5&lt;=95%,"B",L5&gt;95%,"C")</f>
        <v>A</v>
      </c>
      <c r="P5" s="227" t="s">
        <v>120</v>
      </c>
      <c r="Q5" s="226">
        <v>0.15</v>
      </c>
    </row>
    <row r="6" spans="2:17" ht="15" outlineLevel="1" thickBot="1">
      <c r="B6" s="117" t="s">
        <v>96</v>
      </c>
      <c r="C6" s="222">
        <f>'Юнит 5'!AL6</f>
        <v>1154.6045108184385</v>
      </c>
      <c r="D6" s="223">
        <f t="shared" si="0"/>
        <v>0.16375265016566223</v>
      </c>
      <c r="E6" s="223">
        <f t="shared" ref="E6:E16" si="5">E5+D6</f>
        <v>0.71097934208567903</v>
      </c>
      <c r="F6" s="224" t="str">
        <f t="shared" si="2"/>
        <v>A</v>
      </c>
      <c r="G6" s="224" t="str">
        <f t="shared" si="3"/>
        <v>B</v>
      </c>
      <c r="I6" s="117" t="s">
        <v>99</v>
      </c>
      <c r="J6" s="222">
        <f>ЯНВАРЬ!S9</f>
        <v>26</v>
      </c>
      <c r="K6" s="223">
        <f t="shared" si="1"/>
        <v>0.10358565737051793</v>
      </c>
      <c r="L6" s="223">
        <f t="shared" ref="L6:L16" si="6">L5+K6</f>
        <v>0.77689243027888455</v>
      </c>
      <c r="M6" s="224" t="str">
        <f t="shared" si="4"/>
        <v>A</v>
      </c>
      <c r="P6" s="228" t="s">
        <v>121</v>
      </c>
      <c r="Q6" s="226">
        <v>0.05</v>
      </c>
    </row>
    <row r="7" spans="2:17" outlineLevel="1">
      <c r="B7" s="117" t="s">
        <v>104</v>
      </c>
      <c r="C7" s="222">
        <f>'Юнит 5'!AL14</f>
        <v>826.7881279397933</v>
      </c>
      <c r="D7" s="223">
        <f t="shared" si="0"/>
        <v>0.11725984595337999</v>
      </c>
      <c r="E7" s="223">
        <f t="shared" si="5"/>
        <v>0.82823918803905905</v>
      </c>
      <c r="F7" s="224" t="str">
        <f t="shared" si="2"/>
        <v>B</v>
      </c>
      <c r="G7" s="224" t="str">
        <f t="shared" si="3"/>
        <v>B</v>
      </c>
      <c r="I7" s="117" t="s">
        <v>96</v>
      </c>
      <c r="J7" s="222">
        <f>ЯНВАРЬ!S6</f>
        <v>20</v>
      </c>
      <c r="K7" s="223">
        <f t="shared" si="1"/>
        <v>7.9681274900398405E-2</v>
      </c>
      <c r="L7" s="223">
        <f t="shared" si="6"/>
        <v>0.856573705179283</v>
      </c>
      <c r="M7" s="224" t="str">
        <f t="shared" si="4"/>
        <v>B</v>
      </c>
    </row>
    <row r="8" spans="2:17" outlineLevel="1">
      <c r="B8" s="117" t="s">
        <v>102</v>
      </c>
      <c r="C8" s="222">
        <f>'Юнит 5'!AL12</f>
        <v>783.16961429915341</v>
      </c>
      <c r="D8" s="223">
        <f t="shared" si="0"/>
        <v>0.11107361756260502</v>
      </c>
      <c r="E8" s="223">
        <f t="shared" si="5"/>
        <v>0.93931280560166408</v>
      </c>
      <c r="F8" s="224" t="str">
        <f t="shared" si="2"/>
        <v>B</v>
      </c>
      <c r="G8" s="224" t="str">
        <f t="shared" si="3"/>
        <v>C</v>
      </c>
      <c r="I8" s="117" t="s">
        <v>94</v>
      </c>
      <c r="J8" s="222">
        <f>ЯНВАРЬ!S4</f>
        <v>10</v>
      </c>
      <c r="K8" s="223">
        <f t="shared" si="1"/>
        <v>3.9840637450199202E-2</v>
      </c>
      <c r="L8" s="223">
        <f t="shared" si="6"/>
        <v>0.89641434262948216</v>
      </c>
      <c r="M8" s="224" t="str">
        <f t="shared" si="4"/>
        <v>B</v>
      </c>
    </row>
    <row r="9" spans="2:17" outlineLevel="1">
      <c r="B9" s="117" t="s">
        <v>101</v>
      </c>
      <c r="C9" s="222">
        <f>'Юнит 5'!AL11</f>
        <v>758.76739416745056</v>
      </c>
      <c r="D9" s="223">
        <f t="shared" si="0"/>
        <v>0.10761275440205863</v>
      </c>
      <c r="E9" s="223">
        <f t="shared" si="5"/>
        <v>1.0469255600037226</v>
      </c>
      <c r="F9" s="224" t="str">
        <f t="shared" si="2"/>
        <v>C</v>
      </c>
      <c r="G9" s="224" t="str">
        <f t="shared" si="3"/>
        <v>C</v>
      </c>
      <c r="I9" s="117" t="s">
        <v>104</v>
      </c>
      <c r="J9" s="222">
        <f>ЯНВАРЬ!S14</f>
        <v>6</v>
      </c>
      <c r="K9" s="223">
        <f t="shared" si="1"/>
        <v>2.3904382470119521E-2</v>
      </c>
      <c r="L9" s="223">
        <f t="shared" si="6"/>
        <v>0.92031872509960166</v>
      </c>
      <c r="M9" s="224" t="str">
        <f t="shared" si="4"/>
        <v>B</v>
      </c>
    </row>
    <row r="10" spans="2:17" outlineLevel="1">
      <c r="B10" s="117" t="s">
        <v>103</v>
      </c>
      <c r="C10" s="222">
        <f>'Юнит 5'!AL13</f>
        <v>508.766293508937</v>
      </c>
      <c r="D10" s="223">
        <f t="shared" si="0"/>
        <v>7.2156160916082165E-2</v>
      </c>
      <c r="E10" s="223">
        <f t="shared" si="5"/>
        <v>1.1190817209198047</v>
      </c>
      <c r="F10" s="224" t="str">
        <f t="shared" si="2"/>
        <v>C</v>
      </c>
      <c r="G10" s="224" t="str">
        <f t="shared" si="3"/>
        <v>C</v>
      </c>
      <c r="I10" s="117" t="s">
        <v>95</v>
      </c>
      <c r="J10" s="222">
        <f>ЯНВАРЬ!S5</f>
        <v>4</v>
      </c>
      <c r="K10" s="223">
        <f t="shared" si="1"/>
        <v>1.5936254980079681E-2</v>
      </c>
      <c r="L10" s="223">
        <f t="shared" si="6"/>
        <v>0.93625498007968133</v>
      </c>
      <c r="M10" s="224" t="str">
        <f t="shared" si="4"/>
        <v>B</v>
      </c>
    </row>
    <row r="11" spans="2:17" outlineLevel="1">
      <c r="B11" s="117" t="s">
        <v>100</v>
      </c>
      <c r="C11" s="222">
        <f>'Юнит 5'!AL10</f>
        <v>398.95943085606785</v>
      </c>
      <c r="D11" s="223">
        <f t="shared" si="0"/>
        <v>5.6582720316029171E-2</v>
      </c>
      <c r="E11" s="223">
        <f t="shared" si="5"/>
        <v>1.1756644412358339</v>
      </c>
      <c r="F11" s="224" t="str">
        <f t="shared" si="2"/>
        <v>C</v>
      </c>
      <c r="G11" s="224" t="str">
        <f t="shared" si="3"/>
        <v>C</v>
      </c>
      <c r="I11" s="117" t="s">
        <v>103</v>
      </c>
      <c r="J11" s="222">
        <f>ЯНВАРЬ!S13</f>
        <v>4</v>
      </c>
      <c r="K11" s="223">
        <f t="shared" si="1"/>
        <v>1.5936254980079681E-2</v>
      </c>
      <c r="L11" s="223">
        <f t="shared" si="6"/>
        <v>0.952191235059761</v>
      </c>
      <c r="M11" s="224" t="str">
        <f t="shared" si="4"/>
        <v>C</v>
      </c>
    </row>
    <row r="12" spans="2:17" outlineLevel="1">
      <c r="B12" s="117" t="s">
        <v>99</v>
      </c>
      <c r="C12" s="222">
        <f>'Юнит 5'!AL9</f>
        <v>297.02680169331882</v>
      </c>
      <c r="D12" s="223">
        <f t="shared" si="0"/>
        <v>4.2126048782742051E-2</v>
      </c>
      <c r="E12" s="223">
        <f t="shared" si="5"/>
        <v>1.2177904900185759</v>
      </c>
      <c r="F12" s="224" t="str">
        <f t="shared" si="2"/>
        <v>C</v>
      </c>
      <c r="G12" s="224" t="str">
        <f t="shared" si="3"/>
        <v>A</v>
      </c>
      <c r="I12" s="117" t="s">
        <v>101</v>
      </c>
      <c r="J12" s="222">
        <f>ЯНВАРЬ!S11</f>
        <v>3</v>
      </c>
      <c r="K12" s="223">
        <f t="shared" si="1"/>
        <v>1.1952191235059761E-2</v>
      </c>
      <c r="L12" s="223">
        <f t="shared" si="6"/>
        <v>0.96414342629482075</v>
      </c>
      <c r="M12" s="224" t="str">
        <f t="shared" si="4"/>
        <v>C</v>
      </c>
    </row>
    <row r="13" spans="2:17" outlineLevel="1">
      <c r="B13" s="117" t="s">
        <v>94</v>
      </c>
      <c r="C13" s="222">
        <f>'Юнит 5'!AL4</f>
        <v>177.70463904045232</v>
      </c>
      <c r="D13" s="223">
        <f t="shared" si="0"/>
        <v>2.5203093628119715E-2</v>
      </c>
      <c r="E13" s="223">
        <f t="shared" si="5"/>
        <v>1.2429935836466957</v>
      </c>
      <c r="F13" s="224" t="str">
        <f t="shared" si="2"/>
        <v>C</v>
      </c>
      <c r="G13" s="224" t="str">
        <f t="shared" si="3"/>
        <v>B</v>
      </c>
      <c r="I13" s="117" t="s">
        <v>102</v>
      </c>
      <c r="J13" s="222">
        <f>ЯНВАРЬ!S12</f>
        <v>3</v>
      </c>
      <c r="K13" s="223">
        <f t="shared" si="1"/>
        <v>1.1952191235059761E-2</v>
      </c>
      <c r="L13" s="223">
        <f t="shared" si="6"/>
        <v>0.9760956175298805</v>
      </c>
      <c r="M13" s="224" t="str">
        <f t="shared" si="4"/>
        <v>C</v>
      </c>
    </row>
    <row r="14" spans="2:17" outlineLevel="1">
      <c r="B14" s="117" t="s">
        <v>105</v>
      </c>
      <c r="C14" s="222">
        <f>'Юнит 5'!AL15</f>
        <v>-22.030752587017872</v>
      </c>
      <c r="D14" s="223">
        <f t="shared" si="0"/>
        <v>-3.1245279985186976E-3</v>
      </c>
      <c r="E14" s="223">
        <f t="shared" si="5"/>
        <v>1.2398690556481771</v>
      </c>
      <c r="F14" s="224" t="str">
        <f t="shared" si="2"/>
        <v>C</v>
      </c>
      <c r="G14" s="224" t="str">
        <f t="shared" si="3"/>
        <v>C</v>
      </c>
      <c r="I14" s="117" t="s">
        <v>105</v>
      </c>
      <c r="J14" s="222">
        <f>ЯНВАРЬ!S15</f>
        <v>3</v>
      </c>
      <c r="K14" s="223">
        <f t="shared" si="1"/>
        <v>1.1952191235059761E-2</v>
      </c>
      <c r="L14" s="223">
        <f t="shared" si="6"/>
        <v>0.98804780876494025</v>
      </c>
      <c r="M14" s="224" t="str">
        <f t="shared" si="4"/>
        <v>C</v>
      </c>
    </row>
    <row r="15" spans="2:17" outlineLevel="1">
      <c r="B15" s="117" t="s">
        <v>97</v>
      </c>
      <c r="C15" s="222">
        <f>'Юнит 5'!AL7</f>
        <v>-773.48176387582316</v>
      </c>
      <c r="D15" s="223">
        <f t="shared" si="0"/>
        <v>-0.10969963091491355</v>
      </c>
      <c r="E15" s="223">
        <f t="shared" si="5"/>
        <v>1.1301694247332634</v>
      </c>
      <c r="F15" s="224" t="str">
        <f t="shared" si="2"/>
        <v>C</v>
      </c>
      <c r="G15" s="224" t="str">
        <f t="shared" si="3"/>
        <v>C</v>
      </c>
      <c r="I15" s="117" t="s">
        <v>100</v>
      </c>
      <c r="J15" s="222">
        <f>ЯНВАРЬ!S10</f>
        <v>2</v>
      </c>
      <c r="K15" s="223">
        <f t="shared" si="1"/>
        <v>7.9681274900398405E-3</v>
      </c>
      <c r="L15" s="223">
        <f t="shared" si="6"/>
        <v>0.99601593625498008</v>
      </c>
      <c r="M15" s="224" t="str">
        <f t="shared" si="4"/>
        <v>C</v>
      </c>
    </row>
    <row r="16" spans="2:17" outlineLevel="1">
      <c r="B16" s="117" t="s">
        <v>95</v>
      </c>
      <c r="C16" s="222">
        <f>'Юнит 5'!AL5</f>
        <v>-917.81235183443084</v>
      </c>
      <c r="D16" s="223">
        <f t="shared" si="0"/>
        <v>-0.13016942473326348</v>
      </c>
      <c r="E16" s="223">
        <f t="shared" si="5"/>
        <v>1</v>
      </c>
      <c r="F16" s="224" t="str">
        <f t="shared" si="2"/>
        <v>C</v>
      </c>
      <c r="G16" s="224" t="str">
        <f t="shared" si="3"/>
        <v>B</v>
      </c>
      <c r="I16" s="117" t="s">
        <v>97</v>
      </c>
      <c r="J16" s="222">
        <f>ЯНВАРЬ!S7</f>
        <v>1</v>
      </c>
      <c r="K16" s="223">
        <f t="shared" si="1"/>
        <v>3.9840637450199202E-3</v>
      </c>
      <c r="L16" s="223">
        <f t="shared" si="6"/>
        <v>1</v>
      </c>
      <c r="M16" s="224" t="str">
        <f t="shared" si="4"/>
        <v>C</v>
      </c>
    </row>
    <row r="17" spans="2:16" outlineLevel="1">
      <c r="C17" s="229">
        <f>SUM(C4:C16)</f>
        <v>7050.9057999999986</v>
      </c>
      <c r="D17" s="230">
        <f>SUM(D4:D16)</f>
        <v>1</v>
      </c>
      <c r="J17" s="229">
        <f>SUM(J4:J16)</f>
        <v>251</v>
      </c>
      <c r="K17" s="230">
        <f>SUM(K4:K16)</f>
        <v>1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8" priority="10" operator="equal">
      <formula>"C"</formula>
    </cfRule>
    <cfRule type="cellIs" dxfId="97" priority="11" operator="equal">
      <formula>"B"</formula>
    </cfRule>
    <cfRule type="cellIs" dxfId="96" priority="12" operator="equal">
      <formula>"A"</formula>
    </cfRule>
  </conditionalFormatting>
  <conditionalFormatting sqref="G21:G72">
    <cfRule type="cellIs" dxfId="95" priority="7" operator="equal">
      <formula>"C"</formula>
    </cfRule>
    <cfRule type="cellIs" dxfId="94" priority="8" operator="equal">
      <formula>"B"</formula>
    </cfRule>
    <cfRule type="cellIs" dxfId="93" priority="9" operator="equal">
      <formula>"A"</formula>
    </cfRule>
  </conditionalFormatting>
  <conditionalFormatting sqref="F4:F16">
    <cfRule type="cellIs" dxfId="92" priority="4" operator="equal">
      <formula>"C"</formula>
    </cfRule>
    <cfRule type="cellIs" dxfId="91" priority="5" operator="equal">
      <formula>"B"</formula>
    </cfRule>
    <cfRule type="cellIs" dxfId="90" priority="6" operator="equal">
      <formula>"A"</formula>
    </cfRule>
  </conditionalFormatting>
  <conditionalFormatting sqref="F21:F72">
    <cfRule type="cellIs" dxfId="89" priority="1" operator="equal">
      <formula>"C"</formula>
    </cfRule>
    <cfRule type="cellIs" dxfId="88" priority="2" operator="equal">
      <formula>"B"</formula>
    </cfRule>
    <cfRule type="cellIs" dxfId="87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98</v>
      </c>
      <c r="C4" s="222">
        <f>'Юнит 5'!AL8</f>
        <v>2045.1120516462852</v>
      </c>
      <c r="D4" s="223">
        <f t="shared" ref="D4:D16" si="0">C4/C$17</f>
        <v>0.29004954961194995</v>
      </c>
      <c r="E4" s="223">
        <f>D4</f>
        <v>0.29004954961194995</v>
      </c>
      <c r="F4" s="224" t="str">
        <f>IF(AND(E4&lt;=0),"C",IF(E4&lt;=0.8,"A",IF(E4&lt;=0.95,"B","C")))</f>
        <v>A</v>
      </c>
      <c r="G4" s="224" t="str">
        <f>VLOOKUP(B$4:B$16,I$4:M$16,5,0)</f>
        <v>A</v>
      </c>
      <c r="I4" s="117" t="s">
        <v>92</v>
      </c>
      <c r="J4" s="222">
        <f>'Юнит 5'!S3</f>
        <v>19</v>
      </c>
      <c r="K4" s="223">
        <f t="shared" ref="K4:K16" si="1">J4/J$17</f>
        <v>0.27536231884057971</v>
      </c>
      <c r="L4" s="223">
        <f>K4</f>
        <v>0.27536231884057971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92</v>
      </c>
      <c r="C5" s="222">
        <f>'Юнит 5'!AL3</f>
        <v>1813.3318043273737</v>
      </c>
      <c r="D5" s="223">
        <f t="shared" si="0"/>
        <v>0.25717714230806688</v>
      </c>
      <c r="E5" s="223">
        <f>E4+D5</f>
        <v>0.54722669192001683</v>
      </c>
      <c r="F5" s="224" t="str">
        <f t="shared" ref="F5:F16" si="2">IF(AND(E5&lt;=0),"C",IF(E5&lt;=0.8,"A",IF(E5&lt;=0.95,"B","C")))</f>
        <v>A</v>
      </c>
      <c r="G5" s="224" t="str">
        <f t="shared" ref="G5:G16" si="3">VLOOKUP(B$4:B$16,I$4:M$16,5,0)</f>
        <v>A</v>
      </c>
      <c r="I5" s="117" t="s">
        <v>98</v>
      </c>
      <c r="J5" s="222">
        <f>'Юнит 5'!S8</f>
        <v>14</v>
      </c>
      <c r="K5" s="223">
        <f t="shared" si="1"/>
        <v>0.20289855072463769</v>
      </c>
      <c r="L5" s="223">
        <f>L4+K5</f>
        <v>0.47826086956521741</v>
      </c>
      <c r="M5" s="224" t="str">
        <f t="shared" ref="M5:M16" si="4">_xlfn.IFS(L5&lt;80%,"A",L5&lt;=95%,"B",L5&gt;95%,"C")</f>
        <v>A</v>
      </c>
      <c r="P5" s="227" t="s">
        <v>120</v>
      </c>
      <c r="Q5" s="226">
        <v>0.15</v>
      </c>
    </row>
    <row r="6" spans="2:17" ht="15" outlineLevel="1" thickBot="1">
      <c r="B6" s="117" t="s">
        <v>96</v>
      </c>
      <c r="C6" s="222">
        <f>'Юнит 5'!AL6</f>
        <v>1154.6045108184385</v>
      </c>
      <c r="D6" s="223">
        <f t="shared" si="0"/>
        <v>0.16375265016566223</v>
      </c>
      <c r="E6" s="223">
        <f t="shared" ref="E6:E16" si="5">E5+D6</f>
        <v>0.71097934208567903</v>
      </c>
      <c r="F6" s="224" t="str">
        <f t="shared" si="2"/>
        <v>A</v>
      </c>
      <c r="G6" s="224" t="str">
        <f t="shared" si="3"/>
        <v>B</v>
      </c>
      <c r="I6" s="117" t="s">
        <v>99</v>
      </c>
      <c r="J6" s="222">
        <f>'Юнит 5'!S9</f>
        <v>11</v>
      </c>
      <c r="K6" s="223">
        <f t="shared" si="1"/>
        <v>0.15942028985507245</v>
      </c>
      <c r="L6" s="223">
        <f t="shared" ref="L6:L16" si="6">L5+K6</f>
        <v>0.6376811594202898</v>
      </c>
      <c r="M6" s="224" t="str">
        <f t="shared" si="4"/>
        <v>A</v>
      </c>
      <c r="P6" s="228" t="s">
        <v>121</v>
      </c>
      <c r="Q6" s="226">
        <v>0.05</v>
      </c>
    </row>
    <row r="7" spans="2:17" outlineLevel="1">
      <c r="B7" s="117" t="s">
        <v>104</v>
      </c>
      <c r="C7" s="222">
        <f>'Юнит 5'!AL14</f>
        <v>826.7881279397933</v>
      </c>
      <c r="D7" s="223">
        <f t="shared" si="0"/>
        <v>0.11725984595337999</v>
      </c>
      <c r="E7" s="223">
        <f t="shared" si="5"/>
        <v>0.82823918803905905</v>
      </c>
      <c r="F7" s="224" t="str">
        <f t="shared" si="2"/>
        <v>B</v>
      </c>
      <c r="G7" s="224" t="str">
        <f t="shared" si="3"/>
        <v>C</v>
      </c>
      <c r="I7" s="117" t="s">
        <v>94</v>
      </c>
      <c r="J7" s="222">
        <f>'Юнит 5'!S4</f>
        <v>10</v>
      </c>
      <c r="K7" s="223">
        <f t="shared" si="1"/>
        <v>0.14492753623188406</v>
      </c>
      <c r="L7" s="223">
        <f t="shared" si="6"/>
        <v>0.78260869565217384</v>
      </c>
      <c r="M7" s="224" t="str">
        <f t="shared" si="4"/>
        <v>A</v>
      </c>
    </row>
    <row r="8" spans="2:17" outlineLevel="1">
      <c r="B8" s="117" t="s">
        <v>102</v>
      </c>
      <c r="C8" s="222">
        <f>'Юнит 5'!AL12</f>
        <v>783.16961429915341</v>
      </c>
      <c r="D8" s="223">
        <f t="shared" si="0"/>
        <v>0.11107361756260502</v>
      </c>
      <c r="E8" s="223">
        <f t="shared" si="5"/>
        <v>0.93931280560166408</v>
      </c>
      <c r="F8" s="224" t="str">
        <f t="shared" si="2"/>
        <v>B</v>
      </c>
      <c r="G8" s="224" t="str">
        <f t="shared" si="3"/>
        <v>B</v>
      </c>
      <c r="I8" s="117" t="s">
        <v>95</v>
      </c>
      <c r="J8" s="222">
        <f>'Юнит 5'!S5</f>
        <v>3</v>
      </c>
      <c r="K8" s="223">
        <f t="shared" si="1"/>
        <v>4.3478260869565216E-2</v>
      </c>
      <c r="L8" s="223">
        <f t="shared" si="6"/>
        <v>0.82608695652173902</v>
      </c>
      <c r="M8" s="224" t="str">
        <f t="shared" si="4"/>
        <v>B</v>
      </c>
    </row>
    <row r="9" spans="2:17" outlineLevel="1">
      <c r="B9" s="117" t="s">
        <v>101</v>
      </c>
      <c r="C9" s="222">
        <f>'Юнит 5'!AL11</f>
        <v>758.76739416745056</v>
      </c>
      <c r="D9" s="223">
        <f t="shared" si="0"/>
        <v>0.10761275440205863</v>
      </c>
      <c r="E9" s="223">
        <f t="shared" si="5"/>
        <v>1.0469255600037226</v>
      </c>
      <c r="F9" s="224" t="str">
        <f t="shared" si="2"/>
        <v>C</v>
      </c>
      <c r="G9" s="224" t="str">
        <f t="shared" si="3"/>
        <v>B</v>
      </c>
      <c r="I9" s="117" t="s">
        <v>96</v>
      </c>
      <c r="J9" s="222">
        <f>'Юнит 5'!S6</f>
        <v>3</v>
      </c>
      <c r="K9" s="223">
        <f t="shared" si="1"/>
        <v>4.3478260869565216E-2</v>
      </c>
      <c r="L9" s="223">
        <f t="shared" si="6"/>
        <v>0.86956521739130421</v>
      </c>
      <c r="M9" s="224" t="str">
        <f t="shared" si="4"/>
        <v>B</v>
      </c>
    </row>
    <row r="10" spans="2:17" outlineLevel="1">
      <c r="B10" s="117" t="s">
        <v>103</v>
      </c>
      <c r="C10" s="222">
        <f>'Юнит 5'!AL13</f>
        <v>508.766293508937</v>
      </c>
      <c r="D10" s="223">
        <f t="shared" si="0"/>
        <v>7.2156160916082165E-2</v>
      </c>
      <c r="E10" s="223">
        <f t="shared" si="5"/>
        <v>1.1190817209198047</v>
      </c>
      <c r="F10" s="224" t="str">
        <f t="shared" si="2"/>
        <v>C</v>
      </c>
      <c r="G10" s="224" t="str">
        <f t="shared" si="3"/>
        <v>C</v>
      </c>
      <c r="I10" s="117" t="s">
        <v>101</v>
      </c>
      <c r="J10" s="222">
        <f>'Юнит 5'!S11</f>
        <v>2</v>
      </c>
      <c r="K10" s="223">
        <f t="shared" si="1"/>
        <v>2.8985507246376812E-2</v>
      </c>
      <c r="L10" s="223">
        <f t="shared" si="6"/>
        <v>0.89855072463768104</v>
      </c>
      <c r="M10" s="224" t="str">
        <f t="shared" si="4"/>
        <v>B</v>
      </c>
    </row>
    <row r="11" spans="2:17" outlineLevel="1">
      <c r="B11" s="117" t="s">
        <v>100</v>
      </c>
      <c r="C11" s="222">
        <f>'Юнит 5'!AL10</f>
        <v>398.95943085606785</v>
      </c>
      <c r="D11" s="223">
        <f t="shared" si="0"/>
        <v>5.6582720316029171E-2</v>
      </c>
      <c r="E11" s="223">
        <f t="shared" si="5"/>
        <v>1.1756644412358339</v>
      </c>
      <c r="F11" s="224" t="str">
        <f t="shared" si="2"/>
        <v>C</v>
      </c>
      <c r="G11" s="224" t="str">
        <f t="shared" si="3"/>
        <v>C</v>
      </c>
      <c r="I11" s="117" t="s">
        <v>102</v>
      </c>
      <c r="J11" s="222">
        <f>'Юнит 5'!S12</f>
        <v>2</v>
      </c>
      <c r="K11" s="223">
        <f t="shared" si="1"/>
        <v>2.8985507246376812E-2</v>
      </c>
      <c r="L11" s="223">
        <f t="shared" si="6"/>
        <v>0.92753623188405787</v>
      </c>
      <c r="M11" s="224" t="str">
        <f t="shared" si="4"/>
        <v>B</v>
      </c>
    </row>
    <row r="12" spans="2:17" outlineLevel="1">
      <c r="B12" s="117" t="s">
        <v>99</v>
      </c>
      <c r="C12" s="222">
        <f>'Юнит 5'!AL9</f>
        <v>297.02680169331882</v>
      </c>
      <c r="D12" s="223">
        <f t="shared" si="0"/>
        <v>4.2126048782742051E-2</v>
      </c>
      <c r="E12" s="223">
        <f t="shared" si="5"/>
        <v>1.2177904900185759</v>
      </c>
      <c r="F12" s="224" t="str">
        <f t="shared" si="2"/>
        <v>C</v>
      </c>
      <c r="G12" s="224" t="str">
        <f t="shared" si="3"/>
        <v>A</v>
      </c>
      <c r="I12" s="117" t="s">
        <v>104</v>
      </c>
      <c r="J12" s="222">
        <f>'Юнит 5'!S14</f>
        <v>2</v>
      </c>
      <c r="K12" s="223">
        <f t="shared" si="1"/>
        <v>2.8985507246376812E-2</v>
      </c>
      <c r="L12" s="223">
        <f t="shared" si="6"/>
        <v>0.9565217391304347</v>
      </c>
      <c r="M12" s="224" t="str">
        <f t="shared" si="4"/>
        <v>C</v>
      </c>
    </row>
    <row r="13" spans="2:17" outlineLevel="1">
      <c r="B13" s="117" t="s">
        <v>94</v>
      </c>
      <c r="C13" s="222">
        <f>'Юнит 5'!AL4</f>
        <v>177.70463904045232</v>
      </c>
      <c r="D13" s="223">
        <f t="shared" si="0"/>
        <v>2.5203093628119715E-2</v>
      </c>
      <c r="E13" s="223">
        <f t="shared" si="5"/>
        <v>1.2429935836466957</v>
      </c>
      <c r="F13" s="224" t="str">
        <f t="shared" si="2"/>
        <v>C</v>
      </c>
      <c r="G13" s="224" t="str">
        <f t="shared" si="3"/>
        <v>A</v>
      </c>
      <c r="I13" s="117" t="s">
        <v>97</v>
      </c>
      <c r="J13" s="222">
        <f>'Юнит 5'!S7</f>
        <v>1</v>
      </c>
      <c r="K13" s="223">
        <f t="shared" si="1"/>
        <v>1.4492753623188406E-2</v>
      </c>
      <c r="L13" s="223">
        <f t="shared" si="6"/>
        <v>0.97101449275362306</v>
      </c>
      <c r="M13" s="224" t="str">
        <f t="shared" si="4"/>
        <v>C</v>
      </c>
    </row>
    <row r="14" spans="2:17" outlineLevel="1">
      <c r="B14" s="117" t="s">
        <v>105</v>
      </c>
      <c r="C14" s="222">
        <f>'Юнит 5'!AL15</f>
        <v>-22.030752587017872</v>
      </c>
      <c r="D14" s="223">
        <f t="shared" si="0"/>
        <v>-3.1245279985186976E-3</v>
      </c>
      <c r="E14" s="223">
        <f t="shared" si="5"/>
        <v>1.2398690556481771</v>
      </c>
      <c r="F14" s="224" t="str">
        <f t="shared" si="2"/>
        <v>C</v>
      </c>
      <c r="G14" s="224" t="str">
        <f t="shared" si="3"/>
        <v>C</v>
      </c>
      <c r="I14" s="117" t="s">
        <v>100</v>
      </c>
      <c r="J14" s="222">
        <f>'Юнит 5'!S10</f>
        <v>1</v>
      </c>
      <c r="K14" s="223">
        <f t="shared" si="1"/>
        <v>1.4492753623188406E-2</v>
      </c>
      <c r="L14" s="223">
        <f t="shared" si="6"/>
        <v>0.98550724637681142</v>
      </c>
      <c r="M14" s="224" t="str">
        <f t="shared" si="4"/>
        <v>C</v>
      </c>
    </row>
    <row r="15" spans="2:17" outlineLevel="1">
      <c r="B15" s="117" t="s">
        <v>97</v>
      </c>
      <c r="C15" s="222">
        <f>'Юнит 5'!AL7</f>
        <v>-773.48176387582316</v>
      </c>
      <c r="D15" s="223">
        <f t="shared" si="0"/>
        <v>-0.10969963091491355</v>
      </c>
      <c r="E15" s="223">
        <f t="shared" si="5"/>
        <v>1.1301694247332634</v>
      </c>
      <c r="F15" s="224" t="str">
        <f t="shared" si="2"/>
        <v>C</v>
      </c>
      <c r="G15" s="224" t="str">
        <f t="shared" si="3"/>
        <v>C</v>
      </c>
      <c r="I15" s="117" t="s">
        <v>103</v>
      </c>
      <c r="J15" s="222">
        <f>'Юнит 5'!S13</f>
        <v>1</v>
      </c>
      <c r="K15" s="223">
        <f t="shared" si="1"/>
        <v>1.4492753623188406E-2</v>
      </c>
      <c r="L15" s="223">
        <f t="shared" si="6"/>
        <v>0.99999999999999978</v>
      </c>
      <c r="M15" s="224" t="str">
        <f t="shared" si="4"/>
        <v>C</v>
      </c>
    </row>
    <row r="16" spans="2:17" outlineLevel="1">
      <c r="B16" s="117" t="s">
        <v>95</v>
      </c>
      <c r="C16" s="222">
        <f>'Юнит 5'!AL5</f>
        <v>-917.81235183443084</v>
      </c>
      <c r="D16" s="223">
        <f t="shared" si="0"/>
        <v>-0.13016942473326348</v>
      </c>
      <c r="E16" s="223">
        <f t="shared" si="5"/>
        <v>1</v>
      </c>
      <c r="F16" s="224" t="str">
        <f t="shared" si="2"/>
        <v>C</v>
      </c>
      <c r="G16" s="224" t="str">
        <f t="shared" si="3"/>
        <v>B</v>
      </c>
      <c r="I16" s="117" t="s">
        <v>105</v>
      </c>
      <c r="J16" s="222">
        <f>'Юнит 5'!S15</f>
        <v>0</v>
      </c>
      <c r="K16" s="223">
        <f t="shared" si="1"/>
        <v>0</v>
      </c>
      <c r="L16" s="223">
        <f t="shared" si="6"/>
        <v>0.99999999999999978</v>
      </c>
      <c r="M16" s="224" t="str">
        <f t="shared" si="4"/>
        <v>C</v>
      </c>
    </row>
    <row r="17" spans="2:16" outlineLevel="1">
      <c r="C17" s="229">
        <f>SUM(C4:C16)</f>
        <v>7050.9057999999986</v>
      </c>
      <c r="D17" s="230">
        <f>SUM(D4:D16)</f>
        <v>1</v>
      </c>
      <c r="J17" s="229">
        <f>SUM(J4:J16)</f>
        <v>69</v>
      </c>
      <c r="K17" s="230">
        <f>SUM(K4:K16)</f>
        <v>0.99999999999999978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86" priority="10" operator="equal">
      <formula>"C"</formula>
    </cfRule>
    <cfRule type="cellIs" dxfId="85" priority="11" operator="equal">
      <formula>"B"</formula>
    </cfRule>
    <cfRule type="cellIs" dxfId="84" priority="12" operator="equal">
      <formula>"A"</formula>
    </cfRule>
  </conditionalFormatting>
  <conditionalFormatting sqref="G21:G72">
    <cfRule type="cellIs" dxfId="83" priority="7" operator="equal">
      <formula>"C"</formula>
    </cfRule>
    <cfRule type="cellIs" dxfId="82" priority="8" operator="equal">
      <formula>"B"</formula>
    </cfRule>
    <cfRule type="cellIs" dxfId="81" priority="9" operator="equal">
      <formula>"A"</formula>
    </cfRule>
  </conditionalFormatting>
  <conditionalFormatting sqref="F4:F16">
    <cfRule type="cellIs" dxfId="80" priority="4" operator="equal">
      <formula>"C"</formula>
    </cfRule>
    <cfRule type="cellIs" dxfId="79" priority="5" operator="equal">
      <formula>"B"</formula>
    </cfRule>
    <cfRule type="cellIs" dxfId="78" priority="6" operator="equal">
      <formula>"A"</formula>
    </cfRule>
  </conditionalFormatting>
  <conditionalFormatting sqref="F21:F72">
    <cfRule type="cellIs" dxfId="77" priority="1" operator="equal">
      <formula>"C"</formula>
    </cfRule>
    <cfRule type="cellIs" dxfId="76" priority="2" operator="equal">
      <formula>"B"</formula>
    </cfRule>
    <cfRule type="cellIs" dxfId="7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92</v>
      </c>
      <c r="C4" s="222">
        <f>'Юнит 4'!AL3</f>
        <v>5677.8441688888897</v>
      </c>
      <c r="D4" s="223">
        <f t="shared" ref="D4:D16" si="0">C4/C$17</f>
        <v>0.41524799797791723</v>
      </c>
      <c r="E4" s="223">
        <f>D4</f>
        <v>0.41524799797791723</v>
      </c>
      <c r="F4" s="224" t="str">
        <f>IF(AND(E4&lt;=0),"C",IF(E4&lt;=0.8,"A",IF(E4&lt;=0.95,"B","C")))</f>
        <v>A</v>
      </c>
      <c r="G4" s="224" t="str">
        <f>VLOOKUP(B$4:B$16,I$4:M$16,5,0)</f>
        <v>A</v>
      </c>
      <c r="I4" s="117" t="s">
        <v>92</v>
      </c>
      <c r="J4" s="222">
        <f>'Юнит 4'!S3</f>
        <v>21</v>
      </c>
      <c r="K4" s="223">
        <f t="shared" ref="K4:K16" si="1">J4/J$17</f>
        <v>0.44680851063829785</v>
      </c>
      <c r="L4" s="223">
        <f>K4</f>
        <v>0.44680851063829785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98</v>
      </c>
      <c r="C5" s="222">
        <f>'Юнит 4'!AL8</f>
        <v>5497.2060888888882</v>
      </c>
      <c r="D5" s="223">
        <f t="shared" si="0"/>
        <v>0.40203706811661843</v>
      </c>
      <c r="E5" s="223">
        <f>E4+D5</f>
        <v>0.81728506609453566</v>
      </c>
      <c r="F5" s="224" t="str">
        <f t="shared" ref="F5:F16" si="2">IF(AND(E5&lt;=0),"C",IF(E5&lt;=0.8,"A",IF(E5&lt;=0.95,"B","C")))</f>
        <v>B</v>
      </c>
      <c r="G5" s="224" t="str">
        <f t="shared" ref="G5:G16" si="3">VLOOKUP(B$4:B$16,I$4:M$16,5,0)</f>
        <v>A</v>
      </c>
      <c r="I5" s="117" t="s">
        <v>98</v>
      </c>
      <c r="J5" s="222">
        <f>'Юнит 4'!S8</f>
        <v>10</v>
      </c>
      <c r="K5" s="223">
        <f t="shared" si="1"/>
        <v>0.21276595744680851</v>
      </c>
      <c r="L5" s="223">
        <f>L4+K5</f>
        <v>0.65957446808510634</v>
      </c>
      <c r="M5" s="224" t="str">
        <f t="shared" ref="M5:M16" si="4">_xlfn.IFS(L5&lt;80%,"A",L5&lt;=95%,"B",L5&gt;95%,"C")</f>
        <v>A</v>
      </c>
      <c r="P5" s="227" t="s">
        <v>120</v>
      </c>
      <c r="Q5" s="226">
        <v>0.15</v>
      </c>
    </row>
    <row r="6" spans="2:17" ht="15" outlineLevel="1" thickBot="1">
      <c r="B6" s="117" t="s">
        <v>96</v>
      </c>
      <c r="C6" s="222">
        <f>'Юнит 4'!AL6</f>
        <v>1821.9753155555557</v>
      </c>
      <c r="D6" s="223">
        <f t="shared" si="0"/>
        <v>0.13324980038993986</v>
      </c>
      <c r="E6" s="223">
        <f t="shared" ref="E6:E16" si="5">E5+D6</f>
        <v>0.95053486648447549</v>
      </c>
      <c r="F6" s="224" t="str">
        <f t="shared" si="2"/>
        <v>C</v>
      </c>
      <c r="G6" s="224" t="str">
        <f t="shared" si="3"/>
        <v>B</v>
      </c>
      <c r="I6" s="117" t="s">
        <v>99</v>
      </c>
      <c r="J6" s="222">
        <f>'Юнит 4'!S9</f>
        <v>9</v>
      </c>
      <c r="K6" s="223">
        <f t="shared" si="1"/>
        <v>0.19148936170212766</v>
      </c>
      <c r="L6" s="223">
        <f t="shared" ref="L6:L16" si="6">L5+K6</f>
        <v>0.85106382978723394</v>
      </c>
      <c r="M6" s="224" t="str">
        <f t="shared" si="4"/>
        <v>B</v>
      </c>
      <c r="P6" s="228" t="s">
        <v>121</v>
      </c>
      <c r="Q6" s="226">
        <v>0.05</v>
      </c>
    </row>
    <row r="7" spans="2:17" outlineLevel="1">
      <c r="B7" s="117" t="s">
        <v>99</v>
      </c>
      <c r="C7" s="222">
        <f>'Юнит 4'!AL9</f>
        <v>814.7513244444433</v>
      </c>
      <c r="D7" s="223">
        <f t="shared" si="0"/>
        <v>5.9586675199580011E-2</v>
      </c>
      <c r="E7" s="223">
        <f t="shared" si="5"/>
        <v>1.0101215416840554</v>
      </c>
      <c r="F7" s="224" t="str">
        <f t="shared" si="2"/>
        <v>C</v>
      </c>
      <c r="G7" s="224" t="str">
        <f t="shared" si="3"/>
        <v>B</v>
      </c>
      <c r="I7" s="117" t="s">
        <v>96</v>
      </c>
      <c r="J7" s="222">
        <f>'Юнит 4'!S6</f>
        <v>4</v>
      </c>
      <c r="K7" s="223">
        <f t="shared" si="1"/>
        <v>8.5106382978723402E-2</v>
      </c>
      <c r="L7" s="223">
        <f t="shared" si="6"/>
        <v>0.93617021276595735</v>
      </c>
      <c r="M7" s="224" t="str">
        <f t="shared" si="4"/>
        <v>B</v>
      </c>
    </row>
    <row r="8" spans="2:17" outlineLevel="1">
      <c r="B8" s="117" t="s">
        <v>105</v>
      </c>
      <c r="C8" s="222">
        <f>'Юнит 4'!AL15</f>
        <v>550.12526222222243</v>
      </c>
      <c r="D8" s="223">
        <f t="shared" si="0"/>
        <v>4.0233301052282705E-2</v>
      </c>
      <c r="E8" s="223">
        <f t="shared" si="5"/>
        <v>1.0503548427363381</v>
      </c>
      <c r="F8" s="224" t="str">
        <f t="shared" si="2"/>
        <v>C</v>
      </c>
      <c r="G8" s="224" t="str">
        <f t="shared" si="3"/>
        <v>C</v>
      </c>
      <c r="I8" s="117" t="s">
        <v>102</v>
      </c>
      <c r="J8" s="222">
        <f>'Юнит 4'!S12</f>
        <v>1</v>
      </c>
      <c r="K8" s="223">
        <f t="shared" si="1"/>
        <v>2.1276595744680851E-2</v>
      </c>
      <c r="L8" s="223">
        <f t="shared" si="6"/>
        <v>0.95744680851063824</v>
      </c>
      <c r="M8" s="224" t="str">
        <f t="shared" si="4"/>
        <v>C</v>
      </c>
    </row>
    <row r="9" spans="2:17" outlineLevel="1">
      <c r="B9" s="117" t="s">
        <v>102</v>
      </c>
      <c r="C9" s="222">
        <f>'Юнит 4'!AL12</f>
        <v>373.65885333333335</v>
      </c>
      <c r="D9" s="223">
        <f t="shared" si="0"/>
        <v>2.7327465523548297E-2</v>
      </c>
      <c r="E9" s="223">
        <f t="shared" si="5"/>
        <v>1.0776823082598863</v>
      </c>
      <c r="F9" s="224" t="str">
        <f t="shared" si="2"/>
        <v>C</v>
      </c>
      <c r="G9" s="224" t="str">
        <f t="shared" si="3"/>
        <v>C</v>
      </c>
      <c r="I9" s="117" t="s">
        <v>103</v>
      </c>
      <c r="J9" s="222">
        <f>'Юнит 4'!S13</f>
        <v>1</v>
      </c>
      <c r="K9" s="223">
        <f t="shared" si="1"/>
        <v>2.1276595744680851E-2</v>
      </c>
      <c r="L9" s="223">
        <f t="shared" si="6"/>
        <v>0.97872340425531912</v>
      </c>
      <c r="M9" s="224" t="str">
        <f t="shared" si="4"/>
        <v>C</v>
      </c>
    </row>
    <row r="10" spans="2:17" outlineLevel="1">
      <c r="B10" s="117" t="s">
        <v>103</v>
      </c>
      <c r="C10" s="222">
        <f>'Юнит 4'!AL13</f>
        <v>292.2935911111112</v>
      </c>
      <c r="D10" s="223">
        <f t="shared" si="0"/>
        <v>2.1376833340323406E-2</v>
      </c>
      <c r="E10" s="223">
        <f t="shared" si="5"/>
        <v>1.0990591416002098</v>
      </c>
      <c r="F10" s="224" t="str">
        <f t="shared" si="2"/>
        <v>C</v>
      </c>
      <c r="G10" s="224" t="str">
        <f t="shared" si="3"/>
        <v>C</v>
      </c>
      <c r="I10" s="117" t="s">
        <v>105</v>
      </c>
      <c r="J10" s="222">
        <f>'Юнит 4'!S15</f>
        <v>1</v>
      </c>
      <c r="K10" s="223">
        <f t="shared" si="1"/>
        <v>2.1276595744680851E-2</v>
      </c>
      <c r="L10" s="223">
        <f t="shared" si="6"/>
        <v>1</v>
      </c>
      <c r="M10" s="224" t="str">
        <f t="shared" si="4"/>
        <v>C</v>
      </c>
    </row>
    <row r="11" spans="2:17" outlineLevel="1">
      <c r="B11" s="117" t="s">
        <v>101</v>
      </c>
      <c r="C11" s="222">
        <f>'Юнит 4'!AL11</f>
        <v>-24.942493333333335</v>
      </c>
      <c r="D11" s="223">
        <f t="shared" si="0"/>
        <v>-1.824164262555142E-3</v>
      </c>
      <c r="E11" s="223">
        <f t="shared" si="5"/>
        <v>1.0972349773376546</v>
      </c>
      <c r="F11" s="224" t="str">
        <f t="shared" si="2"/>
        <v>C</v>
      </c>
      <c r="G11" s="224" t="str">
        <f t="shared" si="3"/>
        <v>C</v>
      </c>
      <c r="I11" s="117" t="s">
        <v>94</v>
      </c>
      <c r="J11" s="222">
        <f>'Юнит 4'!S4</f>
        <v>0</v>
      </c>
      <c r="K11" s="223">
        <f t="shared" si="1"/>
        <v>0</v>
      </c>
      <c r="L11" s="223">
        <f t="shared" si="6"/>
        <v>1</v>
      </c>
      <c r="M11" s="224" t="str">
        <f t="shared" si="4"/>
        <v>C</v>
      </c>
    </row>
    <row r="12" spans="2:17" outlineLevel="1">
      <c r="B12" s="117" t="s">
        <v>104</v>
      </c>
      <c r="C12" s="222">
        <f>'Юнит 4'!AL14</f>
        <v>-37.733515555555556</v>
      </c>
      <c r="D12" s="223">
        <f t="shared" si="0"/>
        <v>-2.7596331151475222E-3</v>
      </c>
      <c r="E12" s="223">
        <f t="shared" si="5"/>
        <v>1.094475344222507</v>
      </c>
      <c r="F12" s="224" t="str">
        <f t="shared" si="2"/>
        <v>C</v>
      </c>
      <c r="G12" s="224" t="str">
        <f t="shared" si="3"/>
        <v>C</v>
      </c>
      <c r="I12" s="117" t="s">
        <v>95</v>
      </c>
      <c r="J12" s="222">
        <f>'Юнит 4'!S5</f>
        <v>0</v>
      </c>
      <c r="K12" s="223">
        <f t="shared" si="1"/>
        <v>0</v>
      </c>
      <c r="L12" s="223">
        <f t="shared" si="6"/>
        <v>1</v>
      </c>
      <c r="M12" s="224" t="str">
        <f t="shared" si="4"/>
        <v>C</v>
      </c>
    </row>
    <row r="13" spans="2:17" outlineLevel="1">
      <c r="B13" s="117" t="s">
        <v>100</v>
      </c>
      <c r="C13" s="222">
        <f>'Юнит 4'!AL10</f>
        <v>-121.34249333333334</v>
      </c>
      <c r="D13" s="223">
        <f t="shared" si="0"/>
        <v>-8.8743589868856554E-3</v>
      </c>
      <c r="E13" s="223">
        <f t="shared" si="5"/>
        <v>1.0856009852356214</v>
      </c>
      <c r="F13" s="224" t="str">
        <f t="shared" si="2"/>
        <v>C</v>
      </c>
      <c r="G13" s="224" t="str">
        <f t="shared" si="3"/>
        <v>C</v>
      </c>
      <c r="I13" s="117" t="s">
        <v>97</v>
      </c>
      <c r="J13" s="222">
        <f>'Юнит 4'!S7</f>
        <v>0</v>
      </c>
      <c r="K13" s="223">
        <f t="shared" si="1"/>
        <v>0</v>
      </c>
      <c r="L13" s="223">
        <f t="shared" si="6"/>
        <v>1</v>
      </c>
      <c r="M13" s="224" t="str">
        <f t="shared" si="4"/>
        <v>C</v>
      </c>
    </row>
    <row r="14" spans="2:17" outlineLevel="1">
      <c r="B14" s="117" t="s">
        <v>94</v>
      </c>
      <c r="C14" s="222">
        <f>'Юнит 4'!AL4</f>
        <v>-294.91161777777779</v>
      </c>
      <c r="D14" s="223">
        <f t="shared" si="0"/>
        <v>-2.1568302197102342E-2</v>
      </c>
      <c r="E14" s="223">
        <f t="shared" si="5"/>
        <v>1.0640326830385192</v>
      </c>
      <c r="F14" s="224" t="str">
        <f t="shared" si="2"/>
        <v>C</v>
      </c>
      <c r="G14" s="224" t="str">
        <f t="shared" si="3"/>
        <v>C</v>
      </c>
      <c r="I14" s="117" t="s">
        <v>100</v>
      </c>
      <c r="J14" s="222">
        <f>'Юнит 4'!S10</f>
        <v>0</v>
      </c>
      <c r="K14" s="223">
        <f t="shared" si="1"/>
        <v>0</v>
      </c>
      <c r="L14" s="223">
        <f t="shared" si="6"/>
        <v>1</v>
      </c>
      <c r="M14" s="224" t="str">
        <f t="shared" si="4"/>
        <v>C</v>
      </c>
    </row>
    <row r="15" spans="2:17" outlineLevel="1">
      <c r="B15" s="117" t="s">
        <v>95</v>
      </c>
      <c r="C15" s="222">
        <f>'Юнит 4'!AL5</f>
        <v>-383.11076888888886</v>
      </c>
      <c r="D15" s="223">
        <f t="shared" si="0"/>
        <v>-2.8018729477745342E-2</v>
      </c>
      <c r="E15" s="223">
        <f t="shared" si="5"/>
        <v>1.0360139535607737</v>
      </c>
      <c r="F15" s="224" t="str">
        <f t="shared" si="2"/>
        <v>C</v>
      </c>
      <c r="G15" s="224" t="str">
        <f t="shared" si="3"/>
        <v>C</v>
      </c>
      <c r="I15" s="117" t="s">
        <v>101</v>
      </c>
      <c r="J15" s="222">
        <f>'Юнит 4'!S11</f>
        <v>0</v>
      </c>
      <c r="K15" s="223">
        <f t="shared" si="1"/>
        <v>0</v>
      </c>
      <c r="L15" s="223">
        <f t="shared" si="6"/>
        <v>1</v>
      </c>
      <c r="M15" s="224" t="str">
        <f t="shared" si="4"/>
        <v>C</v>
      </c>
    </row>
    <row r="16" spans="2:17" outlineLevel="1">
      <c r="B16" s="117" t="s">
        <v>97</v>
      </c>
      <c r="C16" s="222">
        <f>'Юнит 4'!AL7</f>
        <v>-492.4325155555556</v>
      </c>
      <c r="D16" s="223">
        <f t="shared" si="0"/>
        <v>-3.6013953560773665E-2</v>
      </c>
      <c r="E16" s="223">
        <f t="shared" si="5"/>
        <v>1</v>
      </c>
      <c r="F16" s="224" t="str">
        <f t="shared" si="2"/>
        <v>C</v>
      </c>
      <c r="G16" s="224" t="str">
        <f t="shared" si="3"/>
        <v>C</v>
      </c>
      <c r="I16" s="117" t="s">
        <v>104</v>
      </c>
      <c r="J16" s="222">
        <f>'Юнит 4'!S14</f>
        <v>0</v>
      </c>
      <c r="K16" s="223">
        <f t="shared" si="1"/>
        <v>0</v>
      </c>
      <c r="L16" s="223">
        <f t="shared" si="6"/>
        <v>1</v>
      </c>
      <c r="M16" s="224" t="str">
        <f t="shared" si="4"/>
        <v>C</v>
      </c>
    </row>
    <row r="17" spans="2:16" outlineLevel="1">
      <c r="C17" s="229">
        <f>SUM(C4:C16)</f>
        <v>13673.381199999996</v>
      </c>
      <c r="D17" s="230">
        <f>SUM(D4:D16)</f>
        <v>1</v>
      </c>
      <c r="J17" s="229">
        <f>SUM(J4:J16)</f>
        <v>47</v>
      </c>
      <c r="K17" s="230">
        <f>SUM(K4:K16)</f>
        <v>1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74" priority="10" operator="equal">
      <formula>"C"</formula>
    </cfRule>
    <cfRule type="cellIs" dxfId="73" priority="11" operator="equal">
      <formula>"B"</formula>
    </cfRule>
    <cfRule type="cellIs" dxfId="72" priority="12" operator="equal">
      <formula>"A"</formula>
    </cfRule>
  </conditionalFormatting>
  <conditionalFormatting sqref="G21:G72">
    <cfRule type="cellIs" dxfId="71" priority="7" operator="equal">
      <formula>"C"</formula>
    </cfRule>
    <cfRule type="cellIs" dxfId="70" priority="8" operator="equal">
      <formula>"B"</formula>
    </cfRule>
    <cfRule type="cellIs" dxfId="69" priority="9" operator="equal">
      <formula>"A"</formula>
    </cfRule>
  </conditionalFormatting>
  <conditionalFormatting sqref="F4:F16">
    <cfRule type="cellIs" dxfId="68" priority="4" operator="equal">
      <formula>"C"</formula>
    </cfRule>
    <cfRule type="cellIs" dxfId="67" priority="5" operator="equal">
      <formula>"B"</formula>
    </cfRule>
    <cfRule type="cellIs" dxfId="66" priority="6" operator="equal">
      <formula>"A"</formula>
    </cfRule>
  </conditionalFormatting>
  <conditionalFormatting sqref="F21:F72">
    <cfRule type="cellIs" dxfId="65" priority="1" operator="equal">
      <formula>"C"</formula>
    </cfRule>
    <cfRule type="cellIs" dxfId="64" priority="2" operator="equal">
      <formula>"B"</formula>
    </cfRule>
    <cfRule type="cellIs" dxfId="6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98</v>
      </c>
      <c r="C4" s="222">
        <f>'Юнит 3'!AL8</f>
        <v>9416.7452245858749</v>
      </c>
      <c r="D4" s="223">
        <f t="shared" ref="D4:D16" si="0">C4/C$17</f>
        <v>0.60135716417512464</v>
      </c>
      <c r="E4" s="223">
        <f>D4</f>
        <v>0.60135716417512464</v>
      </c>
      <c r="F4" s="224" t="str">
        <f>IF(AND(E4&lt;=0),"C",IF(E4&lt;=0.8,"A",IF(E4&lt;=0.95,"B","C")))</f>
        <v>A</v>
      </c>
      <c r="G4" s="224" t="str">
        <f>VLOOKUP(B$4:B$16,I$4:M$16,5,0)</f>
        <v>A</v>
      </c>
      <c r="I4" s="117" t="s">
        <v>98</v>
      </c>
      <c r="J4" s="222">
        <f>'Юнит 3'!S8</f>
        <v>22</v>
      </c>
      <c r="K4" s="223">
        <f t="shared" ref="K4:K16" si="1">J4/J$17</f>
        <v>0.45833333333333331</v>
      </c>
      <c r="L4" s="223">
        <f>K4</f>
        <v>0.45833333333333331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92</v>
      </c>
      <c r="C5" s="222">
        <f>'Юнит 3'!AL3</f>
        <v>2756.9039463818658</v>
      </c>
      <c r="D5" s="223">
        <f t="shared" si="0"/>
        <v>0.17605700266487972</v>
      </c>
      <c r="E5" s="223">
        <f>E4+D5</f>
        <v>0.77741416684000431</v>
      </c>
      <c r="F5" s="224" t="str">
        <f t="shared" ref="F5:F16" si="2">IF(AND(E5&lt;=0),"C",IF(E5&lt;=0.8,"A",IF(E5&lt;=0.95,"B","C")))</f>
        <v>A</v>
      </c>
      <c r="G5" s="224" t="str">
        <f t="shared" ref="G5:G16" si="3">VLOOKUP(B$4:B$16,I$4:M$16,5,0)</f>
        <v>A</v>
      </c>
      <c r="I5" s="117" t="s">
        <v>92</v>
      </c>
      <c r="J5" s="222">
        <f>'Юнит 3'!S3</f>
        <v>10</v>
      </c>
      <c r="K5" s="223">
        <f t="shared" si="1"/>
        <v>0.20833333333333334</v>
      </c>
      <c r="L5" s="223">
        <f>L4+K5</f>
        <v>0.66666666666666663</v>
      </c>
      <c r="M5" s="224" t="str">
        <f t="shared" ref="M5:M16" si="4">_xlfn.IFS(L5&lt;80%,"A",L5&lt;=95%,"B",L5&gt;95%,"C")</f>
        <v>A</v>
      </c>
      <c r="P5" s="227" t="s">
        <v>120</v>
      </c>
      <c r="Q5" s="226">
        <v>0.15</v>
      </c>
    </row>
    <row r="6" spans="2:17" ht="15" outlineLevel="1" thickBot="1">
      <c r="B6" s="117" t="s">
        <v>96</v>
      </c>
      <c r="C6" s="222">
        <f>'Юнит 3'!AL6</f>
        <v>1819.1694420226681</v>
      </c>
      <c r="D6" s="223">
        <f t="shared" si="0"/>
        <v>0.11617289739904858</v>
      </c>
      <c r="E6" s="223">
        <f t="shared" ref="E6:E16" si="5">E5+D6</f>
        <v>0.89358706423905288</v>
      </c>
      <c r="F6" s="224" t="str">
        <f t="shared" si="2"/>
        <v>B</v>
      </c>
      <c r="G6" s="224" t="str">
        <f t="shared" si="3"/>
        <v>A</v>
      </c>
      <c r="I6" s="117" t="s">
        <v>96</v>
      </c>
      <c r="J6" s="222">
        <f>'Юнит 3'!S6</f>
        <v>6</v>
      </c>
      <c r="K6" s="223">
        <f t="shared" si="1"/>
        <v>0.125</v>
      </c>
      <c r="L6" s="223">
        <f t="shared" ref="L6:L16" si="6">L5+K6</f>
        <v>0.79166666666666663</v>
      </c>
      <c r="M6" s="224" t="str">
        <f t="shared" si="4"/>
        <v>A</v>
      </c>
      <c r="P6" s="228" t="s">
        <v>121</v>
      </c>
      <c r="Q6" s="226">
        <v>0.05</v>
      </c>
    </row>
    <row r="7" spans="2:17" outlineLevel="1">
      <c r="B7" s="117" t="s">
        <v>104</v>
      </c>
      <c r="C7" s="222">
        <f>'Юнит 3'!AL14</f>
        <v>1226.3921708805576</v>
      </c>
      <c r="D7" s="223">
        <f t="shared" si="0"/>
        <v>7.831790076700737E-2</v>
      </c>
      <c r="E7" s="223">
        <f t="shared" si="5"/>
        <v>0.97190496500606027</v>
      </c>
      <c r="F7" s="224" t="str">
        <f t="shared" si="2"/>
        <v>C</v>
      </c>
      <c r="G7" s="224" t="str">
        <f t="shared" si="3"/>
        <v>B</v>
      </c>
      <c r="I7" s="117" t="s">
        <v>99</v>
      </c>
      <c r="J7" s="222">
        <f>'Юнит 3'!S9</f>
        <v>3</v>
      </c>
      <c r="K7" s="223">
        <f t="shared" si="1"/>
        <v>6.25E-2</v>
      </c>
      <c r="L7" s="223">
        <f t="shared" si="6"/>
        <v>0.85416666666666663</v>
      </c>
      <c r="M7" s="224" t="str">
        <f t="shared" si="4"/>
        <v>B</v>
      </c>
    </row>
    <row r="8" spans="2:17" outlineLevel="1">
      <c r="B8" s="117" t="s">
        <v>105</v>
      </c>
      <c r="C8" s="222">
        <f>'Юнит 3'!AL15</f>
        <v>494.45816913687889</v>
      </c>
      <c r="D8" s="223">
        <f t="shared" si="0"/>
        <v>3.1576298955083411E-2</v>
      </c>
      <c r="E8" s="223">
        <f t="shared" si="5"/>
        <v>1.0034812639611437</v>
      </c>
      <c r="F8" s="224" t="str">
        <f t="shared" si="2"/>
        <v>C</v>
      </c>
      <c r="G8" s="224" t="str">
        <f t="shared" si="3"/>
        <v>C</v>
      </c>
      <c r="I8" s="117" t="s">
        <v>104</v>
      </c>
      <c r="J8" s="222">
        <f>'Юнит 3'!S14</f>
        <v>3</v>
      </c>
      <c r="K8" s="223">
        <f t="shared" si="1"/>
        <v>6.25E-2</v>
      </c>
      <c r="L8" s="223">
        <f t="shared" si="6"/>
        <v>0.91666666666666663</v>
      </c>
      <c r="M8" s="224" t="str">
        <f t="shared" si="4"/>
        <v>B</v>
      </c>
    </row>
    <row r="9" spans="2:17" outlineLevel="1">
      <c r="B9" s="117" t="s">
        <v>103</v>
      </c>
      <c r="C9" s="222">
        <f>'Юнит 3'!AL13</f>
        <v>500.15133391455981</v>
      </c>
      <c r="D9" s="223">
        <f t="shared" si="0"/>
        <v>3.1939866763730208E-2</v>
      </c>
      <c r="E9" s="223">
        <f t="shared" si="5"/>
        <v>1.035421130724874</v>
      </c>
      <c r="F9" s="224" t="str">
        <f t="shared" si="2"/>
        <v>C</v>
      </c>
      <c r="G9" s="224" t="str">
        <f t="shared" si="3"/>
        <v>C</v>
      </c>
      <c r="I9" s="117" t="s">
        <v>95</v>
      </c>
      <c r="J9" s="222">
        <f>'Юнит 3'!S5</f>
        <v>1</v>
      </c>
      <c r="K9" s="223">
        <f t="shared" si="1"/>
        <v>2.0833333333333332E-2</v>
      </c>
      <c r="L9" s="223">
        <f t="shared" si="6"/>
        <v>0.9375</v>
      </c>
      <c r="M9" s="224" t="str">
        <f t="shared" si="4"/>
        <v>B</v>
      </c>
    </row>
    <row r="10" spans="2:17" outlineLevel="1">
      <c r="B10" s="117" t="s">
        <v>95</v>
      </c>
      <c r="C10" s="222">
        <f>'Юнит 3'!AL5</f>
        <v>470.44552746294676</v>
      </c>
      <c r="D10" s="223">
        <f t="shared" si="0"/>
        <v>3.0042841931770526E-2</v>
      </c>
      <c r="E10" s="223">
        <f t="shared" si="5"/>
        <v>1.0654639726566444</v>
      </c>
      <c r="F10" s="224" t="str">
        <f t="shared" si="2"/>
        <v>C</v>
      </c>
      <c r="G10" s="224" t="str">
        <f t="shared" si="3"/>
        <v>B</v>
      </c>
      <c r="I10" s="117" t="s">
        <v>100</v>
      </c>
      <c r="J10" s="222">
        <f>'Юнит 3'!S10</f>
        <v>1</v>
      </c>
      <c r="K10" s="223">
        <f t="shared" si="1"/>
        <v>2.0833333333333332E-2</v>
      </c>
      <c r="L10" s="223">
        <f t="shared" si="6"/>
        <v>0.95833333333333337</v>
      </c>
      <c r="M10" s="224" t="str">
        <f t="shared" si="4"/>
        <v>C</v>
      </c>
    </row>
    <row r="11" spans="2:17" outlineLevel="1">
      <c r="B11" s="117" t="s">
        <v>100</v>
      </c>
      <c r="C11" s="222">
        <f>'Юнит 3'!AL10</f>
        <v>371.88741935483876</v>
      </c>
      <c r="D11" s="223">
        <f t="shared" si="0"/>
        <v>2.3748881228276644E-2</v>
      </c>
      <c r="E11" s="223">
        <f t="shared" si="5"/>
        <v>1.0892128538849211</v>
      </c>
      <c r="F11" s="224" t="str">
        <f t="shared" si="2"/>
        <v>C</v>
      </c>
      <c r="G11" s="224" t="str">
        <f t="shared" si="3"/>
        <v>C</v>
      </c>
      <c r="I11" s="117" t="s">
        <v>103</v>
      </c>
      <c r="J11" s="222">
        <f>'Юнит 3'!S13</f>
        <v>1</v>
      </c>
      <c r="K11" s="223">
        <f t="shared" si="1"/>
        <v>2.0833333333333332E-2</v>
      </c>
      <c r="L11" s="223">
        <f t="shared" si="6"/>
        <v>0.97916666666666674</v>
      </c>
      <c r="M11" s="224" t="str">
        <f t="shared" si="4"/>
        <v>C</v>
      </c>
    </row>
    <row r="12" spans="2:17" outlineLevel="1">
      <c r="B12" s="117" t="s">
        <v>101</v>
      </c>
      <c r="C12" s="222">
        <f>'Юнит 3'!AL11</f>
        <v>-130.2933304272014</v>
      </c>
      <c r="D12" s="223">
        <f t="shared" si="0"/>
        <v>-8.320584854739986E-3</v>
      </c>
      <c r="E12" s="223">
        <f t="shared" si="5"/>
        <v>1.080892269030181</v>
      </c>
      <c r="F12" s="224" t="str">
        <f t="shared" si="2"/>
        <v>C</v>
      </c>
      <c r="G12" s="224" t="str">
        <f t="shared" si="3"/>
        <v>C</v>
      </c>
      <c r="I12" s="117" t="s">
        <v>94</v>
      </c>
      <c r="J12" s="222">
        <f>'Юнит 3'!S4</f>
        <v>0</v>
      </c>
      <c r="K12" s="223">
        <f t="shared" si="1"/>
        <v>0</v>
      </c>
      <c r="L12" s="223">
        <f t="shared" si="6"/>
        <v>0.97916666666666674</v>
      </c>
      <c r="M12" s="224" t="str">
        <f t="shared" si="4"/>
        <v>C</v>
      </c>
    </row>
    <row r="13" spans="2:17" outlineLevel="1">
      <c r="B13" s="117" t="s">
        <v>94</v>
      </c>
      <c r="C13" s="222">
        <f>'Юнит 3'!AL4</f>
        <v>-170.35839581517001</v>
      </c>
      <c r="D13" s="223">
        <f t="shared" si="0"/>
        <v>-1.0879156158261613E-2</v>
      </c>
      <c r="E13" s="223">
        <f t="shared" si="5"/>
        <v>1.0700131128719195</v>
      </c>
      <c r="F13" s="224" t="str">
        <f t="shared" si="2"/>
        <v>C</v>
      </c>
      <c r="G13" s="224" t="str">
        <f t="shared" si="3"/>
        <v>C</v>
      </c>
      <c r="I13" s="117" t="s">
        <v>97</v>
      </c>
      <c r="J13" s="222">
        <f>'Юнит 3'!S7</f>
        <v>0</v>
      </c>
      <c r="K13" s="223">
        <f t="shared" si="1"/>
        <v>0</v>
      </c>
      <c r="L13" s="223">
        <f t="shared" si="6"/>
        <v>0.97916666666666674</v>
      </c>
      <c r="M13" s="224" t="str">
        <f t="shared" si="4"/>
        <v>C</v>
      </c>
    </row>
    <row r="14" spans="2:17" outlineLevel="1">
      <c r="B14" s="117" t="s">
        <v>102</v>
      </c>
      <c r="C14" s="222">
        <f>'Юнит 3'!AL12</f>
        <v>-236.58049694856146</v>
      </c>
      <c r="D14" s="223">
        <f t="shared" si="0"/>
        <v>-1.5108126359061107E-2</v>
      </c>
      <c r="E14" s="223">
        <f t="shared" si="5"/>
        <v>1.0549049865128584</v>
      </c>
      <c r="F14" s="224" t="str">
        <f t="shared" si="2"/>
        <v>C</v>
      </c>
      <c r="G14" s="224" t="str">
        <f t="shared" si="3"/>
        <v>C</v>
      </c>
      <c r="I14" s="117" t="s">
        <v>101</v>
      </c>
      <c r="J14" s="222">
        <f>'Юнит 3'!S11</f>
        <v>0</v>
      </c>
      <c r="K14" s="223">
        <f t="shared" si="1"/>
        <v>0</v>
      </c>
      <c r="L14" s="223">
        <f t="shared" si="6"/>
        <v>0.97916666666666674</v>
      </c>
      <c r="M14" s="224" t="str">
        <f t="shared" si="4"/>
        <v>C</v>
      </c>
    </row>
    <row r="15" spans="2:17" outlineLevel="1">
      <c r="B15" s="117" t="s">
        <v>97</v>
      </c>
      <c r="C15" s="222">
        <f>'Юнит 3'!AL7</f>
        <v>-293.38406277244985</v>
      </c>
      <c r="D15" s="223">
        <f t="shared" si="0"/>
        <v>-1.8735625080137611E-2</v>
      </c>
      <c r="E15" s="223">
        <f t="shared" si="5"/>
        <v>1.0361693614327208</v>
      </c>
      <c r="F15" s="224" t="str">
        <f t="shared" si="2"/>
        <v>C</v>
      </c>
      <c r="G15" s="224" t="str">
        <f t="shared" si="3"/>
        <v>C</v>
      </c>
      <c r="I15" s="117" t="s">
        <v>102</v>
      </c>
      <c r="J15" s="222">
        <f>'Юнит 3'!S12</f>
        <v>0</v>
      </c>
      <c r="K15" s="223">
        <f t="shared" si="1"/>
        <v>0</v>
      </c>
      <c r="L15" s="223">
        <f t="shared" si="6"/>
        <v>0.97916666666666674</v>
      </c>
      <c r="M15" s="224" t="str">
        <f t="shared" si="4"/>
        <v>C</v>
      </c>
    </row>
    <row r="16" spans="2:17" outlineLevel="1">
      <c r="B16" s="117" t="s">
        <v>99</v>
      </c>
      <c r="C16" s="222">
        <f>'Юнит 3'!AL9</f>
        <v>-566.38164777680902</v>
      </c>
      <c r="D16" s="223">
        <f t="shared" si="0"/>
        <v>-3.6169361432721016E-2</v>
      </c>
      <c r="E16" s="223">
        <f t="shared" si="5"/>
        <v>0.99999999999999978</v>
      </c>
      <c r="F16" s="224" t="str">
        <f t="shared" si="2"/>
        <v>C</v>
      </c>
      <c r="G16" s="224" t="str">
        <f t="shared" si="3"/>
        <v>B</v>
      </c>
      <c r="I16" s="117" t="s">
        <v>105</v>
      </c>
      <c r="J16" s="222">
        <f>'Юнит 3'!S15</f>
        <v>1</v>
      </c>
      <c r="K16" s="223">
        <f t="shared" si="1"/>
        <v>2.0833333333333332E-2</v>
      </c>
      <c r="L16" s="223">
        <f t="shared" si="6"/>
        <v>1</v>
      </c>
      <c r="M16" s="224" t="str">
        <f t="shared" si="4"/>
        <v>C</v>
      </c>
    </row>
    <row r="17" spans="2:16" outlineLevel="1">
      <c r="C17" s="229">
        <f>SUM(C4:C16)</f>
        <v>15659.155300000002</v>
      </c>
      <c r="D17" s="230">
        <f>SUM(D4:D16)</f>
        <v>0.99999999999999978</v>
      </c>
      <c r="J17" s="229">
        <f>SUM(J4:J16)</f>
        <v>48</v>
      </c>
      <c r="K17" s="230">
        <f>SUM(K4:K16)</f>
        <v>1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62" priority="10" operator="equal">
      <formula>"C"</formula>
    </cfRule>
    <cfRule type="cellIs" dxfId="61" priority="11" operator="equal">
      <formula>"B"</formula>
    </cfRule>
    <cfRule type="cellIs" dxfId="60" priority="12" operator="equal">
      <formula>"A"</formula>
    </cfRule>
  </conditionalFormatting>
  <conditionalFormatting sqref="G21:G72">
    <cfRule type="cellIs" dxfId="59" priority="7" operator="equal">
      <formula>"C"</formula>
    </cfRule>
    <cfRule type="cellIs" dxfId="58" priority="8" operator="equal">
      <formula>"B"</formula>
    </cfRule>
    <cfRule type="cellIs" dxfId="57" priority="9" operator="equal">
      <formula>"A"</formula>
    </cfRule>
  </conditionalFormatting>
  <conditionalFormatting sqref="F4:F16">
    <cfRule type="cellIs" dxfId="56" priority="4" operator="equal">
      <formula>"C"</formula>
    </cfRule>
    <cfRule type="cellIs" dxfId="55" priority="5" operator="equal">
      <formula>"B"</formula>
    </cfRule>
    <cfRule type="cellIs" dxfId="54" priority="6" operator="equal">
      <formula>"A"</formula>
    </cfRule>
  </conditionalFormatting>
  <conditionalFormatting sqref="F21:F72">
    <cfRule type="cellIs" dxfId="53" priority="1" operator="equal">
      <formula>"C"</formula>
    </cfRule>
    <cfRule type="cellIs" dxfId="52" priority="2" operator="equal">
      <formula>"B"</formula>
    </cfRule>
    <cfRule type="cellIs" dxfId="51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98</v>
      </c>
      <c r="C4" s="222">
        <f>'Юнит 2'!AL8</f>
        <v>10465.830411999998</v>
      </c>
      <c r="D4" s="223">
        <f t="shared" ref="D4:D16" si="0">C4/C$17</f>
        <v>0.79413735420711584</v>
      </c>
      <c r="E4" s="223">
        <f>D4</f>
        <v>0.79413735420711584</v>
      </c>
      <c r="F4" s="224" t="str">
        <f>IF(AND(E4&lt;=0),"C",IF(E4&lt;=0.8,"A",IF(E4&lt;=0.95,"B","C")))</f>
        <v>A</v>
      </c>
      <c r="G4" s="224" t="str">
        <f>VLOOKUP(B$4:B$16,I$4:M$16,5,0)</f>
        <v>A</v>
      </c>
      <c r="I4" s="117" t="s">
        <v>98</v>
      </c>
      <c r="J4" s="222">
        <f>'Юнит 2'!S8</f>
        <v>26</v>
      </c>
      <c r="K4" s="223">
        <f t="shared" ref="K4:K16" si="1">J4/J$17</f>
        <v>0.61904761904761907</v>
      </c>
      <c r="L4" s="223">
        <f>K4</f>
        <v>0.61904761904761907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92</v>
      </c>
      <c r="C5" s="222">
        <f>'Юнит 2'!AL3</f>
        <v>2587.3534440000012</v>
      </c>
      <c r="D5" s="223">
        <f t="shared" si="0"/>
        <v>0.19632594237920378</v>
      </c>
      <c r="E5" s="223">
        <f>E4+D5</f>
        <v>0.9904632965863196</v>
      </c>
      <c r="F5" s="224" t="str">
        <f t="shared" ref="F5:F16" si="2">IF(AND(E5&lt;=0),"C",IF(E5&lt;=0.8,"A",IF(E5&lt;=0.95,"B","C")))</f>
        <v>C</v>
      </c>
      <c r="G5" s="224" t="str">
        <f t="shared" ref="G5:G16" si="3">VLOOKUP(B$4:B$16,I$4:M$16,5,0)</f>
        <v>B</v>
      </c>
      <c r="I5" s="117" t="s">
        <v>92</v>
      </c>
      <c r="J5" s="222">
        <f>'Юнит 2'!S3</f>
        <v>8</v>
      </c>
      <c r="K5" s="223">
        <f t="shared" si="1"/>
        <v>0.19047619047619047</v>
      </c>
      <c r="L5" s="223">
        <f>L4+K5</f>
        <v>0.80952380952380953</v>
      </c>
      <c r="M5" s="224" t="str">
        <f t="shared" ref="M5:M16" si="4">_xlfn.IFS(L5&lt;80%,"A",L5&lt;=95%,"B",L5&gt;95%,"C")</f>
        <v>B</v>
      </c>
      <c r="P5" s="227" t="s">
        <v>120</v>
      </c>
      <c r="Q5" s="226">
        <v>0.15</v>
      </c>
    </row>
    <row r="6" spans="2:17" ht="15" outlineLevel="1" thickBot="1">
      <c r="B6" s="117" t="s">
        <v>105</v>
      </c>
      <c r="C6" s="222">
        <f>'Юнит 2'!AL15</f>
        <v>522.9699720000001</v>
      </c>
      <c r="D6" s="223">
        <f t="shared" si="0"/>
        <v>3.9682468905444905E-2</v>
      </c>
      <c r="E6" s="223">
        <f t="shared" ref="E6:E16" si="5">E5+D6</f>
        <v>1.0301457654917645</v>
      </c>
      <c r="F6" s="224" t="str">
        <f t="shared" si="2"/>
        <v>C</v>
      </c>
      <c r="G6" s="224" t="str">
        <f t="shared" si="3"/>
        <v>C</v>
      </c>
      <c r="I6" s="117" t="s">
        <v>96</v>
      </c>
      <c r="J6" s="222">
        <f>'Юнит 2'!S6</f>
        <v>3</v>
      </c>
      <c r="K6" s="223">
        <f t="shared" si="1"/>
        <v>7.1428571428571425E-2</v>
      </c>
      <c r="L6" s="223">
        <f t="shared" ref="L6:L16" si="6">L5+K6</f>
        <v>0.88095238095238093</v>
      </c>
      <c r="M6" s="224" t="str">
        <f t="shared" si="4"/>
        <v>B</v>
      </c>
      <c r="P6" s="228" t="s">
        <v>121</v>
      </c>
      <c r="Q6" s="226">
        <v>0.05</v>
      </c>
    </row>
    <row r="7" spans="2:17" outlineLevel="1">
      <c r="B7" s="117" t="s">
        <v>103</v>
      </c>
      <c r="C7" s="222">
        <f>'Юнит 2'!AL13</f>
        <v>499.52107200000006</v>
      </c>
      <c r="D7" s="223">
        <f t="shared" si="0"/>
        <v>3.7903188459268752E-2</v>
      </c>
      <c r="E7" s="223">
        <f t="shared" si="5"/>
        <v>1.0680489539510332</v>
      </c>
      <c r="F7" s="224" t="str">
        <f t="shared" si="2"/>
        <v>C</v>
      </c>
      <c r="G7" s="224" t="str">
        <f t="shared" si="3"/>
        <v>C</v>
      </c>
      <c r="I7" s="117" t="s">
        <v>99</v>
      </c>
      <c r="J7" s="222">
        <f>'Юнит 2'!S9</f>
        <v>2</v>
      </c>
      <c r="K7" s="223">
        <f t="shared" si="1"/>
        <v>4.7619047619047616E-2</v>
      </c>
      <c r="L7" s="223">
        <f t="shared" si="6"/>
        <v>0.9285714285714286</v>
      </c>
      <c r="M7" s="224" t="str">
        <f t="shared" si="4"/>
        <v>B</v>
      </c>
    </row>
    <row r="8" spans="2:17" outlineLevel="1">
      <c r="B8" s="117" t="s">
        <v>104</v>
      </c>
      <c r="C8" s="222">
        <f>'Юнит 2'!AL14</f>
        <v>480.04913999999997</v>
      </c>
      <c r="D8" s="223">
        <f t="shared" si="0"/>
        <v>3.6425676599144322E-2</v>
      </c>
      <c r="E8" s="223">
        <f t="shared" si="5"/>
        <v>1.1044746305501776</v>
      </c>
      <c r="F8" s="224" t="str">
        <f t="shared" si="2"/>
        <v>C</v>
      </c>
      <c r="G8" s="224" t="str">
        <f t="shared" si="3"/>
        <v>C</v>
      </c>
      <c r="I8" s="117" t="s">
        <v>103</v>
      </c>
      <c r="J8" s="222">
        <f>'Юнит 2'!S13</f>
        <v>1</v>
      </c>
      <c r="K8" s="223">
        <f t="shared" si="1"/>
        <v>2.3809523809523808E-2</v>
      </c>
      <c r="L8" s="223">
        <f t="shared" si="6"/>
        <v>0.95238095238095244</v>
      </c>
      <c r="M8" s="224" t="str">
        <f t="shared" si="4"/>
        <v>C</v>
      </c>
    </row>
    <row r="9" spans="2:17" outlineLevel="1">
      <c r="B9" s="117" t="s">
        <v>96</v>
      </c>
      <c r="C9" s="222">
        <f>'Юнит 2'!AL6</f>
        <v>251.54918399999985</v>
      </c>
      <c r="D9" s="223">
        <f t="shared" si="0"/>
        <v>1.9087315155199829E-2</v>
      </c>
      <c r="E9" s="223">
        <f t="shared" si="5"/>
        <v>1.1235619457053774</v>
      </c>
      <c r="F9" s="224" t="str">
        <f t="shared" si="2"/>
        <v>C</v>
      </c>
      <c r="G9" s="224" t="str">
        <f t="shared" si="3"/>
        <v>B</v>
      </c>
      <c r="I9" s="117" t="s">
        <v>104</v>
      </c>
      <c r="J9" s="222">
        <f>'Юнит 2'!S14</f>
        <v>1</v>
      </c>
      <c r="K9" s="223">
        <f t="shared" si="1"/>
        <v>2.3809523809523808E-2</v>
      </c>
      <c r="L9" s="223">
        <f t="shared" si="6"/>
        <v>0.97619047619047628</v>
      </c>
      <c r="M9" s="224" t="str">
        <f t="shared" si="4"/>
        <v>C</v>
      </c>
    </row>
    <row r="10" spans="2:17" outlineLevel="1">
      <c r="B10" s="117" t="s">
        <v>101</v>
      </c>
      <c r="C10" s="222">
        <f>'Юнит 2'!AL11</f>
        <v>-17.763003999999999</v>
      </c>
      <c r="D10" s="223">
        <f t="shared" si="0"/>
        <v>-1.3478400130730512E-3</v>
      </c>
      <c r="E10" s="223">
        <f t="shared" si="5"/>
        <v>1.1222141056923043</v>
      </c>
      <c r="F10" s="224" t="str">
        <f t="shared" si="2"/>
        <v>C</v>
      </c>
      <c r="G10" s="224" t="str">
        <f t="shared" si="3"/>
        <v>C</v>
      </c>
      <c r="I10" s="117" t="s">
        <v>105</v>
      </c>
      <c r="J10" s="222">
        <f>'Юнит 2'!S15</f>
        <v>1</v>
      </c>
      <c r="K10" s="223">
        <f t="shared" si="1"/>
        <v>2.3809523809523808E-2</v>
      </c>
      <c r="L10" s="223">
        <f t="shared" si="6"/>
        <v>1</v>
      </c>
      <c r="M10" s="224" t="str">
        <f t="shared" si="4"/>
        <v>C</v>
      </c>
    </row>
    <row r="11" spans="2:17" outlineLevel="1">
      <c r="B11" s="117" t="s">
        <v>100</v>
      </c>
      <c r="C11" s="222">
        <f>'Юнит 2'!AL10</f>
        <v>-114.596248</v>
      </c>
      <c r="D11" s="223">
        <f t="shared" si="0"/>
        <v>-8.6954553634307936E-3</v>
      </c>
      <c r="E11" s="223">
        <f t="shared" si="5"/>
        <v>1.1135186503288734</v>
      </c>
      <c r="F11" s="224" t="str">
        <f t="shared" si="2"/>
        <v>C</v>
      </c>
      <c r="G11" s="224" t="str">
        <f t="shared" si="3"/>
        <v>C</v>
      </c>
      <c r="I11" s="117" t="s">
        <v>94</v>
      </c>
      <c r="J11" s="222">
        <f>'Юнит 2'!S4</f>
        <v>0</v>
      </c>
      <c r="K11" s="223">
        <f t="shared" si="1"/>
        <v>0</v>
      </c>
      <c r="L11" s="223">
        <f t="shared" si="6"/>
        <v>1</v>
      </c>
      <c r="M11" s="224" t="str">
        <f t="shared" si="4"/>
        <v>C</v>
      </c>
    </row>
    <row r="12" spans="2:17" outlineLevel="1">
      <c r="B12" s="117" t="s">
        <v>102</v>
      </c>
      <c r="C12" s="222">
        <f>'Юнит 2'!AL12</f>
        <v>-126.47922399999999</v>
      </c>
      <c r="D12" s="223">
        <f t="shared" si="0"/>
        <v>-9.5971243900879258E-3</v>
      </c>
      <c r="E12" s="223">
        <f t="shared" si="5"/>
        <v>1.1039215259387856</v>
      </c>
      <c r="F12" s="224" t="str">
        <f t="shared" si="2"/>
        <v>C</v>
      </c>
      <c r="G12" s="224" t="str">
        <f t="shared" si="3"/>
        <v>C</v>
      </c>
      <c r="I12" s="117" t="s">
        <v>95</v>
      </c>
      <c r="J12" s="222">
        <f>'Юнит 2'!S5</f>
        <v>0</v>
      </c>
      <c r="K12" s="223">
        <f t="shared" si="1"/>
        <v>0</v>
      </c>
      <c r="L12" s="223">
        <f t="shared" si="6"/>
        <v>1</v>
      </c>
      <c r="M12" s="224" t="str">
        <f t="shared" si="4"/>
        <v>C</v>
      </c>
    </row>
    <row r="13" spans="2:17" outlineLevel="1">
      <c r="B13" s="117" t="s">
        <v>95</v>
      </c>
      <c r="C13" s="222">
        <f>'Юнит 2'!AL5</f>
        <v>-164.19947599999998</v>
      </c>
      <c r="D13" s="223">
        <f t="shared" si="0"/>
        <v>-1.2459301584260644E-2</v>
      </c>
      <c r="E13" s="223">
        <f t="shared" si="5"/>
        <v>1.0914622243545249</v>
      </c>
      <c r="F13" s="224" t="str">
        <f t="shared" si="2"/>
        <v>C</v>
      </c>
      <c r="G13" s="224" t="str">
        <f t="shared" si="3"/>
        <v>C</v>
      </c>
      <c r="I13" s="117" t="s">
        <v>97</v>
      </c>
      <c r="J13" s="222">
        <f>'Юнит 2'!S7</f>
        <v>0</v>
      </c>
      <c r="K13" s="223">
        <f t="shared" si="1"/>
        <v>0</v>
      </c>
      <c r="L13" s="223">
        <f t="shared" si="6"/>
        <v>1</v>
      </c>
      <c r="M13" s="224" t="str">
        <f t="shared" si="4"/>
        <v>C</v>
      </c>
    </row>
    <row r="14" spans="2:17" outlineLevel="1">
      <c r="B14" s="117" t="s">
        <v>97</v>
      </c>
      <c r="C14" s="222">
        <f>'Юнит 2'!AL7</f>
        <v>-229.591296</v>
      </c>
      <c r="D14" s="223">
        <f t="shared" si="0"/>
        <v>-1.7421171295243686E-2</v>
      </c>
      <c r="E14" s="223">
        <f t="shared" si="5"/>
        <v>1.0740410530592812</v>
      </c>
      <c r="F14" s="224" t="str">
        <f t="shared" si="2"/>
        <v>C</v>
      </c>
      <c r="G14" s="224" t="str">
        <f t="shared" si="3"/>
        <v>C</v>
      </c>
      <c r="I14" s="117" t="s">
        <v>100</v>
      </c>
      <c r="J14" s="222">
        <f>'Юнит 2'!S10</f>
        <v>0</v>
      </c>
      <c r="K14" s="223">
        <f t="shared" si="1"/>
        <v>0</v>
      </c>
      <c r="L14" s="223">
        <f t="shared" si="6"/>
        <v>1</v>
      </c>
      <c r="M14" s="224" t="str">
        <f t="shared" si="4"/>
        <v>C</v>
      </c>
    </row>
    <row r="15" spans="2:17" outlineLevel="1">
      <c r="B15" s="117" t="s">
        <v>94</v>
      </c>
      <c r="C15" s="222">
        <f>'Юнит 2'!AL4</f>
        <v>-238.29129599999999</v>
      </c>
      <c r="D15" s="223">
        <f t="shared" si="0"/>
        <v>-1.8081319100971566E-2</v>
      </c>
      <c r="E15" s="223">
        <f t="shared" si="5"/>
        <v>1.0559597339583096</v>
      </c>
      <c r="F15" s="224" t="str">
        <f t="shared" si="2"/>
        <v>C</v>
      </c>
      <c r="G15" s="224" t="str">
        <f t="shared" si="3"/>
        <v>C</v>
      </c>
      <c r="I15" s="117" t="s">
        <v>101</v>
      </c>
      <c r="J15" s="222">
        <f>'Юнит 2'!S11</f>
        <v>0</v>
      </c>
      <c r="K15" s="223">
        <f t="shared" si="1"/>
        <v>0</v>
      </c>
      <c r="L15" s="223">
        <f t="shared" si="6"/>
        <v>1</v>
      </c>
      <c r="M15" s="224" t="str">
        <f t="shared" si="4"/>
        <v>C</v>
      </c>
    </row>
    <row r="16" spans="2:17" outlineLevel="1">
      <c r="B16" s="117" t="s">
        <v>99</v>
      </c>
      <c r="C16" s="222">
        <f>'Юнит 2'!AL9</f>
        <v>-737.48587999999984</v>
      </c>
      <c r="D16" s="223">
        <f t="shared" si="0"/>
        <v>-5.5959733958309672E-2</v>
      </c>
      <c r="E16" s="223">
        <f t="shared" si="5"/>
        <v>0.99999999999999989</v>
      </c>
      <c r="F16" s="224" t="str">
        <f t="shared" si="2"/>
        <v>C</v>
      </c>
      <c r="G16" s="224" t="str">
        <f t="shared" si="3"/>
        <v>B</v>
      </c>
      <c r="I16" s="117" t="s">
        <v>102</v>
      </c>
      <c r="J16" s="222">
        <f>'Юнит 2'!S12</f>
        <v>0</v>
      </c>
      <c r="K16" s="223">
        <f t="shared" si="1"/>
        <v>0</v>
      </c>
      <c r="L16" s="223">
        <f t="shared" si="6"/>
        <v>1</v>
      </c>
      <c r="M16" s="224" t="str">
        <f t="shared" si="4"/>
        <v>C</v>
      </c>
    </row>
    <row r="17" spans="2:16" outlineLevel="1">
      <c r="C17" s="229">
        <f>SUM(C4:C16)</f>
        <v>13178.866799999998</v>
      </c>
      <c r="D17" s="230">
        <f>SUM(D4:D16)</f>
        <v>0.99999999999999989</v>
      </c>
      <c r="J17" s="229">
        <f>SUM(J4:J16)</f>
        <v>42</v>
      </c>
      <c r="K17" s="230">
        <f>SUM(K4:K16)</f>
        <v>1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50" priority="10" operator="equal">
      <formula>"C"</formula>
    </cfRule>
    <cfRule type="cellIs" dxfId="49" priority="11" operator="equal">
      <formula>"B"</formula>
    </cfRule>
    <cfRule type="cellIs" dxfId="48" priority="12" operator="equal">
      <formula>"A"</formula>
    </cfRule>
  </conditionalFormatting>
  <conditionalFormatting sqref="G21:G72">
    <cfRule type="cellIs" dxfId="47" priority="7" operator="equal">
      <formula>"C"</formula>
    </cfRule>
    <cfRule type="cellIs" dxfId="46" priority="8" operator="equal">
      <formula>"B"</formula>
    </cfRule>
    <cfRule type="cellIs" dxfId="45" priority="9" operator="equal">
      <formula>"A"</formula>
    </cfRule>
  </conditionalFormatting>
  <conditionalFormatting sqref="F4:F16">
    <cfRule type="cellIs" dxfId="44" priority="4" operator="equal">
      <formula>"C"</formula>
    </cfRule>
    <cfRule type="cellIs" dxfId="43" priority="5" operator="equal">
      <formula>"B"</formula>
    </cfRule>
    <cfRule type="cellIs" dxfId="42" priority="6" operator="equal">
      <formula>"A"</formula>
    </cfRule>
  </conditionalFormatting>
  <conditionalFormatting sqref="F21:F72">
    <cfRule type="cellIs" dxfId="41" priority="1" operator="equal">
      <formula>"C"</formula>
    </cfRule>
    <cfRule type="cellIs" dxfId="40" priority="2" operator="equal">
      <formula>"B"</formula>
    </cfRule>
    <cfRule type="cellIs" dxfId="3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9" t="s">
        <v>112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1"/>
    </row>
    <row r="3" spans="2:17" ht="28.5" customHeight="1" outlineLevel="1" thickBot="1">
      <c r="C3" s="218" t="s">
        <v>11</v>
      </c>
      <c r="D3" s="219" t="s">
        <v>113</v>
      </c>
      <c r="E3" s="220" t="s">
        <v>114</v>
      </c>
      <c r="F3" s="219" t="s">
        <v>115</v>
      </c>
      <c r="G3" s="219" t="s">
        <v>116</v>
      </c>
      <c r="J3" s="218" t="s">
        <v>117</v>
      </c>
      <c r="K3" s="219" t="s">
        <v>118</v>
      </c>
      <c r="L3" s="220" t="s">
        <v>114</v>
      </c>
      <c r="M3" s="221" t="s">
        <v>116</v>
      </c>
    </row>
    <row r="4" spans="2:17" ht="15" outlineLevel="1" thickBot="1">
      <c r="B4" s="117" t="s">
        <v>98</v>
      </c>
      <c r="C4" s="222">
        <f>'Юнит 1'!AL8</f>
        <v>15664.998095999996</v>
      </c>
      <c r="D4" s="223">
        <f t="shared" ref="D4:D16" si="0">C4/C$17</f>
        <v>0.84084556857718584</v>
      </c>
      <c r="E4" s="223">
        <f>D4</f>
        <v>0.84084556857718584</v>
      </c>
      <c r="F4" s="224" t="str">
        <f>IF(AND(E4&lt;=0),"C",IF(E4&lt;=0.8,"A",IF(E4&lt;=0.95,"B","C")))</f>
        <v>B</v>
      </c>
      <c r="G4" s="224" t="str">
        <f>VLOOKUP(B$4:B$16,I$4:M$16,5,0)</f>
        <v>A</v>
      </c>
      <c r="I4" s="117" t="s">
        <v>98</v>
      </c>
      <c r="J4" s="222">
        <f>'Юнит 1'!S8</f>
        <v>35</v>
      </c>
      <c r="K4" s="223">
        <f t="shared" ref="K4:K16" si="1">J4/J$17</f>
        <v>0.77777777777777779</v>
      </c>
      <c r="L4" s="223">
        <f>K4</f>
        <v>0.77777777777777779</v>
      </c>
      <c r="M4" s="224" t="str">
        <f>_xlfn.IFS(L4&lt;80%,"A",L4&lt;=95%,"B",L4&gt;95%,"C")</f>
        <v>A</v>
      </c>
      <c r="P4" s="225" t="s">
        <v>119</v>
      </c>
      <c r="Q4" s="226">
        <v>0.8</v>
      </c>
    </row>
    <row r="5" spans="2:17" ht="15" outlineLevel="1" thickBot="1">
      <c r="B5" s="117" t="s">
        <v>96</v>
      </c>
      <c r="C5" s="222">
        <f>'Юнит 1'!AL6</f>
        <v>1928.043872</v>
      </c>
      <c r="D5" s="223">
        <f t="shared" si="0"/>
        <v>0.10349105284650903</v>
      </c>
      <c r="E5" s="223">
        <f>E4+D5</f>
        <v>0.9443366214236949</v>
      </c>
      <c r="F5" s="224" t="str">
        <f t="shared" ref="F5:F16" si="2">IF(AND(E5&lt;=0),"C",IF(E5&lt;=0.8,"A",IF(E5&lt;=0.95,"B","C")))</f>
        <v>B</v>
      </c>
      <c r="G5" s="224" t="str">
        <f t="shared" ref="G5:G16" si="3">VLOOKUP(B$4:B$16,I$4:M$16,5,0)</f>
        <v>C</v>
      </c>
      <c r="I5" s="117" t="s">
        <v>92</v>
      </c>
      <c r="J5" s="222">
        <f>'Юнит 1'!S3</f>
        <v>4</v>
      </c>
      <c r="K5" s="223">
        <f t="shared" si="1"/>
        <v>8.8888888888888892E-2</v>
      </c>
      <c r="L5" s="223">
        <f>L4+K5</f>
        <v>0.8666666666666667</v>
      </c>
      <c r="M5" s="224" t="str">
        <f t="shared" ref="M5:M16" si="4">_xlfn.IFS(L5&lt;80%,"A",L5&lt;=95%,"B",L5&gt;95%,"C")</f>
        <v>B</v>
      </c>
      <c r="P5" s="227" t="s">
        <v>120</v>
      </c>
      <c r="Q5" s="226">
        <v>0.15</v>
      </c>
    </row>
    <row r="6" spans="2:17" ht="15" outlineLevel="1" thickBot="1">
      <c r="B6" s="117" t="s">
        <v>92</v>
      </c>
      <c r="C6" s="222">
        <f>'Юнит 1'!AL3</f>
        <v>1194.2556520000003</v>
      </c>
      <c r="D6" s="223">
        <f t="shared" si="0"/>
        <v>6.4103714956012234E-2</v>
      </c>
      <c r="E6" s="223">
        <f t="shared" ref="E6:E16" si="5">E5+D6</f>
        <v>1.0084403363797072</v>
      </c>
      <c r="F6" s="224" t="str">
        <f t="shared" si="2"/>
        <v>C</v>
      </c>
      <c r="G6" s="224" t="str">
        <f t="shared" si="3"/>
        <v>B</v>
      </c>
      <c r="I6" s="117" t="s">
        <v>96</v>
      </c>
      <c r="J6" s="222">
        <f>'Юнит 1'!S6</f>
        <v>4</v>
      </c>
      <c r="K6" s="223">
        <f t="shared" si="1"/>
        <v>8.8888888888888892E-2</v>
      </c>
      <c r="L6" s="223">
        <f t="shared" ref="L6:L16" si="6">L5+K6</f>
        <v>0.9555555555555556</v>
      </c>
      <c r="M6" s="224" t="str">
        <f t="shared" si="4"/>
        <v>C</v>
      </c>
      <c r="P6" s="228" t="s">
        <v>121</v>
      </c>
      <c r="Q6" s="226">
        <v>0.05</v>
      </c>
    </row>
    <row r="7" spans="2:17" outlineLevel="1">
      <c r="B7" s="117" t="s">
        <v>101</v>
      </c>
      <c r="C7" s="222">
        <f>'Юнит 1'!AL11</f>
        <v>478.82606799999996</v>
      </c>
      <c r="D7" s="223">
        <f t="shared" si="0"/>
        <v>2.5701808256194142E-2</v>
      </c>
      <c r="E7" s="223">
        <f t="shared" si="5"/>
        <v>1.0341421446359014</v>
      </c>
      <c r="F7" s="224" t="str">
        <f t="shared" si="2"/>
        <v>C</v>
      </c>
      <c r="G7" s="224" t="str">
        <f t="shared" si="3"/>
        <v>C</v>
      </c>
      <c r="I7" s="117" t="s">
        <v>99</v>
      </c>
      <c r="J7" s="222">
        <f>'Юнит 1'!S9</f>
        <v>1</v>
      </c>
      <c r="K7" s="223">
        <f t="shared" si="1"/>
        <v>2.2222222222222223E-2</v>
      </c>
      <c r="L7" s="223">
        <f t="shared" si="6"/>
        <v>0.97777777777777786</v>
      </c>
      <c r="M7" s="224" t="str">
        <f t="shared" si="4"/>
        <v>C</v>
      </c>
    </row>
    <row r="8" spans="2:17" outlineLevel="1">
      <c r="B8" s="117" t="s">
        <v>103</v>
      </c>
      <c r="C8" s="222">
        <f>'Юнит 1'!AL13</f>
        <v>-5.0382240000000005</v>
      </c>
      <c r="D8" s="223">
        <f t="shared" si="0"/>
        <v>-2.7043529133788824E-4</v>
      </c>
      <c r="E8" s="223">
        <f t="shared" si="5"/>
        <v>1.0338717093445635</v>
      </c>
      <c r="F8" s="224" t="str">
        <f t="shared" si="2"/>
        <v>C</v>
      </c>
      <c r="G8" s="224" t="str">
        <f t="shared" si="3"/>
        <v>C</v>
      </c>
      <c r="I8" s="117" t="s">
        <v>101</v>
      </c>
      <c r="J8" s="222">
        <f>'Юнит 1'!S11</f>
        <v>1</v>
      </c>
      <c r="K8" s="223">
        <f t="shared" si="1"/>
        <v>2.2222222222222223E-2</v>
      </c>
      <c r="L8" s="223">
        <f t="shared" si="6"/>
        <v>1</v>
      </c>
      <c r="M8" s="224" t="str">
        <f t="shared" si="4"/>
        <v>C</v>
      </c>
    </row>
    <row r="9" spans="2:17" outlineLevel="1">
      <c r="B9" s="117" t="s">
        <v>105</v>
      </c>
      <c r="C9" s="222">
        <f>'Юнит 1'!AL15</f>
        <v>-15.534524000000001</v>
      </c>
      <c r="D9" s="223">
        <f t="shared" si="0"/>
        <v>-8.3384214829182218E-4</v>
      </c>
      <c r="E9" s="223">
        <f t="shared" si="5"/>
        <v>1.0330378671962717</v>
      </c>
      <c r="F9" s="224" t="str">
        <f t="shared" si="2"/>
        <v>C</v>
      </c>
      <c r="G9" s="224" t="str">
        <f t="shared" si="3"/>
        <v>C</v>
      </c>
      <c r="I9" s="117" t="s">
        <v>94</v>
      </c>
      <c r="J9" s="222">
        <f>'Юнит 1'!S4</f>
        <v>0</v>
      </c>
      <c r="K9" s="223">
        <f t="shared" si="1"/>
        <v>0</v>
      </c>
      <c r="L9" s="223">
        <f t="shared" si="6"/>
        <v>1</v>
      </c>
      <c r="M9" s="224" t="str">
        <f t="shared" si="4"/>
        <v>C</v>
      </c>
    </row>
    <row r="10" spans="2:17" outlineLevel="1">
      <c r="B10" s="117" t="s">
        <v>100</v>
      </c>
      <c r="C10" s="222">
        <f>'Юнит 1'!AL10</f>
        <v>-17.633784000000002</v>
      </c>
      <c r="D10" s="223">
        <f t="shared" si="0"/>
        <v>-9.4652351968260902E-4</v>
      </c>
      <c r="E10" s="223">
        <f t="shared" si="5"/>
        <v>1.0320913436765891</v>
      </c>
      <c r="F10" s="224" t="str">
        <f t="shared" si="2"/>
        <v>C</v>
      </c>
      <c r="G10" s="224" t="str">
        <f t="shared" si="3"/>
        <v>C</v>
      </c>
      <c r="I10" s="117" t="s">
        <v>95</v>
      </c>
      <c r="J10" s="222">
        <f>'Юнит 1'!S5</f>
        <v>0</v>
      </c>
      <c r="K10" s="223">
        <f t="shared" si="1"/>
        <v>0</v>
      </c>
      <c r="L10" s="223">
        <f t="shared" si="6"/>
        <v>1</v>
      </c>
      <c r="M10" s="224" t="str">
        <f t="shared" si="4"/>
        <v>C</v>
      </c>
    </row>
    <row r="11" spans="2:17" outlineLevel="1">
      <c r="B11" s="117" t="s">
        <v>102</v>
      </c>
      <c r="C11" s="222">
        <f>'Юнит 1'!AL12</f>
        <v>-19.313192000000001</v>
      </c>
      <c r="D11" s="223">
        <f t="shared" si="0"/>
        <v>-1.0366686167952383E-3</v>
      </c>
      <c r="E11" s="223">
        <f t="shared" si="5"/>
        <v>1.0310546750597938</v>
      </c>
      <c r="F11" s="224" t="str">
        <f t="shared" si="2"/>
        <v>C</v>
      </c>
      <c r="G11" s="224" t="str">
        <f t="shared" si="3"/>
        <v>C</v>
      </c>
      <c r="I11" s="117" t="s">
        <v>97</v>
      </c>
      <c r="J11" s="222">
        <f>'Юнит 1'!S7</f>
        <v>0</v>
      </c>
      <c r="K11" s="223">
        <f t="shared" si="1"/>
        <v>0</v>
      </c>
      <c r="L11" s="223">
        <f t="shared" si="6"/>
        <v>1</v>
      </c>
      <c r="M11" s="224" t="str">
        <f t="shared" si="4"/>
        <v>C</v>
      </c>
    </row>
    <row r="12" spans="2:17" outlineLevel="1">
      <c r="B12" s="117" t="s">
        <v>104</v>
      </c>
      <c r="C12" s="222">
        <f>'Юнит 1'!AL14</f>
        <v>-27.290380000000006</v>
      </c>
      <c r="D12" s="223">
        <f t="shared" si="0"/>
        <v>-1.4648578280802283E-3</v>
      </c>
      <c r="E12" s="223">
        <f t="shared" si="5"/>
        <v>1.0295898172317135</v>
      </c>
      <c r="F12" s="224" t="str">
        <f t="shared" si="2"/>
        <v>C</v>
      </c>
      <c r="G12" s="224" t="str">
        <f t="shared" si="3"/>
        <v>C</v>
      </c>
      <c r="I12" s="117" t="s">
        <v>100</v>
      </c>
      <c r="J12" s="222">
        <f>'Юнит 1'!S10</f>
        <v>0</v>
      </c>
      <c r="K12" s="223">
        <f t="shared" si="1"/>
        <v>0</v>
      </c>
      <c r="L12" s="223">
        <f t="shared" si="6"/>
        <v>1</v>
      </c>
      <c r="M12" s="224" t="str">
        <f t="shared" si="4"/>
        <v>C</v>
      </c>
    </row>
    <row r="13" spans="2:17" outlineLevel="1">
      <c r="B13" s="117" t="s">
        <v>94</v>
      </c>
      <c r="C13" s="222">
        <f>'Юнит 1'!AL4</f>
        <v>-120.23796800000002</v>
      </c>
      <c r="D13" s="223">
        <f t="shared" si="0"/>
        <v>-6.453978605547449E-3</v>
      </c>
      <c r="E13" s="223">
        <f t="shared" si="5"/>
        <v>1.023135838626166</v>
      </c>
      <c r="F13" s="224" t="str">
        <f t="shared" si="2"/>
        <v>C</v>
      </c>
      <c r="G13" s="224" t="str">
        <f t="shared" si="3"/>
        <v>C</v>
      </c>
      <c r="I13" s="117" t="s">
        <v>102</v>
      </c>
      <c r="J13" s="222">
        <f>'Юнит 1'!S12</f>
        <v>0</v>
      </c>
      <c r="K13" s="223">
        <f t="shared" si="1"/>
        <v>0</v>
      </c>
      <c r="L13" s="223">
        <f t="shared" si="6"/>
        <v>1</v>
      </c>
      <c r="M13" s="224" t="str">
        <f t="shared" si="4"/>
        <v>C</v>
      </c>
    </row>
    <row r="14" spans="2:17" outlineLevel="1">
      <c r="B14" s="117" t="s">
        <v>97</v>
      </c>
      <c r="C14" s="222">
        <f>'Юнит 1'!AL7</f>
        <v>-120.23796800000002</v>
      </c>
      <c r="D14" s="223">
        <f t="shared" si="0"/>
        <v>-6.453978605547449E-3</v>
      </c>
      <c r="E14" s="223">
        <f t="shared" si="5"/>
        <v>1.0166818600206184</v>
      </c>
      <c r="F14" s="224" t="str">
        <f t="shared" si="2"/>
        <v>C</v>
      </c>
      <c r="G14" s="224" t="str">
        <f t="shared" si="3"/>
        <v>C</v>
      </c>
      <c r="I14" s="117" t="s">
        <v>103</v>
      </c>
      <c r="J14" s="222">
        <f>'Юнит 1'!S13</f>
        <v>0</v>
      </c>
      <c r="K14" s="223">
        <f t="shared" si="1"/>
        <v>0</v>
      </c>
      <c r="L14" s="223">
        <f t="shared" si="6"/>
        <v>1</v>
      </c>
      <c r="M14" s="224" t="str">
        <f t="shared" si="4"/>
        <v>C</v>
      </c>
    </row>
    <row r="15" spans="2:17" outlineLevel="1">
      <c r="B15" s="117" t="s">
        <v>99</v>
      </c>
      <c r="C15" s="222">
        <f>'Юнит 1'!AL9</f>
        <v>-151.66003999999987</v>
      </c>
      <c r="D15" s="223">
        <f t="shared" si="0"/>
        <v>-8.1406120691965567E-3</v>
      </c>
      <c r="E15" s="223">
        <f t="shared" si="5"/>
        <v>1.008541247951422</v>
      </c>
      <c r="F15" s="224" t="str">
        <f t="shared" si="2"/>
        <v>C</v>
      </c>
      <c r="G15" s="224" t="str">
        <f t="shared" si="3"/>
        <v>C</v>
      </c>
      <c r="I15" s="117" t="s">
        <v>104</v>
      </c>
      <c r="J15" s="222">
        <f>'Юнит 1'!S14</f>
        <v>0</v>
      </c>
      <c r="K15" s="223">
        <f t="shared" si="1"/>
        <v>0</v>
      </c>
      <c r="L15" s="223">
        <f t="shared" si="6"/>
        <v>1</v>
      </c>
      <c r="M15" s="224" t="str">
        <f t="shared" si="4"/>
        <v>C</v>
      </c>
    </row>
    <row r="16" spans="2:17" outlineLevel="1">
      <c r="B16" s="117" t="s">
        <v>95</v>
      </c>
      <c r="C16" s="222">
        <f>'Юнит 1'!AL5</f>
        <v>-159.123908</v>
      </c>
      <c r="D16" s="223">
        <f t="shared" si="0"/>
        <v>-8.5412479514216377E-3</v>
      </c>
      <c r="E16" s="223">
        <f t="shared" si="5"/>
        <v>1.0000000000000004</v>
      </c>
      <c r="F16" s="224" t="str">
        <f t="shared" si="2"/>
        <v>C</v>
      </c>
      <c r="G16" s="224" t="str">
        <f t="shared" si="3"/>
        <v>C</v>
      </c>
      <c r="I16" s="117" t="s">
        <v>105</v>
      </c>
      <c r="J16" s="222">
        <f>'Юнит 1'!S15</f>
        <v>0</v>
      </c>
      <c r="K16" s="223">
        <f t="shared" si="1"/>
        <v>0</v>
      </c>
      <c r="L16" s="223">
        <f t="shared" si="6"/>
        <v>1</v>
      </c>
      <c r="M16" s="224" t="str">
        <f t="shared" si="4"/>
        <v>C</v>
      </c>
    </row>
    <row r="17" spans="2:16" outlineLevel="1">
      <c r="C17" s="229">
        <f>SUM(C4:C16)</f>
        <v>18630.053699999989</v>
      </c>
      <c r="D17" s="230">
        <f>SUM(D4:D16)</f>
        <v>1.0000000000000004</v>
      </c>
      <c r="J17" s="229">
        <f>SUM(J4:J16)</f>
        <v>45</v>
      </c>
      <c r="K17" s="230">
        <f>SUM(K4:K16)</f>
        <v>1</v>
      </c>
    </row>
    <row r="19" spans="2:16" ht="16" hidden="1" outlineLevel="1" thickBot="1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O19" s="231"/>
      <c r="P19" s="231"/>
    </row>
    <row r="20" spans="2:16" ht="35" hidden="1" outlineLevel="1" thickBot="1">
      <c r="C20" s="218" t="s">
        <v>11</v>
      </c>
      <c r="D20" s="219" t="s">
        <v>113</v>
      </c>
      <c r="E20" s="220" t="s">
        <v>114</v>
      </c>
      <c r="F20" s="232" t="s">
        <v>115</v>
      </c>
      <c r="G20" s="219" t="s">
        <v>116</v>
      </c>
      <c r="J20" s="218" t="s">
        <v>117</v>
      </c>
      <c r="K20" s="219" t="s">
        <v>118</v>
      </c>
      <c r="L20" s="220" t="s">
        <v>114</v>
      </c>
      <c r="M20" s="221" t="s">
        <v>116</v>
      </c>
    </row>
    <row r="21" spans="2:16" ht="15" hidden="1" outlineLevel="1" thickBot="1">
      <c r="B21" s="233"/>
      <c r="C21" s="222"/>
      <c r="D21" s="223" t="e">
        <f>C21/C$73</f>
        <v>#DIV/0!</v>
      </c>
      <c r="E21" s="223" t="e">
        <f>D21</f>
        <v>#DIV/0!</v>
      </c>
      <c r="F21" s="224" t="e">
        <f t="shared" ref="F21:F72" si="7">IF(AND(E21&lt;=0),"C",IF(E21&lt;=0.8,"A",IF(E21&lt;=0.95,"B","C")))</f>
        <v>#DIV/0!</v>
      </c>
      <c r="G21" s="224" t="e">
        <f>VLOOKUP(B21:B72,I$21:M$72,5,0)</f>
        <v>#N/A</v>
      </c>
      <c r="I21" s="233"/>
      <c r="J21" s="222"/>
      <c r="K21" s="223" t="e">
        <f t="shared" ref="K21:K72" si="8">J21/J$73</f>
        <v>#DIV/0!</v>
      </c>
      <c r="L21" s="223" t="e">
        <f>K21</f>
        <v>#DIV/0!</v>
      </c>
      <c r="M21" s="224" t="e">
        <f>_xlfn.IFS(L21&lt;80%,"A",L21&lt;=95%,"B",L21&gt;95%,"C")</f>
        <v>#DIV/0!</v>
      </c>
    </row>
    <row r="22" spans="2:16" ht="15" hidden="1" outlineLevel="1" thickBot="1">
      <c r="B22" s="233"/>
      <c r="C22" s="222"/>
      <c r="D22" s="223" t="e">
        <f t="shared" ref="D22:D72" si="9">C22/C$73</f>
        <v>#DIV/0!</v>
      </c>
      <c r="E22" s="223" t="e">
        <f t="shared" ref="E22:E72" si="10">D22+E21</f>
        <v>#DIV/0!</v>
      </c>
      <c r="F22" s="224" t="e">
        <f t="shared" si="7"/>
        <v>#DIV/0!</v>
      </c>
      <c r="G22" s="224" t="e">
        <f t="shared" ref="G22:G72" si="11">VLOOKUP(B22:B73,I$21:M$72,5,0)</f>
        <v>#N/A</v>
      </c>
      <c r="I22" s="233"/>
      <c r="J22" s="222"/>
      <c r="K22" s="223" t="e">
        <f t="shared" si="8"/>
        <v>#DIV/0!</v>
      </c>
      <c r="L22" s="223" t="e">
        <f>K22+L21</f>
        <v>#DIV/0!</v>
      </c>
      <c r="M22" s="224" t="e">
        <f t="shared" ref="M22:M72" si="12">_xlfn.IFS(L22&lt;80%,"A",L22&lt;=95%,"B",L22&gt;95%,"C")</f>
        <v>#DIV/0!</v>
      </c>
    </row>
    <row r="23" spans="2:16" ht="15" hidden="1" outlineLevel="1" thickBot="1">
      <c r="B23" s="233"/>
      <c r="C23" s="222"/>
      <c r="D23" s="223" t="e">
        <f t="shared" si="9"/>
        <v>#DIV/0!</v>
      </c>
      <c r="E23" s="223" t="e">
        <f t="shared" si="10"/>
        <v>#DIV/0!</v>
      </c>
      <c r="F23" s="224" t="e">
        <f t="shared" si="7"/>
        <v>#DIV/0!</v>
      </c>
      <c r="G23" s="224" t="e">
        <f t="shared" si="11"/>
        <v>#N/A</v>
      </c>
      <c r="I23" s="233"/>
      <c r="J23" s="222"/>
      <c r="K23" s="223" t="e">
        <f t="shared" si="8"/>
        <v>#DIV/0!</v>
      </c>
      <c r="L23" s="223" t="e">
        <f t="shared" ref="L23:L72" si="13">K23+L22</f>
        <v>#DIV/0!</v>
      </c>
      <c r="M23" s="224" t="e">
        <f t="shared" si="12"/>
        <v>#DIV/0!</v>
      </c>
    </row>
    <row r="24" spans="2:16" ht="15" hidden="1" outlineLevel="1" thickBot="1">
      <c r="B24" s="233"/>
      <c r="C24" s="222"/>
      <c r="D24" s="223" t="e">
        <f t="shared" si="9"/>
        <v>#DIV/0!</v>
      </c>
      <c r="E24" s="223" t="e">
        <f t="shared" si="10"/>
        <v>#DIV/0!</v>
      </c>
      <c r="F24" s="224" t="e">
        <f t="shared" si="7"/>
        <v>#DIV/0!</v>
      </c>
      <c r="G24" s="224" t="e">
        <f t="shared" si="11"/>
        <v>#N/A</v>
      </c>
      <c r="I24" s="233"/>
      <c r="J24" s="222"/>
      <c r="K24" s="223" t="e">
        <f t="shared" si="8"/>
        <v>#DIV/0!</v>
      </c>
      <c r="L24" s="223" t="e">
        <f t="shared" si="13"/>
        <v>#DIV/0!</v>
      </c>
      <c r="M24" s="224" t="e">
        <f t="shared" si="12"/>
        <v>#DIV/0!</v>
      </c>
    </row>
    <row r="25" spans="2:16" ht="15" hidden="1" outlineLevel="1" thickBot="1">
      <c r="B25" s="233"/>
      <c r="C25" s="222"/>
      <c r="D25" s="223" t="e">
        <f t="shared" si="9"/>
        <v>#DIV/0!</v>
      </c>
      <c r="E25" s="223" t="e">
        <f t="shared" si="10"/>
        <v>#DIV/0!</v>
      </c>
      <c r="F25" s="224" t="e">
        <f t="shared" si="7"/>
        <v>#DIV/0!</v>
      </c>
      <c r="G25" s="224" t="e">
        <f t="shared" si="11"/>
        <v>#N/A</v>
      </c>
      <c r="I25" s="233"/>
      <c r="J25" s="222"/>
      <c r="K25" s="223" t="e">
        <f t="shared" si="8"/>
        <v>#DIV/0!</v>
      </c>
      <c r="L25" s="223" t="e">
        <f t="shared" si="13"/>
        <v>#DIV/0!</v>
      </c>
      <c r="M25" s="224" t="e">
        <f t="shared" si="12"/>
        <v>#DIV/0!</v>
      </c>
    </row>
    <row r="26" spans="2:16" ht="15" hidden="1" outlineLevel="1" thickBot="1">
      <c r="B26" s="233"/>
      <c r="C26" s="222"/>
      <c r="D26" s="223" t="e">
        <f t="shared" si="9"/>
        <v>#DIV/0!</v>
      </c>
      <c r="E26" s="223" t="e">
        <f t="shared" si="10"/>
        <v>#DIV/0!</v>
      </c>
      <c r="F26" s="224" t="e">
        <f t="shared" si="7"/>
        <v>#DIV/0!</v>
      </c>
      <c r="G26" s="224" t="e">
        <f t="shared" si="11"/>
        <v>#N/A</v>
      </c>
      <c r="I26" s="233"/>
      <c r="J26" s="222"/>
      <c r="K26" s="223" t="e">
        <f t="shared" si="8"/>
        <v>#DIV/0!</v>
      </c>
      <c r="L26" s="223" t="e">
        <f t="shared" si="13"/>
        <v>#DIV/0!</v>
      </c>
      <c r="M26" s="224" t="e">
        <f t="shared" si="12"/>
        <v>#DIV/0!</v>
      </c>
    </row>
    <row r="27" spans="2:16" ht="15" hidden="1" outlineLevel="1" thickBot="1">
      <c r="B27" s="233"/>
      <c r="C27" s="222"/>
      <c r="D27" s="223" t="e">
        <f t="shared" si="9"/>
        <v>#DIV/0!</v>
      </c>
      <c r="E27" s="223" t="e">
        <f t="shared" si="10"/>
        <v>#DIV/0!</v>
      </c>
      <c r="F27" s="224" t="e">
        <f t="shared" si="7"/>
        <v>#DIV/0!</v>
      </c>
      <c r="G27" s="224" t="e">
        <f t="shared" si="11"/>
        <v>#N/A</v>
      </c>
      <c r="I27" s="233"/>
      <c r="J27" s="222"/>
      <c r="K27" s="223" t="e">
        <f t="shared" si="8"/>
        <v>#DIV/0!</v>
      </c>
      <c r="L27" s="223" t="e">
        <f t="shared" si="13"/>
        <v>#DIV/0!</v>
      </c>
      <c r="M27" s="224" t="e">
        <f t="shared" si="12"/>
        <v>#DIV/0!</v>
      </c>
    </row>
    <row r="28" spans="2:16" ht="15" hidden="1" outlineLevel="1" thickBot="1">
      <c r="B28" s="233"/>
      <c r="C28" s="222"/>
      <c r="D28" s="223" t="e">
        <f t="shared" si="9"/>
        <v>#DIV/0!</v>
      </c>
      <c r="E28" s="223" t="e">
        <f t="shared" si="10"/>
        <v>#DIV/0!</v>
      </c>
      <c r="F28" s="224" t="e">
        <f t="shared" si="7"/>
        <v>#DIV/0!</v>
      </c>
      <c r="G28" s="224" t="e">
        <f t="shared" si="11"/>
        <v>#N/A</v>
      </c>
      <c r="I28" s="233"/>
      <c r="J28" s="222"/>
      <c r="K28" s="223" t="e">
        <f t="shared" si="8"/>
        <v>#DIV/0!</v>
      </c>
      <c r="L28" s="223" t="e">
        <f t="shared" si="13"/>
        <v>#DIV/0!</v>
      </c>
      <c r="M28" s="224" t="e">
        <f t="shared" si="12"/>
        <v>#DIV/0!</v>
      </c>
    </row>
    <row r="29" spans="2:16" ht="15" hidden="1" outlineLevel="1" thickBot="1">
      <c r="B29" s="233"/>
      <c r="C29" s="222"/>
      <c r="D29" s="223" t="e">
        <f t="shared" si="9"/>
        <v>#DIV/0!</v>
      </c>
      <c r="E29" s="223" t="e">
        <f t="shared" si="10"/>
        <v>#DIV/0!</v>
      </c>
      <c r="F29" s="224" t="e">
        <f t="shared" si="7"/>
        <v>#DIV/0!</v>
      </c>
      <c r="G29" s="224" t="e">
        <f t="shared" si="11"/>
        <v>#N/A</v>
      </c>
      <c r="I29" s="233"/>
      <c r="J29" s="222"/>
      <c r="K29" s="223" t="e">
        <f t="shared" si="8"/>
        <v>#DIV/0!</v>
      </c>
      <c r="L29" s="223" t="e">
        <f t="shared" si="13"/>
        <v>#DIV/0!</v>
      </c>
      <c r="M29" s="224" t="e">
        <f t="shared" si="12"/>
        <v>#DIV/0!</v>
      </c>
    </row>
    <row r="30" spans="2:16" ht="15" hidden="1" outlineLevel="1" thickBot="1">
      <c r="B30" s="233"/>
      <c r="C30" s="222"/>
      <c r="D30" s="223" t="e">
        <f t="shared" si="9"/>
        <v>#DIV/0!</v>
      </c>
      <c r="E30" s="223" t="e">
        <f t="shared" si="10"/>
        <v>#DIV/0!</v>
      </c>
      <c r="F30" s="224" t="e">
        <f t="shared" si="7"/>
        <v>#DIV/0!</v>
      </c>
      <c r="G30" s="224" t="e">
        <f t="shared" si="11"/>
        <v>#N/A</v>
      </c>
      <c r="I30" s="233"/>
      <c r="J30" s="222"/>
      <c r="K30" s="223" t="e">
        <f t="shared" si="8"/>
        <v>#DIV/0!</v>
      </c>
      <c r="L30" s="223" t="e">
        <f t="shared" si="13"/>
        <v>#DIV/0!</v>
      </c>
      <c r="M30" s="224" t="e">
        <f t="shared" si="12"/>
        <v>#DIV/0!</v>
      </c>
    </row>
    <row r="31" spans="2:16" ht="15" hidden="1" outlineLevel="1" thickBot="1">
      <c r="B31" s="233"/>
      <c r="C31" s="222"/>
      <c r="D31" s="223" t="e">
        <f t="shared" si="9"/>
        <v>#DIV/0!</v>
      </c>
      <c r="E31" s="223" t="e">
        <f t="shared" si="10"/>
        <v>#DIV/0!</v>
      </c>
      <c r="F31" s="224" t="e">
        <f t="shared" si="7"/>
        <v>#DIV/0!</v>
      </c>
      <c r="G31" s="224" t="e">
        <f t="shared" si="11"/>
        <v>#N/A</v>
      </c>
      <c r="I31" s="233"/>
      <c r="J31" s="222"/>
      <c r="K31" s="223" t="e">
        <f t="shared" si="8"/>
        <v>#DIV/0!</v>
      </c>
      <c r="L31" s="223" t="e">
        <f t="shared" si="13"/>
        <v>#DIV/0!</v>
      </c>
      <c r="M31" s="224" t="e">
        <f t="shared" si="12"/>
        <v>#DIV/0!</v>
      </c>
    </row>
    <row r="32" spans="2:16" ht="15" hidden="1" outlineLevel="1" thickBot="1">
      <c r="B32" s="233"/>
      <c r="C32" s="222"/>
      <c r="D32" s="223" t="e">
        <f t="shared" si="9"/>
        <v>#DIV/0!</v>
      </c>
      <c r="E32" s="223" t="e">
        <f t="shared" si="10"/>
        <v>#DIV/0!</v>
      </c>
      <c r="F32" s="224" t="e">
        <f t="shared" si="7"/>
        <v>#DIV/0!</v>
      </c>
      <c r="G32" s="224" t="e">
        <f t="shared" si="11"/>
        <v>#N/A</v>
      </c>
      <c r="I32" s="233"/>
      <c r="J32" s="222"/>
      <c r="K32" s="223" t="e">
        <f t="shared" si="8"/>
        <v>#DIV/0!</v>
      </c>
      <c r="L32" s="223" t="e">
        <f t="shared" si="13"/>
        <v>#DIV/0!</v>
      </c>
      <c r="M32" s="224" t="e">
        <f t="shared" si="12"/>
        <v>#DIV/0!</v>
      </c>
    </row>
    <row r="33" spans="2:13" ht="15" hidden="1" outlineLevel="1" thickBot="1">
      <c r="B33" s="233"/>
      <c r="C33" s="222"/>
      <c r="D33" s="223" t="e">
        <f t="shared" si="9"/>
        <v>#DIV/0!</v>
      </c>
      <c r="E33" s="223" t="e">
        <f t="shared" si="10"/>
        <v>#DIV/0!</v>
      </c>
      <c r="F33" s="224" t="e">
        <f t="shared" si="7"/>
        <v>#DIV/0!</v>
      </c>
      <c r="G33" s="224" t="e">
        <f t="shared" si="11"/>
        <v>#N/A</v>
      </c>
      <c r="I33" s="233"/>
      <c r="J33" s="222"/>
      <c r="K33" s="223" t="e">
        <f t="shared" si="8"/>
        <v>#DIV/0!</v>
      </c>
      <c r="L33" s="223" t="e">
        <f t="shared" si="13"/>
        <v>#DIV/0!</v>
      </c>
      <c r="M33" s="224" t="e">
        <f t="shared" si="12"/>
        <v>#DIV/0!</v>
      </c>
    </row>
    <row r="34" spans="2:13" ht="15" hidden="1" outlineLevel="1" thickBot="1">
      <c r="B34" s="233"/>
      <c r="C34" s="222"/>
      <c r="D34" s="223" t="e">
        <f t="shared" si="9"/>
        <v>#DIV/0!</v>
      </c>
      <c r="E34" s="223" t="e">
        <f t="shared" si="10"/>
        <v>#DIV/0!</v>
      </c>
      <c r="F34" s="224" t="e">
        <f t="shared" si="7"/>
        <v>#DIV/0!</v>
      </c>
      <c r="G34" s="224" t="e">
        <f t="shared" si="11"/>
        <v>#N/A</v>
      </c>
      <c r="I34" s="233"/>
      <c r="J34" s="222"/>
      <c r="K34" s="223" t="e">
        <f t="shared" si="8"/>
        <v>#DIV/0!</v>
      </c>
      <c r="L34" s="223" t="e">
        <f t="shared" si="13"/>
        <v>#DIV/0!</v>
      </c>
      <c r="M34" s="224" t="e">
        <f t="shared" si="12"/>
        <v>#DIV/0!</v>
      </c>
    </row>
    <row r="35" spans="2:13" ht="15" hidden="1" outlineLevel="1" thickBot="1">
      <c r="B35" s="233"/>
      <c r="C35" s="222"/>
      <c r="D35" s="223" t="e">
        <f t="shared" si="9"/>
        <v>#DIV/0!</v>
      </c>
      <c r="E35" s="223" t="e">
        <f t="shared" si="10"/>
        <v>#DIV/0!</v>
      </c>
      <c r="F35" s="224" t="e">
        <f t="shared" si="7"/>
        <v>#DIV/0!</v>
      </c>
      <c r="G35" s="224" t="e">
        <f t="shared" si="11"/>
        <v>#N/A</v>
      </c>
      <c r="I35" s="233"/>
      <c r="J35" s="222"/>
      <c r="K35" s="223" t="e">
        <f t="shared" si="8"/>
        <v>#DIV/0!</v>
      </c>
      <c r="L35" s="223" t="e">
        <f t="shared" si="13"/>
        <v>#DIV/0!</v>
      </c>
      <c r="M35" s="224" t="e">
        <f t="shared" si="12"/>
        <v>#DIV/0!</v>
      </c>
    </row>
    <row r="36" spans="2:13" ht="15" hidden="1" outlineLevel="1" thickBot="1">
      <c r="B36" s="233"/>
      <c r="C36" s="222"/>
      <c r="D36" s="223" t="e">
        <f t="shared" si="9"/>
        <v>#DIV/0!</v>
      </c>
      <c r="E36" s="223" t="e">
        <f t="shared" si="10"/>
        <v>#DIV/0!</v>
      </c>
      <c r="F36" s="224" t="e">
        <f t="shared" si="7"/>
        <v>#DIV/0!</v>
      </c>
      <c r="G36" s="224" t="e">
        <f t="shared" si="11"/>
        <v>#N/A</v>
      </c>
      <c r="I36" s="233"/>
      <c r="J36" s="222"/>
      <c r="K36" s="223" t="e">
        <f t="shared" si="8"/>
        <v>#DIV/0!</v>
      </c>
      <c r="L36" s="223" t="e">
        <f t="shared" si="13"/>
        <v>#DIV/0!</v>
      </c>
      <c r="M36" s="224" t="e">
        <f t="shared" si="12"/>
        <v>#DIV/0!</v>
      </c>
    </row>
    <row r="37" spans="2:13" ht="15" hidden="1" outlineLevel="1" thickBot="1">
      <c r="B37" s="233"/>
      <c r="C37" s="222"/>
      <c r="D37" s="223" t="e">
        <f t="shared" si="9"/>
        <v>#DIV/0!</v>
      </c>
      <c r="E37" s="223" t="e">
        <f t="shared" si="10"/>
        <v>#DIV/0!</v>
      </c>
      <c r="F37" s="224" t="e">
        <f t="shared" si="7"/>
        <v>#DIV/0!</v>
      </c>
      <c r="G37" s="224" t="e">
        <f t="shared" si="11"/>
        <v>#N/A</v>
      </c>
      <c r="I37" s="233"/>
      <c r="J37" s="222"/>
      <c r="K37" s="223" t="e">
        <f t="shared" si="8"/>
        <v>#DIV/0!</v>
      </c>
      <c r="L37" s="223" t="e">
        <f t="shared" si="13"/>
        <v>#DIV/0!</v>
      </c>
      <c r="M37" s="224" t="e">
        <f t="shared" si="12"/>
        <v>#DIV/0!</v>
      </c>
    </row>
    <row r="38" spans="2:13" ht="15" hidden="1" outlineLevel="1" thickBot="1">
      <c r="B38" s="233"/>
      <c r="C38" s="222"/>
      <c r="D38" s="223" t="e">
        <f t="shared" si="9"/>
        <v>#DIV/0!</v>
      </c>
      <c r="E38" s="223" t="e">
        <f t="shared" si="10"/>
        <v>#DIV/0!</v>
      </c>
      <c r="F38" s="224" t="e">
        <f t="shared" si="7"/>
        <v>#DIV/0!</v>
      </c>
      <c r="G38" s="224" t="e">
        <f t="shared" si="11"/>
        <v>#N/A</v>
      </c>
      <c r="I38" s="233"/>
      <c r="J38" s="222"/>
      <c r="K38" s="223" t="e">
        <f t="shared" si="8"/>
        <v>#DIV/0!</v>
      </c>
      <c r="L38" s="223" t="e">
        <f t="shared" si="13"/>
        <v>#DIV/0!</v>
      </c>
      <c r="M38" s="224" t="e">
        <f t="shared" si="12"/>
        <v>#DIV/0!</v>
      </c>
    </row>
    <row r="39" spans="2:13" ht="15" hidden="1" outlineLevel="1" thickBot="1">
      <c r="B39" s="233"/>
      <c r="C39" s="222"/>
      <c r="D39" s="223" t="e">
        <f t="shared" si="9"/>
        <v>#DIV/0!</v>
      </c>
      <c r="E39" s="223" t="e">
        <f t="shared" si="10"/>
        <v>#DIV/0!</v>
      </c>
      <c r="F39" s="224" t="e">
        <f t="shared" si="7"/>
        <v>#DIV/0!</v>
      </c>
      <c r="G39" s="224" t="e">
        <f t="shared" si="11"/>
        <v>#N/A</v>
      </c>
      <c r="I39" s="233"/>
      <c r="J39" s="222"/>
      <c r="K39" s="223" t="e">
        <f t="shared" si="8"/>
        <v>#DIV/0!</v>
      </c>
      <c r="L39" s="223" t="e">
        <f t="shared" si="13"/>
        <v>#DIV/0!</v>
      </c>
      <c r="M39" s="224" t="e">
        <f t="shared" si="12"/>
        <v>#DIV/0!</v>
      </c>
    </row>
    <row r="40" spans="2:13" ht="15" hidden="1" outlineLevel="1" thickBot="1">
      <c r="B40" s="233"/>
      <c r="C40" s="222"/>
      <c r="D40" s="223" t="e">
        <f t="shared" si="9"/>
        <v>#DIV/0!</v>
      </c>
      <c r="E40" s="223" t="e">
        <f t="shared" si="10"/>
        <v>#DIV/0!</v>
      </c>
      <c r="F40" s="224" t="e">
        <f t="shared" si="7"/>
        <v>#DIV/0!</v>
      </c>
      <c r="G40" s="224" t="e">
        <f t="shared" si="11"/>
        <v>#N/A</v>
      </c>
      <c r="I40" s="233"/>
      <c r="J40" s="222"/>
      <c r="K40" s="223" t="e">
        <f t="shared" si="8"/>
        <v>#DIV/0!</v>
      </c>
      <c r="L40" s="223" t="e">
        <f t="shared" si="13"/>
        <v>#DIV/0!</v>
      </c>
      <c r="M40" s="224" t="e">
        <f t="shared" si="12"/>
        <v>#DIV/0!</v>
      </c>
    </row>
    <row r="41" spans="2:13" ht="15" hidden="1" outlineLevel="1" thickBot="1">
      <c r="B41" s="233"/>
      <c r="C41" s="222"/>
      <c r="D41" s="223" t="e">
        <f t="shared" si="9"/>
        <v>#DIV/0!</v>
      </c>
      <c r="E41" s="223" t="e">
        <f t="shared" si="10"/>
        <v>#DIV/0!</v>
      </c>
      <c r="F41" s="224" t="e">
        <f t="shared" si="7"/>
        <v>#DIV/0!</v>
      </c>
      <c r="G41" s="224" t="e">
        <f t="shared" si="11"/>
        <v>#N/A</v>
      </c>
      <c r="I41" s="233"/>
      <c r="J41" s="222"/>
      <c r="K41" s="223" t="e">
        <f t="shared" si="8"/>
        <v>#DIV/0!</v>
      </c>
      <c r="L41" s="223" t="e">
        <f t="shared" si="13"/>
        <v>#DIV/0!</v>
      </c>
      <c r="M41" s="224" t="e">
        <f t="shared" si="12"/>
        <v>#DIV/0!</v>
      </c>
    </row>
    <row r="42" spans="2:13" ht="15" hidden="1" outlineLevel="1" thickBot="1">
      <c r="B42" s="233"/>
      <c r="C42" s="222"/>
      <c r="D42" s="223" t="e">
        <f t="shared" si="9"/>
        <v>#DIV/0!</v>
      </c>
      <c r="E42" s="223" t="e">
        <f t="shared" si="10"/>
        <v>#DIV/0!</v>
      </c>
      <c r="F42" s="224" t="e">
        <f t="shared" si="7"/>
        <v>#DIV/0!</v>
      </c>
      <c r="G42" s="224" t="e">
        <f t="shared" si="11"/>
        <v>#N/A</v>
      </c>
      <c r="I42" s="233"/>
      <c r="J42" s="222"/>
      <c r="K42" s="223" t="e">
        <f t="shared" si="8"/>
        <v>#DIV/0!</v>
      </c>
      <c r="L42" s="223" t="e">
        <f t="shared" si="13"/>
        <v>#DIV/0!</v>
      </c>
      <c r="M42" s="224" t="e">
        <f t="shared" si="12"/>
        <v>#DIV/0!</v>
      </c>
    </row>
    <row r="43" spans="2:13" ht="15" hidden="1" outlineLevel="1" thickBot="1">
      <c r="B43" s="233"/>
      <c r="C43" s="222"/>
      <c r="D43" s="223" t="e">
        <f t="shared" si="9"/>
        <v>#DIV/0!</v>
      </c>
      <c r="E43" s="223" t="e">
        <f t="shared" si="10"/>
        <v>#DIV/0!</v>
      </c>
      <c r="F43" s="224" t="e">
        <f t="shared" si="7"/>
        <v>#DIV/0!</v>
      </c>
      <c r="G43" s="224" t="e">
        <f t="shared" si="11"/>
        <v>#N/A</v>
      </c>
      <c r="I43" s="233"/>
      <c r="J43" s="222"/>
      <c r="K43" s="223" t="e">
        <f t="shared" si="8"/>
        <v>#DIV/0!</v>
      </c>
      <c r="L43" s="223" t="e">
        <f t="shared" si="13"/>
        <v>#DIV/0!</v>
      </c>
      <c r="M43" s="224" t="e">
        <f t="shared" si="12"/>
        <v>#DIV/0!</v>
      </c>
    </row>
    <row r="44" spans="2:13" ht="15" hidden="1" outlineLevel="1" thickBot="1">
      <c r="B44" s="233"/>
      <c r="C44" s="222"/>
      <c r="D44" s="223" t="e">
        <f t="shared" si="9"/>
        <v>#DIV/0!</v>
      </c>
      <c r="E44" s="223" t="e">
        <f t="shared" si="10"/>
        <v>#DIV/0!</v>
      </c>
      <c r="F44" s="224" t="e">
        <f t="shared" si="7"/>
        <v>#DIV/0!</v>
      </c>
      <c r="G44" s="224" t="e">
        <f t="shared" si="11"/>
        <v>#N/A</v>
      </c>
      <c r="I44" s="233"/>
      <c r="J44" s="222"/>
      <c r="K44" s="223" t="e">
        <f t="shared" si="8"/>
        <v>#DIV/0!</v>
      </c>
      <c r="L44" s="223" t="e">
        <f t="shared" si="13"/>
        <v>#DIV/0!</v>
      </c>
      <c r="M44" s="224" t="e">
        <f t="shared" si="12"/>
        <v>#DIV/0!</v>
      </c>
    </row>
    <row r="45" spans="2:13" ht="15" hidden="1" outlineLevel="1" thickBot="1">
      <c r="B45" s="233"/>
      <c r="C45" s="222"/>
      <c r="D45" s="223" t="e">
        <f t="shared" si="9"/>
        <v>#DIV/0!</v>
      </c>
      <c r="E45" s="223" t="e">
        <f t="shared" si="10"/>
        <v>#DIV/0!</v>
      </c>
      <c r="F45" s="224" t="e">
        <f t="shared" si="7"/>
        <v>#DIV/0!</v>
      </c>
      <c r="G45" s="224" t="e">
        <f t="shared" si="11"/>
        <v>#N/A</v>
      </c>
      <c r="I45" s="233"/>
      <c r="J45" s="222"/>
      <c r="K45" s="223" t="e">
        <f t="shared" si="8"/>
        <v>#DIV/0!</v>
      </c>
      <c r="L45" s="223" t="e">
        <f t="shared" si="13"/>
        <v>#DIV/0!</v>
      </c>
      <c r="M45" s="224" t="e">
        <f t="shared" si="12"/>
        <v>#DIV/0!</v>
      </c>
    </row>
    <row r="46" spans="2:13" ht="15" hidden="1" outlineLevel="1" thickBot="1">
      <c r="B46" s="233"/>
      <c r="C46" s="222"/>
      <c r="D46" s="223" t="e">
        <f t="shared" si="9"/>
        <v>#DIV/0!</v>
      </c>
      <c r="E46" s="223" t="e">
        <f t="shared" si="10"/>
        <v>#DIV/0!</v>
      </c>
      <c r="F46" s="224" t="e">
        <f t="shared" si="7"/>
        <v>#DIV/0!</v>
      </c>
      <c r="G46" s="224" t="e">
        <f t="shared" si="11"/>
        <v>#N/A</v>
      </c>
      <c r="I46" s="233"/>
      <c r="J46" s="222"/>
      <c r="K46" s="223" t="e">
        <f t="shared" si="8"/>
        <v>#DIV/0!</v>
      </c>
      <c r="L46" s="223" t="e">
        <f t="shared" si="13"/>
        <v>#DIV/0!</v>
      </c>
      <c r="M46" s="224" t="e">
        <f t="shared" si="12"/>
        <v>#DIV/0!</v>
      </c>
    </row>
    <row r="47" spans="2:13" ht="15" hidden="1" outlineLevel="1" thickBot="1">
      <c r="B47" s="233"/>
      <c r="C47" s="222"/>
      <c r="D47" s="223" t="e">
        <f t="shared" si="9"/>
        <v>#DIV/0!</v>
      </c>
      <c r="E47" s="223" t="e">
        <f t="shared" si="10"/>
        <v>#DIV/0!</v>
      </c>
      <c r="F47" s="224" t="e">
        <f t="shared" si="7"/>
        <v>#DIV/0!</v>
      </c>
      <c r="G47" s="224" t="e">
        <f t="shared" si="11"/>
        <v>#N/A</v>
      </c>
      <c r="I47" s="233"/>
      <c r="J47" s="222"/>
      <c r="K47" s="223" t="e">
        <f t="shared" si="8"/>
        <v>#DIV/0!</v>
      </c>
      <c r="L47" s="223" t="e">
        <f t="shared" si="13"/>
        <v>#DIV/0!</v>
      </c>
      <c r="M47" s="224" t="e">
        <f t="shared" si="12"/>
        <v>#DIV/0!</v>
      </c>
    </row>
    <row r="48" spans="2:13" ht="15" hidden="1" outlineLevel="1" thickBot="1">
      <c r="B48" s="233"/>
      <c r="C48" s="222"/>
      <c r="D48" s="223" t="e">
        <f t="shared" si="9"/>
        <v>#DIV/0!</v>
      </c>
      <c r="E48" s="223" t="e">
        <f t="shared" si="10"/>
        <v>#DIV/0!</v>
      </c>
      <c r="F48" s="224" t="e">
        <f t="shared" si="7"/>
        <v>#DIV/0!</v>
      </c>
      <c r="G48" s="224" t="e">
        <f t="shared" si="11"/>
        <v>#N/A</v>
      </c>
      <c r="I48" s="233"/>
      <c r="J48" s="222"/>
      <c r="K48" s="223" t="e">
        <f t="shared" si="8"/>
        <v>#DIV/0!</v>
      </c>
      <c r="L48" s="223" t="e">
        <f t="shared" si="13"/>
        <v>#DIV/0!</v>
      </c>
      <c r="M48" s="224" t="e">
        <f t="shared" si="12"/>
        <v>#DIV/0!</v>
      </c>
    </row>
    <row r="49" spans="2:13" ht="15" hidden="1" outlineLevel="1" thickBot="1">
      <c r="B49" s="233"/>
      <c r="C49" s="222"/>
      <c r="D49" s="223" t="e">
        <f t="shared" si="9"/>
        <v>#DIV/0!</v>
      </c>
      <c r="E49" s="223" t="e">
        <f t="shared" si="10"/>
        <v>#DIV/0!</v>
      </c>
      <c r="F49" s="224" t="e">
        <f t="shared" si="7"/>
        <v>#DIV/0!</v>
      </c>
      <c r="G49" s="224" t="e">
        <f t="shared" si="11"/>
        <v>#N/A</v>
      </c>
      <c r="I49" s="233"/>
      <c r="J49" s="222"/>
      <c r="K49" s="223" t="e">
        <f t="shared" si="8"/>
        <v>#DIV/0!</v>
      </c>
      <c r="L49" s="223" t="e">
        <f t="shared" si="13"/>
        <v>#DIV/0!</v>
      </c>
      <c r="M49" s="224" t="e">
        <f t="shared" si="12"/>
        <v>#DIV/0!</v>
      </c>
    </row>
    <row r="50" spans="2:13" ht="15" hidden="1" outlineLevel="1" thickBot="1">
      <c r="B50" s="233"/>
      <c r="C50" s="222"/>
      <c r="D50" s="223" t="e">
        <f t="shared" si="9"/>
        <v>#DIV/0!</v>
      </c>
      <c r="E50" s="223" t="e">
        <f t="shared" si="10"/>
        <v>#DIV/0!</v>
      </c>
      <c r="F50" s="224" t="e">
        <f t="shared" si="7"/>
        <v>#DIV/0!</v>
      </c>
      <c r="G50" s="224" t="e">
        <f t="shared" si="11"/>
        <v>#N/A</v>
      </c>
      <c r="I50" s="233"/>
      <c r="J50" s="222"/>
      <c r="K50" s="223" t="e">
        <f t="shared" si="8"/>
        <v>#DIV/0!</v>
      </c>
      <c r="L50" s="223" t="e">
        <f t="shared" si="13"/>
        <v>#DIV/0!</v>
      </c>
      <c r="M50" s="224" t="e">
        <f t="shared" si="12"/>
        <v>#DIV/0!</v>
      </c>
    </row>
    <row r="51" spans="2:13" ht="15" hidden="1" outlineLevel="1" thickBot="1">
      <c r="B51" s="233"/>
      <c r="C51" s="222"/>
      <c r="D51" s="223" t="e">
        <f t="shared" si="9"/>
        <v>#DIV/0!</v>
      </c>
      <c r="E51" s="223" t="e">
        <f t="shared" si="10"/>
        <v>#DIV/0!</v>
      </c>
      <c r="F51" s="224" t="e">
        <f t="shared" si="7"/>
        <v>#DIV/0!</v>
      </c>
      <c r="G51" s="224" t="e">
        <f t="shared" si="11"/>
        <v>#N/A</v>
      </c>
      <c r="I51" s="233"/>
      <c r="J51" s="222"/>
      <c r="K51" s="223" t="e">
        <f t="shared" si="8"/>
        <v>#DIV/0!</v>
      </c>
      <c r="L51" s="223" t="e">
        <f t="shared" si="13"/>
        <v>#DIV/0!</v>
      </c>
      <c r="M51" s="224" t="e">
        <f t="shared" si="12"/>
        <v>#DIV/0!</v>
      </c>
    </row>
    <row r="52" spans="2:13" ht="15" hidden="1" outlineLevel="1" thickBot="1">
      <c r="B52" s="233"/>
      <c r="C52" s="222"/>
      <c r="D52" s="223" t="e">
        <f t="shared" si="9"/>
        <v>#DIV/0!</v>
      </c>
      <c r="E52" s="223" t="e">
        <f t="shared" si="10"/>
        <v>#DIV/0!</v>
      </c>
      <c r="F52" s="224" t="e">
        <f t="shared" si="7"/>
        <v>#DIV/0!</v>
      </c>
      <c r="G52" s="224" t="e">
        <f t="shared" si="11"/>
        <v>#N/A</v>
      </c>
      <c r="I52" s="233"/>
      <c r="J52" s="222"/>
      <c r="K52" s="223" t="e">
        <f t="shared" si="8"/>
        <v>#DIV/0!</v>
      </c>
      <c r="L52" s="223" t="e">
        <f t="shared" si="13"/>
        <v>#DIV/0!</v>
      </c>
      <c r="M52" s="224" t="e">
        <f t="shared" si="12"/>
        <v>#DIV/0!</v>
      </c>
    </row>
    <row r="53" spans="2:13" ht="15" hidden="1" customHeight="1" outlineLevel="1">
      <c r="B53" s="233"/>
      <c r="C53" s="222"/>
      <c r="D53" s="223" t="e">
        <f t="shared" si="9"/>
        <v>#DIV/0!</v>
      </c>
      <c r="E53" s="223" t="e">
        <f t="shared" si="10"/>
        <v>#DIV/0!</v>
      </c>
      <c r="F53" s="224" t="e">
        <f t="shared" si="7"/>
        <v>#DIV/0!</v>
      </c>
      <c r="G53" s="224" t="e">
        <f t="shared" si="11"/>
        <v>#N/A</v>
      </c>
      <c r="I53" s="233"/>
      <c r="J53" s="222"/>
      <c r="K53" s="223" t="e">
        <f t="shared" si="8"/>
        <v>#DIV/0!</v>
      </c>
      <c r="L53" s="223" t="e">
        <f t="shared" si="13"/>
        <v>#DIV/0!</v>
      </c>
      <c r="M53" s="224" t="e">
        <f t="shared" si="12"/>
        <v>#DIV/0!</v>
      </c>
    </row>
    <row r="54" spans="2:13" ht="15" hidden="1" outlineLevel="1" thickBot="1">
      <c r="B54" s="233"/>
      <c r="C54" s="222"/>
      <c r="D54" s="223" t="e">
        <f t="shared" si="9"/>
        <v>#DIV/0!</v>
      </c>
      <c r="E54" s="223" t="e">
        <f t="shared" si="10"/>
        <v>#DIV/0!</v>
      </c>
      <c r="F54" s="224" t="e">
        <f t="shared" si="7"/>
        <v>#DIV/0!</v>
      </c>
      <c r="G54" s="224" t="e">
        <f t="shared" si="11"/>
        <v>#N/A</v>
      </c>
      <c r="I54" s="233"/>
      <c r="J54" s="222"/>
      <c r="K54" s="223" t="e">
        <f t="shared" si="8"/>
        <v>#DIV/0!</v>
      </c>
      <c r="L54" s="223" t="e">
        <f t="shared" si="13"/>
        <v>#DIV/0!</v>
      </c>
      <c r="M54" s="224" t="e">
        <f t="shared" si="12"/>
        <v>#DIV/0!</v>
      </c>
    </row>
    <row r="55" spans="2:13" ht="15" hidden="1" outlineLevel="1" thickBot="1">
      <c r="B55" s="233"/>
      <c r="C55" s="222"/>
      <c r="D55" s="223" t="e">
        <f t="shared" si="9"/>
        <v>#DIV/0!</v>
      </c>
      <c r="E55" s="223" t="e">
        <f t="shared" si="10"/>
        <v>#DIV/0!</v>
      </c>
      <c r="F55" s="224" t="e">
        <f t="shared" si="7"/>
        <v>#DIV/0!</v>
      </c>
      <c r="G55" s="224" t="e">
        <f t="shared" si="11"/>
        <v>#N/A</v>
      </c>
      <c r="I55" s="233"/>
      <c r="J55" s="222"/>
      <c r="K55" s="223" t="e">
        <f t="shared" si="8"/>
        <v>#DIV/0!</v>
      </c>
      <c r="L55" s="223" t="e">
        <f t="shared" si="13"/>
        <v>#DIV/0!</v>
      </c>
      <c r="M55" s="224" t="e">
        <f t="shared" si="12"/>
        <v>#DIV/0!</v>
      </c>
    </row>
    <row r="56" spans="2:13" ht="15" hidden="1" outlineLevel="1" thickBot="1">
      <c r="B56" s="233"/>
      <c r="C56" s="222"/>
      <c r="D56" s="223" t="e">
        <f t="shared" si="9"/>
        <v>#DIV/0!</v>
      </c>
      <c r="E56" s="223" t="e">
        <f t="shared" si="10"/>
        <v>#DIV/0!</v>
      </c>
      <c r="F56" s="224" t="e">
        <f t="shared" si="7"/>
        <v>#DIV/0!</v>
      </c>
      <c r="G56" s="224" t="e">
        <f t="shared" si="11"/>
        <v>#N/A</v>
      </c>
      <c r="I56" s="233"/>
      <c r="J56" s="222"/>
      <c r="K56" s="223" t="e">
        <f t="shared" si="8"/>
        <v>#DIV/0!</v>
      </c>
      <c r="L56" s="223" t="e">
        <f t="shared" si="13"/>
        <v>#DIV/0!</v>
      </c>
      <c r="M56" s="224" t="e">
        <f t="shared" si="12"/>
        <v>#DIV/0!</v>
      </c>
    </row>
    <row r="57" spans="2:13" ht="15" hidden="1" outlineLevel="1" thickBot="1">
      <c r="B57" s="233"/>
      <c r="C57" s="222"/>
      <c r="D57" s="223" t="e">
        <f t="shared" si="9"/>
        <v>#DIV/0!</v>
      </c>
      <c r="E57" s="223" t="e">
        <f t="shared" si="10"/>
        <v>#DIV/0!</v>
      </c>
      <c r="F57" s="224" t="e">
        <f t="shared" si="7"/>
        <v>#DIV/0!</v>
      </c>
      <c r="G57" s="224" t="e">
        <f t="shared" si="11"/>
        <v>#N/A</v>
      </c>
      <c r="I57" s="233"/>
      <c r="J57" s="222"/>
      <c r="K57" s="223" t="e">
        <f t="shared" si="8"/>
        <v>#DIV/0!</v>
      </c>
      <c r="L57" s="223" t="e">
        <f t="shared" si="13"/>
        <v>#DIV/0!</v>
      </c>
      <c r="M57" s="224" t="e">
        <f t="shared" si="12"/>
        <v>#DIV/0!</v>
      </c>
    </row>
    <row r="58" spans="2:13" ht="15" hidden="1" outlineLevel="1" thickBot="1">
      <c r="B58" s="233"/>
      <c r="C58" s="222"/>
      <c r="D58" s="223" t="e">
        <f t="shared" si="9"/>
        <v>#DIV/0!</v>
      </c>
      <c r="E58" s="223" t="e">
        <f t="shared" si="10"/>
        <v>#DIV/0!</v>
      </c>
      <c r="F58" s="224" t="e">
        <f t="shared" si="7"/>
        <v>#DIV/0!</v>
      </c>
      <c r="G58" s="224" t="e">
        <f t="shared" si="11"/>
        <v>#N/A</v>
      </c>
      <c r="I58" s="233"/>
      <c r="J58" s="222"/>
      <c r="K58" s="223" t="e">
        <f t="shared" si="8"/>
        <v>#DIV/0!</v>
      </c>
      <c r="L58" s="223" t="e">
        <f t="shared" si="13"/>
        <v>#DIV/0!</v>
      </c>
      <c r="M58" s="224" t="e">
        <f t="shared" si="12"/>
        <v>#DIV/0!</v>
      </c>
    </row>
    <row r="59" spans="2:13" ht="15" hidden="1" outlineLevel="1" thickBot="1">
      <c r="B59" s="233"/>
      <c r="C59" s="222"/>
      <c r="D59" s="223" t="e">
        <f t="shared" si="9"/>
        <v>#DIV/0!</v>
      </c>
      <c r="E59" s="223" t="e">
        <f t="shared" si="10"/>
        <v>#DIV/0!</v>
      </c>
      <c r="F59" s="224" t="e">
        <f t="shared" si="7"/>
        <v>#DIV/0!</v>
      </c>
      <c r="G59" s="224" t="e">
        <f t="shared" si="11"/>
        <v>#N/A</v>
      </c>
      <c r="I59" s="233"/>
      <c r="J59" s="222"/>
      <c r="K59" s="223" t="e">
        <f t="shared" si="8"/>
        <v>#DIV/0!</v>
      </c>
      <c r="L59" s="223" t="e">
        <f t="shared" si="13"/>
        <v>#DIV/0!</v>
      </c>
      <c r="M59" s="224" t="e">
        <f t="shared" si="12"/>
        <v>#DIV/0!</v>
      </c>
    </row>
    <row r="60" spans="2:13" ht="15" hidden="1" outlineLevel="1" thickBot="1">
      <c r="B60" s="233"/>
      <c r="C60" s="222"/>
      <c r="D60" s="223" t="e">
        <f t="shared" si="9"/>
        <v>#DIV/0!</v>
      </c>
      <c r="E60" s="223" t="e">
        <f t="shared" si="10"/>
        <v>#DIV/0!</v>
      </c>
      <c r="F60" s="224" t="e">
        <f t="shared" si="7"/>
        <v>#DIV/0!</v>
      </c>
      <c r="G60" s="224" t="e">
        <f t="shared" si="11"/>
        <v>#N/A</v>
      </c>
      <c r="I60" s="233"/>
      <c r="J60" s="222"/>
      <c r="K60" s="223" t="e">
        <f t="shared" si="8"/>
        <v>#DIV/0!</v>
      </c>
      <c r="L60" s="223" t="e">
        <f t="shared" si="13"/>
        <v>#DIV/0!</v>
      </c>
      <c r="M60" s="224" t="e">
        <f t="shared" si="12"/>
        <v>#DIV/0!</v>
      </c>
    </row>
    <row r="61" spans="2:13" ht="15" hidden="1" outlineLevel="1" thickBot="1">
      <c r="B61" s="233"/>
      <c r="C61" s="222"/>
      <c r="D61" s="223" t="e">
        <f t="shared" si="9"/>
        <v>#DIV/0!</v>
      </c>
      <c r="E61" s="223" t="e">
        <f t="shared" si="10"/>
        <v>#DIV/0!</v>
      </c>
      <c r="F61" s="224" t="e">
        <f t="shared" si="7"/>
        <v>#DIV/0!</v>
      </c>
      <c r="G61" s="224" t="e">
        <f t="shared" si="11"/>
        <v>#N/A</v>
      </c>
      <c r="I61" s="233"/>
      <c r="J61" s="222"/>
      <c r="K61" s="223" t="e">
        <f t="shared" si="8"/>
        <v>#DIV/0!</v>
      </c>
      <c r="L61" s="223" t="e">
        <f t="shared" si="13"/>
        <v>#DIV/0!</v>
      </c>
      <c r="M61" s="224" t="e">
        <f t="shared" si="12"/>
        <v>#DIV/0!</v>
      </c>
    </row>
    <row r="62" spans="2:13" ht="15" hidden="1" outlineLevel="1" thickBot="1">
      <c r="B62" s="233"/>
      <c r="C62" s="222"/>
      <c r="D62" s="223" t="e">
        <f t="shared" si="9"/>
        <v>#DIV/0!</v>
      </c>
      <c r="E62" s="223" t="e">
        <f t="shared" si="10"/>
        <v>#DIV/0!</v>
      </c>
      <c r="F62" s="224" t="e">
        <f t="shared" si="7"/>
        <v>#DIV/0!</v>
      </c>
      <c r="G62" s="224" t="e">
        <f t="shared" si="11"/>
        <v>#N/A</v>
      </c>
      <c r="I62" s="233"/>
      <c r="J62" s="222"/>
      <c r="K62" s="223" t="e">
        <f t="shared" si="8"/>
        <v>#DIV/0!</v>
      </c>
      <c r="L62" s="223" t="e">
        <f t="shared" si="13"/>
        <v>#DIV/0!</v>
      </c>
      <c r="M62" s="224" t="e">
        <f t="shared" si="12"/>
        <v>#DIV/0!</v>
      </c>
    </row>
    <row r="63" spans="2:13" ht="15" hidden="1" outlineLevel="1" thickBot="1">
      <c r="B63" s="233"/>
      <c r="C63" s="222"/>
      <c r="D63" s="223" t="e">
        <f t="shared" si="9"/>
        <v>#DIV/0!</v>
      </c>
      <c r="E63" s="223" t="e">
        <f t="shared" si="10"/>
        <v>#DIV/0!</v>
      </c>
      <c r="F63" s="224" t="e">
        <f t="shared" si="7"/>
        <v>#DIV/0!</v>
      </c>
      <c r="G63" s="224" t="e">
        <f t="shared" si="11"/>
        <v>#N/A</v>
      </c>
      <c r="I63" s="233"/>
      <c r="J63" s="222"/>
      <c r="K63" s="223" t="e">
        <f t="shared" si="8"/>
        <v>#DIV/0!</v>
      </c>
      <c r="L63" s="223" t="e">
        <f t="shared" si="13"/>
        <v>#DIV/0!</v>
      </c>
      <c r="M63" s="224" t="e">
        <f t="shared" si="12"/>
        <v>#DIV/0!</v>
      </c>
    </row>
    <row r="64" spans="2:13" ht="15" hidden="1" outlineLevel="1" thickBot="1">
      <c r="B64" s="233"/>
      <c r="C64" s="222"/>
      <c r="D64" s="223" t="e">
        <f t="shared" si="9"/>
        <v>#DIV/0!</v>
      </c>
      <c r="E64" s="223" t="e">
        <f t="shared" si="10"/>
        <v>#DIV/0!</v>
      </c>
      <c r="F64" s="224" t="e">
        <f t="shared" si="7"/>
        <v>#DIV/0!</v>
      </c>
      <c r="G64" s="224" t="e">
        <f t="shared" si="11"/>
        <v>#N/A</v>
      </c>
      <c r="I64" s="233"/>
      <c r="J64" s="222"/>
      <c r="K64" s="223" t="e">
        <f t="shared" si="8"/>
        <v>#DIV/0!</v>
      </c>
      <c r="L64" s="223" t="e">
        <f t="shared" si="13"/>
        <v>#DIV/0!</v>
      </c>
      <c r="M64" s="224" t="e">
        <f t="shared" si="12"/>
        <v>#DIV/0!</v>
      </c>
    </row>
    <row r="65" spans="2:13" ht="15" hidden="1" outlineLevel="1" thickBot="1">
      <c r="B65" s="233"/>
      <c r="C65" s="222"/>
      <c r="D65" s="223" t="e">
        <f t="shared" si="9"/>
        <v>#DIV/0!</v>
      </c>
      <c r="E65" s="223" t="e">
        <f>D65+E64</f>
        <v>#DIV/0!</v>
      </c>
      <c r="F65" s="224" t="e">
        <f t="shared" si="7"/>
        <v>#DIV/0!</v>
      </c>
      <c r="G65" s="224" t="e">
        <f t="shared" si="11"/>
        <v>#N/A</v>
      </c>
      <c r="I65" s="233"/>
      <c r="J65" s="222"/>
      <c r="K65" s="223" t="e">
        <f t="shared" si="8"/>
        <v>#DIV/0!</v>
      </c>
      <c r="L65" s="223" t="e">
        <f t="shared" si="13"/>
        <v>#DIV/0!</v>
      </c>
      <c r="M65" s="224" t="e">
        <f t="shared" si="12"/>
        <v>#DIV/0!</v>
      </c>
    </row>
    <row r="66" spans="2:13" ht="15" hidden="1" outlineLevel="1" thickBot="1">
      <c r="B66" s="233"/>
      <c r="C66" s="222"/>
      <c r="D66" s="223" t="e">
        <f t="shared" si="9"/>
        <v>#DIV/0!</v>
      </c>
      <c r="E66" s="223" t="e">
        <f t="shared" si="10"/>
        <v>#DIV/0!</v>
      </c>
      <c r="F66" s="224" t="e">
        <f t="shared" si="7"/>
        <v>#DIV/0!</v>
      </c>
      <c r="G66" s="224" t="e">
        <f t="shared" si="11"/>
        <v>#N/A</v>
      </c>
      <c r="I66" s="233"/>
      <c r="J66" s="222"/>
      <c r="K66" s="223" t="e">
        <f t="shared" si="8"/>
        <v>#DIV/0!</v>
      </c>
      <c r="L66" s="223" t="e">
        <f t="shared" si="13"/>
        <v>#DIV/0!</v>
      </c>
      <c r="M66" s="224" t="e">
        <f t="shared" si="12"/>
        <v>#DIV/0!</v>
      </c>
    </row>
    <row r="67" spans="2:13" ht="15" hidden="1" outlineLevel="1" thickBot="1">
      <c r="B67" s="233"/>
      <c r="C67" s="222"/>
      <c r="D67" s="223" t="e">
        <f t="shared" si="9"/>
        <v>#DIV/0!</v>
      </c>
      <c r="E67" s="223" t="e">
        <f t="shared" si="10"/>
        <v>#DIV/0!</v>
      </c>
      <c r="F67" s="224" t="e">
        <f t="shared" si="7"/>
        <v>#DIV/0!</v>
      </c>
      <c r="G67" s="224" t="e">
        <f t="shared" si="11"/>
        <v>#N/A</v>
      </c>
      <c r="I67" s="233"/>
      <c r="J67" s="222"/>
      <c r="K67" s="223" t="e">
        <f t="shared" si="8"/>
        <v>#DIV/0!</v>
      </c>
      <c r="L67" s="223" t="e">
        <f t="shared" si="13"/>
        <v>#DIV/0!</v>
      </c>
      <c r="M67" s="224" t="e">
        <f t="shared" si="12"/>
        <v>#DIV/0!</v>
      </c>
    </row>
    <row r="68" spans="2:13" ht="15" hidden="1" outlineLevel="1" thickBot="1">
      <c r="B68" s="233"/>
      <c r="C68" s="222"/>
      <c r="D68" s="223" t="e">
        <f t="shared" si="9"/>
        <v>#DIV/0!</v>
      </c>
      <c r="E68" s="223" t="e">
        <f t="shared" si="10"/>
        <v>#DIV/0!</v>
      </c>
      <c r="F68" s="224" t="e">
        <f t="shared" si="7"/>
        <v>#DIV/0!</v>
      </c>
      <c r="G68" s="224" t="e">
        <f t="shared" si="11"/>
        <v>#N/A</v>
      </c>
      <c r="I68" s="233"/>
      <c r="J68" s="222"/>
      <c r="K68" s="223" t="e">
        <f t="shared" si="8"/>
        <v>#DIV/0!</v>
      </c>
      <c r="L68" s="223" t="e">
        <f t="shared" si="13"/>
        <v>#DIV/0!</v>
      </c>
      <c r="M68" s="224" t="e">
        <f t="shared" si="12"/>
        <v>#DIV/0!</v>
      </c>
    </row>
    <row r="69" spans="2:13" ht="16" hidden="1" customHeight="1" outlineLevel="1">
      <c r="B69" s="233"/>
      <c r="C69" s="222"/>
      <c r="D69" s="223" t="e">
        <f t="shared" si="9"/>
        <v>#DIV/0!</v>
      </c>
      <c r="E69" s="223" t="e">
        <f t="shared" si="10"/>
        <v>#DIV/0!</v>
      </c>
      <c r="F69" s="224" t="e">
        <f t="shared" si="7"/>
        <v>#DIV/0!</v>
      </c>
      <c r="G69" s="224" t="e">
        <f t="shared" si="11"/>
        <v>#N/A</v>
      </c>
      <c r="I69" s="233"/>
      <c r="J69" s="222"/>
      <c r="K69" s="223" t="e">
        <f t="shared" si="8"/>
        <v>#DIV/0!</v>
      </c>
      <c r="L69" s="223" t="e">
        <f t="shared" si="13"/>
        <v>#DIV/0!</v>
      </c>
      <c r="M69" s="224" t="e">
        <f t="shared" si="12"/>
        <v>#DIV/0!</v>
      </c>
    </row>
    <row r="70" spans="2:13" ht="15" hidden="1" outlineLevel="1" thickBot="1">
      <c r="B70" s="233"/>
      <c r="C70" s="222"/>
      <c r="D70" s="223" t="e">
        <f t="shared" si="9"/>
        <v>#DIV/0!</v>
      </c>
      <c r="E70" s="223" t="e">
        <f t="shared" si="10"/>
        <v>#DIV/0!</v>
      </c>
      <c r="F70" s="224" t="e">
        <f t="shared" si="7"/>
        <v>#DIV/0!</v>
      </c>
      <c r="G70" s="224" t="e">
        <f t="shared" si="11"/>
        <v>#N/A</v>
      </c>
      <c r="I70" s="233"/>
      <c r="J70" s="222"/>
      <c r="K70" s="223" t="e">
        <f t="shared" si="8"/>
        <v>#DIV/0!</v>
      </c>
      <c r="L70" s="223" t="e">
        <f t="shared" si="13"/>
        <v>#DIV/0!</v>
      </c>
      <c r="M70" s="224" t="e">
        <f t="shared" si="12"/>
        <v>#DIV/0!</v>
      </c>
    </row>
    <row r="71" spans="2:13" ht="15" hidden="1" outlineLevel="1" thickBot="1">
      <c r="B71" s="233"/>
      <c r="C71" s="222"/>
      <c r="D71" s="223" t="e">
        <f t="shared" si="9"/>
        <v>#DIV/0!</v>
      </c>
      <c r="E71" s="223" t="e">
        <f t="shared" si="10"/>
        <v>#DIV/0!</v>
      </c>
      <c r="F71" s="224" t="e">
        <f t="shared" si="7"/>
        <v>#DIV/0!</v>
      </c>
      <c r="G71" s="224" t="e">
        <f t="shared" si="11"/>
        <v>#N/A</v>
      </c>
      <c r="I71" s="233"/>
      <c r="J71" s="222"/>
      <c r="K71" s="223" t="e">
        <f t="shared" si="8"/>
        <v>#DIV/0!</v>
      </c>
      <c r="L71" s="223" t="e">
        <f t="shared" si="13"/>
        <v>#DIV/0!</v>
      </c>
      <c r="M71" s="224" t="e">
        <f t="shared" si="12"/>
        <v>#DIV/0!</v>
      </c>
    </row>
    <row r="72" spans="2:13" ht="15" hidden="1" outlineLevel="1" thickBot="1">
      <c r="B72" s="233"/>
      <c r="C72" s="222"/>
      <c r="D72" s="223" t="e">
        <f t="shared" si="9"/>
        <v>#DIV/0!</v>
      </c>
      <c r="E72" s="223" t="e">
        <f t="shared" si="10"/>
        <v>#DIV/0!</v>
      </c>
      <c r="F72" s="224" t="e">
        <f t="shared" si="7"/>
        <v>#DIV/0!</v>
      </c>
      <c r="G72" s="224" t="e">
        <f t="shared" si="11"/>
        <v>#N/A</v>
      </c>
      <c r="I72" s="233"/>
      <c r="J72" s="222"/>
      <c r="K72" s="223" t="e">
        <f t="shared" si="8"/>
        <v>#DIV/0!</v>
      </c>
      <c r="L72" s="223" t="e">
        <f t="shared" si="13"/>
        <v>#DIV/0!</v>
      </c>
      <c r="M72" s="224" t="e">
        <f t="shared" si="12"/>
        <v>#DIV/0!</v>
      </c>
    </row>
    <row r="73" spans="2:13" hidden="1" outlineLevel="1">
      <c r="C73" s="229">
        <f>SUM(C21:C72)</f>
        <v>0</v>
      </c>
      <c r="D73" s="234" t="e">
        <f>SUM(D21:D72)</f>
        <v>#DIV/0!</v>
      </c>
      <c r="J73" s="229">
        <f>SUM(J21:J72)</f>
        <v>0</v>
      </c>
      <c r="K73" s="234" t="e">
        <f>SUM(K21:K72)</f>
        <v>#DIV/0!</v>
      </c>
      <c r="L73" s="234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38" priority="10" operator="equal">
      <formula>"C"</formula>
    </cfRule>
    <cfRule type="cellIs" dxfId="37" priority="11" operator="equal">
      <formula>"B"</formula>
    </cfRule>
    <cfRule type="cellIs" dxfId="36" priority="12" operator="equal">
      <formula>"A"</formula>
    </cfRule>
  </conditionalFormatting>
  <conditionalFormatting sqref="G21:G72">
    <cfRule type="cellIs" dxfId="35" priority="7" operator="equal">
      <formula>"C"</formula>
    </cfRule>
    <cfRule type="cellIs" dxfId="34" priority="8" operator="equal">
      <formula>"B"</formula>
    </cfRule>
    <cfRule type="cellIs" dxfId="33" priority="9" operator="equal">
      <formula>"A"</formula>
    </cfRule>
  </conditionalFormatting>
  <conditionalFormatting sqref="F4:F16">
    <cfRule type="cellIs" dxfId="32" priority="4" operator="equal">
      <formula>"C"</formula>
    </cfRule>
    <cfRule type="cellIs" dxfId="31" priority="5" operator="equal">
      <formula>"B"</formula>
    </cfRule>
    <cfRule type="cellIs" dxfId="30" priority="6" operator="equal">
      <formula>"A"</formula>
    </cfRule>
  </conditionalFormatting>
  <conditionalFormatting sqref="F21:F72">
    <cfRule type="cellIs" dxfId="29" priority="1" operator="equal">
      <formula>"C"</formula>
    </cfRule>
    <cfRule type="cellIs" dxfId="28" priority="2" operator="equal">
      <formula>"B"</formula>
    </cfRule>
    <cfRule type="cellIs" dxfId="27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77"/>
  <sheetViews>
    <sheetView zoomScale="70" zoomScaleNormal="70" workbookViewId="0">
      <pane xSplit="3" ySplit="2" topLeftCell="AP3" activePane="bottomRight" state="frozen"/>
      <selection pane="topRight" activeCell="D1" sqref="D1"/>
      <selection pane="bottomLeft" activeCell="A3" sqref="A3"/>
      <selection pane="bottomRight" activeCell="AT72" sqref="AT72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133</v>
      </c>
      <c r="B1" s="95"/>
      <c r="C1" s="94"/>
      <c r="D1" s="94"/>
      <c r="E1" s="96"/>
      <c r="F1" s="300" t="s">
        <v>47</v>
      </c>
      <c r="G1" s="300"/>
      <c r="H1" s="300"/>
      <c r="K1" s="249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50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139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/>
      <c r="F3" s="119"/>
      <c r="G3" s="119"/>
      <c r="H3" s="119"/>
      <c r="I3" s="119">
        <v>142.97999999999999</v>
      </c>
      <c r="J3" s="119">
        <f t="shared" ref="J3:J15" si="0">E3*I3</f>
        <v>0</v>
      </c>
      <c r="K3" s="116"/>
      <c r="L3" s="116"/>
      <c r="M3" s="116"/>
      <c r="N3" s="116"/>
      <c r="O3" s="215">
        <f t="shared" ref="O3:O15" si="1">L3/7</f>
        <v>0</v>
      </c>
      <c r="P3" s="119">
        <f t="shared" ref="P3" si="2">S3/7</f>
        <v>0</v>
      </c>
      <c r="Q3" s="120"/>
      <c r="R3" s="120"/>
      <c r="S3" s="119">
        <f>Q3+R3</f>
        <v>0</v>
      </c>
      <c r="T3" s="120"/>
      <c r="U3" s="120"/>
      <c r="V3" s="119">
        <f>T3+U3</f>
        <v>0</v>
      </c>
      <c r="W3" s="120"/>
      <c r="X3" s="120"/>
      <c r="Y3" s="119">
        <f t="shared" ref="Y3:Y15" si="3">W3+X3</f>
        <v>0</v>
      </c>
      <c r="Z3" s="119">
        <f>L3*M3*N3/100</f>
        <v>0</v>
      </c>
      <c r="AA3" s="121" t="e">
        <f t="shared" ref="AA3:AA15" si="4">Y3/$Y$74</f>
        <v>#DIV/0!</v>
      </c>
      <c r="AB3" s="119">
        <f>S3*I3</f>
        <v>0</v>
      </c>
      <c r="AC3" s="120"/>
      <c r="AD3" s="121">
        <f t="shared" ref="AD3:AD15" si="5">IF(Y3=0,0,AC3/Y3)</f>
        <v>0</v>
      </c>
      <c r="AE3" s="120"/>
      <c r="AF3" s="120"/>
      <c r="AG3" s="120"/>
      <c r="AH3" s="120"/>
      <c r="AI3" s="154">
        <f t="shared" ref="AI3:AI15" si="6">IFERROR($AI$74*H3/$H$74,0)</f>
        <v>0</v>
      </c>
      <c r="AJ3" s="120"/>
      <c r="AK3" s="122">
        <f>V3*1%</f>
        <v>0</v>
      </c>
      <c r="AL3" s="123">
        <f>Y3-AB3-AC3-AE3-AF3-AG3-AH3-AI3-AK3-AJ3</f>
        <v>0</v>
      </c>
      <c r="AM3" s="124"/>
      <c r="AN3" s="125">
        <f t="shared" ref="AN3:AN15" si="7">IF(S3=0,0,Y3/S3)</f>
        <v>0</v>
      </c>
      <c r="AO3" s="126">
        <f t="shared" ref="AO3:AO15" si="8">I3</f>
        <v>142.97999999999999</v>
      </c>
      <c r="AP3" s="126">
        <f t="shared" ref="AP3:AP15" si="9">IF(S3=0,0,AC3/S3)</f>
        <v>0</v>
      </c>
      <c r="AQ3" s="126">
        <f>IF(Q3=0,AE3/1,AE3/Q3)</f>
        <v>0</v>
      </c>
      <c r="AR3" s="126">
        <f>IF(Q3=0,0,(AF3+AG3)/Q3)</f>
        <v>0</v>
      </c>
      <c r="AS3" s="126">
        <f>_xlfn.IFS(S3=0,AL3,S3&lt;0,AL3/-S3,S3&gt;0,AL3/S3)</f>
        <v>0</v>
      </c>
      <c r="AT3" s="121">
        <f t="shared" ref="AT3" si="10">IF(AN3=0,0,AS3/AN3)</f>
        <v>0</v>
      </c>
      <c r="AU3" s="121">
        <f t="shared" ref="AU3" si="11">IF(AO3=0,0,AS3/AO3)</f>
        <v>0</v>
      </c>
      <c r="AV3" s="127"/>
      <c r="AW3" s="122">
        <f t="shared" ref="AW3:AW15" si="12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/>
      <c r="F4" s="119"/>
      <c r="G4" s="119"/>
      <c r="H4" s="119"/>
      <c r="I4" s="119">
        <v>123.09</v>
      </c>
      <c r="J4" s="119">
        <f t="shared" si="0"/>
        <v>0</v>
      </c>
      <c r="K4" s="116"/>
      <c r="L4" s="116"/>
      <c r="M4" s="116"/>
      <c r="N4" s="116"/>
      <c r="O4" s="215">
        <f t="shared" si="1"/>
        <v>0</v>
      </c>
      <c r="P4" s="119">
        <f>S4/7</f>
        <v>0</v>
      </c>
      <c r="Q4" s="120"/>
      <c r="R4" s="120"/>
      <c r="S4" s="119">
        <f t="shared" ref="S4:S15" si="13">Q4+R4</f>
        <v>0</v>
      </c>
      <c r="T4" s="120"/>
      <c r="U4" s="120"/>
      <c r="V4" s="119">
        <f t="shared" ref="V4:V15" si="14">T4+U4</f>
        <v>0</v>
      </c>
      <c r="W4" s="120"/>
      <c r="X4" s="120"/>
      <c r="Y4" s="119">
        <f t="shared" si="3"/>
        <v>0</v>
      </c>
      <c r="Z4" s="119">
        <f t="shared" ref="Z4:Z15" si="15">L4*M4*N4/100</f>
        <v>0</v>
      </c>
      <c r="AA4" s="121" t="e">
        <f t="shared" si="4"/>
        <v>#DIV/0!</v>
      </c>
      <c r="AB4" s="119">
        <f t="shared" ref="AB4:AB15" si="16">S4*I4</f>
        <v>0</v>
      </c>
      <c r="AC4" s="120"/>
      <c r="AD4" s="121">
        <f t="shared" si="5"/>
        <v>0</v>
      </c>
      <c r="AE4" s="120"/>
      <c r="AF4" s="120"/>
      <c r="AG4" s="120"/>
      <c r="AH4" s="120"/>
      <c r="AI4" s="154">
        <f t="shared" si="6"/>
        <v>0</v>
      </c>
      <c r="AJ4" s="120"/>
      <c r="AK4" s="122">
        <f t="shared" ref="AK4:AK15" si="17">V4*1%</f>
        <v>0</v>
      </c>
      <c r="AL4" s="123">
        <f t="shared" ref="AL4:AL15" si="18">Y4-AB4-AC4-AE4-AF4-AG4-AH4-AI4-AK4-AJ4</f>
        <v>0</v>
      </c>
      <c r="AM4" s="124"/>
      <c r="AN4" s="125">
        <f t="shared" si="7"/>
        <v>0</v>
      </c>
      <c r="AO4" s="126">
        <f t="shared" si="8"/>
        <v>123.09</v>
      </c>
      <c r="AP4" s="126">
        <f t="shared" si="9"/>
        <v>0</v>
      </c>
      <c r="AQ4" s="126">
        <f t="shared" ref="AQ4:AQ15" si="19">IF(Q4=0,AE4/1,AE4/Q4)</f>
        <v>0</v>
      </c>
      <c r="AR4" s="126">
        <f t="shared" ref="AR4:AR15" si="20">IF(Q4=0,0,(AF4+AG4)/Q4)</f>
        <v>0</v>
      </c>
      <c r="AS4" s="126">
        <f t="array" ref="AS4">_xlfn.IFS(S4=0,AL4,S4&lt;0,AL4/-S4,S4&gt;0,AL4/S4)</f>
        <v>0</v>
      </c>
      <c r="AT4" s="121">
        <f>IF(AN4=0,0,AS4/AN4)</f>
        <v>0</v>
      </c>
      <c r="AU4" s="121">
        <f>IF(AO4=0,0,AS4/AO4)</f>
        <v>0</v>
      </c>
      <c r="AV4" s="127"/>
      <c r="AW4" s="122">
        <f t="shared" si="12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/>
      <c r="F5" s="119"/>
      <c r="G5" s="119"/>
      <c r="H5" s="119"/>
      <c r="I5" s="119">
        <v>123.09</v>
      </c>
      <c r="J5" s="119">
        <f t="shared" si="0"/>
        <v>0</v>
      </c>
      <c r="K5" s="116"/>
      <c r="L5" s="116"/>
      <c r="M5" s="116"/>
      <c r="N5" s="116"/>
      <c r="O5" s="215">
        <f t="shared" si="1"/>
        <v>0</v>
      </c>
      <c r="P5" s="119">
        <f>S5/7</f>
        <v>0</v>
      </c>
      <c r="Q5" s="120"/>
      <c r="R5" s="120"/>
      <c r="S5" s="119">
        <f t="shared" si="13"/>
        <v>0</v>
      </c>
      <c r="T5" s="120"/>
      <c r="U5" s="120"/>
      <c r="V5" s="119">
        <f t="shared" si="14"/>
        <v>0</v>
      </c>
      <c r="W5" s="120"/>
      <c r="X5" s="120"/>
      <c r="Y5" s="119">
        <f t="shared" si="3"/>
        <v>0</v>
      </c>
      <c r="Z5" s="119">
        <f t="shared" si="15"/>
        <v>0</v>
      </c>
      <c r="AA5" s="121" t="e">
        <f t="shared" si="4"/>
        <v>#DIV/0!</v>
      </c>
      <c r="AB5" s="119">
        <f t="shared" si="16"/>
        <v>0</v>
      </c>
      <c r="AC5" s="120"/>
      <c r="AD5" s="121">
        <f t="shared" si="5"/>
        <v>0</v>
      </c>
      <c r="AE5" s="120"/>
      <c r="AF5" s="120"/>
      <c r="AG5" s="120"/>
      <c r="AH5" s="120"/>
      <c r="AI5" s="154">
        <f t="shared" si="6"/>
        <v>0</v>
      </c>
      <c r="AJ5" s="120"/>
      <c r="AK5" s="122">
        <f t="shared" si="17"/>
        <v>0</v>
      </c>
      <c r="AL5" s="123">
        <f t="shared" si="18"/>
        <v>0</v>
      </c>
      <c r="AM5" s="124"/>
      <c r="AN5" s="125">
        <f t="shared" si="7"/>
        <v>0</v>
      </c>
      <c r="AO5" s="126">
        <f t="shared" si="8"/>
        <v>123.09</v>
      </c>
      <c r="AP5" s="126">
        <f t="shared" si="9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0</v>
      </c>
      <c r="AT5" s="121">
        <f>IF(AN5=0,0,AS5/AN5)</f>
        <v>0</v>
      </c>
      <c r="AU5" s="121">
        <f>IF(AO5=0,0,AS5/AO5)</f>
        <v>0</v>
      </c>
      <c r="AV5" s="127"/>
      <c r="AW5" s="122">
        <f t="shared" si="12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/>
      <c r="F6" s="119"/>
      <c r="G6" s="119"/>
      <c r="H6" s="119"/>
      <c r="I6" s="119">
        <v>123.09</v>
      </c>
      <c r="J6" s="119">
        <f t="shared" si="0"/>
        <v>0</v>
      </c>
      <c r="K6" s="116"/>
      <c r="L6" s="116"/>
      <c r="M6" s="116"/>
      <c r="N6" s="116"/>
      <c r="O6" s="215">
        <f t="shared" si="1"/>
        <v>0</v>
      </c>
      <c r="P6" s="119">
        <f t="shared" ref="P6:P15" si="21">S6/7</f>
        <v>0</v>
      </c>
      <c r="Q6" s="120"/>
      <c r="R6" s="120"/>
      <c r="S6" s="119">
        <f t="shared" si="13"/>
        <v>0</v>
      </c>
      <c r="T6" s="120"/>
      <c r="U6" s="120"/>
      <c r="V6" s="119">
        <f t="shared" si="14"/>
        <v>0</v>
      </c>
      <c r="W6" s="120"/>
      <c r="X6" s="120"/>
      <c r="Y6" s="119">
        <f t="shared" si="3"/>
        <v>0</v>
      </c>
      <c r="Z6" s="119">
        <f t="shared" si="15"/>
        <v>0</v>
      </c>
      <c r="AA6" s="121" t="e">
        <f t="shared" si="4"/>
        <v>#DIV/0!</v>
      </c>
      <c r="AB6" s="119">
        <f t="shared" si="16"/>
        <v>0</v>
      </c>
      <c r="AC6" s="120"/>
      <c r="AD6" s="121">
        <f t="shared" si="5"/>
        <v>0</v>
      </c>
      <c r="AE6" s="120"/>
      <c r="AF6" s="120"/>
      <c r="AG6" s="120"/>
      <c r="AH6" s="120"/>
      <c r="AI6" s="154">
        <f t="shared" si="6"/>
        <v>0</v>
      </c>
      <c r="AJ6" s="120"/>
      <c r="AK6" s="122">
        <f t="shared" si="17"/>
        <v>0</v>
      </c>
      <c r="AL6" s="123">
        <f t="shared" si="18"/>
        <v>0</v>
      </c>
      <c r="AM6" s="124"/>
      <c r="AN6" s="125">
        <f t="shared" si="7"/>
        <v>0</v>
      </c>
      <c r="AO6" s="126">
        <f t="shared" si="8"/>
        <v>123.09</v>
      </c>
      <c r="AP6" s="126">
        <f t="shared" si="9"/>
        <v>0</v>
      </c>
      <c r="AQ6" s="126">
        <f t="shared" si="19"/>
        <v>0</v>
      </c>
      <c r="AR6" s="126">
        <f t="shared" si="20"/>
        <v>0</v>
      </c>
      <c r="AS6" s="126">
        <f t="array" ref="AS6">_xlfn.IFS(S6=0,AL6,S6&lt;0,AL6/-S6,S6&gt;0,AL6/S6)</f>
        <v>0</v>
      </c>
      <c r="AT6" s="121">
        <f t="shared" ref="AT6:AT15" si="22">IF(AN6=0,0,AS6/AN6)</f>
        <v>0</v>
      </c>
      <c r="AU6" s="121">
        <f t="shared" ref="AU6:AU15" si="23">IF(AO6=0,0,AS6/AO6)</f>
        <v>0</v>
      </c>
      <c r="AV6" s="127"/>
      <c r="AW6" s="122">
        <f t="shared" si="12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/>
      <c r="F7" s="119"/>
      <c r="G7" s="119"/>
      <c r="H7" s="119"/>
      <c r="I7" s="119">
        <v>123.09</v>
      </c>
      <c r="J7" s="119">
        <f t="shared" si="0"/>
        <v>0</v>
      </c>
      <c r="K7" s="116"/>
      <c r="L7" s="116"/>
      <c r="M7" s="116"/>
      <c r="N7" s="116"/>
      <c r="O7" s="215">
        <f t="shared" si="1"/>
        <v>0</v>
      </c>
      <c r="P7" s="119">
        <f t="shared" si="21"/>
        <v>0</v>
      </c>
      <c r="Q7" s="120"/>
      <c r="R7" s="120"/>
      <c r="S7" s="119">
        <f t="shared" si="13"/>
        <v>0</v>
      </c>
      <c r="T7" s="120"/>
      <c r="U7" s="120"/>
      <c r="V7" s="119">
        <f t="shared" si="14"/>
        <v>0</v>
      </c>
      <c r="W7" s="120"/>
      <c r="X7" s="120"/>
      <c r="Y7" s="119">
        <f t="shared" si="3"/>
        <v>0</v>
      </c>
      <c r="Z7" s="119">
        <f t="shared" si="15"/>
        <v>0</v>
      </c>
      <c r="AA7" s="121" t="e">
        <f t="shared" si="4"/>
        <v>#DIV/0!</v>
      </c>
      <c r="AB7" s="119">
        <f t="shared" si="16"/>
        <v>0</v>
      </c>
      <c r="AC7" s="120"/>
      <c r="AD7" s="121">
        <f t="shared" si="5"/>
        <v>0</v>
      </c>
      <c r="AE7" s="120"/>
      <c r="AF7" s="120"/>
      <c r="AG7" s="120"/>
      <c r="AH7" s="120"/>
      <c r="AI7" s="154">
        <f t="shared" si="6"/>
        <v>0</v>
      </c>
      <c r="AJ7" s="120"/>
      <c r="AK7" s="122">
        <f t="shared" si="17"/>
        <v>0</v>
      </c>
      <c r="AL7" s="123">
        <f t="shared" si="18"/>
        <v>0</v>
      </c>
      <c r="AM7" s="124"/>
      <c r="AN7" s="125">
        <f t="shared" si="7"/>
        <v>0</v>
      </c>
      <c r="AO7" s="126">
        <f t="shared" si="8"/>
        <v>123.09</v>
      </c>
      <c r="AP7" s="126">
        <f t="shared" si="9"/>
        <v>0</v>
      </c>
      <c r="AQ7" s="126">
        <f t="shared" si="19"/>
        <v>0</v>
      </c>
      <c r="AR7" s="126">
        <f t="shared" si="20"/>
        <v>0</v>
      </c>
      <c r="AS7" s="126">
        <f t="array" ref="AS7">_xlfn.IFS(S7=0,AL7,S7&lt;0,AL7/-S7,S7&gt;0,AL7/S7)</f>
        <v>0</v>
      </c>
      <c r="AT7" s="121">
        <f t="shared" si="22"/>
        <v>0</v>
      </c>
      <c r="AU7" s="121">
        <f t="shared" si="23"/>
        <v>0</v>
      </c>
      <c r="AV7" s="127"/>
      <c r="AW7" s="122">
        <f t="shared" si="12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/>
      <c r="F8" s="119"/>
      <c r="G8" s="119"/>
      <c r="H8" s="119"/>
      <c r="I8" s="119">
        <v>123.09</v>
      </c>
      <c r="J8" s="119">
        <f t="shared" si="0"/>
        <v>0</v>
      </c>
      <c r="K8" s="116"/>
      <c r="L8" s="116"/>
      <c r="M8" s="116"/>
      <c r="N8" s="116"/>
      <c r="O8" s="215">
        <f t="shared" si="1"/>
        <v>0</v>
      </c>
      <c r="P8" s="119">
        <f t="shared" si="21"/>
        <v>0</v>
      </c>
      <c r="Q8" s="120"/>
      <c r="R8" s="120"/>
      <c r="S8" s="119">
        <f t="shared" si="13"/>
        <v>0</v>
      </c>
      <c r="T8" s="120"/>
      <c r="U8" s="120"/>
      <c r="V8" s="119">
        <f t="shared" si="14"/>
        <v>0</v>
      </c>
      <c r="W8" s="120"/>
      <c r="X8" s="120"/>
      <c r="Y8" s="119">
        <f t="shared" si="3"/>
        <v>0</v>
      </c>
      <c r="Z8" s="119">
        <f t="shared" si="15"/>
        <v>0</v>
      </c>
      <c r="AA8" s="121" t="e">
        <f t="shared" si="4"/>
        <v>#DIV/0!</v>
      </c>
      <c r="AB8" s="119">
        <f t="shared" si="16"/>
        <v>0</v>
      </c>
      <c r="AC8" s="120"/>
      <c r="AD8" s="121">
        <f t="shared" si="5"/>
        <v>0</v>
      </c>
      <c r="AE8" s="120"/>
      <c r="AF8" s="120"/>
      <c r="AG8" s="120"/>
      <c r="AH8" s="120"/>
      <c r="AI8" s="154">
        <f t="shared" si="6"/>
        <v>0</v>
      </c>
      <c r="AJ8" s="120"/>
      <c r="AK8" s="122">
        <f t="shared" si="17"/>
        <v>0</v>
      </c>
      <c r="AL8" s="123">
        <f t="shared" si="18"/>
        <v>0</v>
      </c>
      <c r="AM8" s="124"/>
      <c r="AN8" s="125">
        <f t="shared" si="7"/>
        <v>0</v>
      </c>
      <c r="AO8" s="126">
        <f t="shared" si="8"/>
        <v>123.09</v>
      </c>
      <c r="AP8" s="126">
        <f t="shared" si="9"/>
        <v>0</v>
      </c>
      <c r="AQ8" s="126">
        <f t="shared" si="19"/>
        <v>0</v>
      </c>
      <c r="AR8" s="126">
        <f t="shared" si="20"/>
        <v>0</v>
      </c>
      <c r="AS8" s="126">
        <f t="array" ref="AS8">_xlfn.IFS(S8=0,AL8,S8&lt;0,AL8/-S8,S8&gt;0,AL8/S8)</f>
        <v>0</v>
      </c>
      <c r="AT8" s="121">
        <f t="shared" si="22"/>
        <v>0</v>
      </c>
      <c r="AU8" s="121">
        <f t="shared" si="23"/>
        <v>0</v>
      </c>
      <c r="AV8" s="127"/>
      <c r="AW8" s="122">
        <f t="shared" si="12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/>
      <c r="F9" s="119"/>
      <c r="G9" s="119"/>
      <c r="H9" s="119"/>
      <c r="I9" s="119">
        <v>169.89</v>
      </c>
      <c r="J9" s="119">
        <f t="shared" si="0"/>
        <v>0</v>
      </c>
      <c r="K9" s="116"/>
      <c r="L9" s="116"/>
      <c r="M9" s="116"/>
      <c r="N9" s="116"/>
      <c r="O9" s="215">
        <f t="shared" si="1"/>
        <v>0</v>
      </c>
      <c r="P9" s="119">
        <f t="shared" si="21"/>
        <v>0</v>
      </c>
      <c r="Q9" s="120"/>
      <c r="R9" s="120"/>
      <c r="S9" s="119">
        <f t="shared" si="13"/>
        <v>0</v>
      </c>
      <c r="T9" s="120"/>
      <c r="U9" s="120"/>
      <c r="V9" s="119">
        <f t="shared" si="14"/>
        <v>0</v>
      </c>
      <c r="W9" s="120"/>
      <c r="X9" s="120"/>
      <c r="Y9" s="119">
        <f t="shared" si="3"/>
        <v>0</v>
      </c>
      <c r="Z9" s="119">
        <f t="shared" si="15"/>
        <v>0</v>
      </c>
      <c r="AA9" s="121" t="e">
        <f t="shared" si="4"/>
        <v>#DIV/0!</v>
      </c>
      <c r="AB9" s="119">
        <f t="shared" si="16"/>
        <v>0</v>
      </c>
      <c r="AC9" s="120"/>
      <c r="AD9" s="121">
        <f t="shared" si="5"/>
        <v>0</v>
      </c>
      <c r="AE9" s="120"/>
      <c r="AF9" s="120"/>
      <c r="AG9" s="120"/>
      <c r="AH9" s="120"/>
      <c r="AI9" s="154">
        <f t="shared" si="6"/>
        <v>0</v>
      </c>
      <c r="AJ9" s="120"/>
      <c r="AK9" s="122">
        <f t="shared" si="17"/>
        <v>0</v>
      </c>
      <c r="AL9" s="123">
        <f t="shared" si="18"/>
        <v>0</v>
      </c>
      <c r="AM9" s="124"/>
      <c r="AN9" s="125">
        <f t="shared" si="7"/>
        <v>0</v>
      </c>
      <c r="AO9" s="126">
        <f t="shared" si="8"/>
        <v>169.89</v>
      </c>
      <c r="AP9" s="126">
        <f t="shared" si="9"/>
        <v>0</v>
      </c>
      <c r="AQ9" s="126">
        <f t="shared" si="19"/>
        <v>0</v>
      </c>
      <c r="AR9" s="126">
        <f t="shared" si="20"/>
        <v>0</v>
      </c>
      <c r="AS9" s="126">
        <f t="array" ref="AS9">_xlfn.IFS(S9=0,AL9,S9&lt;0,AL9/-S9,S9&gt;0,AL9/S9)</f>
        <v>0</v>
      </c>
      <c r="AT9" s="121">
        <f t="shared" si="22"/>
        <v>0</v>
      </c>
      <c r="AU9" s="121">
        <f t="shared" si="23"/>
        <v>0</v>
      </c>
      <c r="AV9" s="127"/>
      <c r="AW9" s="122">
        <f t="shared" si="12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/>
      <c r="F10" s="119"/>
      <c r="G10" s="119"/>
      <c r="H10" s="119"/>
      <c r="I10" s="119">
        <v>169.89</v>
      </c>
      <c r="J10" s="119">
        <f t="shared" si="0"/>
        <v>0</v>
      </c>
      <c r="K10" s="116"/>
      <c r="L10" s="116"/>
      <c r="M10" s="116"/>
      <c r="N10" s="116"/>
      <c r="O10" s="215">
        <f t="shared" si="1"/>
        <v>0</v>
      </c>
      <c r="P10" s="119">
        <f t="shared" si="21"/>
        <v>0</v>
      </c>
      <c r="Q10" s="120"/>
      <c r="R10" s="120"/>
      <c r="S10" s="119">
        <f t="shared" si="13"/>
        <v>0</v>
      </c>
      <c r="T10" s="120"/>
      <c r="U10" s="120"/>
      <c r="V10" s="119">
        <f t="shared" si="14"/>
        <v>0</v>
      </c>
      <c r="W10" s="120"/>
      <c r="X10" s="120"/>
      <c r="Y10" s="119">
        <f t="shared" si="3"/>
        <v>0</v>
      </c>
      <c r="Z10" s="119">
        <f t="shared" si="15"/>
        <v>0</v>
      </c>
      <c r="AA10" s="121" t="e">
        <f t="shared" si="4"/>
        <v>#DIV/0!</v>
      </c>
      <c r="AB10" s="119">
        <f t="shared" si="16"/>
        <v>0</v>
      </c>
      <c r="AC10" s="120"/>
      <c r="AD10" s="121">
        <f t="shared" si="5"/>
        <v>0</v>
      </c>
      <c r="AE10" s="120"/>
      <c r="AF10" s="120"/>
      <c r="AG10" s="120"/>
      <c r="AH10" s="120"/>
      <c r="AI10" s="154">
        <f t="shared" si="6"/>
        <v>0</v>
      </c>
      <c r="AJ10" s="120"/>
      <c r="AK10" s="122">
        <f t="shared" si="17"/>
        <v>0</v>
      </c>
      <c r="AL10" s="123">
        <f t="shared" si="18"/>
        <v>0</v>
      </c>
      <c r="AM10" s="124"/>
      <c r="AN10" s="125">
        <f t="shared" si="7"/>
        <v>0</v>
      </c>
      <c r="AO10" s="126">
        <f t="shared" si="8"/>
        <v>169.89</v>
      </c>
      <c r="AP10" s="126">
        <f t="shared" si="9"/>
        <v>0</v>
      </c>
      <c r="AQ10" s="126">
        <f t="shared" si="19"/>
        <v>0</v>
      </c>
      <c r="AR10" s="126">
        <f t="shared" si="20"/>
        <v>0</v>
      </c>
      <c r="AS10" s="126">
        <f t="array" ref="AS10">_xlfn.IFS(S10=0,AL10,S10&lt;0,AL10/-S10,S10&gt;0,AL10/S10)</f>
        <v>0</v>
      </c>
      <c r="AT10" s="121">
        <f t="shared" si="22"/>
        <v>0</v>
      </c>
      <c r="AU10" s="121">
        <f t="shared" si="23"/>
        <v>0</v>
      </c>
      <c r="AV10" s="127"/>
      <c r="AW10" s="122">
        <f t="shared" si="12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/>
      <c r="F11" s="119"/>
      <c r="G11" s="119"/>
      <c r="H11" s="119"/>
      <c r="I11" s="119">
        <v>169.89</v>
      </c>
      <c r="J11" s="119">
        <f t="shared" si="0"/>
        <v>0</v>
      </c>
      <c r="K11" s="116"/>
      <c r="L11" s="116"/>
      <c r="M11" s="116"/>
      <c r="N11" s="116"/>
      <c r="O11" s="215">
        <f t="shared" si="1"/>
        <v>0</v>
      </c>
      <c r="P11" s="119">
        <f t="shared" si="21"/>
        <v>0</v>
      </c>
      <c r="Q11" s="120"/>
      <c r="R11" s="120"/>
      <c r="S11" s="119">
        <f t="shared" si="13"/>
        <v>0</v>
      </c>
      <c r="T11" s="120"/>
      <c r="U11" s="120"/>
      <c r="V11" s="119">
        <f t="shared" si="14"/>
        <v>0</v>
      </c>
      <c r="W11" s="120"/>
      <c r="X11" s="120"/>
      <c r="Y11" s="119">
        <f t="shared" si="3"/>
        <v>0</v>
      </c>
      <c r="Z11" s="119">
        <f t="shared" si="15"/>
        <v>0</v>
      </c>
      <c r="AA11" s="121" t="e">
        <f t="shared" si="4"/>
        <v>#DIV/0!</v>
      </c>
      <c r="AB11" s="119">
        <f t="shared" si="16"/>
        <v>0</v>
      </c>
      <c r="AC11" s="120"/>
      <c r="AD11" s="121">
        <f t="shared" si="5"/>
        <v>0</v>
      </c>
      <c r="AE11" s="120"/>
      <c r="AF11" s="120"/>
      <c r="AG11" s="120"/>
      <c r="AH11" s="120"/>
      <c r="AI11" s="154">
        <f t="shared" si="6"/>
        <v>0</v>
      </c>
      <c r="AJ11" s="120"/>
      <c r="AK11" s="122">
        <f t="shared" si="17"/>
        <v>0</v>
      </c>
      <c r="AL11" s="123">
        <f t="shared" si="18"/>
        <v>0</v>
      </c>
      <c r="AM11" s="124"/>
      <c r="AN11" s="125">
        <f t="shared" si="7"/>
        <v>0</v>
      </c>
      <c r="AO11" s="126">
        <f t="shared" si="8"/>
        <v>169.89</v>
      </c>
      <c r="AP11" s="126">
        <f t="shared" si="9"/>
        <v>0</v>
      </c>
      <c r="AQ11" s="126">
        <f t="shared" si="19"/>
        <v>0</v>
      </c>
      <c r="AR11" s="126">
        <f t="shared" si="20"/>
        <v>0</v>
      </c>
      <c r="AS11" s="126">
        <f t="array" ref="AS11">_xlfn.IFS(S11=0,AL11,S11&lt;0,AL11/-S11,S11&gt;0,AL11/S11)</f>
        <v>0</v>
      </c>
      <c r="AT11" s="121">
        <f t="shared" si="22"/>
        <v>0</v>
      </c>
      <c r="AU11" s="121">
        <f t="shared" si="23"/>
        <v>0</v>
      </c>
      <c r="AV11" s="127"/>
      <c r="AW11" s="122">
        <f t="shared" si="12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/>
      <c r="F12" s="119"/>
      <c r="G12" s="119"/>
      <c r="H12" s="119"/>
      <c r="I12" s="119">
        <v>169.89</v>
      </c>
      <c r="J12" s="119">
        <f t="shared" si="0"/>
        <v>0</v>
      </c>
      <c r="K12" s="116"/>
      <c r="L12" s="116"/>
      <c r="M12" s="116"/>
      <c r="N12" s="116"/>
      <c r="O12" s="215">
        <f t="shared" si="1"/>
        <v>0</v>
      </c>
      <c r="P12" s="119">
        <f t="shared" si="21"/>
        <v>0</v>
      </c>
      <c r="Q12" s="120"/>
      <c r="R12" s="120"/>
      <c r="S12" s="119">
        <f t="shared" si="13"/>
        <v>0</v>
      </c>
      <c r="T12" s="120"/>
      <c r="U12" s="120"/>
      <c r="V12" s="119">
        <f t="shared" si="14"/>
        <v>0</v>
      </c>
      <c r="W12" s="120"/>
      <c r="X12" s="120"/>
      <c r="Y12" s="119">
        <f t="shared" si="3"/>
        <v>0</v>
      </c>
      <c r="Z12" s="119">
        <f t="shared" si="15"/>
        <v>0</v>
      </c>
      <c r="AA12" s="121" t="e">
        <f t="shared" si="4"/>
        <v>#DIV/0!</v>
      </c>
      <c r="AB12" s="119">
        <f t="shared" si="16"/>
        <v>0</v>
      </c>
      <c r="AC12" s="120"/>
      <c r="AD12" s="121">
        <f t="shared" si="5"/>
        <v>0</v>
      </c>
      <c r="AE12" s="120"/>
      <c r="AF12" s="120"/>
      <c r="AG12" s="120"/>
      <c r="AH12" s="120"/>
      <c r="AI12" s="154">
        <f t="shared" si="6"/>
        <v>0</v>
      </c>
      <c r="AJ12" s="120"/>
      <c r="AK12" s="122">
        <f t="shared" si="17"/>
        <v>0</v>
      </c>
      <c r="AL12" s="123">
        <f t="shared" si="18"/>
        <v>0</v>
      </c>
      <c r="AM12" s="124"/>
      <c r="AN12" s="125">
        <f t="shared" si="7"/>
        <v>0</v>
      </c>
      <c r="AO12" s="126">
        <f t="shared" si="8"/>
        <v>169.89</v>
      </c>
      <c r="AP12" s="126">
        <f t="shared" si="9"/>
        <v>0</v>
      </c>
      <c r="AQ12" s="126">
        <f t="shared" si="19"/>
        <v>0</v>
      </c>
      <c r="AR12" s="126">
        <f t="shared" si="20"/>
        <v>0</v>
      </c>
      <c r="AS12" s="126">
        <f t="array" ref="AS12">_xlfn.IFS(S12=0,AL12,S12&lt;0,AL12/-S12,S12&gt;0,AL12/S12)</f>
        <v>0</v>
      </c>
      <c r="AT12" s="121">
        <f t="shared" si="22"/>
        <v>0</v>
      </c>
      <c r="AU12" s="121">
        <f t="shared" si="23"/>
        <v>0</v>
      </c>
      <c r="AV12" s="127"/>
      <c r="AW12" s="122">
        <f t="shared" si="12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/>
      <c r="F13" s="119"/>
      <c r="G13" s="119"/>
      <c r="H13" s="119"/>
      <c r="I13" s="119">
        <v>169.89</v>
      </c>
      <c r="J13" s="119">
        <f t="shared" si="0"/>
        <v>0</v>
      </c>
      <c r="K13" s="116"/>
      <c r="L13" s="116"/>
      <c r="M13" s="116"/>
      <c r="N13" s="116"/>
      <c r="O13" s="215">
        <f t="shared" si="1"/>
        <v>0</v>
      </c>
      <c r="P13" s="119">
        <f t="shared" si="21"/>
        <v>0</v>
      </c>
      <c r="Q13" s="120"/>
      <c r="R13" s="120"/>
      <c r="S13" s="119">
        <f t="shared" si="13"/>
        <v>0</v>
      </c>
      <c r="T13" s="120"/>
      <c r="U13" s="120"/>
      <c r="V13" s="119">
        <f t="shared" si="14"/>
        <v>0</v>
      </c>
      <c r="W13" s="120"/>
      <c r="X13" s="120"/>
      <c r="Y13" s="119">
        <f t="shared" si="3"/>
        <v>0</v>
      </c>
      <c r="Z13" s="119">
        <f t="shared" si="15"/>
        <v>0</v>
      </c>
      <c r="AA13" s="121" t="e">
        <f t="shared" si="4"/>
        <v>#DIV/0!</v>
      </c>
      <c r="AB13" s="119">
        <f t="shared" si="16"/>
        <v>0</v>
      </c>
      <c r="AC13" s="120"/>
      <c r="AD13" s="121">
        <f t="shared" si="5"/>
        <v>0</v>
      </c>
      <c r="AE13" s="120"/>
      <c r="AF13" s="120"/>
      <c r="AG13" s="120"/>
      <c r="AH13" s="120"/>
      <c r="AI13" s="154">
        <f t="shared" si="6"/>
        <v>0</v>
      </c>
      <c r="AJ13" s="120"/>
      <c r="AK13" s="122">
        <f t="shared" si="17"/>
        <v>0</v>
      </c>
      <c r="AL13" s="123">
        <f t="shared" si="18"/>
        <v>0</v>
      </c>
      <c r="AM13" s="124"/>
      <c r="AN13" s="125">
        <f t="shared" si="7"/>
        <v>0</v>
      </c>
      <c r="AO13" s="126">
        <f t="shared" si="8"/>
        <v>169.89</v>
      </c>
      <c r="AP13" s="126">
        <f t="shared" si="9"/>
        <v>0</v>
      </c>
      <c r="AQ13" s="126">
        <f t="shared" si="19"/>
        <v>0</v>
      </c>
      <c r="AR13" s="126">
        <f t="shared" si="20"/>
        <v>0</v>
      </c>
      <c r="AS13" s="126">
        <f t="array" ref="AS13">_xlfn.IFS(S13=0,AL13,S13&lt;0,AL13/-S13,S13&gt;0,AL13/S13)</f>
        <v>0</v>
      </c>
      <c r="AT13" s="121">
        <f t="shared" si="22"/>
        <v>0</v>
      </c>
      <c r="AU13" s="121">
        <f t="shared" si="23"/>
        <v>0</v>
      </c>
      <c r="AV13" s="127"/>
      <c r="AW13" s="122">
        <f t="shared" si="12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/>
      <c r="F14" s="119"/>
      <c r="G14" s="119"/>
      <c r="H14" s="119"/>
      <c r="I14" s="119">
        <v>169.89</v>
      </c>
      <c r="J14" s="119">
        <f t="shared" si="0"/>
        <v>0</v>
      </c>
      <c r="K14" s="116"/>
      <c r="L14" s="116"/>
      <c r="M14" s="116"/>
      <c r="N14" s="116"/>
      <c r="O14" s="215">
        <f t="shared" si="1"/>
        <v>0</v>
      </c>
      <c r="P14" s="119">
        <f t="shared" si="21"/>
        <v>0</v>
      </c>
      <c r="Q14" s="120"/>
      <c r="R14" s="120"/>
      <c r="S14" s="119">
        <f t="shared" si="13"/>
        <v>0</v>
      </c>
      <c r="T14" s="120"/>
      <c r="U14" s="120"/>
      <c r="V14" s="119">
        <f t="shared" si="14"/>
        <v>0</v>
      </c>
      <c r="W14" s="120"/>
      <c r="X14" s="120"/>
      <c r="Y14" s="119">
        <f t="shared" si="3"/>
        <v>0</v>
      </c>
      <c r="Z14" s="119">
        <f t="shared" si="15"/>
        <v>0</v>
      </c>
      <c r="AA14" s="121" t="e">
        <f t="shared" si="4"/>
        <v>#DIV/0!</v>
      </c>
      <c r="AB14" s="119">
        <f t="shared" si="16"/>
        <v>0</v>
      </c>
      <c r="AC14" s="120"/>
      <c r="AD14" s="121">
        <f t="shared" si="5"/>
        <v>0</v>
      </c>
      <c r="AE14" s="120"/>
      <c r="AF14" s="120"/>
      <c r="AG14" s="120"/>
      <c r="AH14" s="120"/>
      <c r="AI14" s="154">
        <f t="shared" si="6"/>
        <v>0</v>
      </c>
      <c r="AJ14" s="120"/>
      <c r="AK14" s="122">
        <f t="shared" si="17"/>
        <v>0</v>
      </c>
      <c r="AL14" s="123">
        <f t="shared" si="18"/>
        <v>0</v>
      </c>
      <c r="AM14" s="124"/>
      <c r="AN14" s="125">
        <f t="shared" si="7"/>
        <v>0</v>
      </c>
      <c r="AO14" s="126">
        <f t="shared" si="8"/>
        <v>169.89</v>
      </c>
      <c r="AP14" s="126">
        <f t="shared" si="9"/>
        <v>0</v>
      </c>
      <c r="AQ14" s="126">
        <f t="shared" si="19"/>
        <v>0</v>
      </c>
      <c r="AR14" s="126">
        <f t="shared" si="20"/>
        <v>0</v>
      </c>
      <c r="AS14" s="126">
        <f t="array" ref="AS14">_xlfn.IFS(S14=0,AL14,S14&lt;0,AL14/-S14,S14&gt;0,AL14/S14)</f>
        <v>0</v>
      </c>
      <c r="AT14" s="121">
        <f t="shared" si="22"/>
        <v>0</v>
      </c>
      <c r="AU14" s="121">
        <f t="shared" si="23"/>
        <v>0</v>
      </c>
      <c r="AV14" s="127"/>
      <c r="AW14" s="122">
        <f t="shared" si="12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/>
      <c r="F15" s="119"/>
      <c r="G15" s="119"/>
      <c r="H15" s="119"/>
      <c r="I15" s="119">
        <v>169.89</v>
      </c>
      <c r="J15" s="119">
        <f t="shared" si="0"/>
        <v>0</v>
      </c>
      <c r="K15" s="116"/>
      <c r="L15" s="116"/>
      <c r="M15" s="116"/>
      <c r="N15" s="116"/>
      <c r="O15" s="215">
        <f t="shared" si="1"/>
        <v>0</v>
      </c>
      <c r="P15" s="119">
        <f t="shared" si="21"/>
        <v>0</v>
      </c>
      <c r="Q15" s="120"/>
      <c r="R15" s="120"/>
      <c r="S15" s="119">
        <f t="shared" si="13"/>
        <v>0</v>
      </c>
      <c r="T15" s="120"/>
      <c r="U15" s="120"/>
      <c r="V15" s="119">
        <f t="shared" si="14"/>
        <v>0</v>
      </c>
      <c r="W15" s="120"/>
      <c r="X15" s="120"/>
      <c r="Y15" s="119">
        <f t="shared" si="3"/>
        <v>0</v>
      </c>
      <c r="Z15" s="119">
        <f t="shared" si="15"/>
        <v>0</v>
      </c>
      <c r="AA15" s="121" t="e">
        <f t="shared" si="4"/>
        <v>#DIV/0!</v>
      </c>
      <c r="AB15" s="119">
        <f t="shared" si="16"/>
        <v>0</v>
      </c>
      <c r="AC15" s="120"/>
      <c r="AD15" s="121">
        <f t="shared" si="5"/>
        <v>0</v>
      </c>
      <c r="AE15" s="120"/>
      <c r="AF15" s="120"/>
      <c r="AG15" s="120"/>
      <c r="AH15" s="120"/>
      <c r="AI15" s="154">
        <f t="shared" si="6"/>
        <v>0</v>
      </c>
      <c r="AJ15" s="120"/>
      <c r="AK15" s="122">
        <f t="shared" si="17"/>
        <v>0</v>
      </c>
      <c r="AL15" s="123">
        <f t="shared" si="18"/>
        <v>0</v>
      </c>
      <c r="AM15" s="124"/>
      <c r="AN15" s="125">
        <f t="shared" si="7"/>
        <v>0</v>
      </c>
      <c r="AO15" s="126">
        <f t="shared" si="8"/>
        <v>169.89</v>
      </c>
      <c r="AP15" s="126">
        <f t="shared" si="9"/>
        <v>0</v>
      </c>
      <c r="AQ15" s="126">
        <f t="shared" si="19"/>
        <v>0</v>
      </c>
      <c r="AR15" s="126">
        <f t="shared" si="20"/>
        <v>0</v>
      </c>
      <c r="AS15" s="126">
        <f t="array" ref="AS15">_xlfn.IFS(S15=0,AL15,S15&lt;0,AL15/-S15,S15&gt;0,AL15/S15)</f>
        <v>0</v>
      </c>
      <c r="AT15" s="121">
        <f t="shared" si="22"/>
        <v>0</v>
      </c>
      <c r="AU15" s="121">
        <f t="shared" si="23"/>
        <v>0</v>
      </c>
      <c r="AV15" s="127"/>
      <c r="AW15" s="122">
        <f t="shared" si="12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0</v>
      </c>
      <c r="AO16" s="140">
        <f t="shared" si="24"/>
        <v>128.0625</v>
      </c>
      <c r="AP16" s="140">
        <f t="shared" si="24"/>
        <v>0</v>
      </c>
      <c r="AQ16" s="140">
        <f t="shared" si="24"/>
        <v>0</v>
      </c>
      <c r="AR16" s="140">
        <f t="shared" si="24"/>
        <v>0</v>
      </c>
      <c r="AS16" s="140">
        <f t="shared" si="24"/>
        <v>0</v>
      </c>
      <c r="AT16" s="141">
        <f t="shared" si="24"/>
        <v>0</v>
      </c>
      <c r="AU16" s="140">
        <f t="shared" si="24"/>
        <v>0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0</v>
      </c>
      <c r="I17" s="145"/>
      <c r="J17" s="145">
        <f>SUM(J3:J15)</f>
        <v>0</v>
      </c>
      <c r="K17" s="145"/>
      <c r="L17" s="145">
        <f>SUM(L3:L15)</f>
        <v>0</v>
      </c>
      <c r="M17" s="145"/>
      <c r="N17" s="145"/>
      <c r="O17" s="145"/>
      <c r="P17" s="145"/>
      <c r="Q17" s="145">
        <f>SUM(Q3:Q15)</f>
        <v>0</v>
      </c>
      <c r="R17" s="145">
        <f t="shared" ref="R17:Z17" si="26">SUM(R3:R15)</f>
        <v>0</v>
      </c>
      <c r="S17" s="145">
        <f t="shared" si="26"/>
        <v>0</v>
      </c>
      <c r="T17" s="145">
        <f t="shared" si="26"/>
        <v>0</v>
      </c>
      <c r="U17" s="145">
        <f t="shared" si="26"/>
        <v>0</v>
      </c>
      <c r="V17" s="145">
        <f t="shared" si="26"/>
        <v>0</v>
      </c>
      <c r="W17" s="145">
        <f t="shared" si="26"/>
        <v>0</v>
      </c>
      <c r="X17" s="145">
        <f t="shared" si="26"/>
        <v>0</v>
      </c>
      <c r="Y17" s="145">
        <f t="shared" si="26"/>
        <v>0</v>
      </c>
      <c r="Z17" s="145">
        <f t="shared" si="26"/>
        <v>0</v>
      </c>
      <c r="AA17" s="146" t="e">
        <f>SUM(AA3:AA15)</f>
        <v>#DIV/0!</v>
      </c>
      <c r="AB17" s="147">
        <f>SUM(AB3:AB15)</f>
        <v>0</v>
      </c>
      <c r="AC17" s="147">
        <f>SUM(AC3:AC15)</f>
        <v>0</v>
      </c>
      <c r="AD17" s="146" t="e">
        <f>AC17/Y17</f>
        <v>#DIV/0!</v>
      </c>
      <c r="AE17" s="145">
        <f>SUM(AE3:AE15)</f>
        <v>0</v>
      </c>
      <c r="AF17" s="145">
        <f t="shared" ref="AF17:AL17" si="27">SUM(AF3:AF15)</f>
        <v>0</v>
      </c>
      <c r="AG17" s="145">
        <f t="shared" si="27"/>
        <v>0</v>
      </c>
      <c r="AH17" s="145">
        <f t="shared" si="27"/>
        <v>0</v>
      </c>
      <c r="AI17" s="145">
        <f>SUM(AI3:AI15)</f>
        <v>0</v>
      </c>
      <c r="AJ17" s="145">
        <f>SUM(AJ3:AJ15)</f>
        <v>0</v>
      </c>
      <c r="AK17" s="145">
        <f t="shared" si="27"/>
        <v>0</v>
      </c>
      <c r="AL17" s="145">
        <f t="shared" si="27"/>
        <v>0</v>
      </c>
      <c r="AM17" s="148"/>
      <c r="AN17" s="145"/>
      <c r="AO17" s="145"/>
      <c r="AP17" s="145"/>
      <c r="AQ17" s="145"/>
      <c r="AR17" s="145" t="e">
        <f>(AF17+AG17)/Q17</f>
        <v>#DIV/0!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247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 t="e">
        <f>Y19/$Y$74</f>
        <v>#DIV/0!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 t="e">
        <f t="shared" ref="AI19:AI70" si="38">$AI$74*H19/$H$74</f>
        <v>#DIV/0!</v>
      </c>
      <c r="AJ19" s="120"/>
      <c r="AK19" s="122">
        <f t="shared" ref="AK19:AK70" si="39">V19*1%</f>
        <v>0</v>
      </c>
      <c r="AL19" s="123" t="e">
        <f t="shared" ref="AL19:AL70" si="40">Y19-AB19-AC19-AE19-AF19-AG19-AH19-AI19-AK19-AJ19</f>
        <v>#DIV/0!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 t="e">
        <f t="array" ref="AS19">_xlfn.IFS(S19=0,AL19,S19&lt;0,AL19/-S19,S19&gt;0,AL19/S19)</f>
        <v>#DIV/0!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 t="e">
        <f t="shared" ref="AW19:AW70" si="48">AS19*E19</f>
        <v>#DIV/0!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 t="e">
        <f t="shared" ref="AA20:AA70" si="49">Y20/$Y$74</f>
        <v>#DIV/0!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 t="e">
        <f t="shared" si="38"/>
        <v>#DIV/0!</v>
      </c>
      <c r="AJ20" s="120"/>
      <c r="AK20" s="122">
        <f t="shared" si="39"/>
        <v>0</v>
      </c>
      <c r="AL20" s="123" t="e">
        <f t="shared" si="40"/>
        <v>#DIV/0!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 t="e">
        <f t="array" ref="AS20">_xlfn.IFS(S20=0,AL20,S20&lt;0,AL20/-S20,S20&gt;0,AL20/S20)</f>
        <v>#DIV/0!</v>
      </c>
      <c r="AT20" s="121">
        <f t="shared" si="46"/>
        <v>0</v>
      </c>
      <c r="AU20" s="121">
        <f t="shared" si="47"/>
        <v>0</v>
      </c>
      <c r="AV20" s="127"/>
      <c r="AW20" s="122" t="e">
        <f t="shared" si="48"/>
        <v>#DIV/0!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 t="e">
        <f t="shared" si="49"/>
        <v>#DIV/0!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 t="e">
        <f t="shared" si="38"/>
        <v>#DIV/0!</v>
      </c>
      <c r="AJ21" s="120"/>
      <c r="AK21" s="122">
        <f t="shared" si="39"/>
        <v>0</v>
      </c>
      <c r="AL21" s="123" t="e">
        <f t="shared" si="40"/>
        <v>#DIV/0!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 t="e">
        <f t="array" ref="AS21">_xlfn.IFS(S21=0,AL21,S21&lt;0,AL21/-S21,S21&gt;0,AL21/S21)</f>
        <v>#DIV/0!</v>
      </c>
      <c r="AT21" s="121">
        <f t="shared" si="46"/>
        <v>0</v>
      </c>
      <c r="AU21" s="121">
        <f t="shared" si="47"/>
        <v>0</v>
      </c>
      <c r="AV21" s="127"/>
      <c r="AW21" s="122" t="e">
        <f t="shared" si="48"/>
        <v>#DIV/0!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 t="e">
        <f t="shared" si="49"/>
        <v>#DIV/0!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 t="e">
        <f t="shared" si="38"/>
        <v>#DIV/0!</v>
      </c>
      <c r="AJ22" s="120"/>
      <c r="AK22" s="122">
        <f t="shared" si="39"/>
        <v>0</v>
      </c>
      <c r="AL22" s="123" t="e">
        <f t="shared" si="40"/>
        <v>#DIV/0!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 t="e">
        <f t="array" ref="AS22">_xlfn.IFS(S22=0,AL22,S22&lt;0,AL22/-S22,S22&gt;0,AL22/S22)</f>
        <v>#DIV/0!</v>
      </c>
      <c r="AT22" s="121">
        <f t="shared" si="46"/>
        <v>0</v>
      </c>
      <c r="AU22" s="121">
        <f t="shared" si="47"/>
        <v>0</v>
      </c>
      <c r="AV22" s="127"/>
      <c r="AW22" s="122" t="e">
        <f t="shared" si="48"/>
        <v>#DIV/0!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 t="e">
        <f t="shared" si="49"/>
        <v>#DIV/0!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 t="e">
        <f t="shared" si="38"/>
        <v>#DIV/0!</v>
      </c>
      <c r="AJ23" s="120"/>
      <c r="AK23" s="122">
        <f t="shared" si="39"/>
        <v>0</v>
      </c>
      <c r="AL23" s="123" t="e">
        <f t="shared" si="40"/>
        <v>#DIV/0!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 t="e">
        <f t="array" ref="AS23">_xlfn.IFS(S23=0,AL23,S23&lt;0,AL23/-S23,S23&gt;0,AL23/S23)</f>
        <v>#DIV/0!</v>
      </c>
      <c r="AT23" s="121">
        <f t="shared" si="46"/>
        <v>0</v>
      </c>
      <c r="AU23" s="121">
        <f t="shared" si="47"/>
        <v>0</v>
      </c>
      <c r="AV23" s="127"/>
      <c r="AW23" s="122" t="e">
        <f t="shared" si="48"/>
        <v>#DIV/0!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 t="e">
        <f t="shared" si="49"/>
        <v>#DIV/0!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 t="e">
        <f t="shared" si="38"/>
        <v>#DIV/0!</v>
      </c>
      <c r="AJ24" s="120"/>
      <c r="AK24" s="122">
        <f t="shared" si="39"/>
        <v>0</v>
      </c>
      <c r="AL24" s="123" t="e">
        <f t="shared" si="40"/>
        <v>#DIV/0!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 t="e">
        <f t="array" ref="AS24">_xlfn.IFS(S24=0,AL24,S24&lt;0,AL24/-S24,S24&gt;0,AL24/S24)</f>
        <v>#DIV/0!</v>
      </c>
      <c r="AT24" s="121">
        <f t="shared" si="46"/>
        <v>0</v>
      </c>
      <c r="AU24" s="121">
        <f t="shared" si="47"/>
        <v>0</v>
      </c>
      <c r="AV24" s="127"/>
      <c r="AW24" s="122" t="e">
        <f t="shared" si="48"/>
        <v>#DIV/0!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 t="e">
        <f t="shared" si="49"/>
        <v>#DIV/0!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 t="e">
        <f t="shared" si="38"/>
        <v>#DIV/0!</v>
      </c>
      <c r="AJ25" s="120"/>
      <c r="AK25" s="122">
        <f t="shared" si="39"/>
        <v>0</v>
      </c>
      <c r="AL25" s="123" t="e">
        <f t="shared" si="40"/>
        <v>#DIV/0!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 t="e">
        <f t="array" ref="AS25">_xlfn.IFS(S25=0,AL25,S25&lt;0,AL25/-S25,S25&gt;0,AL25/S25)</f>
        <v>#DIV/0!</v>
      </c>
      <c r="AT25" s="121">
        <f t="shared" si="46"/>
        <v>0</v>
      </c>
      <c r="AU25" s="121">
        <f t="shared" si="47"/>
        <v>0</v>
      </c>
      <c r="AV25" s="127"/>
      <c r="AW25" s="122" t="e">
        <f t="shared" si="48"/>
        <v>#DIV/0!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 t="e">
        <f t="shared" si="49"/>
        <v>#DIV/0!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 t="e">
        <f t="shared" si="38"/>
        <v>#DIV/0!</v>
      </c>
      <c r="AJ26" s="120"/>
      <c r="AK26" s="122">
        <f t="shared" si="39"/>
        <v>0</v>
      </c>
      <c r="AL26" s="123" t="e">
        <f t="shared" si="40"/>
        <v>#DIV/0!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 t="e">
        <f t="array" ref="AS26">_xlfn.IFS(S26=0,AL26,S26&lt;0,AL26/-S26,S26&gt;0,AL26/S26)</f>
        <v>#DIV/0!</v>
      </c>
      <c r="AT26" s="121">
        <f t="shared" si="46"/>
        <v>0</v>
      </c>
      <c r="AU26" s="121">
        <f t="shared" si="47"/>
        <v>0</v>
      </c>
      <c r="AV26" s="127"/>
      <c r="AW26" s="122" t="e">
        <f t="shared" si="48"/>
        <v>#DIV/0!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 t="e">
        <f t="shared" si="49"/>
        <v>#DIV/0!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 t="e">
        <f t="shared" si="38"/>
        <v>#DIV/0!</v>
      </c>
      <c r="AJ27" s="120"/>
      <c r="AK27" s="122">
        <f t="shared" si="39"/>
        <v>0</v>
      </c>
      <c r="AL27" s="123" t="e">
        <f t="shared" si="40"/>
        <v>#DIV/0!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 t="e">
        <f t="array" ref="AS27">_xlfn.IFS(S27=0,AL27,S27&lt;0,AL27/-S27,S27&gt;0,AL27/S27)</f>
        <v>#DIV/0!</v>
      </c>
      <c r="AT27" s="121">
        <f t="shared" si="46"/>
        <v>0</v>
      </c>
      <c r="AU27" s="121">
        <f t="shared" si="47"/>
        <v>0</v>
      </c>
      <c r="AV27" s="127"/>
      <c r="AW27" s="122" t="e">
        <f t="shared" si="48"/>
        <v>#DIV/0!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 t="e">
        <f t="shared" si="49"/>
        <v>#DIV/0!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 t="e">
        <f t="shared" si="38"/>
        <v>#DIV/0!</v>
      </c>
      <c r="AJ28" s="120"/>
      <c r="AK28" s="122">
        <f t="shared" si="39"/>
        <v>0</v>
      </c>
      <c r="AL28" s="123" t="e">
        <f t="shared" si="40"/>
        <v>#DIV/0!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 t="e">
        <f t="array" ref="AS28">_xlfn.IFS(S28=0,AL28,S28&lt;0,AL28/-S28,S28&gt;0,AL28/S28)</f>
        <v>#DIV/0!</v>
      </c>
      <c r="AT28" s="121">
        <f t="shared" si="46"/>
        <v>0</v>
      </c>
      <c r="AU28" s="121">
        <f t="shared" si="47"/>
        <v>0</v>
      </c>
      <c r="AV28" s="127"/>
      <c r="AW28" s="122" t="e">
        <f t="shared" si="48"/>
        <v>#DIV/0!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 t="e">
        <f t="shared" si="49"/>
        <v>#DIV/0!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 t="e">
        <f t="shared" si="38"/>
        <v>#DIV/0!</v>
      </c>
      <c r="AJ29" s="120"/>
      <c r="AK29" s="122">
        <f t="shared" si="39"/>
        <v>0</v>
      </c>
      <c r="AL29" s="123" t="e">
        <f t="shared" si="40"/>
        <v>#DIV/0!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 t="e">
        <f t="array" ref="AS29">_xlfn.IFS(S29=0,AL29,S29&lt;0,AL29/-S29,S29&gt;0,AL29/S29)</f>
        <v>#DIV/0!</v>
      </c>
      <c r="AT29" s="121">
        <f t="shared" si="46"/>
        <v>0</v>
      </c>
      <c r="AU29" s="121">
        <f t="shared" si="47"/>
        <v>0</v>
      </c>
      <c r="AV29" s="127"/>
      <c r="AW29" s="122" t="e">
        <f t="shared" si="48"/>
        <v>#DIV/0!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 t="e">
        <f t="shared" si="49"/>
        <v>#DIV/0!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 t="e">
        <f t="shared" si="38"/>
        <v>#DIV/0!</v>
      </c>
      <c r="AJ30" s="120"/>
      <c r="AK30" s="122">
        <f t="shared" si="39"/>
        <v>0</v>
      </c>
      <c r="AL30" s="123" t="e">
        <f t="shared" si="40"/>
        <v>#DIV/0!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 t="e">
        <f t="array" ref="AS30">_xlfn.IFS(S30=0,AL30,S30&lt;0,AL30/-S30,S30&gt;0,AL30/S30)</f>
        <v>#DIV/0!</v>
      </c>
      <c r="AT30" s="121">
        <f t="shared" si="46"/>
        <v>0</v>
      </c>
      <c r="AU30" s="121">
        <f t="shared" si="47"/>
        <v>0</v>
      </c>
      <c r="AV30" s="127"/>
      <c r="AW30" s="122" t="e">
        <f t="shared" si="48"/>
        <v>#DIV/0!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 t="e">
        <f t="shared" si="49"/>
        <v>#DIV/0!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 t="e">
        <f t="shared" si="38"/>
        <v>#DIV/0!</v>
      </c>
      <c r="AJ31" s="120"/>
      <c r="AK31" s="122">
        <f t="shared" si="39"/>
        <v>0</v>
      </c>
      <c r="AL31" s="123" t="e">
        <f t="shared" si="40"/>
        <v>#DIV/0!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 t="e">
        <f t="array" ref="AS31">_xlfn.IFS(S31=0,AL31,S31&lt;0,AL31/-S31,S31&gt;0,AL31/S31)</f>
        <v>#DIV/0!</v>
      </c>
      <c r="AT31" s="121">
        <f t="shared" si="46"/>
        <v>0</v>
      </c>
      <c r="AU31" s="121">
        <f t="shared" si="47"/>
        <v>0</v>
      </c>
      <c r="AV31" s="127"/>
      <c r="AW31" s="122" t="e">
        <f t="shared" si="48"/>
        <v>#DIV/0!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 t="e">
        <f t="shared" si="49"/>
        <v>#DIV/0!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 t="e">
        <f t="shared" si="38"/>
        <v>#DIV/0!</v>
      </c>
      <c r="AJ32" s="120"/>
      <c r="AK32" s="122">
        <f t="shared" si="39"/>
        <v>0</v>
      </c>
      <c r="AL32" s="123" t="e">
        <f t="shared" si="40"/>
        <v>#DIV/0!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 t="e">
        <f t="array" ref="AS32">_xlfn.IFS(S32=0,AL32,S32&lt;0,AL32/-S32,S32&gt;0,AL32/S32)</f>
        <v>#DIV/0!</v>
      </c>
      <c r="AT32" s="121">
        <f t="shared" si="46"/>
        <v>0</v>
      </c>
      <c r="AU32" s="121">
        <f t="shared" si="47"/>
        <v>0</v>
      </c>
      <c r="AV32" s="127"/>
      <c r="AW32" s="122" t="e">
        <f t="shared" si="48"/>
        <v>#DIV/0!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 t="e">
        <f t="shared" si="49"/>
        <v>#DIV/0!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 t="e">
        <f t="shared" si="38"/>
        <v>#DIV/0!</v>
      </c>
      <c r="AJ33" s="120"/>
      <c r="AK33" s="122">
        <f t="shared" si="39"/>
        <v>0</v>
      </c>
      <c r="AL33" s="123" t="e">
        <f t="shared" si="40"/>
        <v>#DIV/0!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 t="e">
        <f t="array" ref="AS33">_xlfn.IFS(S33=0,AL33,S33&lt;0,AL33/-S33,S33&gt;0,AL33/S33)</f>
        <v>#DIV/0!</v>
      </c>
      <c r="AT33" s="121">
        <f t="shared" si="46"/>
        <v>0</v>
      </c>
      <c r="AU33" s="121">
        <f t="shared" si="47"/>
        <v>0</v>
      </c>
      <c r="AV33" s="127"/>
      <c r="AW33" s="122" t="e">
        <f t="shared" si="48"/>
        <v>#DIV/0!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 t="e">
        <f t="shared" si="49"/>
        <v>#DIV/0!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 t="e">
        <f t="shared" si="38"/>
        <v>#DIV/0!</v>
      </c>
      <c r="AJ34" s="120"/>
      <c r="AK34" s="122">
        <f t="shared" si="39"/>
        <v>0</v>
      </c>
      <c r="AL34" s="123" t="e">
        <f t="shared" si="40"/>
        <v>#DIV/0!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 t="e">
        <f t="array" ref="AS34">_xlfn.IFS(S34=0,AL34,S34&lt;0,AL34/-S34,S34&gt;0,AL34/S34)</f>
        <v>#DIV/0!</v>
      </c>
      <c r="AT34" s="121">
        <f t="shared" si="46"/>
        <v>0</v>
      </c>
      <c r="AU34" s="121">
        <f t="shared" si="47"/>
        <v>0</v>
      </c>
      <c r="AV34" s="127"/>
      <c r="AW34" s="122" t="e">
        <f t="shared" si="48"/>
        <v>#DIV/0!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 t="e">
        <f t="shared" si="49"/>
        <v>#DIV/0!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 t="e">
        <f t="shared" si="38"/>
        <v>#DIV/0!</v>
      </c>
      <c r="AJ35" s="120"/>
      <c r="AK35" s="122">
        <f t="shared" si="39"/>
        <v>0</v>
      </c>
      <c r="AL35" s="123" t="e">
        <f t="shared" si="40"/>
        <v>#DIV/0!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 t="e">
        <f t="array" ref="AS35">_xlfn.IFS(S35=0,AL35,S35&lt;0,AL35/-S35,S35&gt;0,AL35/S35)</f>
        <v>#DIV/0!</v>
      </c>
      <c r="AT35" s="121">
        <f t="shared" si="46"/>
        <v>0</v>
      </c>
      <c r="AU35" s="121">
        <f t="shared" si="47"/>
        <v>0</v>
      </c>
      <c r="AV35" s="127"/>
      <c r="AW35" s="122" t="e">
        <f t="shared" si="48"/>
        <v>#DIV/0!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 t="e">
        <f t="shared" si="49"/>
        <v>#DIV/0!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 t="e">
        <f t="shared" si="38"/>
        <v>#DIV/0!</v>
      </c>
      <c r="AJ36" s="120"/>
      <c r="AK36" s="122">
        <f t="shared" si="39"/>
        <v>0</v>
      </c>
      <c r="AL36" s="123" t="e">
        <f t="shared" si="40"/>
        <v>#DIV/0!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 t="e">
        <f t="array" ref="AS36">_xlfn.IFS(S36=0,AL36,S36&lt;0,AL36/-S36,S36&gt;0,AL36/S36)</f>
        <v>#DIV/0!</v>
      </c>
      <c r="AT36" s="121">
        <f t="shared" si="46"/>
        <v>0</v>
      </c>
      <c r="AU36" s="121">
        <f t="shared" si="47"/>
        <v>0</v>
      </c>
      <c r="AV36" s="127"/>
      <c r="AW36" s="122" t="e">
        <f t="shared" si="48"/>
        <v>#DIV/0!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 t="e">
        <f t="shared" si="49"/>
        <v>#DIV/0!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 t="e">
        <f t="shared" si="38"/>
        <v>#DIV/0!</v>
      </c>
      <c r="AJ37" s="120"/>
      <c r="AK37" s="122">
        <f t="shared" si="39"/>
        <v>0</v>
      </c>
      <c r="AL37" s="123" t="e">
        <f t="shared" si="40"/>
        <v>#DIV/0!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 t="e">
        <f t="array" ref="AS37">_xlfn.IFS(S37=0,AL37,S37&lt;0,AL37/-S37,S37&gt;0,AL37/S37)</f>
        <v>#DIV/0!</v>
      </c>
      <c r="AT37" s="121">
        <f t="shared" si="46"/>
        <v>0</v>
      </c>
      <c r="AU37" s="121">
        <f t="shared" si="47"/>
        <v>0</v>
      </c>
      <c r="AV37" s="127"/>
      <c r="AW37" s="122" t="e">
        <f t="shared" si="48"/>
        <v>#DIV/0!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 t="e">
        <f t="shared" si="49"/>
        <v>#DIV/0!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 t="e">
        <f t="shared" si="38"/>
        <v>#DIV/0!</v>
      </c>
      <c r="AJ38" s="120"/>
      <c r="AK38" s="122">
        <f t="shared" si="39"/>
        <v>0</v>
      </c>
      <c r="AL38" s="123" t="e">
        <f t="shared" si="40"/>
        <v>#DIV/0!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 t="e">
        <f t="array" ref="AS38">_xlfn.IFS(S38=0,AL38,S38&lt;0,AL38/-S38,S38&gt;0,AL38/S38)</f>
        <v>#DIV/0!</v>
      </c>
      <c r="AT38" s="121">
        <f t="shared" si="46"/>
        <v>0</v>
      </c>
      <c r="AU38" s="121">
        <f t="shared" si="47"/>
        <v>0</v>
      </c>
      <c r="AV38" s="127"/>
      <c r="AW38" s="122" t="e">
        <f t="shared" si="48"/>
        <v>#DIV/0!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 t="e">
        <f t="shared" si="49"/>
        <v>#DIV/0!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 t="e">
        <f t="shared" si="38"/>
        <v>#DIV/0!</v>
      </c>
      <c r="AJ39" s="120"/>
      <c r="AK39" s="122">
        <f t="shared" si="39"/>
        <v>0</v>
      </c>
      <c r="AL39" s="123" t="e">
        <f t="shared" si="40"/>
        <v>#DIV/0!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 t="e">
        <f t="array" ref="AS39">_xlfn.IFS(S39=0,AL39,S39&lt;0,AL39/-S39,S39&gt;0,AL39/S39)</f>
        <v>#DIV/0!</v>
      </c>
      <c r="AT39" s="121">
        <f t="shared" si="46"/>
        <v>0</v>
      </c>
      <c r="AU39" s="121">
        <f t="shared" si="47"/>
        <v>0</v>
      </c>
      <c r="AV39" s="127"/>
      <c r="AW39" s="122" t="e">
        <f t="shared" si="48"/>
        <v>#DIV/0!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 t="e">
        <f t="shared" si="49"/>
        <v>#DIV/0!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 t="e">
        <f t="shared" si="38"/>
        <v>#DIV/0!</v>
      </c>
      <c r="AJ40" s="120"/>
      <c r="AK40" s="122">
        <f t="shared" si="39"/>
        <v>0</v>
      </c>
      <c r="AL40" s="123" t="e">
        <f t="shared" si="40"/>
        <v>#DIV/0!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 t="e">
        <f t="array" ref="AS40">_xlfn.IFS(S40=0,AL40,S40&lt;0,AL40/-S40,S40&gt;0,AL40/S40)</f>
        <v>#DIV/0!</v>
      </c>
      <c r="AT40" s="121">
        <f t="shared" si="46"/>
        <v>0</v>
      </c>
      <c r="AU40" s="121">
        <f t="shared" si="47"/>
        <v>0</v>
      </c>
      <c r="AV40" s="127"/>
      <c r="AW40" s="122" t="e">
        <f t="shared" si="48"/>
        <v>#DIV/0!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 t="e">
        <f t="shared" si="49"/>
        <v>#DIV/0!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 t="e">
        <f t="shared" si="38"/>
        <v>#DIV/0!</v>
      </c>
      <c r="AJ41" s="120"/>
      <c r="AK41" s="122">
        <f t="shared" si="39"/>
        <v>0</v>
      </c>
      <c r="AL41" s="123" t="e">
        <f t="shared" si="40"/>
        <v>#DIV/0!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 t="e">
        <f t="array" ref="AS41">_xlfn.IFS(S41=0,AL41,S41&lt;0,AL41/-S41,S41&gt;0,AL41/S41)</f>
        <v>#DIV/0!</v>
      </c>
      <c r="AT41" s="121">
        <f t="shared" si="46"/>
        <v>0</v>
      </c>
      <c r="AU41" s="121">
        <f t="shared" si="47"/>
        <v>0</v>
      </c>
      <c r="AV41" s="127"/>
      <c r="AW41" s="122" t="e">
        <f t="shared" si="48"/>
        <v>#DIV/0!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 t="e">
        <f t="shared" si="49"/>
        <v>#DIV/0!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 t="e">
        <f t="shared" si="38"/>
        <v>#DIV/0!</v>
      </c>
      <c r="AJ42" s="120"/>
      <c r="AK42" s="122">
        <f t="shared" si="39"/>
        <v>0</v>
      </c>
      <c r="AL42" s="123" t="e">
        <f t="shared" si="40"/>
        <v>#DIV/0!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 t="e">
        <f t="array" ref="AS42">_xlfn.IFS(S42=0,AL42,S42&lt;0,AL42/-S42,S42&gt;0,AL42/S42)</f>
        <v>#DIV/0!</v>
      </c>
      <c r="AT42" s="121">
        <f t="shared" si="46"/>
        <v>0</v>
      </c>
      <c r="AU42" s="121">
        <f t="shared" si="47"/>
        <v>0</v>
      </c>
      <c r="AV42" s="127"/>
      <c r="AW42" s="122" t="e">
        <f t="shared" si="48"/>
        <v>#DIV/0!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 t="e">
        <f t="shared" si="49"/>
        <v>#DIV/0!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 t="e">
        <f t="shared" si="38"/>
        <v>#DIV/0!</v>
      </c>
      <c r="AJ43" s="120"/>
      <c r="AK43" s="122">
        <f t="shared" si="39"/>
        <v>0</v>
      </c>
      <c r="AL43" s="123" t="e">
        <f t="shared" si="40"/>
        <v>#DIV/0!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 t="e">
        <f t="array" ref="AS43">_xlfn.IFS(S43=0,AL43,S43&lt;0,AL43/-S43,S43&gt;0,AL43/S43)</f>
        <v>#DIV/0!</v>
      </c>
      <c r="AT43" s="121">
        <f t="shared" si="46"/>
        <v>0</v>
      </c>
      <c r="AU43" s="121">
        <f t="shared" si="47"/>
        <v>0</v>
      </c>
      <c r="AV43" s="127"/>
      <c r="AW43" s="122" t="e">
        <f t="shared" si="48"/>
        <v>#DIV/0!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 t="e">
        <f t="shared" si="49"/>
        <v>#DIV/0!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 t="e">
        <f t="shared" si="38"/>
        <v>#DIV/0!</v>
      </c>
      <c r="AJ44" s="120"/>
      <c r="AK44" s="122">
        <f t="shared" si="39"/>
        <v>0</v>
      </c>
      <c r="AL44" s="123" t="e">
        <f t="shared" si="40"/>
        <v>#DIV/0!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 t="e">
        <f t="array" ref="AS44">_xlfn.IFS(S44=0,AL44,S44&lt;0,AL44/-S44,S44&gt;0,AL44/S44)</f>
        <v>#DIV/0!</v>
      </c>
      <c r="AT44" s="121">
        <f t="shared" si="46"/>
        <v>0</v>
      </c>
      <c r="AU44" s="121">
        <f t="shared" si="47"/>
        <v>0</v>
      </c>
      <c r="AV44" s="127"/>
      <c r="AW44" s="122" t="e">
        <f t="shared" si="48"/>
        <v>#DIV/0!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 t="e">
        <f t="shared" si="49"/>
        <v>#DIV/0!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 t="e">
        <f t="shared" si="38"/>
        <v>#DIV/0!</v>
      </c>
      <c r="AJ45" s="120"/>
      <c r="AK45" s="122">
        <f t="shared" si="39"/>
        <v>0</v>
      </c>
      <c r="AL45" s="123" t="e">
        <f t="shared" si="40"/>
        <v>#DIV/0!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 t="e">
        <f t="array" ref="AS45">_xlfn.IFS(S45=0,AL45,S45&lt;0,AL45/-S45,S45&gt;0,AL45/S45)</f>
        <v>#DIV/0!</v>
      </c>
      <c r="AT45" s="121">
        <f t="shared" si="46"/>
        <v>0</v>
      </c>
      <c r="AU45" s="121">
        <f t="shared" si="47"/>
        <v>0</v>
      </c>
      <c r="AV45" s="127"/>
      <c r="AW45" s="122" t="e">
        <f t="shared" si="48"/>
        <v>#DIV/0!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 t="e">
        <f t="shared" si="49"/>
        <v>#DIV/0!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 t="e">
        <f t="shared" si="38"/>
        <v>#DIV/0!</v>
      </c>
      <c r="AJ46" s="120"/>
      <c r="AK46" s="122">
        <f t="shared" si="39"/>
        <v>0</v>
      </c>
      <c r="AL46" s="123" t="e">
        <f t="shared" si="40"/>
        <v>#DIV/0!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 t="e">
        <f t="array" ref="AS46">_xlfn.IFS(S46=0,AL46,S46&lt;0,AL46/-S46,S46&gt;0,AL46/S46)</f>
        <v>#DIV/0!</v>
      </c>
      <c r="AT46" s="121">
        <f t="shared" si="46"/>
        <v>0</v>
      </c>
      <c r="AU46" s="121">
        <f t="shared" si="47"/>
        <v>0</v>
      </c>
      <c r="AV46" s="127"/>
      <c r="AW46" s="122" t="e">
        <f t="shared" si="48"/>
        <v>#DIV/0!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 t="e">
        <f t="shared" si="49"/>
        <v>#DIV/0!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 t="e">
        <f t="shared" si="38"/>
        <v>#DIV/0!</v>
      </c>
      <c r="AJ47" s="120"/>
      <c r="AK47" s="122">
        <f t="shared" si="39"/>
        <v>0</v>
      </c>
      <c r="AL47" s="123" t="e">
        <f t="shared" si="40"/>
        <v>#DIV/0!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 t="e">
        <f t="array" ref="AS47">_xlfn.IFS(S47=0,AL47,S47&lt;0,AL47/-S47,S47&gt;0,AL47/S47)</f>
        <v>#DIV/0!</v>
      </c>
      <c r="AT47" s="121">
        <f t="shared" si="46"/>
        <v>0</v>
      </c>
      <c r="AU47" s="121">
        <f t="shared" si="47"/>
        <v>0</v>
      </c>
      <c r="AV47" s="127"/>
      <c r="AW47" s="122" t="e">
        <f t="shared" si="48"/>
        <v>#DIV/0!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 t="e">
        <f t="shared" si="49"/>
        <v>#DIV/0!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 t="e">
        <f t="shared" si="38"/>
        <v>#DIV/0!</v>
      </c>
      <c r="AJ48" s="120"/>
      <c r="AK48" s="122">
        <f t="shared" si="39"/>
        <v>0</v>
      </c>
      <c r="AL48" s="123" t="e">
        <f t="shared" si="40"/>
        <v>#DIV/0!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 t="e">
        <f t="array" ref="AS48">_xlfn.IFS(S48=0,AL48,S48&lt;0,AL48/-S48,S48&gt;0,AL48/S48)</f>
        <v>#DIV/0!</v>
      </c>
      <c r="AT48" s="121">
        <f t="shared" si="46"/>
        <v>0</v>
      </c>
      <c r="AU48" s="121">
        <f t="shared" si="47"/>
        <v>0</v>
      </c>
      <c r="AV48" s="127"/>
      <c r="AW48" s="122" t="e">
        <f t="shared" si="48"/>
        <v>#DIV/0!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 t="e">
        <f t="shared" si="49"/>
        <v>#DIV/0!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 t="e">
        <f t="shared" si="38"/>
        <v>#DIV/0!</v>
      </c>
      <c r="AJ49" s="120"/>
      <c r="AK49" s="122">
        <f t="shared" si="39"/>
        <v>0</v>
      </c>
      <c r="AL49" s="123" t="e">
        <f t="shared" si="40"/>
        <v>#DIV/0!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 t="e">
        <f t="array" ref="AS49">_xlfn.IFS(S49=0,AL49,S49&lt;0,AL49/-S49,S49&gt;0,AL49/S49)</f>
        <v>#DIV/0!</v>
      </c>
      <c r="AT49" s="121">
        <f t="shared" si="46"/>
        <v>0</v>
      </c>
      <c r="AU49" s="121">
        <f t="shared" si="47"/>
        <v>0</v>
      </c>
      <c r="AV49" s="127"/>
      <c r="AW49" s="122" t="e">
        <f t="shared" si="48"/>
        <v>#DIV/0!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 t="e">
        <f t="shared" si="49"/>
        <v>#DIV/0!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 t="e">
        <f t="shared" si="38"/>
        <v>#DIV/0!</v>
      </c>
      <c r="AJ50" s="120"/>
      <c r="AK50" s="122">
        <f t="shared" si="39"/>
        <v>0</v>
      </c>
      <c r="AL50" s="123" t="e">
        <f t="shared" si="40"/>
        <v>#DIV/0!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 t="e">
        <f t="array" ref="AS50">_xlfn.IFS(S50=0,AL50,S50&lt;0,AL50/-S50,S50&gt;0,AL50/S50)</f>
        <v>#DIV/0!</v>
      </c>
      <c r="AT50" s="121">
        <f t="shared" si="46"/>
        <v>0</v>
      </c>
      <c r="AU50" s="121">
        <f t="shared" si="47"/>
        <v>0</v>
      </c>
      <c r="AV50" s="127"/>
      <c r="AW50" s="122" t="e">
        <f t="shared" si="48"/>
        <v>#DIV/0!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 t="e">
        <f t="shared" si="49"/>
        <v>#DIV/0!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 t="e">
        <f t="shared" si="38"/>
        <v>#DIV/0!</v>
      </c>
      <c r="AJ51" s="120"/>
      <c r="AK51" s="122">
        <f t="shared" si="39"/>
        <v>0</v>
      </c>
      <c r="AL51" s="123" t="e">
        <f t="shared" si="40"/>
        <v>#DIV/0!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 t="e">
        <f t="array" ref="AS51">_xlfn.IFS(S51=0,AL51,S51&lt;0,AL51/-S51,S51&gt;0,AL51/S51)</f>
        <v>#DIV/0!</v>
      </c>
      <c r="AT51" s="121">
        <f t="shared" si="46"/>
        <v>0</v>
      </c>
      <c r="AU51" s="121">
        <f t="shared" si="47"/>
        <v>0</v>
      </c>
      <c r="AV51" s="127"/>
      <c r="AW51" s="122" t="e">
        <f t="shared" si="48"/>
        <v>#DIV/0!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 t="e">
        <f t="shared" si="49"/>
        <v>#DIV/0!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 t="e">
        <f t="shared" si="38"/>
        <v>#DIV/0!</v>
      </c>
      <c r="AJ52" s="120"/>
      <c r="AK52" s="122">
        <f t="shared" si="39"/>
        <v>0</v>
      </c>
      <c r="AL52" s="123" t="e">
        <f t="shared" si="40"/>
        <v>#DIV/0!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 t="e">
        <f t="array" ref="AS52">_xlfn.IFS(S52=0,AL52,S52&lt;0,AL52/-S52,S52&gt;0,AL52/S52)</f>
        <v>#DIV/0!</v>
      </c>
      <c r="AT52" s="121">
        <f t="shared" si="46"/>
        <v>0</v>
      </c>
      <c r="AU52" s="121">
        <f t="shared" si="47"/>
        <v>0</v>
      </c>
      <c r="AV52" s="127"/>
      <c r="AW52" s="122" t="e">
        <f t="shared" si="48"/>
        <v>#DIV/0!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 t="e">
        <f t="shared" si="49"/>
        <v>#DIV/0!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 t="e">
        <f t="shared" si="38"/>
        <v>#DIV/0!</v>
      </c>
      <c r="AJ53" s="120"/>
      <c r="AK53" s="122">
        <f t="shared" si="39"/>
        <v>0</v>
      </c>
      <c r="AL53" s="123" t="e">
        <f t="shared" si="40"/>
        <v>#DIV/0!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 t="e">
        <f t="array" ref="AS53">_xlfn.IFS(S53=0,AL53,S53&lt;0,AL53/-S53,S53&gt;0,AL53/S53)</f>
        <v>#DIV/0!</v>
      </c>
      <c r="AT53" s="121">
        <f t="shared" si="46"/>
        <v>0</v>
      </c>
      <c r="AU53" s="121">
        <f t="shared" si="47"/>
        <v>0</v>
      </c>
      <c r="AV53" s="127"/>
      <c r="AW53" s="122" t="e">
        <f t="shared" si="48"/>
        <v>#DIV/0!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 t="e">
        <f t="shared" si="49"/>
        <v>#DIV/0!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 t="e">
        <f t="shared" si="38"/>
        <v>#DIV/0!</v>
      </c>
      <c r="AJ54" s="120"/>
      <c r="AK54" s="122">
        <f t="shared" si="39"/>
        <v>0</v>
      </c>
      <c r="AL54" s="123" t="e">
        <f t="shared" si="40"/>
        <v>#DIV/0!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 t="e">
        <f t="array" ref="AS54">_xlfn.IFS(S54=0,AL54,S54&lt;0,AL54/-S54,S54&gt;0,AL54/S54)</f>
        <v>#DIV/0!</v>
      </c>
      <c r="AT54" s="121">
        <f t="shared" si="46"/>
        <v>0</v>
      </c>
      <c r="AU54" s="121">
        <f t="shared" si="47"/>
        <v>0</v>
      </c>
      <c r="AV54" s="127"/>
      <c r="AW54" s="122" t="e">
        <f t="shared" si="48"/>
        <v>#DIV/0!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 t="e">
        <f t="shared" si="49"/>
        <v>#DIV/0!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 t="e">
        <f t="shared" si="38"/>
        <v>#DIV/0!</v>
      </c>
      <c r="AJ55" s="120"/>
      <c r="AK55" s="122">
        <f t="shared" si="39"/>
        <v>0</v>
      </c>
      <c r="AL55" s="123" t="e">
        <f t="shared" si="40"/>
        <v>#DIV/0!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 t="e">
        <f t="array" ref="AS55">_xlfn.IFS(S55=0,AL55,S55&lt;0,AL55/-S55,S55&gt;0,AL55/S55)</f>
        <v>#DIV/0!</v>
      </c>
      <c r="AT55" s="121">
        <f t="shared" si="46"/>
        <v>0</v>
      </c>
      <c r="AU55" s="121">
        <f t="shared" si="47"/>
        <v>0</v>
      </c>
      <c r="AV55" s="127"/>
      <c r="AW55" s="122" t="e">
        <f t="shared" si="48"/>
        <v>#DIV/0!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 t="e">
        <f t="shared" si="49"/>
        <v>#DIV/0!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 t="e">
        <f t="shared" si="38"/>
        <v>#DIV/0!</v>
      </c>
      <c r="AJ56" s="120"/>
      <c r="AK56" s="122">
        <f t="shared" si="39"/>
        <v>0</v>
      </c>
      <c r="AL56" s="123" t="e">
        <f t="shared" si="40"/>
        <v>#DIV/0!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 t="e">
        <f t="array" ref="AS56">_xlfn.IFS(S56=0,AL56,S56&lt;0,AL56/-S56,S56&gt;0,AL56/S56)</f>
        <v>#DIV/0!</v>
      </c>
      <c r="AT56" s="121">
        <f t="shared" si="46"/>
        <v>0</v>
      </c>
      <c r="AU56" s="121">
        <f t="shared" si="47"/>
        <v>0</v>
      </c>
      <c r="AV56" s="127"/>
      <c r="AW56" s="122" t="e">
        <f t="shared" si="48"/>
        <v>#DIV/0!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 t="e">
        <f t="shared" si="49"/>
        <v>#DIV/0!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 t="e">
        <f t="shared" si="38"/>
        <v>#DIV/0!</v>
      </c>
      <c r="AJ57" s="120"/>
      <c r="AK57" s="122">
        <f t="shared" si="39"/>
        <v>0</v>
      </c>
      <c r="AL57" s="123" t="e">
        <f t="shared" si="40"/>
        <v>#DIV/0!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 t="e">
        <f t="array" ref="AS57">_xlfn.IFS(S57=0,AL57,S57&lt;0,AL57/-S57,S57&gt;0,AL57/S57)</f>
        <v>#DIV/0!</v>
      </c>
      <c r="AT57" s="121">
        <f t="shared" si="46"/>
        <v>0</v>
      </c>
      <c r="AU57" s="121">
        <f t="shared" si="47"/>
        <v>0</v>
      </c>
      <c r="AV57" s="127"/>
      <c r="AW57" s="122" t="e">
        <f t="shared" si="48"/>
        <v>#DIV/0!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 t="e">
        <f t="shared" si="49"/>
        <v>#DIV/0!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 t="e">
        <f t="shared" si="38"/>
        <v>#DIV/0!</v>
      </c>
      <c r="AJ58" s="120"/>
      <c r="AK58" s="122">
        <f t="shared" si="39"/>
        <v>0</v>
      </c>
      <c r="AL58" s="123" t="e">
        <f t="shared" si="40"/>
        <v>#DIV/0!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 t="e">
        <f t="array" ref="AS58">_xlfn.IFS(S58=0,AL58,S58&lt;0,AL58/-S58,S58&gt;0,AL58/S58)</f>
        <v>#DIV/0!</v>
      </c>
      <c r="AT58" s="121">
        <f t="shared" si="46"/>
        <v>0</v>
      </c>
      <c r="AU58" s="121">
        <f t="shared" si="47"/>
        <v>0</v>
      </c>
      <c r="AV58" s="127"/>
      <c r="AW58" s="122" t="e">
        <f t="shared" si="48"/>
        <v>#DIV/0!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 t="e">
        <f t="shared" si="49"/>
        <v>#DIV/0!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 t="e">
        <f t="shared" si="38"/>
        <v>#DIV/0!</v>
      </c>
      <c r="AJ59" s="120"/>
      <c r="AK59" s="122">
        <f t="shared" si="39"/>
        <v>0</v>
      </c>
      <c r="AL59" s="123" t="e">
        <f t="shared" si="40"/>
        <v>#DIV/0!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 t="e">
        <f t="array" ref="AS59">_xlfn.IFS(S59=0,AL59,S59&lt;0,AL59/-S59,S59&gt;0,AL59/S59)</f>
        <v>#DIV/0!</v>
      </c>
      <c r="AT59" s="121">
        <f t="shared" si="46"/>
        <v>0</v>
      </c>
      <c r="AU59" s="121">
        <f t="shared" si="47"/>
        <v>0</v>
      </c>
      <c r="AV59" s="127"/>
      <c r="AW59" s="122" t="e">
        <f t="shared" si="48"/>
        <v>#DIV/0!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 t="e">
        <f t="shared" si="49"/>
        <v>#DIV/0!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 t="e">
        <f t="shared" si="38"/>
        <v>#DIV/0!</v>
      </c>
      <c r="AJ60" s="120"/>
      <c r="AK60" s="122">
        <f t="shared" si="39"/>
        <v>0</v>
      </c>
      <c r="AL60" s="123" t="e">
        <f t="shared" si="40"/>
        <v>#DIV/0!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 t="e">
        <f t="array" ref="AS60">_xlfn.IFS(S60=0,AL60,S60&lt;0,AL60/-S60,S60&gt;0,AL60/S60)</f>
        <v>#DIV/0!</v>
      </c>
      <c r="AT60" s="121">
        <f t="shared" si="46"/>
        <v>0</v>
      </c>
      <c r="AU60" s="121">
        <f t="shared" si="47"/>
        <v>0</v>
      </c>
      <c r="AV60" s="127"/>
      <c r="AW60" s="122" t="e">
        <f t="shared" si="48"/>
        <v>#DIV/0!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 t="e">
        <f t="shared" si="49"/>
        <v>#DIV/0!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 t="e">
        <f t="shared" si="38"/>
        <v>#DIV/0!</v>
      </c>
      <c r="AJ61" s="120"/>
      <c r="AK61" s="122">
        <f t="shared" si="39"/>
        <v>0</v>
      </c>
      <c r="AL61" s="123" t="e">
        <f t="shared" si="40"/>
        <v>#DIV/0!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 t="e">
        <f t="array" ref="AS61">_xlfn.IFS(S61=0,AL61,S61&lt;0,AL61/-S61,S61&gt;0,AL61/S61)</f>
        <v>#DIV/0!</v>
      </c>
      <c r="AT61" s="121">
        <f t="shared" si="46"/>
        <v>0</v>
      </c>
      <c r="AU61" s="121">
        <f t="shared" si="47"/>
        <v>0</v>
      </c>
      <c r="AV61" s="127"/>
      <c r="AW61" s="122" t="e">
        <f t="shared" si="48"/>
        <v>#DIV/0!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 t="e">
        <f t="shared" si="49"/>
        <v>#DIV/0!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 t="e">
        <f t="shared" si="38"/>
        <v>#DIV/0!</v>
      </c>
      <c r="AJ62" s="120"/>
      <c r="AK62" s="122">
        <f t="shared" si="39"/>
        <v>0</v>
      </c>
      <c r="AL62" s="123" t="e">
        <f t="shared" si="40"/>
        <v>#DIV/0!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 t="e">
        <f t="array" ref="AS62">_xlfn.IFS(S62=0,AL62,S62&lt;0,AL62/-S62,S62&gt;0,AL62/S62)</f>
        <v>#DIV/0!</v>
      </c>
      <c r="AT62" s="121">
        <f t="shared" si="46"/>
        <v>0</v>
      </c>
      <c r="AU62" s="121">
        <f t="shared" si="47"/>
        <v>0</v>
      </c>
      <c r="AV62" s="127"/>
      <c r="AW62" s="122" t="e">
        <f t="shared" si="48"/>
        <v>#DIV/0!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 t="e">
        <f t="shared" si="49"/>
        <v>#DIV/0!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 t="e">
        <f t="shared" si="38"/>
        <v>#DIV/0!</v>
      </c>
      <c r="AJ63" s="120"/>
      <c r="AK63" s="122">
        <f t="shared" si="39"/>
        <v>0</v>
      </c>
      <c r="AL63" s="123" t="e">
        <f t="shared" si="40"/>
        <v>#DIV/0!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 t="e">
        <f t="array" ref="AS63">_xlfn.IFS(S63=0,AL63,S63&lt;0,AL63/-S63,S63&gt;0,AL63/S63)</f>
        <v>#DIV/0!</v>
      </c>
      <c r="AT63" s="121">
        <f t="shared" si="46"/>
        <v>0</v>
      </c>
      <c r="AU63" s="121">
        <f t="shared" si="47"/>
        <v>0</v>
      </c>
      <c r="AV63" s="127"/>
      <c r="AW63" s="122" t="e">
        <f t="shared" si="48"/>
        <v>#DIV/0!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 t="e">
        <f t="shared" si="49"/>
        <v>#DIV/0!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 t="e">
        <f t="shared" si="38"/>
        <v>#DIV/0!</v>
      </c>
      <c r="AJ64" s="120"/>
      <c r="AK64" s="122">
        <f t="shared" si="39"/>
        <v>0</v>
      </c>
      <c r="AL64" s="123" t="e">
        <f t="shared" si="40"/>
        <v>#DIV/0!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 t="e">
        <f t="array" ref="AS64">_xlfn.IFS(S64=0,AL64,S64&lt;0,AL64/-S64,S64&gt;0,AL64/S64)</f>
        <v>#DIV/0!</v>
      </c>
      <c r="AT64" s="121">
        <f t="shared" si="46"/>
        <v>0</v>
      </c>
      <c r="AU64" s="121">
        <f t="shared" si="47"/>
        <v>0</v>
      </c>
      <c r="AV64" s="127"/>
      <c r="AW64" s="122" t="e">
        <f t="shared" si="48"/>
        <v>#DIV/0!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 t="e">
        <f t="shared" si="49"/>
        <v>#DIV/0!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 t="e">
        <f t="shared" si="38"/>
        <v>#DIV/0!</v>
      </c>
      <c r="AJ65" s="120"/>
      <c r="AK65" s="122">
        <f t="shared" si="39"/>
        <v>0</v>
      </c>
      <c r="AL65" s="123" t="e">
        <f t="shared" si="40"/>
        <v>#DIV/0!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 t="e">
        <f t="array" ref="AS65">_xlfn.IFS(S65=0,AL65,S65&lt;0,AL65/-S65,S65&gt;0,AL65/S65)</f>
        <v>#DIV/0!</v>
      </c>
      <c r="AT65" s="121">
        <f t="shared" si="46"/>
        <v>0</v>
      </c>
      <c r="AU65" s="121">
        <f t="shared" si="47"/>
        <v>0</v>
      </c>
      <c r="AV65" s="127"/>
      <c r="AW65" s="122" t="e">
        <f t="shared" si="48"/>
        <v>#DIV/0!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 t="e">
        <f t="shared" si="49"/>
        <v>#DIV/0!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 t="e">
        <f t="shared" si="38"/>
        <v>#DIV/0!</v>
      </c>
      <c r="AJ66" s="120"/>
      <c r="AK66" s="122">
        <f t="shared" si="39"/>
        <v>0</v>
      </c>
      <c r="AL66" s="123" t="e">
        <f t="shared" si="40"/>
        <v>#DIV/0!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 t="e">
        <f t="array" ref="AS66">_xlfn.IFS(S66=0,AL66,S66&lt;0,AL66/-S66,S66&gt;0,AL66/S66)</f>
        <v>#DIV/0!</v>
      </c>
      <c r="AT66" s="121">
        <f t="shared" si="46"/>
        <v>0</v>
      </c>
      <c r="AU66" s="121">
        <f t="shared" si="47"/>
        <v>0</v>
      </c>
      <c r="AV66" s="127"/>
      <c r="AW66" s="122" t="e">
        <f t="shared" si="48"/>
        <v>#DIV/0!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 t="e">
        <f t="shared" si="49"/>
        <v>#DIV/0!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 t="e">
        <f t="shared" si="38"/>
        <v>#DIV/0!</v>
      </c>
      <c r="AJ67" s="120"/>
      <c r="AK67" s="122">
        <f t="shared" si="39"/>
        <v>0</v>
      </c>
      <c r="AL67" s="123" t="e">
        <f t="shared" si="40"/>
        <v>#DIV/0!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 t="e">
        <f t="array" ref="AS67">_xlfn.IFS(S67=0,AL67,S67&lt;0,AL67/-S67,S67&gt;0,AL67/S67)</f>
        <v>#DIV/0!</v>
      </c>
      <c r="AT67" s="121">
        <f t="shared" si="46"/>
        <v>0</v>
      </c>
      <c r="AU67" s="121">
        <f t="shared" si="47"/>
        <v>0</v>
      </c>
      <c r="AV67" s="127"/>
      <c r="AW67" s="122" t="e">
        <f t="shared" si="48"/>
        <v>#DIV/0!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 t="e">
        <f t="shared" si="49"/>
        <v>#DIV/0!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 t="e">
        <f t="shared" si="38"/>
        <v>#DIV/0!</v>
      </c>
      <c r="AJ68" s="120"/>
      <c r="AK68" s="122">
        <f t="shared" si="39"/>
        <v>0</v>
      </c>
      <c r="AL68" s="123" t="e">
        <f t="shared" si="40"/>
        <v>#DIV/0!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 t="e">
        <f t="array" ref="AS68">_xlfn.IFS(S68=0,AL68,S68&lt;0,AL68/-S68,S68&gt;0,AL68/S68)</f>
        <v>#DIV/0!</v>
      </c>
      <c r="AT68" s="121">
        <f t="shared" si="46"/>
        <v>0</v>
      </c>
      <c r="AU68" s="121">
        <f t="shared" si="47"/>
        <v>0</v>
      </c>
      <c r="AV68" s="127"/>
      <c r="AW68" s="122" t="e">
        <f t="shared" si="48"/>
        <v>#DIV/0!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 t="e">
        <f t="shared" si="49"/>
        <v>#DIV/0!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 t="e">
        <f t="shared" si="38"/>
        <v>#DIV/0!</v>
      </c>
      <c r="AJ69" s="120"/>
      <c r="AK69" s="122">
        <f t="shared" si="39"/>
        <v>0</v>
      </c>
      <c r="AL69" s="123" t="e">
        <f t="shared" si="40"/>
        <v>#DIV/0!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 t="e">
        <f t="array" ref="AS69">_xlfn.IFS(S69=0,AL69,S69&lt;0,AL69/-S69,S69&gt;0,AL69/S69)</f>
        <v>#DIV/0!</v>
      </c>
      <c r="AT69" s="121">
        <f t="shared" si="46"/>
        <v>0</v>
      </c>
      <c r="AU69" s="121">
        <f t="shared" si="47"/>
        <v>0</v>
      </c>
      <c r="AV69" s="127"/>
      <c r="AW69" s="122" t="e">
        <f t="shared" si="48"/>
        <v>#DIV/0!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 t="e">
        <f t="shared" si="49"/>
        <v>#DIV/0!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 t="e">
        <f t="shared" si="38"/>
        <v>#DIV/0!</v>
      </c>
      <c r="AJ70" s="120"/>
      <c r="AK70" s="122">
        <f t="shared" si="39"/>
        <v>0</v>
      </c>
      <c r="AL70" s="123" t="e">
        <f t="shared" si="40"/>
        <v>#DIV/0!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 t="e">
        <f t="array" ref="AS70">_xlfn.IFS(S70=0,AL70,S70&lt;0,AL70/-S70,S70&gt;0,AL70/S70)</f>
        <v>#DIV/0!</v>
      </c>
      <c r="AT70" s="121">
        <f t="shared" si="46"/>
        <v>0</v>
      </c>
      <c r="AU70" s="121">
        <f t="shared" si="47"/>
        <v>0</v>
      </c>
      <c r="AV70" s="127"/>
      <c r="AW70" s="122" t="e">
        <f t="shared" si="48"/>
        <v>#DIV/0!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 t="e">
        <f t="shared" si="52"/>
        <v>#DIV/0!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 t="e">
        <f t="shared" si="53"/>
        <v>#DIV/0!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 t="e">
        <f>SUM(AI19:AI70)</f>
        <v>#DIV/0!</v>
      </c>
      <c r="AJ72" s="167">
        <f t="shared" si="54"/>
        <v>0</v>
      </c>
      <c r="AK72" s="167">
        <f t="shared" si="54"/>
        <v>0</v>
      </c>
      <c r="AL72" s="167" t="e">
        <f>SUM(AL19:AL70)</f>
        <v>#DIV/0!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 t="e">
        <f>SUM(AW19:AW70)</f>
        <v>#DIV/0!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248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0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0</v>
      </c>
      <c r="R74" s="190">
        <f t="shared" si="55"/>
        <v>0</v>
      </c>
      <c r="S74" s="190">
        <f t="shared" si="55"/>
        <v>0</v>
      </c>
      <c r="T74" s="190">
        <f t="shared" si="55"/>
        <v>0</v>
      </c>
      <c r="U74" s="190">
        <f t="shared" si="55"/>
        <v>0</v>
      </c>
      <c r="V74" s="190">
        <f t="shared" si="55"/>
        <v>0</v>
      </c>
      <c r="W74" s="190">
        <f t="shared" si="55"/>
        <v>0</v>
      </c>
      <c r="X74" s="190">
        <f t="shared" si="55"/>
        <v>0</v>
      </c>
      <c r="Y74" s="190">
        <f t="shared" si="55"/>
        <v>0</v>
      </c>
      <c r="Z74" s="190">
        <f t="shared" si="55"/>
        <v>0</v>
      </c>
      <c r="AA74" s="191" t="e">
        <f t="shared" si="55"/>
        <v>#DIV/0!</v>
      </c>
      <c r="AB74" s="192">
        <f t="shared" si="55"/>
        <v>0</v>
      </c>
      <c r="AC74" s="190">
        <f t="shared" si="55"/>
        <v>0</v>
      </c>
      <c r="AD74" s="191" t="e">
        <f>AC74/Y74</f>
        <v>#DIV/0!</v>
      </c>
      <c r="AE74" s="192">
        <f>AE17+AE72</f>
        <v>0</v>
      </c>
      <c r="AF74" s="193">
        <f>AF17+AF72</f>
        <v>0</v>
      </c>
      <c r="AG74" s="193">
        <f>AG17+AG72</f>
        <v>0</v>
      </c>
      <c r="AH74" s="193">
        <f>AH17+AH72</f>
        <v>0</v>
      </c>
      <c r="AI74" s="194"/>
      <c r="AJ74" s="190">
        <f>AJ17+AJ72</f>
        <v>0</v>
      </c>
      <c r="AK74" s="190">
        <f>AK17+AK72</f>
        <v>0</v>
      </c>
      <c r="AL74" s="190" t="e">
        <f>AL17+AL72</f>
        <v>#DIV/0!</v>
      </c>
      <c r="AM74" s="190"/>
      <c r="AN74" s="190"/>
      <c r="AO74" s="190"/>
      <c r="AP74" s="190"/>
      <c r="AQ74" s="190"/>
      <c r="AR74" s="190" t="e">
        <f>(AF74+AG74)/Q74</f>
        <v>#DIV/0!</v>
      </c>
      <c r="AS74" s="190"/>
      <c r="AT74" s="190"/>
      <c r="AU74" s="190"/>
      <c r="AV74" s="195"/>
      <c r="AW74" s="190" t="e">
        <f>AW17+AW72</f>
        <v>#DIV/0!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>
        <f>AF18+AF73</f>
        <v>0</v>
      </c>
      <c r="AG75" s="299"/>
      <c r="AH75" s="248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3" operator="greaterThan">
      <formula>120</formula>
    </cfRule>
  </conditionalFormatting>
  <conditionalFormatting sqref="O71">
    <cfRule type="cellIs" dxfId="25" priority="2" operator="between">
      <formula>0.000001</formula>
      <formula>25</formula>
    </cfRule>
  </conditionalFormatting>
  <conditionalFormatting sqref="AA73 AA75:AA1048576">
    <cfRule type="cellIs" dxfId="2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Z3" activePane="bottomRight" state="frozen"/>
      <selection pane="topRight" activeCell="D1" sqref="D1"/>
      <selection pane="bottomLeft" activeCell="A3" sqref="A3"/>
      <selection pane="bottomRight" activeCell="AH17" sqref="AH17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140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139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>'Юнит 5'!E3</f>
        <v>0</v>
      </c>
      <c r="F3" s="119">
        <f>'Юнит 5'!F3</f>
        <v>36</v>
      </c>
      <c r="G3" s="119">
        <f>'Юнит 5'!G3</f>
        <v>5</v>
      </c>
      <c r="H3" s="119">
        <f>'Юнит 5'!H3</f>
        <v>349</v>
      </c>
      <c r="I3" s="119">
        <v>142.97999999999999</v>
      </c>
      <c r="J3" s="119">
        <f t="shared" ref="J3:J15" si="0">E3*I3</f>
        <v>0</v>
      </c>
      <c r="K3" s="116">
        <f>'Юнит 5'!K3</f>
        <v>133</v>
      </c>
      <c r="L3" s="116">
        <f>'Юнит 1'!L3+'Юнит 2'!L3+'Юнит 3'!L3+'Юнит 4'!L3+'Юнит 5'!L3</f>
        <v>137</v>
      </c>
      <c r="M3" s="116">
        <f>'Юнит 1'!M3+'Юнит 2'!M3+'Юнит 3'!M3+'Юнит 4'!M3+'Юнит 5'!M3</f>
        <v>6268</v>
      </c>
      <c r="N3" s="116">
        <f>'Юнит 1'!N3+'Юнит 2'!N3+'Юнит 3'!N3+'Юнит 4'!N3+'Юнит 5'!N3</f>
        <v>329</v>
      </c>
      <c r="O3" s="215">
        <f t="shared" ref="O3:O15" si="1">L3/7</f>
        <v>19.571428571428573</v>
      </c>
      <c r="P3" s="119">
        <f t="shared" ref="P3" si="2">S3/7</f>
        <v>8.8571428571428577</v>
      </c>
      <c r="Q3" s="116">
        <f>'Юнит 1'!Q3+'Юнит 2'!Q3+'Юнит 3'!Q3+'Юнит 4'!Q3+'Юнит 5'!Q3</f>
        <v>64</v>
      </c>
      <c r="R3" s="116">
        <f>'Юнит 1'!R3+'Юнит 2'!R3+'Юнит 3'!R3+'Юнит 4'!R3+'Юнит 5'!R3</f>
        <v>-2</v>
      </c>
      <c r="S3" s="119">
        <f>Q3+R3</f>
        <v>62</v>
      </c>
      <c r="T3" s="116">
        <f>'Юнит 1'!T3+'Юнит 2'!T3+'Юнит 3'!T3+'Юнит 4'!T3+'Юнит 5'!T3</f>
        <v>59784.03</v>
      </c>
      <c r="U3" s="116">
        <f>'Юнит 1'!U3+'Юнит 2'!U3+'Юнит 3'!U3+'Юнит 4'!U3+'Юнит 5'!U3</f>
        <v>-1870</v>
      </c>
      <c r="V3" s="119">
        <f>T3+U3</f>
        <v>57914.03</v>
      </c>
      <c r="W3" s="116">
        <f>'Юнит 1'!W3+'Юнит 2'!W3+'Юнит 3'!W3+'Юнит 4'!W3+'Юнит 5'!W3</f>
        <v>79728.06</v>
      </c>
      <c r="X3" s="116">
        <f>'Юнит 1'!X3+'Юнит 2'!X3+'Юнит 3'!X3+'Юнит 4'!X3+'Юнит 5'!X3</f>
        <v>-2476</v>
      </c>
      <c r="Y3" s="119">
        <f t="shared" ref="Y3:Y15" si="3">W3+X3</f>
        <v>77252.06</v>
      </c>
      <c r="Z3" s="119">
        <f>L3*M3*N3/100</f>
        <v>2825175.64</v>
      </c>
      <c r="AA3" s="121">
        <f t="shared" ref="AA3:AA15" si="4">Y3/$Y$74</f>
        <v>0.25944675872991552</v>
      </c>
      <c r="AB3" s="119">
        <f>S3*I3</f>
        <v>8864.76</v>
      </c>
      <c r="AC3" s="116">
        <f>'Юнит 1'!AC3+'Юнит 2'!AC3+'Юнит 3'!AC3+'Юнит 4'!AC3+'Юнит 5'!AC3</f>
        <v>27903.82</v>
      </c>
      <c r="AD3" s="121">
        <f t="shared" ref="AD3:AD15" si="5">IF(Y3=0,0,AC3/Y3)</f>
        <v>0.36120486625211029</v>
      </c>
      <c r="AE3" s="116">
        <f>'Юнит 1'!AE3+'Юнит 2'!AE3+'Юнит 3'!AE3+'Юнит 4'!AE3+'Юнит 5'!AE3</f>
        <v>8098.5500000000011</v>
      </c>
      <c r="AF3" s="116">
        <f>'Юнит 1'!AF3+'Юнит 2'!AF3+'Юнит 3'!AF3+'Юнит 4'!AF3+'Юнит 5'!AF3</f>
        <v>9000</v>
      </c>
      <c r="AG3" s="116">
        <f>'Юнит 1'!AG3+'Юнит 2'!AG3+'Юнит 3'!AG3+'Юнит 4'!AG3+'Юнит 5'!AG3</f>
        <v>7676</v>
      </c>
      <c r="AH3" s="116">
        <f>'Юнит 1'!AH3+'Юнит 2'!AH3+'Юнит 3'!AH3+'Юнит 4'!AH3+'Юнит 5'!AH3</f>
        <v>0</v>
      </c>
      <c r="AI3" s="243">
        <f>'Юнит 1'!AI3+'Юнит 2'!AI3+'Юнит 3'!AI3+'Юнит 4'!AI3+'Юнит 5'!AI3</f>
        <v>1100.10068440187</v>
      </c>
      <c r="AJ3" s="116">
        <f>'Юнит 1'!AJ3+'Юнит 2'!AJ3+'Юнит 3'!AJ3+'Юнит 4'!AJ3+'Юнит 5'!AJ3</f>
        <v>0</v>
      </c>
      <c r="AK3" s="122">
        <f>V3*1%</f>
        <v>579.14030000000002</v>
      </c>
      <c r="AL3" s="123">
        <f>Y3-AB3-AC3-AE3-AF3-AG3-AH3-AI3-AK3-AJ3</f>
        <v>14029.689015598131</v>
      </c>
      <c r="AM3" s="124"/>
      <c r="AN3" s="125">
        <f t="shared" ref="AN3:AN15" si="6">IF(S3=0,0,Y3/S3)</f>
        <v>1246.0009677419355</v>
      </c>
      <c r="AO3" s="126">
        <f t="shared" ref="AO3:AO15" si="7">I3</f>
        <v>142.97999999999999</v>
      </c>
      <c r="AP3" s="126">
        <f t="shared" ref="AP3:AP15" si="8">IF(S3=0,0,AC3/S3)</f>
        <v>450.06161290322581</v>
      </c>
      <c r="AQ3" s="126">
        <f>IF(Q3=0,AE3/1,AE3/Q3)</f>
        <v>126.53984375000002</v>
      </c>
      <c r="AR3" s="126">
        <f>IF(Q3=0,0,(AF3+AG3)/Q3)</f>
        <v>260.5625</v>
      </c>
      <c r="AS3" s="126">
        <f>_xlfn.IFS(S3=0,AL3,S3&lt;0,AL3/-S3,S3&gt;0,AL3/S3)</f>
        <v>226.28530670319566</v>
      </c>
      <c r="AT3" s="121">
        <f t="shared" ref="AT3" si="9">IF(AN3=0,0,AS3/AN3)</f>
        <v>0.18160925437584616</v>
      </c>
      <c r="AU3" s="121">
        <f t="shared" ref="AU3" si="10">IF(AO3=0,0,AS3/AO3)</f>
        <v>1.5826360798936612</v>
      </c>
      <c r="AV3" s="127"/>
      <c r="AW3" s="122">
        <f t="shared" ref="AW3:AW15" si="11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>'Юнит 5'!E4</f>
        <v>0</v>
      </c>
      <c r="F4" s="119">
        <f>'Юнит 5'!F4</f>
        <v>15</v>
      </c>
      <c r="G4" s="119">
        <f>'Юнит 5'!G4</f>
        <v>4</v>
      </c>
      <c r="H4" s="119">
        <f>'Юнит 5'!H4</f>
        <v>260</v>
      </c>
      <c r="I4" s="119">
        <v>123.09</v>
      </c>
      <c r="J4" s="119">
        <f t="shared" si="0"/>
        <v>0</v>
      </c>
      <c r="K4" s="116">
        <f>'Юнит 5'!K4</f>
        <v>314</v>
      </c>
      <c r="L4" s="116">
        <f>'Юнит 1'!L4+'Юнит 2'!L4+'Юнит 3'!L4+'Юнит 4'!L4+'Юнит 5'!L4</f>
        <v>31</v>
      </c>
      <c r="M4" s="116">
        <f>'Юнит 1'!M4+'Юнит 2'!M4+'Юнит 3'!M4+'Юнит 4'!M4+'Юнит 5'!M4</f>
        <v>2910</v>
      </c>
      <c r="N4" s="116">
        <f>'Юнит 1'!N4+'Юнит 2'!N4+'Юнит 3'!N4+'Юнит 4'!N4+'Юнит 5'!N4</f>
        <v>60</v>
      </c>
      <c r="O4" s="215">
        <f t="shared" si="1"/>
        <v>4.4285714285714288</v>
      </c>
      <c r="P4" s="119">
        <f>S4/7</f>
        <v>1.4285714285714286</v>
      </c>
      <c r="Q4" s="116">
        <f>'Юнит 1'!Q4+'Юнит 2'!Q4+'Юнит 3'!Q4+'Юнит 4'!Q4+'Юнит 5'!Q4</f>
        <v>10</v>
      </c>
      <c r="R4" s="116">
        <f>'Юнит 1'!R4+'Юнит 2'!R4+'Юнит 3'!R4+'Юнит 4'!R4+'Юнит 5'!R4</f>
        <v>0</v>
      </c>
      <c r="S4" s="119">
        <f t="shared" ref="S4:S15" si="12">Q4+R4</f>
        <v>10</v>
      </c>
      <c r="T4" s="116">
        <f>'Юнит 1'!T4+'Юнит 2'!T4+'Юнит 3'!T4+'Юнит 4'!T4+'Юнит 5'!T4</f>
        <v>6321.49</v>
      </c>
      <c r="U4" s="116">
        <f>'Юнит 1'!U4+'Юнит 2'!U4+'Юнит 3'!U4+'Юнит 4'!U4+'Юнит 5'!U4</f>
        <v>0</v>
      </c>
      <c r="V4" s="119">
        <f t="shared" ref="V4:V15" si="13">T4+U4</f>
        <v>6321.49</v>
      </c>
      <c r="W4" s="116">
        <f>'Юнит 1'!W4+'Юнит 2'!W4+'Юнит 3'!W4+'Юнит 4'!W4+'Юнит 5'!W4</f>
        <v>9289.3799999999992</v>
      </c>
      <c r="X4" s="116">
        <f>'Юнит 1'!X4+'Юнит 2'!X4+'Юнит 3'!X4+'Юнит 4'!X4+'Юнит 5'!X4</f>
        <v>0</v>
      </c>
      <c r="Y4" s="119">
        <f t="shared" si="3"/>
        <v>9289.3799999999992</v>
      </c>
      <c r="Z4" s="119">
        <f t="shared" ref="Z4:Z15" si="14">L4*M4*N4/100</f>
        <v>54126</v>
      </c>
      <c r="AA4" s="121">
        <f t="shared" si="4"/>
        <v>3.1197867495190452E-2</v>
      </c>
      <c r="AB4" s="119">
        <f t="shared" ref="AB4:AB15" si="15">S4*I4</f>
        <v>1230.9000000000001</v>
      </c>
      <c r="AC4" s="116">
        <f>'Юнит 1'!AC4+'Юнит 2'!AC4+'Юнит 3'!AC4+'Юнит 4'!AC4+'Юнит 5'!AC4</f>
        <v>3407.1899999999987</v>
      </c>
      <c r="AD4" s="121">
        <f t="shared" si="5"/>
        <v>0.366783359061638</v>
      </c>
      <c r="AE4" s="116">
        <f>'Юнит 1'!AE4+'Юнит 2'!AE4+'Юнит 3'!AE4+'Юнит 4'!AE4+'Юнит 5'!AE4</f>
        <v>1151.1500000000001</v>
      </c>
      <c r="AF4" s="116">
        <f>'Юнит 1'!AF4+'Юнит 2'!AF4+'Юнит 3'!AF4+'Юнит 4'!AF4+'Юнит 5'!AF4</f>
        <v>892</v>
      </c>
      <c r="AG4" s="116">
        <f>'Юнит 1'!AG4+'Юнит 2'!AG4+'Юнит 3'!AG4+'Юнит 4'!AG4+'Юнит 5'!AG4</f>
        <v>2427</v>
      </c>
      <c r="AH4" s="116">
        <f>'Юнит 1'!AH4+'Юнит 2'!AH4+'Юнит 3'!AH4+'Юнит 4'!AH4+'Юнит 5'!AH4</f>
        <v>0</v>
      </c>
      <c r="AI4" s="243">
        <f>'Юнит 1'!AI4+'Юнит 2'!AI4+'Юнит 3'!AI4+'Юнит 4'!AI4+'Юнит 5'!AI4</f>
        <v>764.01973855249639</v>
      </c>
      <c r="AJ4" s="116">
        <f>'Юнит 1'!AJ4+'Юнит 2'!AJ4+'Юнит 3'!AJ4+'Юнит 4'!AJ4+'Юнит 5'!AJ4</f>
        <v>0</v>
      </c>
      <c r="AK4" s="122">
        <f t="shared" ref="AK4:AK15" si="16">V4*1%</f>
        <v>63.2149</v>
      </c>
      <c r="AL4" s="123">
        <f t="shared" ref="AL4:AL15" si="17">Y4-AB4-AC4-AE4-AF4-AG4-AH4-AI4-AK4-AJ4</f>
        <v>-646.09463855249555</v>
      </c>
      <c r="AM4" s="124"/>
      <c r="AN4" s="125">
        <f t="shared" si="6"/>
        <v>928.93799999999987</v>
      </c>
      <c r="AO4" s="126">
        <f t="shared" si="7"/>
        <v>123.09</v>
      </c>
      <c r="AP4" s="126">
        <f t="shared" si="8"/>
        <v>340.71899999999988</v>
      </c>
      <c r="AQ4" s="126">
        <f t="shared" ref="AQ4:AQ15" si="18">IF(Q4=0,AE4/1,AE4/Q4)</f>
        <v>115.11500000000001</v>
      </c>
      <c r="AR4" s="126">
        <f t="shared" ref="AR4:AR15" si="19">IF(Q4=0,0,(AF4+AG4)/Q4)</f>
        <v>331.9</v>
      </c>
      <c r="AS4" s="126">
        <f t="array" ref="AS4">_xlfn.IFS(S4=0,AL4,S4&lt;0,AL4/-S4,S4&gt;0,AL4/S4)</f>
        <v>-64.609463855249558</v>
      </c>
      <c r="AT4" s="121">
        <f>IF(AN4=0,0,AS4/AN4)</f>
        <v>-6.9551965637372537E-2</v>
      </c>
      <c r="AU4" s="121">
        <f>IF(AO4=0,0,AS4/AO4)</f>
        <v>-0.52489612361076898</v>
      </c>
      <c r="AV4" s="127"/>
      <c r="AW4" s="122">
        <f t="shared" si="11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>'Юнит 5'!E5</f>
        <v>0</v>
      </c>
      <c r="F5" s="119">
        <f>'Юнит 5'!F5</f>
        <v>3</v>
      </c>
      <c r="G5" s="119" t="str">
        <f>'Юнит 5'!G5</f>
        <v/>
      </c>
      <c r="H5" s="119">
        <f>'Юнит 5'!H5</f>
        <v>372</v>
      </c>
      <c r="I5" s="119">
        <v>123.09</v>
      </c>
      <c r="J5" s="119">
        <f t="shared" si="0"/>
        <v>0</v>
      </c>
      <c r="K5" s="116">
        <f>'Юнит 5'!K5</f>
        <v>999</v>
      </c>
      <c r="L5" s="116">
        <f>'Юнит 1'!L5+'Юнит 2'!L5+'Юнит 3'!L5+'Юнит 4'!L5+'Юнит 5'!L5</f>
        <v>6</v>
      </c>
      <c r="M5" s="116">
        <f>'Юнит 1'!M5+'Юнит 2'!M5+'Юнит 3'!M5+'Юнит 4'!M5+'Юнит 5'!M5</f>
        <v>2104</v>
      </c>
      <c r="N5" s="116">
        <f>'Юнит 1'!N5+'Юнит 2'!N5+'Юнит 3'!N5+'Юнит 4'!N5+'Юнит 5'!N5</f>
        <v>100</v>
      </c>
      <c r="O5" s="215">
        <f t="shared" si="1"/>
        <v>0.8571428571428571</v>
      </c>
      <c r="P5" s="119">
        <f>S5/7</f>
        <v>0.5714285714285714</v>
      </c>
      <c r="Q5" s="116">
        <f>'Юнит 1'!Q5+'Юнит 2'!Q5+'Юнит 3'!Q5+'Юнит 4'!Q5+'Юнит 5'!Q5</f>
        <v>4</v>
      </c>
      <c r="R5" s="116">
        <f>'Юнит 1'!R5+'Юнит 2'!R5+'Юнит 3'!R5+'Юнит 4'!R5+'Юнит 5'!R5</f>
        <v>0</v>
      </c>
      <c r="S5" s="119">
        <f t="shared" si="12"/>
        <v>4</v>
      </c>
      <c r="T5" s="116">
        <f>'Юнит 1'!T5+'Юнит 2'!T5+'Юнит 3'!T5+'Юнит 4'!T5+'Юнит 5'!T5</f>
        <v>2054</v>
      </c>
      <c r="U5" s="116">
        <f>'Юнит 1'!U5+'Юнит 2'!U5+'Юнит 3'!U5+'Юнит 4'!U5+'Юнит 5'!U5</f>
        <v>0</v>
      </c>
      <c r="V5" s="119">
        <f t="shared" si="13"/>
        <v>2054</v>
      </c>
      <c r="W5" s="116">
        <f>'Юнит 1'!W5+'Юнит 2'!W5+'Юнит 3'!W5+'Юнит 4'!W5+'Юнит 5'!W5</f>
        <v>3156</v>
      </c>
      <c r="X5" s="116">
        <f>'Юнит 1'!X5+'Юнит 2'!X5+'Юнит 3'!X5+'Юнит 4'!X5+'Юнит 5'!X5</f>
        <v>0</v>
      </c>
      <c r="Y5" s="119">
        <f t="shared" si="3"/>
        <v>3156</v>
      </c>
      <c r="Z5" s="119">
        <f t="shared" si="14"/>
        <v>12624</v>
      </c>
      <c r="AA5" s="121">
        <f t="shared" si="4"/>
        <v>1.0599250952681565E-2</v>
      </c>
      <c r="AB5" s="119">
        <f t="shared" si="15"/>
        <v>492.36</v>
      </c>
      <c r="AC5" s="116">
        <f>'Юнит 1'!AC5+'Юнит 2'!AC5+'Юнит 3'!AC5+'Юнит 4'!AC5+'Юнит 5'!AC5</f>
        <v>332.00000000000011</v>
      </c>
      <c r="AD5" s="121">
        <f t="shared" si="5"/>
        <v>0.1051964512040558</v>
      </c>
      <c r="AE5" s="116">
        <f>'Юнит 1'!AE5+'Юнит 2'!AE5+'Юнит 3'!AE5+'Юнит 4'!AE5+'Юнит 5'!AE5</f>
        <v>187.05</v>
      </c>
      <c r="AF5" s="116">
        <f>'Юнит 1'!AF5+'Юнит 2'!AF5+'Юнит 3'!AF5+'Юнит 4'!AF5+'Юнит 5'!AF5</f>
        <v>1691</v>
      </c>
      <c r="AG5" s="116">
        <f>'Юнит 1'!AG5+'Юнит 2'!AG5+'Юнит 3'!AG5+'Юнит 4'!AG5+'Юнит 5'!AG5</f>
        <v>557</v>
      </c>
      <c r="AH5" s="116">
        <f>'Юнит 1'!AH5+'Юнит 2'!AH5+'Юнит 3'!AH5+'Юнит 4'!AH5+'Юнит 5'!AH5</f>
        <v>0</v>
      </c>
      <c r="AI5" s="243">
        <f>'Юнит 1'!AI5+'Юнит 2'!AI5+'Юнит 3'!AI5+'Юнит 4'!AI5+'Юнит 5'!AI5</f>
        <v>1029.8509772603729</v>
      </c>
      <c r="AJ5" s="116">
        <f>'Юнит 1'!AJ5+'Юнит 2'!AJ5+'Юнит 3'!AJ5+'Юнит 4'!AJ5+'Юнит 5'!AJ5</f>
        <v>0</v>
      </c>
      <c r="AK5" s="122">
        <f t="shared" si="16"/>
        <v>20.54</v>
      </c>
      <c r="AL5" s="123">
        <f t="shared" si="17"/>
        <v>-1153.8009772603732</v>
      </c>
      <c r="AM5" s="124"/>
      <c r="AN5" s="125">
        <f t="shared" si="6"/>
        <v>789</v>
      </c>
      <c r="AO5" s="126">
        <f t="shared" si="7"/>
        <v>123.09</v>
      </c>
      <c r="AP5" s="126">
        <f t="shared" si="8"/>
        <v>83.000000000000028</v>
      </c>
      <c r="AQ5" s="126">
        <f t="shared" si="18"/>
        <v>46.762500000000003</v>
      </c>
      <c r="AR5" s="126">
        <f t="shared" si="19"/>
        <v>562</v>
      </c>
      <c r="AS5" s="126">
        <f t="array" ref="AS5">_xlfn.IFS(S5=0,AL5,S5&lt;0,AL5/-S5,S5&gt;0,AL5/S5)</f>
        <v>-288.4502443150933</v>
      </c>
      <c r="AT5" s="121">
        <f>IF(AN5=0,0,AS5/AN5)</f>
        <v>-0.36558966326374309</v>
      </c>
      <c r="AU5" s="121">
        <f>IF(AO5=0,0,AS5/AO5)</f>
        <v>-2.3434092478275512</v>
      </c>
      <c r="AV5" s="127"/>
      <c r="AW5" s="122">
        <f t="shared" si="11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>'Юнит 5'!E6</f>
        <v>0</v>
      </c>
      <c r="F6" s="119">
        <f>'Юнит 5'!F6</f>
        <v>4</v>
      </c>
      <c r="G6" s="119">
        <f>'Юнит 5'!G6</f>
        <v>2</v>
      </c>
      <c r="H6" s="119">
        <f>'Юнит 5'!H6</f>
        <v>341</v>
      </c>
      <c r="I6" s="119">
        <v>123.09</v>
      </c>
      <c r="J6" s="119">
        <f t="shared" si="0"/>
        <v>0</v>
      </c>
      <c r="K6" s="116">
        <f>'Юнит 5'!K6</f>
        <v>551</v>
      </c>
      <c r="L6" s="116">
        <f>'Юнит 1'!L6+'Юнит 2'!L6+'Юнит 3'!L6+'Юнит 4'!L6+'Юнит 5'!L6</f>
        <v>34</v>
      </c>
      <c r="M6" s="116">
        <f>'Юнит 1'!M6+'Юнит 2'!M6+'Юнит 3'!M6+'Юнит 4'!M6+'Юнит 5'!M6</f>
        <v>5772</v>
      </c>
      <c r="N6" s="116">
        <f>'Юнит 1'!N6+'Юнит 2'!N6+'Юнит 3'!N6+'Юнит 4'!N6+'Юнит 5'!N6</f>
        <v>435</v>
      </c>
      <c r="O6" s="215">
        <f t="shared" si="1"/>
        <v>4.8571428571428568</v>
      </c>
      <c r="P6" s="119">
        <f t="shared" ref="P6:P15" si="20">S6/7</f>
        <v>2.8571428571428572</v>
      </c>
      <c r="Q6" s="116">
        <f>'Юнит 1'!Q6+'Юнит 2'!Q6+'Юнит 3'!Q6+'Юнит 4'!Q6+'Юнит 5'!Q6</f>
        <v>20</v>
      </c>
      <c r="R6" s="116">
        <f>'Юнит 1'!R6+'Юнит 2'!R6+'Юнит 3'!R6+'Юнит 4'!R6+'Юнит 5'!R6</f>
        <v>0</v>
      </c>
      <c r="S6" s="119">
        <f t="shared" si="12"/>
        <v>20</v>
      </c>
      <c r="T6" s="116">
        <f>'Юнит 1'!T6+'Юнит 2'!T6+'Юнит 3'!T6+'Юнит 4'!T6+'Юнит 5'!T6</f>
        <v>17923</v>
      </c>
      <c r="U6" s="116">
        <f>'Юнит 1'!U6+'Юнит 2'!U6+'Юнит 3'!U6+'Юнит 4'!U6+'Юнит 5'!U6</f>
        <v>0</v>
      </c>
      <c r="V6" s="119">
        <f t="shared" si="13"/>
        <v>17923</v>
      </c>
      <c r="W6" s="116">
        <f>'Юнит 1'!W6+'Юнит 2'!W6+'Юнит 3'!W6+'Юнит 4'!W6+'Юнит 5'!W6</f>
        <v>23148</v>
      </c>
      <c r="X6" s="116">
        <f>'Юнит 1'!X6+'Юнит 2'!X6+'Юнит 3'!X6+'Юнит 4'!X6+'Юнит 5'!X6</f>
        <v>0</v>
      </c>
      <c r="Y6" s="119">
        <f t="shared" si="3"/>
        <v>23148</v>
      </c>
      <c r="Z6" s="119">
        <f t="shared" si="14"/>
        <v>853678.8</v>
      </c>
      <c r="AA6" s="121">
        <f t="shared" si="4"/>
        <v>7.7741274097805083E-2</v>
      </c>
      <c r="AB6" s="119">
        <f t="shared" si="15"/>
        <v>2461.8000000000002</v>
      </c>
      <c r="AC6" s="116">
        <f>'Юнит 1'!AC6+'Юнит 2'!AC6+'Юнит 3'!AC6+'Юнит 4'!AC6+'Юнит 5'!AC6</f>
        <v>8382.6</v>
      </c>
      <c r="AD6" s="121">
        <f t="shared" si="5"/>
        <v>0.36213063763608089</v>
      </c>
      <c r="AE6" s="116">
        <f>'Юнит 1'!AE6+'Юнит 2'!AE6+'Юнит 3'!AE6+'Юнит 4'!AE6+'Юнит 5'!AE6</f>
        <v>2398.1</v>
      </c>
      <c r="AF6" s="116">
        <f>'Юнит 1'!AF6+'Юнит 2'!AF6+'Юнит 3'!AF6+'Юнит 4'!AF6+'Юнит 5'!AF6</f>
        <v>412</v>
      </c>
      <c r="AG6" s="116">
        <f>'Юнит 1'!AG6+'Юнит 2'!AG6+'Юнит 3'!AG6+'Юнит 4'!AG6+'Юнит 5'!AG6</f>
        <v>1379</v>
      </c>
      <c r="AH6" s="116">
        <f>'Юнит 1'!AH6+'Юнит 2'!AH6+'Юнит 3'!AH6+'Юнит 4'!AH6+'Юнит 5'!AH6</f>
        <v>0</v>
      </c>
      <c r="AI6" s="243">
        <f>'Юнит 1'!AI6+'Юнит 2'!AI6+'Юнит 3'!AI6+'Юнит 4'!AI6+'Юнит 5'!AI6</f>
        <v>959.92767560333823</v>
      </c>
      <c r="AJ6" s="116">
        <f>'Юнит 1'!AJ6+'Юнит 2'!AJ6+'Юнит 3'!AJ6+'Юнит 4'!AJ6+'Юнит 5'!AJ6</f>
        <v>0</v>
      </c>
      <c r="AK6" s="122">
        <f t="shared" si="16"/>
        <v>179.23</v>
      </c>
      <c r="AL6" s="123">
        <f t="shared" si="17"/>
        <v>6975.3423243966627</v>
      </c>
      <c r="AM6" s="124"/>
      <c r="AN6" s="125">
        <f t="shared" si="6"/>
        <v>1157.4000000000001</v>
      </c>
      <c r="AO6" s="126">
        <f t="shared" si="7"/>
        <v>123.09</v>
      </c>
      <c r="AP6" s="126">
        <f t="shared" si="8"/>
        <v>419.13</v>
      </c>
      <c r="AQ6" s="126">
        <f t="shared" si="18"/>
        <v>119.905</v>
      </c>
      <c r="AR6" s="126">
        <f t="shared" si="19"/>
        <v>89.55</v>
      </c>
      <c r="AS6" s="126">
        <f t="array" ref="AS6">_xlfn.IFS(S6=0,AL6,S6&lt;0,AL6/-S6,S6&gt;0,AL6/S6)</f>
        <v>348.76711621983316</v>
      </c>
      <c r="AT6" s="121">
        <f t="shared" ref="AT6:AT15" si="21">IF(AN6=0,0,AS6/AN6)</f>
        <v>0.30133671696892445</v>
      </c>
      <c r="AU6" s="121">
        <f t="shared" ref="AU6:AU15" si="22">IF(AO6=0,0,AS6/AO6)</f>
        <v>2.8334317671608833</v>
      </c>
      <c r="AV6" s="127"/>
      <c r="AW6" s="122">
        <f t="shared" si="11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>'Юнит 5'!E7</f>
        <v>0</v>
      </c>
      <c r="F7" s="119">
        <f>'Юнит 5'!F7</f>
        <v>4</v>
      </c>
      <c r="G7" s="119" t="str">
        <f>'Юнит 5'!G7</f>
        <v/>
      </c>
      <c r="H7" s="119">
        <f>'Юнит 5'!H7</f>
        <v>279</v>
      </c>
      <c r="I7" s="119">
        <v>123.09</v>
      </c>
      <c r="J7" s="119">
        <f t="shared" si="0"/>
        <v>0</v>
      </c>
      <c r="K7" s="116">
        <f>'Юнит 5'!K7</f>
        <v>999</v>
      </c>
      <c r="L7" s="116">
        <f>'Юнит 1'!L7+'Юнит 2'!L7+'Юнит 3'!L7+'Юнит 4'!L7+'Юнит 5'!L7</f>
        <v>7</v>
      </c>
      <c r="M7" s="116">
        <f>'Юнит 1'!M7+'Юнит 2'!M7+'Юнит 3'!M7+'Юнит 4'!M7+'Юнит 5'!M7</f>
        <v>3237</v>
      </c>
      <c r="N7" s="116">
        <f>'Юнит 1'!N7+'Юнит 2'!N7+'Юнит 3'!N7+'Юнит 4'!N7+'Юнит 5'!N7</f>
        <v>100</v>
      </c>
      <c r="O7" s="215">
        <f t="shared" si="1"/>
        <v>1</v>
      </c>
      <c r="P7" s="119">
        <f t="shared" si="20"/>
        <v>0.14285714285714285</v>
      </c>
      <c r="Q7" s="116">
        <f>'Юнит 1'!Q7+'Юнит 2'!Q7+'Юнит 3'!Q7+'Юнит 4'!Q7+'Юнит 5'!Q7</f>
        <v>1</v>
      </c>
      <c r="R7" s="116">
        <f>'Юнит 1'!R7+'Юнит 2'!R7+'Юнит 3'!R7+'Юнит 4'!R7+'Юнит 5'!R7</f>
        <v>0</v>
      </c>
      <c r="S7" s="119">
        <f t="shared" si="12"/>
        <v>1</v>
      </c>
      <c r="T7" s="116">
        <f>'Юнит 1'!T7+'Юнит 2'!T7+'Юнит 3'!T7+'Юнит 4'!T7+'Юнит 5'!T7</f>
        <v>672</v>
      </c>
      <c r="U7" s="116">
        <f>'Юнит 1'!U7+'Юнит 2'!U7+'Юнит 3'!U7+'Юнит 4'!U7+'Юнит 5'!U7</f>
        <v>0</v>
      </c>
      <c r="V7" s="119">
        <f>T7+U7</f>
        <v>672</v>
      </c>
      <c r="W7" s="116">
        <f>'Юнит 1'!W7+'Юнит 2'!W7+'Юнит 3'!W7+'Юнит 4'!W7+'Юнит 5'!W7</f>
        <v>1079</v>
      </c>
      <c r="X7" s="116">
        <f>'Юнит 1'!X7+'Юнит 2'!X7+'Юнит 3'!X7+'Юнит 4'!X7+'Юнит 5'!X7</f>
        <v>0</v>
      </c>
      <c r="Y7" s="119">
        <f>W7+X7</f>
        <v>1079</v>
      </c>
      <c r="Z7" s="119">
        <f t="shared" si="14"/>
        <v>22659</v>
      </c>
      <c r="AA7" s="121">
        <f t="shared" si="4"/>
        <v>3.6237616533407505E-3</v>
      </c>
      <c r="AB7" s="119">
        <f t="shared" si="15"/>
        <v>123.09</v>
      </c>
      <c r="AC7" s="116">
        <f>'Юнит 1'!AC7+'Юнит 2'!AC7+'Юнит 3'!AC7+'Юнит 4'!AC7+'Юнит 5'!AC7</f>
        <v>394.09000000000003</v>
      </c>
      <c r="AD7" s="121">
        <f t="shared" si="5"/>
        <v>0.36523632993512517</v>
      </c>
      <c r="AE7" s="116">
        <f>'Юнит 1'!AE7+'Юнит 2'!AE7+'Юнит 3'!AE7+'Юнит 4'!AE7+'Юнит 5'!AE7</f>
        <v>380.55</v>
      </c>
      <c r="AF7" s="116">
        <f>'Юнит 1'!AF7+'Юнит 2'!AF7+'Юнит 3'!AF7+'Юнит 4'!AF7+'Юнит 5'!AF7</f>
        <v>1094</v>
      </c>
      <c r="AG7" s="116">
        <f>'Юнит 1'!AG7+'Юнит 2'!AG7+'Юнит 3'!AG7+'Юнит 4'!AG7+'Юнит 5'!AG7</f>
        <v>217</v>
      </c>
      <c r="AH7" s="116">
        <f>'Юнит 1'!AH7+'Юнит 2'!AH7+'Юнит 3'!AH7+'Юнит 4'!AH7+'Юнит 5'!AH7</f>
        <v>0</v>
      </c>
      <c r="AI7" s="243">
        <f>'Юнит 1'!AI7+'Юнит 2'!AI7+'Юнит 3'!AI7+'Юнит 4'!AI7+'Юнит 5'!AI7</f>
        <v>772.67760620382853</v>
      </c>
      <c r="AJ7" s="116">
        <f>'Юнит 1'!AJ7+'Юнит 2'!AJ7+'Юнит 3'!AJ7+'Юнит 4'!AJ7+'Юнит 5'!AJ7</f>
        <v>0</v>
      </c>
      <c r="AK7" s="122">
        <f t="shared" si="16"/>
        <v>6.72</v>
      </c>
      <c r="AL7" s="123">
        <f>Y7-AB7-AC7-AE7-AF7-AG7-AH7-AI7-AK7-AJ7</f>
        <v>-1909.1276062038285</v>
      </c>
      <c r="AM7" s="124"/>
      <c r="AN7" s="125">
        <f t="shared" si="6"/>
        <v>1079</v>
      </c>
      <c r="AO7" s="126">
        <f t="shared" si="7"/>
        <v>123.09</v>
      </c>
      <c r="AP7" s="126">
        <f t="shared" si="8"/>
        <v>394.09000000000003</v>
      </c>
      <c r="AQ7" s="126">
        <f t="shared" si="18"/>
        <v>380.55</v>
      </c>
      <c r="AR7" s="126">
        <f t="shared" si="19"/>
        <v>1311</v>
      </c>
      <c r="AS7" s="126">
        <f t="array" ref="AS7">_xlfn.IFS(S7=0,AL7,S7&lt;0,AL7/-S7,S7&gt;0,AL7/S7)</f>
        <v>-1909.1276062038285</v>
      </c>
      <c r="AT7" s="121">
        <f t="shared" si="21"/>
        <v>-1.769349032626347</v>
      </c>
      <c r="AU7" s="121">
        <f t="shared" si="22"/>
        <v>-15.510013861433329</v>
      </c>
      <c r="AV7" s="127"/>
      <c r="AW7" s="122">
        <f t="shared" si="11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>'Юнит 5'!E8</f>
        <v>0</v>
      </c>
      <c r="F8" s="119">
        <f>'Юнит 5'!F8</f>
        <v>23</v>
      </c>
      <c r="G8" s="119">
        <f>'Юнит 5'!G8</f>
        <v>1</v>
      </c>
      <c r="H8" s="119">
        <f>'Юнит 5'!H8</f>
        <v>75</v>
      </c>
      <c r="I8" s="119">
        <v>123.09</v>
      </c>
      <c r="J8" s="119">
        <f t="shared" si="0"/>
        <v>0</v>
      </c>
      <c r="K8" s="116">
        <f>'Юнит 5'!K8</f>
        <v>50</v>
      </c>
      <c r="L8" s="116">
        <f>'Юнит 1'!L8+'Юнит 2'!L8+'Юнит 3'!L8+'Юнит 4'!L8+'Юнит 5'!L8</f>
        <v>136</v>
      </c>
      <c r="M8" s="116">
        <f>'Юнит 1'!M8+'Юнит 2'!M8+'Юнит 3'!M8+'Юнит 4'!M8+'Юнит 5'!M8</f>
        <v>5948</v>
      </c>
      <c r="N8" s="116">
        <f>'Юнит 1'!N8+'Юнит 2'!N8+'Юнит 3'!N8+'Юнит 4'!N8+'Юнит 5'!N8</f>
        <v>378</v>
      </c>
      <c r="O8" s="215">
        <f t="shared" si="1"/>
        <v>19.428571428571427</v>
      </c>
      <c r="P8" s="119">
        <f t="shared" si="20"/>
        <v>15.285714285714286</v>
      </c>
      <c r="Q8" s="116">
        <f>'Юнит 1'!Q8+'Юнит 2'!Q8+'Юнит 3'!Q8+'Юнит 4'!Q8+'Юнит 5'!Q8</f>
        <v>107</v>
      </c>
      <c r="R8" s="116">
        <f>'Юнит 1'!R8+'Юнит 2'!R8+'Юнит 3'!R8+'Юнит 4'!R8+'Юнит 5'!R8</f>
        <v>0</v>
      </c>
      <c r="S8" s="119">
        <f t="shared" si="12"/>
        <v>107</v>
      </c>
      <c r="T8" s="116">
        <f>'Юнит 1'!T8+'Юнит 2'!T8+'Юнит 3'!T8+'Юнит 4'!T8+'Юнит 5'!T8</f>
        <v>103064.23999999999</v>
      </c>
      <c r="U8" s="116">
        <f>'Юнит 1'!U8+'Юнит 2'!U8+'Юнит 3'!U8+'Юнит 4'!U8+'Юнит 5'!U8</f>
        <v>0</v>
      </c>
      <c r="V8" s="119">
        <f t="shared" si="13"/>
        <v>103064.23999999999</v>
      </c>
      <c r="W8" s="116">
        <f>'Юнит 1'!W8+'Юнит 2'!W8+'Юнит 3'!W8+'Юнит 4'!W8+'Юнит 5'!W8</f>
        <v>128447.72</v>
      </c>
      <c r="X8" s="116">
        <f>'Юнит 1'!X8+'Юнит 2'!X8+'Юнит 3'!X8+'Юнит 4'!X8+'Юнит 5'!X8</f>
        <v>0</v>
      </c>
      <c r="Y8" s="119">
        <f t="shared" si="3"/>
        <v>128447.72</v>
      </c>
      <c r="Z8" s="119">
        <f t="shared" si="14"/>
        <v>3057747.84</v>
      </c>
      <c r="AA8" s="121">
        <f t="shared" si="4"/>
        <v>0.43138454327622777</v>
      </c>
      <c r="AB8" s="119">
        <f t="shared" si="15"/>
        <v>13170.630000000001</v>
      </c>
      <c r="AC8" s="116">
        <f>'Юнит 1'!AC8+'Юнит 2'!AC8+'Юнит 3'!AC8+'Юнит 4'!AC8+'Юнит 5'!AC8</f>
        <v>46443.600000000013</v>
      </c>
      <c r="AD8" s="121">
        <f t="shared" si="5"/>
        <v>0.36157590029624515</v>
      </c>
      <c r="AE8" s="116">
        <f>'Юнит 1'!AE8+'Юнит 2'!AE8+'Юнит 3'!AE8+'Юнит 4'!AE8+'Юнит 5'!AE8</f>
        <v>10755.050000000001</v>
      </c>
      <c r="AF8" s="116">
        <f>'Юнит 1'!AF8+'Юнит 2'!AF8+'Юнит 3'!AF8+'Юнит 4'!AF8+'Юнит 5'!AF8</f>
        <v>5362</v>
      </c>
      <c r="AG8" s="116">
        <f>'Юнит 1'!AG8+'Юнит 2'!AG8+'Юнит 3'!AG8+'Юнит 4'!AG8+'Юнит 5'!AG8</f>
        <v>8225</v>
      </c>
      <c r="AH8" s="116">
        <f>'Юнит 1'!AH8+'Юнит 2'!AH8+'Юнит 3'!AH8+'Юнит 4'!AH8+'Юнит 5'!AH8</f>
        <v>0</v>
      </c>
      <c r="AI8" s="243">
        <f>'Юнит 1'!AI8+'Юнит 2'!AI8+'Юнит 3'!AI8+'Юнит 4'!AI8+'Юнит 5'!AI8</f>
        <v>370.90572687895082</v>
      </c>
      <c r="AJ8" s="116">
        <f>'Юнит 1'!AJ8+'Юнит 2'!AJ8+'Юнит 3'!AJ8+'Юнит 4'!AJ8+'Юнит 5'!AJ8</f>
        <v>0</v>
      </c>
      <c r="AK8" s="122">
        <f t="shared" si="16"/>
        <v>1030.6424</v>
      </c>
      <c r="AL8" s="123">
        <f t="shared" si="17"/>
        <v>43089.891873121043</v>
      </c>
      <c r="AM8" s="124"/>
      <c r="AN8" s="125">
        <f t="shared" si="6"/>
        <v>1200.4459813084113</v>
      </c>
      <c r="AO8" s="126">
        <f t="shared" si="7"/>
        <v>123.09</v>
      </c>
      <c r="AP8" s="126">
        <f t="shared" si="8"/>
        <v>434.05233644859823</v>
      </c>
      <c r="AQ8" s="126">
        <f t="shared" si="18"/>
        <v>100.51448598130843</v>
      </c>
      <c r="AR8" s="126">
        <f t="shared" si="19"/>
        <v>126.98130841121495</v>
      </c>
      <c r="AS8" s="126">
        <f t="array" ref="AS8">_xlfn.IFS(S8=0,AL8,S8&lt;0,AL8/-S8,S8&gt;0,AL8/S8)</f>
        <v>402.70926984225275</v>
      </c>
      <c r="AT8" s="121">
        <f t="shared" si="21"/>
        <v>0.33546638175532456</v>
      </c>
      <c r="AU8" s="121">
        <f t="shared" si="22"/>
        <v>3.2716652030404805</v>
      </c>
      <c r="AV8" s="127"/>
      <c r="AW8" s="122">
        <f t="shared" si="11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>'Юнит 5'!E9</f>
        <v>0</v>
      </c>
      <c r="F9" s="119">
        <f>'Юнит 5'!F9</f>
        <v>14</v>
      </c>
      <c r="G9" s="119">
        <f>'Юнит 5'!G9</f>
        <v>4</v>
      </c>
      <c r="H9" s="119">
        <f>'Юнит 5'!H9</f>
        <v>229</v>
      </c>
      <c r="I9" s="119">
        <v>169.89</v>
      </c>
      <c r="J9" s="119">
        <f t="shared" si="0"/>
        <v>0</v>
      </c>
      <c r="K9" s="116">
        <f>'Юнит 5'!K9</f>
        <v>207</v>
      </c>
      <c r="L9" s="116">
        <f>'Юнит 1'!L9+'Юнит 2'!L9+'Юнит 3'!L9+'Юнит 4'!L9+'Юнит 5'!L9</f>
        <v>69</v>
      </c>
      <c r="M9" s="116">
        <f>'Юнит 1'!M9+'Юнит 2'!M9+'Юнит 3'!M9+'Юнит 4'!M9+'Юнит 5'!M9</f>
        <v>5945</v>
      </c>
      <c r="N9" s="116">
        <f>'Юнит 1'!N9+'Юнит 2'!N9+'Юнит 3'!N9+'Юнит 4'!N9+'Юнит 5'!N9</f>
        <v>287</v>
      </c>
      <c r="O9" s="215">
        <f t="shared" si="1"/>
        <v>9.8571428571428577</v>
      </c>
      <c r="P9" s="119">
        <f t="shared" si="20"/>
        <v>3.7142857142857144</v>
      </c>
      <c r="Q9" s="116">
        <f>'Юнит 1'!Q9+'Юнит 2'!Q9+'Юнит 3'!Q9+'Юнит 4'!Q9+'Юнит 5'!Q9</f>
        <v>28</v>
      </c>
      <c r="R9" s="116">
        <f>'Юнит 1'!R9+'Юнит 2'!R9+'Юнит 3'!R9+'Юнит 4'!R9+'Юнит 5'!R9</f>
        <v>-2</v>
      </c>
      <c r="S9" s="119">
        <f t="shared" si="12"/>
        <v>26</v>
      </c>
      <c r="T9" s="116">
        <f>'Юнит 1'!T9+'Юнит 2'!T9+'Юнит 3'!T9+'Юнит 4'!T9+'Юнит 5'!T9</f>
        <v>23712.959999999999</v>
      </c>
      <c r="U9" s="116">
        <f>'Юнит 1'!U9+'Юнит 2'!U9+'Юнит 3'!U9+'Юнит 4'!U9+'Юнит 5'!U9</f>
        <v>-1779</v>
      </c>
      <c r="V9" s="119">
        <f t="shared" si="13"/>
        <v>21933.96</v>
      </c>
      <c r="W9" s="116">
        <f>'Юнит 1'!W9+'Юнит 2'!W9+'Юнит 3'!W9+'Юнит 4'!W9+'Юнит 5'!W9</f>
        <v>32983.729999999996</v>
      </c>
      <c r="X9" s="116">
        <f>'Юнит 1'!X9+'Юнит 2'!X9+'Юнит 3'!X9+'Юнит 4'!X9+'Юнит 5'!X9</f>
        <v>-2348</v>
      </c>
      <c r="Y9" s="119">
        <f t="shared" si="3"/>
        <v>30635.729999999996</v>
      </c>
      <c r="Z9" s="119">
        <f t="shared" si="14"/>
        <v>1177288.3500000001</v>
      </c>
      <c r="AA9" s="121">
        <f t="shared" si="4"/>
        <v>0.1028883999963863</v>
      </c>
      <c r="AB9" s="119">
        <f t="shared" si="15"/>
        <v>4417.1399999999994</v>
      </c>
      <c r="AC9" s="116">
        <f>'Юнит 1'!AC9+'Юнит 2'!AC9+'Юнит 3'!AC9+'Юнит 4'!AC9+'Юнит 5'!AC9</f>
        <v>11062.14</v>
      </c>
      <c r="AD9" s="121">
        <f t="shared" si="5"/>
        <v>0.36108622187230405</v>
      </c>
      <c r="AE9" s="116">
        <f>'Юнит 1'!AE9+'Юнит 2'!AE9+'Юнит 3'!AE9+'Юнит 4'!AE9+'Юнит 5'!AE9</f>
        <v>4747.2000000000007</v>
      </c>
      <c r="AF9" s="116">
        <f>'Юнит 1'!AF9+'Юнит 2'!AF9+'Юнит 3'!AF9+'Юнит 4'!AF9+'Юнит 5'!AF9</f>
        <v>4000</v>
      </c>
      <c r="AG9" s="116">
        <f>'Юнит 1'!AG9+'Юнит 2'!AG9+'Юнит 3'!AG9+'Юнит 4'!AG9+'Юнит 5'!AG9</f>
        <v>5842</v>
      </c>
      <c r="AH9" s="116">
        <f>'Юнит 1'!AH9+'Юнит 2'!AH9+'Юнит 3'!AH9+'Юнит 4'!AH9+'Юнит 5'!AH9</f>
        <v>0</v>
      </c>
      <c r="AI9" s="243">
        <f>'Юнит 1'!AI9+'Юнит 2'!AI9+'Юнит 3'!AI9+'Юнит 4'!AI9+'Юнит 5'!AI9</f>
        <v>691.65984163904386</v>
      </c>
      <c r="AJ9" s="116">
        <f>'Юнит 1'!AJ9+'Юнит 2'!AJ9+'Юнит 3'!AJ9+'Юнит 4'!AJ9+'Юнит 5'!AJ9</f>
        <v>0</v>
      </c>
      <c r="AK9" s="122">
        <f t="shared" si="16"/>
        <v>219.33959999999999</v>
      </c>
      <c r="AL9" s="123">
        <f t="shared" si="17"/>
        <v>-343.74944163904752</v>
      </c>
      <c r="AM9" s="124"/>
      <c r="AN9" s="125">
        <f t="shared" si="6"/>
        <v>1178.2973076923076</v>
      </c>
      <c r="AO9" s="126">
        <f t="shared" si="7"/>
        <v>169.89</v>
      </c>
      <c r="AP9" s="126">
        <f t="shared" si="8"/>
        <v>425.46692307692308</v>
      </c>
      <c r="AQ9" s="126">
        <f t="shared" si="18"/>
        <v>169.54285714285717</v>
      </c>
      <c r="AR9" s="126">
        <f t="shared" si="19"/>
        <v>351.5</v>
      </c>
      <c r="AS9" s="126">
        <f t="array" ref="AS9">_xlfn.IFS(S9=0,AL9,S9&lt;0,AL9/-S9,S9&gt;0,AL9/S9)</f>
        <v>-13.221132370732597</v>
      </c>
      <c r="AT9" s="121">
        <f t="shared" si="21"/>
        <v>-1.1220540252804407E-2</v>
      </c>
      <c r="AU9" s="121">
        <f t="shared" si="22"/>
        <v>-7.7821722118621456E-2</v>
      </c>
      <c r="AV9" s="127"/>
      <c r="AW9" s="122">
        <f t="shared" si="11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>'Юнит 5'!E10</f>
        <v>0</v>
      </c>
      <c r="F10" s="119" t="str">
        <f>'Юнит 5'!F10</f>
        <v/>
      </c>
      <c r="G10" s="119">
        <f>'Юнит 5'!G10</f>
        <v>1</v>
      </c>
      <c r="H10" s="119">
        <f>'Юнит 5'!H10</f>
        <v>39</v>
      </c>
      <c r="I10" s="119">
        <v>169.89</v>
      </c>
      <c r="J10" s="119">
        <f t="shared" si="0"/>
        <v>0</v>
      </c>
      <c r="K10" s="116">
        <f>'Юнит 5'!K10</f>
        <v>399</v>
      </c>
      <c r="L10" s="116">
        <f>'Юнит 1'!L10+'Юнит 2'!L10+'Юнит 3'!L10+'Юнит 4'!L10+'Юнит 5'!L10</f>
        <v>6</v>
      </c>
      <c r="M10" s="116">
        <f>'Юнит 1'!M10+'Юнит 2'!M10+'Юнит 3'!M10+'Юнит 4'!M10+'Юнит 5'!M10</f>
        <v>4715</v>
      </c>
      <c r="N10" s="116">
        <f>'Юнит 1'!N10+'Юнит 2'!N10+'Юнит 3'!N10+'Юнит 4'!N10+'Юнит 5'!N10</f>
        <v>100</v>
      </c>
      <c r="O10" s="215">
        <f t="shared" si="1"/>
        <v>0.8571428571428571</v>
      </c>
      <c r="P10" s="119">
        <f t="shared" si="20"/>
        <v>0.2857142857142857</v>
      </c>
      <c r="Q10" s="116">
        <f>'Юнит 1'!Q10+'Юнит 2'!Q10+'Юнит 3'!Q10+'Юнит 4'!Q10+'Юнит 5'!Q10</f>
        <v>3</v>
      </c>
      <c r="R10" s="116">
        <f>'Юнит 1'!R10+'Юнит 2'!R10+'Юнит 3'!R10+'Юнит 4'!R10+'Юнит 5'!R10</f>
        <v>-1</v>
      </c>
      <c r="S10" s="119">
        <f t="shared" si="12"/>
        <v>2</v>
      </c>
      <c r="T10" s="116">
        <f>'Юнит 1'!T10+'Юнит 2'!T10+'Юнит 3'!T10+'Юнит 4'!T10+'Юнит 5'!T10</f>
        <v>2726</v>
      </c>
      <c r="U10" s="116">
        <f>'Юнит 1'!U10+'Юнит 2'!U10+'Юнит 3'!U10+'Юнит 4'!U10+'Юнит 5'!U10</f>
        <v>-931</v>
      </c>
      <c r="V10" s="119">
        <f t="shared" si="13"/>
        <v>1795</v>
      </c>
      <c r="W10" s="116">
        <f>'Юнит 1'!W10+'Юнит 2'!W10+'Юнит 3'!W10+'Юнит 4'!W10+'Юнит 5'!W10</f>
        <v>3543</v>
      </c>
      <c r="X10" s="116">
        <f>'Юнит 1'!X10+'Юнит 2'!X10+'Юнит 3'!X10+'Юнит 4'!X10+'Юнит 5'!X10</f>
        <v>-1199</v>
      </c>
      <c r="Y10" s="119">
        <f t="shared" si="3"/>
        <v>2344</v>
      </c>
      <c r="Z10" s="119">
        <f t="shared" si="14"/>
        <v>28290</v>
      </c>
      <c r="AA10" s="121">
        <f t="shared" si="4"/>
        <v>7.8721939902045585E-3</v>
      </c>
      <c r="AB10" s="119">
        <f t="shared" si="15"/>
        <v>339.78</v>
      </c>
      <c r="AC10" s="116">
        <f>'Юнит 1'!AC10+'Юнит 2'!AC10+'Юнит 3'!AC10+'Юнит 4'!AC10+'Юнит 5'!AC10</f>
        <v>852.14</v>
      </c>
      <c r="AD10" s="121">
        <f t="shared" si="5"/>
        <v>0.36354095563139932</v>
      </c>
      <c r="AE10" s="116">
        <f>'Юнит 1'!AE10+'Юнит 2'!AE10+'Юнит 3'!AE10+'Юнит 4'!AE10+'Юнит 5'!AE10</f>
        <v>508.85</v>
      </c>
      <c r="AF10" s="116">
        <f>'Юнит 1'!AF10+'Юнит 2'!AF10+'Юнит 3'!AF10+'Юнит 4'!AF10+'Юнит 5'!AF10</f>
        <v>0</v>
      </c>
      <c r="AG10" s="116">
        <f>'Юнит 1'!AG10+'Юнит 2'!AG10+'Юнит 3'!AG10+'Юнит 4'!AG10+'Юнит 5'!AG10</f>
        <v>0</v>
      </c>
      <c r="AH10" s="116">
        <f>'Юнит 1'!AH10+'Юнит 2'!AH10+'Юнит 3'!AH10+'Юнит 4'!AH10+'Юнит 5'!AH10</f>
        <v>0</v>
      </c>
      <c r="AI10" s="243">
        <f>'Юнит 1'!AI10+'Юнит 2'!AI10+'Юнит 3'!AI10+'Юнит 4'!AI10+'Юнит 5'!AI10</f>
        <v>108.00567512242689</v>
      </c>
      <c r="AJ10" s="116">
        <f>'Юнит 1'!AJ10+'Юнит 2'!AJ10+'Юнит 3'!AJ10+'Юнит 4'!AJ10+'Юнит 5'!AJ10</f>
        <v>0</v>
      </c>
      <c r="AK10" s="122">
        <f t="shared" si="16"/>
        <v>17.95</v>
      </c>
      <c r="AL10" s="123">
        <f t="shared" si="17"/>
        <v>517.27432487757301</v>
      </c>
      <c r="AM10" s="124"/>
      <c r="AN10" s="125">
        <f t="shared" si="6"/>
        <v>1172</v>
      </c>
      <c r="AO10" s="126">
        <f t="shared" si="7"/>
        <v>169.89</v>
      </c>
      <c r="AP10" s="126">
        <f t="shared" si="8"/>
        <v>426.07</v>
      </c>
      <c r="AQ10" s="126">
        <f t="shared" si="18"/>
        <v>169.61666666666667</v>
      </c>
      <c r="AR10" s="126">
        <f t="shared" si="19"/>
        <v>0</v>
      </c>
      <c r="AS10" s="126">
        <f t="array" ref="AS10">_xlfn.IFS(S10=0,AL10,S10&lt;0,AL10/-S10,S10&gt;0,AL10/S10)</f>
        <v>258.6371624387865</v>
      </c>
      <c r="AT10" s="121">
        <f t="shared" si="21"/>
        <v>0.22068017272934001</v>
      </c>
      <c r="AU10" s="121">
        <f t="shared" si="22"/>
        <v>1.5223801426734154</v>
      </c>
      <c r="AV10" s="127"/>
      <c r="AW10" s="122">
        <f t="shared" si="11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>'Юнит 5'!E11</f>
        <v>0</v>
      </c>
      <c r="F11" s="119" t="str">
        <f>'Юнит 5'!F11</f>
        <v/>
      </c>
      <c r="G11" s="119">
        <f>'Юнит 5'!G11</f>
        <v>1</v>
      </c>
      <c r="H11" s="119">
        <f>'Юнит 5'!H11</f>
        <v>38</v>
      </c>
      <c r="I11" s="119">
        <v>169.89</v>
      </c>
      <c r="J11" s="119">
        <f t="shared" si="0"/>
        <v>0</v>
      </c>
      <c r="K11" s="116">
        <f>'Юнит 5'!K11</f>
        <v>399</v>
      </c>
      <c r="L11" s="116">
        <f>'Юнит 1'!L11+'Юнит 2'!L11+'Юнит 3'!L11+'Юнит 4'!L11+'Юнит 5'!L11</f>
        <v>5</v>
      </c>
      <c r="M11" s="116">
        <f>'Юнит 1'!M11+'Юнит 2'!M11+'Юнит 3'!M11+'Юнит 4'!M11+'Юнит 5'!M11</f>
        <v>3380</v>
      </c>
      <c r="N11" s="116">
        <f>'Юнит 1'!N11+'Юнит 2'!N11+'Юнит 3'!N11+'Юнит 4'!N11+'Юнит 5'!N11</f>
        <v>50</v>
      </c>
      <c r="O11" s="215">
        <f t="shared" si="1"/>
        <v>0.7142857142857143</v>
      </c>
      <c r="P11" s="119">
        <f t="shared" si="20"/>
        <v>0.42857142857142855</v>
      </c>
      <c r="Q11" s="116">
        <f>'Юнит 1'!Q11+'Юнит 2'!Q11+'Юнит 3'!Q11+'Юнит 4'!Q11+'Юнит 5'!Q11</f>
        <v>3</v>
      </c>
      <c r="R11" s="116">
        <f>'Юнит 1'!R11+'Юнит 2'!R11+'Юнит 3'!R11+'Юнит 4'!R11+'Юнит 5'!R11</f>
        <v>0</v>
      </c>
      <c r="S11" s="119">
        <f t="shared" si="12"/>
        <v>3</v>
      </c>
      <c r="T11" s="116">
        <f>'Юнит 1'!T11+'Юнит 2'!T11+'Юнит 3'!T11+'Юнит 4'!T11+'Юнит 5'!T11</f>
        <v>2507</v>
      </c>
      <c r="U11" s="116">
        <f>'Юнит 1'!U11+'Юнит 2'!U11+'Юнит 3'!U11+'Юнит 4'!U11+'Юнит 5'!U11</f>
        <v>0</v>
      </c>
      <c r="V11" s="119">
        <f t="shared" si="13"/>
        <v>2507</v>
      </c>
      <c r="W11" s="116">
        <f>'Юнит 1'!W11+'Юнит 2'!W11+'Юнит 3'!W11+'Юнит 4'!W11+'Юнит 5'!W11</f>
        <v>3435</v>
      </c>
      <c r="X11" s="116">
        <f>'Юнит 1'!X11+'Юнит 2'!X11+'Юнит 3'!X11+'Юнит 4'!X11+'Юнит 5'!X11</f>
        <v>0</v>
      </c>
      <c r="Y11" s="119">
        <f t="shared" si="3"/>
        <v>3435</v>
      </c>
      <c r="Z11" s="119">
        <f t="shared" si="14"/>
        <v>8450</v>
      </c>
      <c r="AA11" s="121">
        <f t="shared" si="4"/>
        <v>1.1536256977966152E-2</v>
      </c>
      <c r="AB11" s="119">
        <f t="shared" si="15"/>
        <v>509.66999999999996</v>
      </c>
      <c r="AC11" s="116">
        <f>'Юнит 1'!AC11+'Юнит 2'!AC11+'Юнит 3'!AC11+'Юнит 4'!AC11+'Юнит 5'!AC11</f>
        <v>1230.83</v>
      </c>
      <c r="AD11" s="121">
        <f t="shared" si="5"/>
        <v>0.3583202328966521</v>
      </c>
      <c r="AE11" s="116">
        <f>'Юнит 1'!AE11+'Юнит 2'!AE11+'Юнит 3'!AE11+'Юнит 4'!AE11+'Юнит 5'!AE11</f>
        <v>496.54999999999995</v>
      </c>
      <c r="AF11" s="116">
        <f>'Юнит 1'!AF11+'Юнит 2'!AF11+'Юнит 3'!AF11+'Юнит 4'!AF11+'Юнит 5'!AF11</f>
        <v>0</v>
      </c>
      <c r="AG11" s="116">
        <f>'Юнит 1'!AG11+'Юнит 2'!AG11+'Юнит 3'!AG11+'Юнит 4'!AG11+'Юнит 5'!AG11</f>
        <v>0</v>
      </c>
      <c r="AH11" s="116">
        <f>'Юнит 1'!AH11+'Юнит 2'!AH11+'Юнит 3'!AH11+'Юнит 4'!AH11+'Юнит 5'!AH11</f>
        <v>0</v>
      </c>
      <c r="AI11" s="243">
        <f>'Юнит 1'!AI11+'Юнит 2'!AI11+'Юнит 3'!AI11+'Юнит 4'!AI11+'Юнит 5'!AI11</f>
        <v>108.28536559308411</v>
      </c>
      <c r="AJ11" s="116">
        <f>'Юнит 1'!AJ11+'Юнит 2'!AJ11+'Юнит 3'!AJ11+'Юнит 4'!AJ11+'Юнит 5'!AJ11</f>
        <v>0</v>
      </c>
      <c r="AK11" s="122">
        <f t="shared" si="16"/>
        <v>25.07</v>
      </c>
      <c r="AL11" s="123">
        <f t="shared" si="17"/>
        <v>1064.5946344069159</v>
      </c>
      <c r="AM11" s="124"/>
      <c r="AN11" s="125">
        <f t="shared" si="6"/>
        <v>1145</v>
      </c>
      <c r="AO11" s="126">
        <f t="shared" si="7"/>
        <v>169.89</v>
      </c>
      <c r="AP11" s="126">
        <f t="shared" si="8"/>
        <v>410.27666666666664</v>
      </c>
      <c r="AQ11" s="126">
        <f t="shared" si="18"/>
        <v>165.51666666666665</v>
      </c>
      <c r="AR11" s="126">
        <f t="shared" si="19"/>
        <v>0</v>
      </c>
      <c r="AS11" s="126">
        <f t="array" ref="AS11">_xlfn.IFS(S11=0,AL11,S11&lt;0,AL11/-S11,S11&gt;0,AL11/S11)</f>
        <v>354.86487813563866</v>
      </c>
      <c r="AT11" s="121">
        <f t="shared" si="21"/>
        <v>0.30992565776038311</v>
      </c>
      <c r="AU11" s="121">
        <f t="shared" si="22"/>
        <v>2.0887920309355388</v>
      </c>
      <c r="AV11" s="127"/>
      <c r="AW11" s="122">
        <f t="shared" si="11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>'Юнит 5'!E12</f>
        <v>0</v>
      </c>
      <c r="F12" s="119" t="str">
        <f>'Юнит 5'!F12</f>
        <v/>
      </c>
      <c r="G12" s="119" t="str">
        <f>'Юнит 5'!G12</f>
        <v/>
      </c>
      <c r="H12" s="119">
        <f>'Юнит 5'!H12</f>
        <v>44</v>
      </c>
      <c r="I12" s="119">
        <v>169.89</v>
      </c>
      <c r="J12" s="119">
        <f t="shared" si="0"/>
        <v>0</v>
      </c>
      <c r="K12" s="116">
        <f>'Юнит 5'!K12</f>
        <v>264</v>
      </c>
      <c r="L12" s="116">
        <f>'Юнит 1'!L12+'Юнит 2'!L12+'Юнит 3'!L12+'Юнит 4'!L12+'Юнит 5'!L12</f>
        <v>9</v>
      </c>
      <c r="M12" s="116">
        <f>'Юнит 1'!M12+'Юнит 2'!M12+'Юнит 3'!M12+'Юнит 4'!M12+'Юнит 5'!M12</f>
        <v>3470</v>
      </c>
      <c r="N12" s="116">
        <f>'Юнит 1'!N12+'Юнит 2'!N12+'Юнит 3'!N12+'Юнит 4'!N12+'Юнит 5'!N12</f>
        <v>0</v>
      </c>
      <c r="O12" s="215">
        <f t="shared" si="1"/>
        <v>1.2857142857142858</v>
      </c>
      <c r="P12" s="119">
        <f t="shared" si="20"/>
        <v>0.42857142857142855</v>
      </c>
      <c r="Q12" s="116">
        <f>'Юнит 1'!Q12+'Юнит 2'!Q12+'Юнит 3'!Q12+'Юнит 4'!Q12+'Юнит 5'!Q12</f>
        <v>3</v>
      </c>
      <c r="R12" s="116">
        <f>'Юнит 1'!R12+'Юнит 2'!R12+'Юнит 3'!R12+'Юнит 4'!R12+'Юнит 5'!R12</f>
        <v>0</v>
      </c>
      <c r="S12" s="119">
        <f t="shared" si="12"/>
        <v>3</v>
      </c>
      <c r="T12" s="116">
        <f>'Юнит 1'!T12+'Юнит 2'!T12+'Юнит 3'!T12+'Юнит 4'!T12+'Юнит 5'!T12</f>
        <v>2738</v>
      </c>
      <c r="U12" s="116">
        <f>'Юнит 1'!U12+'Юнит 2'!U12+'Юнит 3'!U12+'Юнит 4'!U12+'Юнит 5'!U12</f>
        <v>0</v>
      </c>
      <c r="V12" s="119">
        <f t="shared" si="13"/>
        <v>2738</v>
      </c>
      <c r="W12" s="116">
        <f>'Юнит 1'!W12+'Юнит 2'!W12+'Юнит 3'!W12+'Юнит 4'!W12+'Юнит 5'!W12</f>
        <v>3498</v>
      </c>
      <c r="X12" s="116">
        <f>'Юнит 1'!X12+'Юнит 2'!X12+'Юнит 3'!X12+'Юнит 4'!X12+'Юнит 5'!X12</f>
        <v>0</v>
      </c>
      <c r="Y12" s="119">
        <f t="shared" si="3"/>
        <v>3498</v>
      </c>
      <c r="Z12" s="119">
        <f t="shared" si="14"/>
        <v>0</v>
      </c>
      <c r="AA12" s="121">
        <f t="shared" si="4"/>
        <v>1.1747838983675575E-2</v>
      </c>
      <c r="AB12" s="119">
        <f t="shared" si="15"/>
        <v>509.66999999999996</v>
      </c>
      <c r="AC12" s="116">
        <f>'Юнит 1'!AC12+'Юнит 2'!AC12+'Юнит 3'!AC12+'Юнит 4'!AC12+'Юнит 5'!AC12</f>
        <v>1259.4499999999998</v>
      </c>
      <c r="AD12" s="121">
        <f t="shared" si="5"/>
        <v>0.36004859919954252</v>
      </c>
      <c r="AE12" s="116">
        <f>'Юнит 1'!AE12+'Юнит 2'!AE12+'Юнит 3'!AE12+'Юнит 4'!AE12+'Юнит 5'!AE12</f>
        <v>807.5</v>
      </c>
      <c r="AF12" s="116">
        <f>'Юнит 1'!AF12+'Юнит 2'!AF12+'Юнит 3'!AF12+'Юнит 4'!AF12+'Юнит 5'!AF12</f>
        <v>0</v>
      </c>
      <c r="AG12" s="116">
        <f>'Юнит 1'!AG12+'Юнит 2'!AG12+'Юнит 3'!AG12+'Юнит 4'!AG12+'Юнит 5'!AG12</f>
        <v>0</v>
      </c>
      <c r="AH12" s="116">
        <f>'Юнит 1'!AH12+'Юнит 2'!AH12+'Юнит 3'!AH12+'Юнит 4'!AH12+'Юнит 5'!AH12</f>
        <v>0</v>
      </c>
      <c r="AI12" s="243">
        <f>'Юнит 1'!AI12+'Юнит 2'!AI12+'Юнит 3'!AI12+'Юнит 4'!AI12+'Юнит 5'!AI12</f>
        <v>119.54444531607479</v>
      </c>
      <c r="AJ12" s="116">
        <f>'Юнит 1'!AJ12+'Юнит 2'!AJ12+'Юнит 3'!AJ12+'Юнит 4'!AJ12+'Юнит 5'!AJ12</f>
        <v>0</v>
      </c>
      <c r="AK12" s="122">
        <f t="shared" si="16"/>
        <v>27.38</v>
      </c>
      <c r="AL12" s="123">
        <f t="shared" si="17"/>
        <v>774.45555468392536</v>
      </c>
      <c r="AM12" s="124"/>
      <c r="AN12" s="125">
        <f t="shared" si="6"/>
        <v>1166</v>
      </c>
      <c r="AO12" s="126">
        <f t="shared" si="7"/>
        <v>169.89</v>
      </c>
      <c r="AP12" s="126">
        <f t="shared" si="8"/>
        <v>419.81666666666661</v>
      </c>
      <c r="AQ12" s="126">
        <f t="shared" si="18"/>
        <v>269.16666666666669</v>
      </c>
      <c r="AR12" s="126">
        <f t="shared" si="19"/>
        <v>0</v>
      </c>
      <c r="AS12" s="126">
        <f t="array" ref="AS12">_xlfn.IFS(S12=0,AL12,S12&lt;0,AL12/-S12,S12&gt;0,AL12/S12)</f>
        <v>258.15185156130843</v>
      </c>
      <c r="AT12" s="121">
        <f t="shared" si="21"/>
        <v>0.22139952964091633</v>
      </c>
      <c r="AU12" s="121">
        <f t="shared" si="22"/>
        <v>1.5195235244058418</v>
      </c>
      <c r="AV12" s="127"/>
      <c r="AW12" s="122">
        <f t="shared" si="11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>'Юнит 5'!E13</f>
        <v>0</v>
      </c>
      <c r="F13" s="119" t="str">
        <f>'Юнит 5'!F13</f>
        <v/>
      </c>
      <c r="G13" s="119" t="str">
        <f>'Юнит 5'!G13</f>
        <v/>
      </c>
      <c r="H13" s="119">
        <f>'Юнит 5'!H13</f>
        <v>8</v>
      </c>
      <c r="I13" s="119">
        <v>169.89</v>
      </c>
      <c r="J13" s="119">
        <f t="shared" si="0"/>
        <v>0</v>
      </c>
      <c r="K13" s="116">
        <f>'Юнит 5'!K13</f>
        <v>92</v>
      </c>
      <c r="L13" s="116">
        <f>'Юнит 1'!L13+'Юнит 2'!L13+'Юнит 3'!L13+'Юнит 4'!L13+'Юнит 5'!L13</f>
        <v>5</v>
      </c>
      <c r="M13" s="116">
        <f>'Юнит 1'!M13+'Юнит 2'!M13+'Юнит 3'!M13+'Юнит 4'!M13+'Юнит 5'!M13</f>
        <v>3498</v>
      </c>
      <c r="N13" s="116">
        <f>'Юнит 1'!N13+'Юнит 2'!N13+'Юнит 3'!N13+'Юнит 4'!N13+'Юнит 5'!N13</f>
        <v>200</v>
      </c>
      <c r="O13" s="215">
        <f t="shared" si="1"/>
        <v>0.7142857142857143</v>
      </c>
      <c r="P13" s="119">
        <f t="shared" si="20"/>
        <v>0.5714285714285714</v>
      </c>
      <c r="Q13" s="116">
        <f>'Юнит 1'!Q13+'Юнит 2'!Q13+'Юнит 3'!Q13+'Юнит 4'!Q13+'Юнит 5'!Q13</f>
        <v>4</v>
      </c>
      <c r="R13" s="116">
        <f>'Юнит 1'!R13+'Юнит 2'!R13+'Юнит 3'!R13+'Юнит 4'!R13+'Юнит 5'!R13</f>
        <v>0</v>
      </c>
      <c r="S13" s="119">
        <f t="shared" si="12"/>
        <v>4</v>
      </c>
      <c r="T13" s="116">
        <f>'Юнит 1'!T13+'Юнит 2'!T13+'Юнит 3'!T13+'Юнит 4'!T13+'Юнит 5'!T13</f>
        <v>3700</v>
      </c>
      <c r="U13" s="116">
        <f>'Юнит 1'!U13+'Юнит 2'!U13+'Юнит 3'!U13+'Юнит 4'!U13+'Юнит 5'!U13</f>
        <v>0</v>
      </c>
      <c r="V13" s="119">
        <f t="shared" si="13"/>
        <v>3700</v>
      </c>
      <c r="W13" s="116">
        <f>'Юнит 1'!W13+'Юнит 2'!W13+'Юнит 3'!W13+'Юнит 4'!W13+'Юнит 5'!W13</f>
        <v>4664</v>
      </c>
      <c r="X13" s="116">
        <f>'Юнит 1'!X13+'Юнит 2'!X13+'Юнит 3'!X13+'Юнит 4'!X13+'Юнит 5'!X13</f>
        <v>0</v>
      </c>
      <c r="Y13" s="119">
        <f t="shared" si="3"/>
        <v>4664</v>
      </c>
      <c r="Z13" s="119">
        <f t="shared" si="14"/>
        <v>34980</v>
      </c>
      <c r="AA13" s="121">
        <f t="shared" si="4"/>
        <v>1.5663785311567431E-2</v>
      </c>
      <c r="AB13" s="119">
        <f t="shared" si="15"/>
        <v>679.56</v>
      </c>
      <c r="AC13" s="116">
        <f>'Юнит 1'!AC13+'Юнит 2'!AC13+'Юнит 3'!AC13+'Юнит 4'!AC13+'Юнит 5'!AC13</f>
        <v>1697.31</v>
      </c>
      <c r="AD13" s="121">
        <f t="shared" si="5"/>
        <v>0.36391723842195539</v>
      </c>
      <c r="AE13" s="116">
        <f>'Юнит 1'!AE13+'Юнит 2'!AE13+'Юнит 3'!AE13+'Юнит 4'!AE13+'Юнит 5'!AE13</f>
        <v>429.15</v>
      </c>
      <c r="AF13" s="116">
        <f>'Юнит 1'!AF13+'Юнит 2'!AF13+'Юнит 3'!AF13+'Юнит 4'!AF13+'Юнит 5'!AF13</f>
        <v>0</v>
      </c>
      <c r="AG13" s="116">
        <f>'Юнит 1'!AG13+'Юнит 2'!AG13+'Юнит 3'!AG13+'Юнит 4'!AG13+'Юнит 5'!AG13</f>
        <v>0</v>
      </c>
      <c r="AH13" s="116">
        <f>'Юнит 1'!AH13+'Юнит 2'!AH13+'Юнит 3'!AH13+'Юнит 4'!AH13+'Юнит 5'!AH13</f>
        <v>0</v>
      </c>
      <c r="AI13" s="243">
        <f>'Юнит 1'!AI13+'Юнит 2'!AI13+'Юнит 3'!AI13+'Юнит 4'!AI13+'Юнит 5'!AI13</f>
        <v>25.285933465392198</v>
      </c>
      <c r="AJ13" s="116">
        <f>'Юнит 1'!AJ13+'Юнит 2'!AJ13+'Юнит 3'!AJ13+'Юнит 4'!AJ13+'Юнит 5'!AJ13</f>
        <v>0</v>
      </c>
      <c r="AK13" s="122">
        <f t="shared" si="16"/>
        <v>37</v>
      </c>
      <c r="AL13" s="123">
        <f t="shared" si="17"/>
        <v>1795.6940665346078</v>
      </c>
      <c r="AM13" s="124"/>
      <c r="AN13" s="125">
        <f t="shared" si="6"/>
        <v>1166</v>
      </c>
      <c r="AO13" s="126">
        <f t="shared" si="7"/>
        <v>169.89</v>
      </c>
      <c r="AP13" s="126">
        <f t="shared" si="8"/>
        <v>424.32749999999999</v>
      </c>
      <c r="AQ13" s="126">
        <f t="shared" si="18"/>
        <v>107.28749999999999</v>
      </c>
      <c r="AR13" s="126">
        <f t="shared" si="19"/>
        <v>0</v>
      </c>
      <c r="AS13" s="126">
        <f t="array" ref="AS13">_xlfn.IFS(S13=0,AL13,S13&lt;0,AL13/-S13,S13&gt;0,AL13/S13)</f>
        <v>448.92351663365196</v>
      </c>
      <c r="AT13" s="121">
        <f t="shared" si="21"/>
        <v>0.38501159231016463</v>
      </c>
      <c r="AU13" s="121">
        <f t="shared" si="22"/>
        <v>2.6424363802086761</v>
      </c>
      <c r="AV13" s="127"/>
      <c r="AW13" s="122">
        <f t="shared" si="11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>'Юнит 5'!E14</f>
        <v>0</v>
      </c>
      <c r="F14" s="119" t="str">
        <f>'Юнит 5'!F14</f>
        <v/>
      </c>
      <c r="G14" s="119">
        <f>'Юнит 5'!G14</f>
        <v>1</v>
      </c>
      <c r="H14" s="119">
        <f>'Юнит 5'!H14</f>
        <v>58</v>
      </c>
      <c r="I14" s="119">
        <v>169.89</v>
      </c>
      <c r="J14" s="119">
        <f t="shared" si="0"/>
        <v>0</v>
      </c>
      <c r="K14" s="116">
        <f>'Юнит 5'!K14</f>
        <v>259</v>
      </c>
      <c r="L14" s="116">
        <f>'Юнит 1'!L14+'Юнит 2'!L14+'Юнит 3'!L14+'Юнит 4'!L14+'Юнит 5'!L14</f>
        <v>10</v>
      </c>
      <c r="M14" s="116">
        <f>'Юнит 1'!M14+'Юнит 2'!M14+'Юнит 3'!M14+'Юнит 4'!M14+'Юнит 5'!M14</f>
        <v>4844</v>
      </c>
      <c r="N14" s="116">
        <f>'Юнит 1'!N14+'Юнит 2'!N14+'Юнит 3'!N14+'Юнит 4'!N14+'Юнит 5'!N14</f>
        <v>250</v>
      </c>
      <c r="O14" s="215">
        <f t="shared" si="1"/>
        <v>1.4285714285714286</v>
      </c>
      <c r="P14" s="119">
        <f t="shared" si="20"/>
        <v>0.8571428571428571</v>
      </c>
      <c r="Q14" s="116">
        <f>'Юнит 1'!Q14+'Юнит 2'!Q14+'Юнит 3'!Q14+'Юнит 4'!Q14+'Юнит 5'!Q14</f>
        <v>6</v>
      </c>
      <c r="R14" s="116">
        <f>'Юнит 1'!R14+'Юнит 2'!R14+'Юнит 3'!R14+'Юнит 4'!R14+'Юнит 5'!R14</f>
        <v>0</v>
      </c>
      <c r="S14" s="119">
        <f t="shared" si="12"/>
        <v>6</v>
      </c>
      <c r="T14" s="116">
        <f>'Юнит 1'!T14+'Юнит 2'!T14+'Юнит 3'!T14+'Юнит 4'!T14+'Юнит 5'!T14</f>
        <v>5086</v>
      </c>
      <c r="U14" s="116">
        <f>'Юнит 1'!U14+'Юнит 2'!U14+'Юнит 3'!U14+'Юнит 4'!U14+'Юнит 5'!U14</f>
        <v>0</v>
      </c>
      <c r="V14" s="119">
        <f t="shared" si="13"/>
        <v>5086</v>
      </c>
      <c r="W14" s="116">
        <f>'Юнит 1'!W14+'Юнит 2'!W14+'Юнит 3'!W14+'Юнит 4'!W14+'Юнит 5'!W14</f>
        <v>7168</v>
      </c>
      <c r="X14" s="116">
        <f>'Юнит 1'!X14+'Юнит 2'!X14+'Юнит 3'!X14+'Юнит 4'!X14+'Юнит 5'!X14</f>
        <v>0</v>
      </c>
      <c r="Y14" s="119">
        <f t="shared" si="3"/>
        <v>7168</v>
      </c>
      <c r="Z14" s="119">
        <f t="shared" si="14"/>
        <v>121100</v>
      </c>
      <c r="AA14" s="121">
        <f t="shared" si="4"/>
        <v>2.4073330427383223E-2</v>
      </c>
      <c r="AB14" s="119">
        <f t="shared" si="15"/>
        <v>1019.3399999999999</v>
      </c>
      <c r="AC14" s="116">
        <f>'Юнит 1'!AC14+'Юнит 2'!AC14+'Юнит 3'!AC14+'Юнит 4'!AC14+'Юнит 5'!AC14</f>
        <v>2604.65</v>
      </c>
      <c r="AD14" s="121">
        <f t="shared" si="5"/>
        <v>0.36337193080357144</v>
      </c>
      <c r="AE14" s="116">
        <f>'Юнит 1'!AE14+'Юнит 2'!AE14+'Юнит 3'!AE14+'Юнит 4'!AE14+'Юнит 5'!AE14</f>
        <v>859.75</v>
      </c>
      <c r="AF14" s="116">
        <f>'Юнит 1'!AF14+'Юнит 2'!AF14+'Юнит 3'!AF14+'Юнит 4'!AF14+'Юнит 5'!AF14</f>
        <v>0</v>
      </c>
      <c r="AG14" s="116">
        <f>'Юнит 1'!AG14+'Юнит 2'!AG14+'Юнит 3'!AG14+'Юнит 4'!AG14+'Юнит 5'!AG14</f>
        <v>0</v>
      </c>
      <c r="AH14" s="116">
        <f>'Юнит 1'!AH14+'Юнит 2'!AH14+'Юнит 3'!AH14+'Юнит 4'!AH14+'Юнит 5'!AH14</f>
        <v>0</v>
      </c>
      <c r="AI14" s="243">
        <f>'Юнит 1'!AI14+'Юнит 2'!AI14+'Юнит 3'!AI14+'Юнит 4'!AI14+'Юнит 5'!AI14</f>
        <v>165.19445673520454</v>
      </c>
      <c r="AJ14" s="116">
        <f>'Юнит 1'!AJ14+'Юнит 2'!AJ14+'Юнит 3'!AJ14+'Юнит 4'!AJ14+'Юнит 5'!AJ14</f>
        <v>0</v>
      </c>
      <c r="AK14" s="122">
        <f t="shared" si="16"/>
        <v>50.86</v>
      </c>
      <c r="AL14" s="123">
        <f t="shared" si="17"/>
        <v>2468.2055432647953</v>
      </c>
      <c r="AM14" s="124"/>
      <c r="AN14" s="125">
        <f t="shared" si="6"/>
        <v>1194.6666666666667</v>
      </c>
      <c r="AO14" s="126">
        <f t="shared" si="7"/>
        <v>169.89</v>
      </c>
      <c r="AP14" s="126">
        <f t="shared" si="8"/>
        <v>434.10833333333335</v>
      </c>
      <c r="AQ14" s="126">
        <f t="shared" si="18"/>
        <v>143.29166666666666</v>
      </c>
      <c r="AR14" s="126">
        <f t="shared" si="19"/>
        <v>0</v>
      </c>
      <c r="AS14" s="126">
        <f t="array" ref="AS14">_xlfn.IFS(S14=0,AL14,S14&lt;0,AL14/-S14,S14&gt;0,AL14/S14)</f>
        <v>411.36759054413255</v>
      </c>
      <c r="AT14" s="121">
        <f t="shared" si="21"/>
        <v>0.34433671083493234</v>
      </c>
      <c r="AU14" s="121">
        <f t="shared" si="22"/>
        <v>2.4213761289312647</v>
      </c>
      <c r="AV14" s="127"/>
      <c r="AW14" s="122">
        <f t="shared" si="11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>'Юнит 5'!E15</f>
        <v>0</v>
      </c>
      <c r="F15" s="119" t="str">
        <f>'Юнит 5'!F15</f>
        <v/>
      </c>
      <c r="G15" s="119" t="str">
        <f>'Юнит 5'!G15</f>
        <v/>
      </c>
      <c r="H15" s="119">
        <f>'Юнит 5'!H15</f>
        <v>34</v>
      </c>
      <c r="I15" s="119">
        <v>169.89</v>
      </c>
      <c r="J15" s="119">
        <f t="shared" si="0"/>
        <v>0</v>
      </c>
      <c r="K15" s="116">
        <f>'Юнит 5'!K15</f>
        <v>524</v>
      </c>
      <c r="L15" s="116">
        <f>'Юнит 1'!L15+'Юнит 2'!L15+'Юнит 3'!L15+'Юнит 4'!L15+'Юнит 5'!L15</f>
        <v>2</v>
      </c>
      <c r="M15" s="116">
        <f>'Юнит 1'!M15+'Юнит 2'!M15+'Юнит 3'!M15+'Юнит 4'!M15+'Юнит 5'!M15</f>
        <v>1204</v>
      </c>
      <c r="N15" s="116">
        <f>'Юнит 1'!N15+'Юнит 2'!N15+'Юнит 3'!N15+'Юнит 4'!N15+'Юнит 5'!N15</f>
        <v>100</v>
      </c>
      <c r="O15" s="215">
        <f t="shared" si="1"/>
        <v>0.2857142857142857</v>
      </c>
      <c r="P15" s="119">
        <f t="shared" si="20"/>
        <v>0.42857142857142855</v>
      </c>
      <c r="Q15" s="116">
        <f>'Юнит 1'!Q15+'Юнит 2'!Q15+'Юнит 3'!Q15+'Юнит 4'!Q15+'Юнит 5'!Q15</f>
        <v>3</v>
      </c>
      <c r="R15" s="116">
        <f>'Юнит 1'!R15+'Юнит 2'!R15+'Юнит 3'!R15+'Юнит 4'!R15+'Юнит 5'!R15</f>
        <v>0</v>
      </c>
      <c r="S15" s="119">
        <f t="shared" si="12"/>
        <v>3</v>
      </c>
      <c r="T15" s="116">
        <f>'Юнит 1'!T15+'Юнит 2'!T15+'Юнит 3'!T15+'Юнит 4'!T15+'Юнит 5'!T15</f>
        <v>2934</v>
      </c>
      <c r="U15" s="116">
        <f>'Юнит 1'!U15+'Юнит 2'!U15+'Юнит 3'!U15+'Юнит 4'!U15+'Юнит 5'!U15</f>
        <v>0</v>
      </c>
      <c r="V15" s="119">
        <f t="shared" si="13"/>
        <v>2934</v>
      </c>
      <c r="W15" s="116">
        <f>'Юнит 1'!W15+'Юнит 2'!W15+'Юнит 3'!W15+'Юнит 4'!W15+'Юнит 5'!W15</f>
        <v>3640</v>
      </c>
      <c r="X15" s="116">
        <f>'Юнит 1'!X15+'Юнит 2'!X15+'Юнит 3'!X15+'Юнит 4'!X15+'Юнит 5'!X15</f>
        <v>0</v>
      </c>
      <c r="Y15" s="119">
        <f t="shared" si="3"/>
        <v>3640</v>
      </c>
      <c r="Z15" s="119">
        <f t="shared" si="14"/>
        <v>2408</v>
      </c>
      <c r="AA15" s="121">
        <f t="shared" si="4"/>
        <v>1.2224738107655543E-2</v>
      </c>
      <c r="AB15" s="119">
        <f t="shared" si="15"/>
        <v>509.66999999999996</v>
      </c>
      <c r="AC15" s="116">
        <f>'Юнит 1'!AC15+'Юнит 2'!AC15+'Юнит 3'!AC15+'Юнит 4'!AC15+'Юнит 5'!AC15</f>
        <v>1318.88</v>
      </c>
      <c r="AD15" s="121">
        <f t="shared" si="5"/>
        <v>0.36232967032967034</v>
      </c>
      <c r="AE15" s="116">
        <f>'Юнит 1'!AE15+'Юнит 2'!AE15+'Юнит 3'!AE15+'Юнит 4'!AE15+'Юнит 5'!AE15</f>
        <v>156.6</v>
      </c>
      <c r="AF15" s="116">
        <f>'Юнит 1'!AF15+'Юнит 2'!AF15+'Юнит 3'!AF15+'Юнит 4'!AF15+'Юнит 5'!AF15</f>
        <v>0</v>
      </c>
      <c r="AG15" s="116">
        <f>'Юнит 1'!AG15+'Юнит 2'!AG15+'Юнит 3'!AG15+'Юнит 4'!AG15+'Юнит 5'!AG15</f>
        <v>0</v>
      </c>
      <c r="AH15" s="116">
        <f>'Юнит 1'!AH15+'Юнит 2'!AH15+'Юнит 3'!AH15+'Юнит 4'!AH15+'Юнит 5'!AH15</f>
        <v>0</v>
      </c>
      <c r="AI15" s="243">
        <f>'Юнит 1'!AI15+'Юнит 2'!AI15+'Юнит 3'!AI15+'Юнит 4'!AI15+'Юнит 5'!AI15</f>
        <v>95.521873227916842</v>
      </c>
      <c r="AJ15" s="116">
        <f>'Юнит 1'!AJ15+'Юнит 2'!AJ15+'Юнит 3'!AJ15+'Юнит 4'!AJ15+'Юнит 5'!AJ15</f>
        <v>0</v>
      </c>
      <c r="AK15" s="122">
        <f t="shared" si="16"/>
        <v>29.34</v>
      </c>
      <c r="AL15" s="123">
        <f t="shared" si="17"/>
        <v>1529.9881267720832</v>
      </c>
      <c r="AM15" s="124"/>
      <c r="AN15" s="125">
        <f t="shared" si="6"/>
        <v>1213.3333333333333</v>
      </c>
      <c r="AO15" s="126">
        <f t="shared" si="7"/>
        <v>169.89</v>
      </c>
      <c r="AP15" s="126">
        <f t="shared" si="8"/>
        <v>439.62666666666672</v>
      </c>
      <c r="AQ15" s="126">
        <f t="shared" si="18"/>
        <v>52.199999999999996</v>
      </c>
      <c r="AR15" s="126">
        <f t="shared" si="19"/>
        <v>0</v>
      </c>
      <c r="AS15" s="126">
        <f t="array" ref="AS15">_xlfn.IFS(S15=0,AL15,S15&lt;0,AL15/-S15,S15&gt;0,AL15/S15)</f>
        <v>509.99604225736107</v>
      </c>
      <c r="AT15" s="121">
        <f t="shared" si="21"/>
        <v>0.42032640845386904</v>
      </c>
      <c r="AU15" s="121">
        <f t="shared" si="22"/>
        <v>3.0019191374263414</v>
      </c>
      <c r="AV15" s="127"/>
      <c r="AW15" s="122">
        <f t="shared" si="11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3">AVERAGE(AN3:AN6)</f>
        <v>1030.3347419354839</v>
      </c>
      <c r="AO16" s="140">
        <f t="shared" si="23"/>
        <v>128.0625</v>
      </c>
      <c r="AP16" s="140">
        <f t="shared" si="23"/>
        <v>323.22765322580642</v>
      </c>
      <c r="AQ16" s="140">
        <f t="shared" si="23"/>
        <v>102.08058593750002</v>
      </c>
      <c r="AR16" s="140">
        <f t="shared" si="23"/>
        <v>311.00312500000001</v>
      </c>
      <c r="AS16" s="140">
        <f t="shared" si="23"/>
        <v>55.498178688171492</v>
      </c>
      <c r="AT16" s="141">
        <f t="shared" si="23"/>
        <v>1.195108561091375E-2</v>
      </c>
      <c r="AU16" s="140">
        <f t="shared" si="23"/>
        <v>0.38694061890405607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4">SUM(E3:E15)</f>
        <v>0</v>
      </c>
      <c r="F17" s="145">
        <f t="shared" si="24"/>
        <v>99</v>
      </c>
      <c r="G17" s="145">
        <f t="shared" si="24"/>
        <v>19</v>
      </c>
      <c r="H17" s="145">
        <f>SUM(H3:H15)</f>
        <v>2126</v>
      </c>
      <c r="I17" s="145"/>
      <c r="J17" s="145">
        <f>SUM(J3:J15)</f>
        <v>0</v>
      </c>
      <c r="K17" s="145"/>
      <c r="L17" s="145">
        <f>SUM(L3:L15)</f>
        <v>457</v>
      </c>
      <c r="M17" s="145"/>
      <c r="N17" s="145"/>
      <c r="O17" s="145"/>
      <c r="P17" s="145"/>
      <c r="Q17" s="145">
        <f>SUM(Q3:Q15)</f>
        <v>256</v>
      </c>
      <c r="R17" s="145">
        <f t="shared" ref="R17:Z17" si="25">SUM(R3:R15)</f>
        <v>-5</v>
      </c>
      <c r="S17" s="145">
        <f t="shared" si="25"/>
        <v>251</v>
      </c>
      <c r="T17" s="145">
        <f t="shared" si="25"/>
        <v>233222.72</v>
      </c>
      <c r="U17" s="145">
        <f t="shared" si="25"/>
        <v>-4580</v>
      </c>
      <c r="V17" s="145">
        <f t="shared" si="25"/>
        <v>228642.71999999997</v>
      </c>
      <c r="W17" s="145">
        <f t="shared" si="25"/>
        <v>303779.89</v>
      </c>
      <c r="X17" s="145">
        <f t="shared" si="25"/>
        <v>-6023</v>
      </c>
      <c r="Y17" s="145">
        <f t="shared" si="25"/>
        <v>297756.89</v>
      </c>
      <c r="Z17" s="145">
        <f t="shared" si="25"/>
        <v>8198527.6300000008</v>
      </c>
      <c r="AA17" s="146">
        <f>SUM(AA3:AA15)</f>
        <v>1</v>
      </c>
      <c r="AB17" s="147">
        <f>SUM(AB3:AB15)</f>
        <v>34328.369999999988</v>
      </c>
      <c r="AC17" s="147">
        <f>SUM(AC3:AC15)</f>
        <v>106888.70000000001</v>
      </c>
      <c r="AD17" s="146">
        <f>AC17/Y17</f>
        <v>0.35897977037575857</v>
      </c>
      <c r="AE17" s="145">
        <f>SUM(AE3:AE15)</f>
        <v>30976.05</v>
      </c>
      <c r="AF17" s="145">
        <f t="shared" ref="AF17:AL17" si="26">SUM(AF3:AF15)</f>
        <v>22451</v>
      </c>
      <c r="AG17" s="145">
        <f t="shared" si="26"/>
        <v>26323</v>
      </c>
      <c r="AH17" s="145">
        <f t="shared" si="26"/>
        <v>0</v>
      </c>
      <c r="AI17" s="145">
        <f>SUM(AI3:AI15)</f>
        <v>6310.98</v>
      </c>
      <c r="AJ17" s="145">
        <f>SUM(AJ3:AJ15)</f>
        <v>0</v>
      </c>
      <c r="AK17" s="145">
        <f t="shared" si="26"/>
        <v>2286.4272000000001</v>
      </c>
      <c r="AL17" s="145">
        <f t="shared" si="26"/>
        <v>68192.362799999988</v>
      </c>
      <c r="AM17" s="148"/>
      <c r="AN17" s="145"/>
      <c r="AO17" s="145"/>
      <c r="AP17" s="145"/>
      <c r="AQ17" s="145"/>
      <c r="AR17" s="145">
        <f>(AF17+AG17)/Q17</f>
        <v>190.5234375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238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7">SUM(F19:H19)</f>
        <v>0</v>
      </c>
      <c r="F19" s="119"/>
      <c r="G19" s="119"/>
      <c r="H19" s="119"/>
      <c r="I19" s="119"/>
      <c r="J19" s="119">
        <f t="shared" ref="J19:J70" si="28">E19*I19</f>
        <v>0</v>
      </c>
      <c r="K19" s="116"/>
      <c r="L19" s="116"/>
      <c r="M19" s="116"/>
      <c r="N19" s="116"/>
      <c r="O19" s="119">
        <f t="shared" ref="O19:O70" si="29">L19/7</f>
        <v>0</v>
      </c>
      <c r="P19" s="119">
        <f t="shared" ref="P19:P70" si="30">S19/7</f>
        <v>0</v>
      </c>
      <c r="Q19" s="120"/>
      <c r="R19" s="120"/>
      <c r="S19" s="119">
        <f t="shared" ref="S19:S70" si="31">Q19+R19</f>
        <v>0</v>
      </c>
      <c r="T19" s="119"/>
      <c r="U19" s="119"/>
      <c r="V19" s="119">
        <f t="shared" ref="V19:V70" si="32">T19+U19</f>
        <v>0</v>
      </c>
      <c r="W19" s="120"/>
      <c r="X19" s="120"/>
      <c r="Y19" s="119">
        <f t="shared" ref="Y19:Y70" si="33">W19+X19</f>
        <v>0</v>
      </c>
      <c r="Z19" s="119">
        <f t="shared" ref="Z19:Z65" si="34">L19*M19*N19/100</f>
        <v>0</v>
      </c>
      <c r="AA19" s="121">
        <f>Y19/$Y$74</f>
        <v>0</v>
      </c>
      <c r="AB19" s="119">
        <f t="shared" ref="AB19:AB70" si="35">S19*I19</f>
        <v>0</v>
      </c>
      <c r="AC19" s="120"/>
      <c r="AD19" s="121">
        <f t="shared" ref="AD19:AD70" si="36">IF(Y19=0,0,AC19/Y19)</f>
        <v>0</v>
      </c>
      <c r="AE19" s="120"/>
      <c r="AF19" s="120"/>
      <c r="AG19" s="120"/>
      <c r="AH19" s="120"/>
      <c r="AI19" s="243"/>
      <c r="AJ19" s="120"/>
      <c r="AK19" s="122">
        <f t="shared" ref="AK19:AK70" si="37">V19*1%</f>
        <v>0</v>
      </c>
      <c r="AL19" s="123">
        <f t="shared" ref="AL19:AL70" si="38">Y19-AB19-AC19-AE19-AF19-AG19-AH19-AI19-AK19-AJ19</f>
        <v>0</v>
      </c>
      <c r="AM19" s="124"/>
      <c r="AN19" s="125">
        <f t="shared" ref="AN19:AN70" si="39">IF(S19=0,0,Y19/S19)</f>
        <v>0</v>
      </c>
      <c r="AO19" s="126">
        <f t="shared" ref="AO19:AO70" si="40">I19</f>
        <v>0</v>
      </c>
      <c r="AP19" s="126">
        <f t="shared" ref="AP19:AP70" si="41">IF(S19=0,0,AC19/S19)</f>
        <v>0</v>
      </c>
      <c r="AQ19" s="126">
        <f t="shared" ref="AQ19:AQ70" si="42">IF(Q19=0,AE19/1,AE19/Q19)</f>
        <v>0</v>
      </c>
      <c r="AR19" s="126">
        <f t="shared" ref="AR19:AR70" si="43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4">IF(AN19=0,0,AS19/AN19)</f>
        <v>0</v>
      </c>
      <c r="AU19" s="121">
        <f t="shared" ref="AU19:AU70" si="45">IF(AO19=0,0,AS19/AO19)</f>
        <v>0</v>
      </c>
      <c r="AV19" s="127"/>
      <c r="AW19" s="122">
        <f t="shared" ref="AW19:AW70" si="46">AS19*E19</f>
        <v>0</v>
      </c>
    </row>
    <row r="20" spans="1:49" hidden="1" outlineLevel="1">
      <c r="A20" s="116"/>
      <c r="B20" s="117"/>
      <c r="C20" s="117"/>
      <c r="D20" s="118"/>
      <c r="E20" s="119">
        <f t="shared" si="27"/>
        <v>0</v>
      </c>
      <c r="F20" s="119"/>
      <c r="G20" s="119"/>
      <c r="H20" s="119"/>
      <c r="I20" s="119"/>
      <c r="J20" s="119">
        <f t="shared" si="28"/>
        <v>0</v>
      </c>
      <c r="K20" s="116"/>
      <c r="L20" s="116"/>
      <c r="M20" s="116"/>
      <c r="N20" s="116"/>
      <c r="O20" s="119">
        <f t="shared" si="29"/>
        <v>0</v>
      </c>
      <c r="P20" s="119">
        <f t="shared" si="30"/>
        <v>0</v>
      </c>
      <c r="Q20" s="120"/>
      <c r="R20" s="120"/>
      <c r="S20" s="119">
        <f t="shared" si="31"/>
        <v>0</v>
      </c>
      <c r="T20" s="119"/>
      <c r="U20" s="119"/>
      <c r="V20" s="119">
        <f t="shared" si="32"/>
        <v>0</v>
      </c>
      <c r="W20" s="120"/>
      <c r="X20" s="120"/>
      <c r="Y20" s="119">
        <f t="shared" si="33"/>
        <v>0</v>
      </c>
      <c r="Z20" s="119">
        <f t="shared" si="34"/>
        <v>0</v>
      </c>
      <c r="AA20" s="121">
        <f t="shared" ref="AA20:AA70" si="47">Y20/$Y$74</f>
        <v>0</v>
      </c>
      <c r="AB20" s="119">
        <f t="shared" si="35"/>
        <v>0</v>
      </c>
      <c r="AC20" s="120"/>
      <c r="AD20" s="121">
        <f t="shared" si="36"/>
        <v>0</v>
      </c>
      <c r="AE20" s="120"/>
      <c r="AF20" s="120"/>
      <c r="AG20" s="120"/>
      <c r="AH20" s="120"/>
      <c r="AI20" s="243"/>
      <c r="AJ20" s="120"/>
      <c r="AK20" s="122">
        <f t="shared" si="37"/>
        <v>0</v>
      </c>
      <c r="AL20" s="123">
        <f t="shared" si="38"/>
        <v>0</v>
      </c>
      <c r="AM20" s="124"/>
      <c r="AN20" s="125">
        <f t="shared" si="39"/>
        <v>0</v>
      </c>
      <c r="AO20" s="126">
        <f t="shared" si="40"/>
        <v>0</v>
      </c>
      <c r="AP20" s="126">
        <f t="shared" si="41"/>
        <v>0</v>
      </c>
      <c r="AQ20" s="126">
        <f t="shared" si="42"/>
        <v>0</v>
      </c>
      <c r="AR20" s="126">
        <f t="shared" si="43"/>
        <v>0</v>
      </c>
      <c r="AS20" s="126">
        <f t="array" ref="AS20">_xlfn.IFS(S20=0,AL20,S20&lt;0,AL20/-S20,S20&gt;0,AL20/S20)</f>
        <v>0</v>
      </c>
      <c r="AT20" s="121">
        <f t="shared" si="44"/>
        <v>0</v>
      </c>
      <c r="AU20" s="121">
        <f t="shared" si="45"/>
        <v>0</v>
      </c>
      <c r="AV20" s="127"/>
      <c r="AW20" s="122">
        <f t="shared" si="46"/>
        <v>0</v>
      </c>
    </row>
    <row r="21" spans="1:49" hidden="1" outlineLevel="1">
      <c r="A21" s="116"/>
      <c r="B21" s="117"/>
      <c r="C21" s="117"/>
      <c r="D21" s="118"/>
      <c r="E21" s="119">
        <f t="shared" si="27"/>
        <v>0</v>
      </c>
      <c r="F21" s="119"/>
      <c r="G21" s="119"/>
      <c r="H21" s="119"/>
      <c r="I21" s="119"/>
      <c r="J21" s="119">
        <f t="shared" si="28"/>
        <v>0</v>
      </c>
      <c r="K21" s="116"/>
      <c r="L21" s="116"/>
      <c r="M21" s="116"/>
      <c r="N21" s="116"/>
      <c r="O21" s="119">
        <f t="shared" si="29"/>
        <v>0</v>
      </c>
      <c r="P21" s="119">
        <f t="shared" si="30"/>
        <v>0</v>
      </c>
      <c r="Q21" s="120"/>
      <c r="R21" s="120"/>
      <c r="S21" s="119">
        <f t="shared" si="31"/>
        <v>0</v>
      </c>
      <c r="T21" s="119"/>
      <c r="U21" s="119"/>
      <c r="V21" s="119">
        <f t="shared" si="32"/>
        <v>0</v>
      </c>
      <c r="W21" s="120"/>
      <c r="X21" s="120"/>
      <c r="Y21" s="119">
        <f t="shared" si="33"/>
        <v>0</v>
      </c>
      <c r="Z21" s="119">
        <f t="shared" si="34"/>
        <v>0</v>
      </c>
      <c r="AA21" s="121">
        <f t="shared" si="47"/>
        <v>0</v>
      </c>
      <c r="AB21" s="119">
        <f t="shared" si="35"/>
        <v>0</v>
      </c>
      <c r="AC21" s="120"/>
      <c r="AD21" s="121">
        <f t="shared" si="36"/>
        <v>0</v>
      </c>
      <c r="AE21" s="120"/>
      <c r="AF21" s="120"/>
      <c r="AG21" s="120"/>
      <c r="AH21" s="120"/>
      <c r="AI21" s="243"/>
      <c r="AJ21" s="120"/>
      <c r="AK21" s="122">
        <f t="shared" si="37"/>
        <v>0</v>
      </c>
      <c r="AL21" s="123">
        <f t="shared" si="38"/>
        <v>0</v>
      </c>
      <c r="AM21" s="124"/>
      <c r="AN21" s="125">
        <f t="shared" si="39"/>
        <v>0</v>
      </c>
      <c r="AO21" s="126">
        <f t="shared" si="40"/>
        <v>0</v>
      </c>
      <c r="AP21" s="126">
        <f t="shared" si="41"/>
        <v>0</v>
      </c>
      <c r="AQ21" s="126">
        <f t="shared" si="42"/>
        <v>0</v>
      </c>
      <c r="AR21" s="126">
        <f t="shared" si="43"/>
        <v>0</v>
      </c>
      <c r="AS21" s="126">
        <f t="array" ref="AS21">_xlfn.IFS(S21=0,AL21,S21&lt;0,AL21/-S21,S21&gt;0,AL21/S21)</f>
        <v>0</v>
      </c>
      <c r="AT21" s="121">
        <f t="shared" si="44"/>
        <v>0</v>
      </c>
      <c r="AU21" s="121">
        <f t="shared" si="45"/>
        <v>0</v>
      </c>
      <c r="AV21" s="127"/>
      <c r="AW21" s="122">
        <f t="shared" si="46"/>
        <v>0</v>
      </c>
    </row>
    <row r="22" spans="1:49" hidden="1" outlineLevel="1">
      <c r="A22" s="116"/>
      <c r="B22" s="117"/>
      <c r="C22" s="117"/>
      <c r="D22" s="118"/>
      <c r="E22" s="119">
        <f t="shared" si="27"/>
        <v>0</v>
      </c>
      <c r="F22" s="119"/>
      <c r="G22" s="119"/>
      <c r="H22" s="119"/>
      <c r="I22" s="119"/>
      <c r="J22" s="119">
        <f t="shared" si="28"/>
        <v>0</v>
      </c>
      <c r="K22" s="116"/>
      <c r="L22" s="116"/>
      <c r="M22" s="116"/>
      <c r="N22" s="116"/>
      <c r="O22" s="119">
        <f t="shared" si="29"/>
        <v>0</v>
      </c>
      <c r="P22" s="119">
        <f t="shared" si="30"/>
        <v>0</v>
      </c>
      <c r="Q22" s="120"/>
      <c r="R22" s="120"/>
      <c r="S22" s="119">
        <f t="shared" si="31"/>
        <v>0</v>
      </c>
      <c r="T22" s="119"/>
      <c r="U22" s="119"/>
      <c r="V22" s="119">
        <f t="shared" si="32"/>
        <v>0</v>
      </c>
      <c r="W22" s="120"/>
      <c r="X22" s="120"/>
      <c r="Y22" s="119">
        <f t="shared" si="33"/>
        <v>0</v>
      </c>
      <c r="Z22" s="119">
        <f t="shared" si="34"/>
        <v>0</v>
      </c>
      <c r="AA22" s="121">
        <f t="shared" si="47"/>
        <v>0</v>
      </c>
      <c r="AB22" s="119">
        <f t="shared" si="35"/>
        <v>0</v>
      </c>
      <c r="AC22" s="120"/>
      <c r="AD22" s="121">
        <f t="shared" si="36"/>
        <v>0</v>
      </c>
      <c r="AE22" s="120"/>
      <c r="AF22" s="120"/>
      <c r="AG22" s="120"/>
      <c r="AH22" s="120"/>
      <c r="AI22" s="243"/>
      <c r="AJ22" s="120"/>
      <c r="AK22" s="122">
        <f t="shared" si="37"/>
        <v>0</v>
      </c>
      <c r="AL22" s="123">
        <f t="shared" si="38"/>
        <v>0</v>
      </c>
      <c r="AM22" s="124"/>
      <c r="AN22" s="125">
        <f t="shared" si="39"/>
        <v>0</v>
      </c>
      <c r="AO22" s="126">
        <f t="shared" si="40"/>
        <v>0</v>
      </c>
      <c r="AP22" s="126">
        <f t="shared" si="41"/>
        <v>0</v>
      </c>
      <c r="AQ22" s="126">
        <f t="shared" si="42"/>
        <v>0</v>
      </c>
      <c r="AR22" s="126">
        <f t="shared" si="43"/>
        <v>0</v>
      </c>
      <c r="AS22" s="126">
        <f t="array" ref="AS22">_xlfn.IFS(S22=0,AL22,S22&lt;0,AL22/-S22,S22&gt;0,AL22/S22)</f>
        <v>0</v>
      </c>
      <c r="AT22" s="121">
        <f t="shared" si="44"/>
        <v>0</v>
      </c>
      <c r="AU22" s="121">
        <f t="shared" si="45"/>
        <v>0</v>
      </c>
      <c r="AV22" s="127"/>
      <c r="AW22" s="122">
        <f t="shared" si="46"/>
        <v>0</v>
      </c>
    </row>
    <row r="23" spans="1:49" hidden="1" outlineLevel="1">
      <c r="A23" s="116"/>
      <c r="B23" s="117"/>
      <c r="C23" s="117"/>
      <c r="D23" s="118"/>
      <c r="E23" s="119">
        <f t="shared" si="27"/>
        <v>0</v>
      </c>
      <c r="F23" s="119"/>
      <c r="G23" s="119"/>
      <c r="H23" s="119"/>
      <c r="I23" s="119"/>
      <c r="J23" s="119">
        <f t="shared" si="28"/>
        <v>0</v>
      </c>
      <c r="K23" s="116"/>
      <c r="L23" s="116"/>
      <c r="M23" s="116"/>
      <c r="N23" s="116"/>
      <c r="O23" s="119">
        <f t="shared" si="29"/>
        <v>0</v>
      </c>
      <c r="P23" s="119">
        <f t="shared" si="30"/>
        <v>0</v>
      </c>
      <c r="Q23" s="120"/>
      <c r="R23" s="120"/>
      <c r="S23" s="119">
        <f t="shared" si="31"/>
        <v>0</v>
      </c>
      <c r="T23" s="119"/>
      <c r="U23" s="119"/>
      <c r="V23" s="119">
        <f t="shared" si="32"/>
        <v>0</v>
      </c>
      <c r="W23" s="120"/>
      <c r="X23" s="120"/>
      <c r="Y23" s="119">
        <f t="shared" si="33"/>
        <v>0</v>
      </c>
      <c r="Z23" s="119">
        <f t="shared" si="34"/>
        <v>0</v>
      </c>
      <c r="AA23" s="121">
        <f t="shared" si="47"/>
        <v>0</v>
      </c>
      <c r="AB23" s="119">
        <f t="shared" si="35"/>
        <v>0</v>
      </c>
      <c r="AC23" s="120"/>
      <c r="AD23" s="121">
        <f t="shared" si="36"/>
        <v>0</v>
      </c>
      <c r="AE23" s="120"/>
      <c r="AF23" s="120"/>
      <c r="AG23" s="120"/>
      <c r="AH23" s="120"/>
      <c r="AI23" s="243"/>
      <c r="AJ23" s="120"/>
      <c r="AK23" s="122">
        <f t="shared" si="37"/>
        <v>0</v>
      </c>
      <c r="AL23" s="123">
        <f t="shared" si="38"/>
        <v>0</v>
      </c>
      <c r="AM23" s="124"/>
      <c r="AN23" s="125">
        <f t="shared" si="39"/>
        <v>0</v>
      </c>
      <c r="AO23" s="126">
        <f t="shared" si="40"/>
        <v>0</v>
      </c>
      <c r="AP23" s="126">
        <f t="shared" si="41"/>
        <v>0</v>
      </c>
      <c r="AQ23" s="126">
        <f t="shared" si="42"/>
        <v>0</v>
      </c>
      <c r="AR23" s="126">
        <f t="shared" si="43"/>
        <v>0</v>
      </c>
      <c r="AS23" s="126">
        <f t="array" ref="AS23">_xlfn.IFS(S23=0,AL23,S23&lt;0,AL23/-S23,S23&gt;0,AL23/S23)</f>
        <v>0</v>
      </c>
      <c r="AT23" s="121">
        <f t="shared" si="44"/>
        <v>0</v>
      </c>
      <c r="AU23" s="121">
        <f t="shared" si="45"/>
        <v>0</v>
      </c>
      <c r="AV23" s="127"/>
      <c r="AW23" s="122">
        <f t="shared" si="46"/>
        <v>0</v>
      </c>
    </row>
    <row r="24" spans="1:49" hidden="1" outlineLevel="1">
      <c r="A24" s="116"/>
      <c r="B24" s="117"/>
      <c r="C24" s="117"/>
      <c r="D24" s="118"/>
      <c r="E24" s="119">
        <f t="shared" si="27"/>
        <v>0</v>
      </c>
      <c r="F24" s="119"/>
      <c r="G24" s="119"/>
      <c r="H24" s="119"/>
      <c r="I24" s="119"/>
      <c r="J24" s="119">
        <f t="shared" si="28"/>
        <v>0</v>
      </c>
      <c r="K24" s="116"/>
      <c r="L24" s="116"/>
      <c r="M24" s="116"/>
      <c r="N24" s="116"/>
      <c r="O24" s="119">
        <f t="shared" si="29"/>
        <v>0</v>
      </c>
      <c r="P24" s="119">
        <f t="shared" si="30"/>
        <v>0</v>
      </c>
      <c r="Q24" s="120"/>
      <c r="R24" s="120"/>
      <c r="S24" s="119">
        <f t="shared" si="31"/>
        <v>0</v>
      </c>
      <c r="T24" s="119"/>
      <c r="U24" s="119"/>
      <c r="V24" s="119">
        <f t="shared" si="32"/>
        <v>0</v>
      </c>
      <c r="W24" s="120"/>
      <c r="X24" s="120"/>
      <c r="Y24" s="119">
        <f t="shared" si="33"/>
        <v>0</v>
      </c>
      <c r="Z24" s="119">
        <f t="shared" si="34"/>
        <v>0</v>
      </c>
      <c r="AA24" s="121">
        <f t="shared" si="47"/>
        <v>0</v>
      </c>
      <c r="AB24" s="119">
        <f t="shared" si="35"/>
        <v>0</v>
      </c>
      <c r="AC24" s="120"/>
      <c r="AD24" s="121">
        <f t="shared" si="36"/>
        <v>0</v>
      </c>
      <c r="AE24" s="120"/>
      <c r="AF24" s="120"/>
      <c r="AG24" s="120"/>
      <c r="AH24" s="120"/>
      <c r="AI24" s="243"/>
      <c r="AJ24" s="120"/>
      <c r="AK24" s="122">
        <f t="shared" si="37"/>
        <v>0</v>
      </c>
      <c r="AL24" s="123">
        <f t="shared" si="38"/>
        <v>0</v>
      </c>
      <c r="AM24" s="124"/>
      <c r="AN24" s="125">
        <f t="shared" si="39"/>
        <v>0</v>
      </c>
      <c r="AO24" s="126">
        <f t="shared" si="40"/>
        <v>0</v>
      </c>
      <c r="AP24" s="126">
        <f t="shared" si="41"/>
        <v>0</v>
      </c>
      <c r="AQ24" s="126">
        <f t="shared" si="42"/>
        <v>0</v>
      </c>
      <c r="AR24" s="126">
        <f t="shared" si="43"/>
        <v>0</v>
      </c>
      <c r="AS24" s="126">
        <f t="array" ref="AS24">_xlfn.IFS(S24=0,AL24,S24&lt;0,AL24/-S24,S24&gt;0,AL24/S24)</f>
        <v>0</v>
      </c>
      <c r="AT24" s="121">
        <f t="shared" si="44"/>
        <v>0</v>
      </c>
      <c r="AU24" s="121">
        <f t="shared" si="45"/>
        <v>0</v>
      </c>
      <c r="AV24" s="127"/>
      <c r="AW24" s="122">
        <f t="shared" si="46"/>
        <v>0</v>
      </c>
    </row>
    <row r="25" spans="1:49" hidden="1" outlineLevel="1">
      <c r="A25" s="116"/>
      <c r="B25" s="117"/>
      <c r="C25" s="117"/>
      <c r="D25" s="118"/>
      <c r="E25" s="119">
        <f t="shared" si="27"/>
        <v>0</v>
      </c>
      <c r="F25" s="119"/>
      <c r="G25" s="119"/>
      <c r="H25" s="119"/>
      <c r="I25" s="119"/>
      <c r="J25" s="119">
        <f t="shared" si="28"/>
        <v>0</v>
      </c>
      <c r="K25" s="116"/>
      <c r="L25" s="116"/>
      <c r="M25" s="116"/>
      <c r="N25" s="116"/>
      <c r="O25" s="119">
        <f t="shared" si="29"/>
        <v>0</v>
      </c>
      <c r="P25" s="119">
        <f t="shared" si="30"/>
        <v>0</v>
      </c>
      <c r="Q25" s="120"/>
      <c r="R25" s="120"/>
      <c r="S25" s="119">
        <f t="shared" si="31"/>
        <v>0</v>
      </c>
      <c r="T25" s="119"/>
      <c r="U25" s="119"/>
      <c r="V25" s="119">
        <f t="shared" si="32"/>
        <v>0</v>
      </c>
      <c r="W25" s="120"/>
      <c r="X25" s="120"/>
      <c r="Y25" s="119">
        <f t="shared" si="33"/>
        <v>0</v>
      </c>
      <c r="Z25" s="119">
        <f t="shared" si="34"/>
        <v>0</v>
      </c>
      <c r="AA25" s="121">
        <f t="shared" si="47"/>
        <v>0</v>
      </c>
      <c r="AB25" s="119">
        <f t="shared" si="35"/>
        <v>0</v>
      </c>
      <c r="AC25" s="120"/>
      <c r="AD25" s="121">
        <f t="shared" si="36"/>
        <v>0</v>
      </c>
      <c r="AE25" s="120"/>
      <c r="AF25" s="120"/>
      <c r="AG25" s="120"/>
      <c r="AH25" s="120"/>
      <c r="AI25" s="243"/>
      <c r="AJ25" s="120"/>
      <c r="AK25" s="122">
        <f t="shared" si="37"/>
        <v>0</v>
      </c>
      <c r="AL25" s="123">
        <f t="shared" si="38"/>
        <v>0</v>
      </c>
      <c r="AM25" s="124"/>
      <c r="AN25" s="125">
        <f t="shared" si="39"/>
        <v>0</v>
      </c>
      <c r="AO25" s="126">
        <f t="shared" si="40"/>
        <v>0</v>
      </c>
      <c r="AP25" s="126">
        <f t="shared" si="41"/>
        <v>0</v>
      </c>
      <c r="AQ25" s="126">
        <f t="shared" si="42"/>
        <v>0</v>
      </c>
      <c r="AR25" s="126">
        <f t="shared" si="43"/>
        <v>0</v>
      </c>
      <c r="AS25" s="126">
        <f t="array" ref="AS25">_xlfn.IFS(S25=0,AL25,S25&lt;0,AL25/-S25,S25&gt;0,AL25/S25)</f>
        <v>0</v>
      </c>
      <c r="AT25" s="121">
        <f t="shared" si="44"/>
        <v>0</v>
      </c>
      <c r="AU25" s="121">
        <f t="shared" si="45"/>
        <v>0</v>
      </c>
      <c r="AV25" s="127"/>
      <c r="AW25" s="122">
        <f t="shared" si="46"/>
        <v>0</v>
      </c>
    </row>
    <row r="26" spans="1:49" hidden="1" outlineLevel="1">
      <c r="A26" s="116"/>
      <c r="B26" s="117"/>
      <c r="C26" s="117"/>
      <c r="D26" s="118"/>
      <c r="E26" s="119">
        <f t="shared" si="27"/>
        <v>0</v>
      </c>
      <c r="F26" s="119"/>
      <c r="G26" s="119"/>
      <c r="H26" s="119"/>
      <c r="I26" s="119"/>
      <c r="J26" s="119">
        <f t="shared" si="28"/>
        <v>0</v>
      </c>
      <c r="K26" s="116"/>
      <c r="L26" s="116"/>
      <c r="M26" s="116"/>
      <c r="N26" s="116"/>
      <c r="O26" s="119">
        <f t="shared" si="29"/>
        <v>0</v>
      </c>
      <c r="P26" s="119">
        <f t="shared" si="30"/>
        <v>0</v>
      </c>
      <c r="Q26" s="120"/>
      <c r="R26" s="120"/>
      <c r="S26" s="119">
        <f t="shared" si="31"/>
        <v>0</v>
      </c>
      <c r="T26" s="119"/>
      <c r="U26" s="119"/>
      <c r="V26" s="119">
        <f t="shared" si="32"/>
        <v>0</v>
      </c>
      <c r="W26" s="120"/>
      <c r="X26" s="120"/>
      <c r="Y26" s="119">
        <f t="shared" si="33"/>
        <v>0</v>
      </c>
      <c r="Z26" s="119">
        <f t="shared" si="34"/>
        <v>0</v>
      </c>
      <c r="AA26" s="121">
        <f t="shared" si="47"/>
        <v>0</v>
      </c>
      <c r="AB26" s="119">
        <f t="shared" si="35"/>
        <v>0</v>
      </c>
      <c r="AC26" s="120"/>
      <c r="AD26" s="121">
        <f t="shared" si="36"/>
        <v>0</v>
      </c>
      <c r="AE26" s="120"/>
      <c r="AF26" s="120"/>
      <c r="AG26" s="120"/>
      <c r="AH26" s="120"/>
      <c r="AI26" s="243"/>
      <c r="AJ26" s="120"/>
      <c r="AK26" s="122">
        <f t="shared" si="37"/>
        <v>0</v>
      </c>
      <c r="AL26" s="123">
        <f t="shared" si="38"/>
        <v>0</v>
      </c>
      <c r="AM26" s="124"/>
      <c r="AN26" s="125">
        <f t="shared" si="39"/>
        <v>0</v>
      </c>
      <c r="AO26" s="126">
        <f t="shared" si="40"/>
        <v>0</v>
      </c>
      <c r="AP26" s="126">
        <f t="shared" si="41"/>
        <v>0</v>
      </c>
      <c r="AQ26" s="126">
        <f t="shared" si="42"/>
        <v>0</v>
      </c>
      <c r="AR26" s="126">
        <f t="shared" si="43"/>
        <v>0</v>
      </c>
      <c r="AS26" s="126">
        <f t="array" ref="AS26">_xlfn.IFS(S26=0,AL26,S26&lt;0,AL26/-S26,S26&gt;0,AL26/S26)</f>
        <v>0</v>
      </c>
      <c r="AT26" s="121">
        <f t="shared" si="44"/>
        <v>0</v>
      </c>
      <c r="AU26" s="121">
        <f t="shared" si="45"/>
        <v>0</v>
      </c>
      <c r="AV26" s="127"/>
      <c r="AW26" s="122">
        <f t="shared" si="46"/>
        <v>0</v>
      </c>
    </row>
    <row r="27" spans="1:49" hidden="1" outlineLevel="1">
      <c r="A27" s="116"/>
      <c r="B27" s="117"/>
      <c r="C27" s="117"/>
      <c r="D27" s="118"/>
      <c r="E27" s="119">
        <f t="shared" si="27"/>
        <v>0</v>
      </c>
      <c r="F27" s="119"/>
      <c r="G27" s="119"/>
      <c r="H27" s="119"/>
      <c r="I27" s="119"/>
      <c r="J27" s="119">
        <f t="shared" si="28"/>
        <v>0</v>
      </c>
      <c r="K27" s="116"/>
      <c r="L27" s="116"/>
      <c r="M27" s="116"/>
      <c r="N27" s="116"/>
      <c r="O27" s="119">
        <f t="shared" si="29"/>
        <v>0</v>
      </c>
      <c r="P27" s="119">
        <f t="shared" si="30"/>
        <v>0</v>
      </c>
      <c r="Q27" s="120"/>
      <c r="R27" s="120"/>
      <c r="S27" s="119">
        <f t="shared" si="31"/>
        <v>0</v>
      </c>
      <c r="T27" s="119"/>
      <c r="U27" s="119"/>
      <c r="V27" s="119">
        <f t="shared" si="32"/>
        <v>0</v>
      </c>
      <c r="W27" s="120"/>
      <c r="X27" s="120"/>
      <c r="Y27" s="119">
        <f t="shared" si="33"/>
        <v>0</v>
      </c>
      <c r="Z27" s="119">
        <f t="shared" si="34"/>
        <v>0</v>
      </c>
      <c r="AA27" s="121">
        <f t="shared" si="47"/>
        <v>0</v>
      </c>
      <c r="AB27" s="119">
        <f t="shared" si="35"/>
        <v>0</v>
      </c>
      <c r="AC27" s="120"/>
      <c r="AD27" s="121">
        <f t="shared" si="36"/>
        <v>0</v>
      </c>
      <c r="AE27" s="120"/>
      <c r="AF27" s="120"/>
      <c r="AG27" s="120"/>
      <c r="AH27" s="120"/>
      <c r="AI27" s="243"/>
      <c r="AJ27" s="120"/>
      <c r="AK27" s="122">
        <f t="shared" si="37"/>
        <v>0</v>
      </c>
      <c r="AL27" s="123">
        <f t="shared" si="38"/>
        <v>0</v>
      </c>
      <c r="AM27" s="124"/>
      <c r="AN27" s="125">
        <f t="shared" si="39"/>
        <v>0</v>
      </c>
      <c r="AO27" s="126">
        <f t="shared" si="40"/>
        <v>0</v>
      </c>
      <c r="AP27" s="126">
        <f t="shared" si="41"/>
        <v>0</v>
      </c>
      <c r="AQ27" s="126">
        <f t="shared" si="42"/>
        <v>0</v>
      </c>
      <c r="AR27" s="126">
        <f t="shared" si="43"/>
        <v>0</v>
      </c>
      <c r="AS27" s="126">
        <f t="array" ref="AS27">_xlfn.IFS(S27=0,AL27,S27&lt;0,AL27/-S27,S27&gt;0,AL27/S27)</f>
        <v>0</v>
      </c>
      <c r="AT27" s="121">
        <f t="shared" si="44"/>
        <v>0</v>
      </c>
      <c r="AU27" s="121">
        <f t="shared" si="45"/>
        <v>0</v>
      </c>
      <c r="AV27" s="127"/>
      <c r="AW27" s="122">
        <f t="shared" si="46"/>
        <v>0</v>
      </c>
    </row>
    <row r="28" spans="1:49" hidden="1" outlineLevel="1">
      <c r="A28" s="116"/>
      <c r="B28" s="117"/>
      <c r="C28" s="117"/>
      <c r="D28" s="118"/>
      <c r="E28" s="119">
        <f t="shared" si="27"/>
        <v>0</v>
      </c>
      <c r="F28" s="119"/>
      <c r="G28" s="119"/>
      <c r="H28" s="119"/>
      <c r="I28" s="119"/>
      <c r="J28" s="119">
        <f t="shared" si="28"/>
        <v>0</v>
      </c>
      <c r="K28" s="116"/>
      <c r="L28" s="116"/>
      <c r="M28" s="116"/>
      <c r="N28" s="116"/>
      <c r="O28" s="119">
        <f t="shared" si="29"/>
        <v>0</v>
      </c>
      <c r="P28" s="119">
        <f t="shared" si="30"/>
        <v>0</v>
      </c>
      <c r="Q28" s="120"/>
      <c r="R28" s="120"/>
      <c r="S28" s="119">
        <f t="shared" si="31"/>
        <v>0</v>
      </c>
      <c r="T28" s="119"/>
      <c r="U28" s="119"/>
      <c r="V28" s="119">
        <f t="shared" si="32"/>
        <v>0</v>
      </c>
      <c r="W28" s="120"/>
      <c r="X28" s="120"/>
      <c r="Y28" s="119">
        <f t="shared" si="33"/>
        <v>0</v>
      </c>
      <c r="Z28" s="119">
        <f t="shared" si="34"/>
        <v>0</v>
      </c>
      <c r="AA28" s="121">
        <f t="shared" si="47"/>
        <v>0</v>
      </c>
      <c r="AB28" s="119">
        <f t="shared" si="35"/>
        <v>0</v>
      </c>
      <c r="AC28" s="120"/>
      <c r="AD28" s="121">
        <f t="shared" si="36"/>
        <v>0</v>
      </c>
      <c r="AE28" s="120"/>
      <c r="AF28" s="120"/>
      <c r="AG28" s="120"/>
      <c r="AH28" s="120"/>
      <c r="AI28" s="243"/>
      <c r="AJ28" s="120"/>
      <c r="AK28" s="122">
        <f t="shared" si="37"/>
        <v>0</v>
      </c>
      <c r="AL28" s="123">
        <f t="shared" si="38"/>
        <v>0</v>
      </c>
      <c r="AM28" s="124"/>
      <c r="AN28" s="125">
        <f t="shared" si="39"/>
        <v>0</v>
      </c>
      <c r="AO28" s="126">
        <f t="shared" si="40"/>
        <v>0</v>
      </c>
      <c r="AP28" s="126">
        <f t="shared" si="41"/>
        <v>0</v>
      </c>
      <c r="AQ28" s="126">
        <f t="shared" si="42"/>
        <v>0</v>
      </c>
      <c r="AR28" s="126">
        <f t="shared" si="43"/>
        <v>0</v>
      </c>
      <c r="AS28" s="126">
        <f t="array" ref="AS28">_xlfn.IFS(S28=0,AL28,S28&lt;0,AL28/-S28,S28&gt;0,AL28/S28)</f>
        <v>0</v>
      </c>
      <c r="AT28" s="121">
        <f t="shared" si="44"/>
        <v>0</v>
      </c>
      <c r="AU28" s="121">
        <f t="shared" si="45"/>
        <v>0</v>
      </c>
      <c r="AV28" s="127"/>
      <c r="AW28" s="122">
        <f t="shared" si="46"/>
        <v>0</v>
      </c>
    </row>
    <row r="29" spans="1:49" hidden="1" outlineLevel="1">
      <c r="A29" s="116"/>
      <c r="B29" s="117"/>
      <c r="C29" s="117"/>
      <c r="D29" s="118"/>
      <c r="E29" s="119">
        <f t="shared" si="27"/>
        <v>0</v>
      </c>
      <c r="F29" s="119"/>
      <c r="G29" s="119"/>
      <c r="H29" s="119"/>
      <c r="I29" s="119"/>
      <c r="J29" s="119">
        <f t="shared" si="28"/>
        <v>0</v>
      </c>
      <c r="K29" s="116"/>
      <c r="L29" s="116"/>
      <c r="M29" s="116"/>
      <c r="N29" s="116"/>
      <c r="O29" s="119">
        <f t="shared" si="29"/>
        <v>0</v>
      </c>
      <c r="P29" s="119">
        <f t="shared" si="30"/>
        <v>0</v>
      </c>
      <c r="Q29" s="120"/>
      <c r="R29" s="120"/>
      <c r="S29" s="119">
        <f t="shared" si="31"/>
        <v>0</v>
      </c>
      <c r="T29" s="119"/>
      <c r="U29" s="119"/>
      <c r="V29" s="119">
        <f t="shared" si="32"/>
        <v>0</v>
      </c>
      <c r="W29" s="120"/>
      <c r="X29" s="120"/>
      <c r="Y29" s="119">
        <f t="shared" si="33"/>
        <v>0</v>
      </c>
      <c r="Z29" s="119">
        <f t="shared" si="34"/>
        <v>0</v>
      </c>
      <c r="AA29" s="121">
        <f t="shared" si="47"/>
        <v>0</v>
      </c>
      <c r="AB29" s="119">
        <f t="shared" si="35"/>
        <v>0</v>
      </c>
      <c r="AC29" s="120"/>
      <c r="AD29" s="121">
        <f t="shared" si="36"/>
        <v>0</v>
      </c>
      <c r="AE29" s="120"/>
      <c r="AF29" s="120"/>
      <c r="AG29" s="120"/>
      <c r="AH29" s="120"/>
      <c r="AI29" s="243"/>
      <c r="AJ29" s="120"/>
      <c r="AK29" s="122">
        <f t="shared" si="37"/>
        <v>0</v>
      </c>
      <c r="AL29" s="123">
        <f t="shared" si="38"/>
        <v>0</v>
      </c>
      <c r="AM29" s="124"/>
      <c r="AN29" s="125">
        <f t="shared" si="39"/>
        <v>0</v>
      </c>
      <c r="AO29" s="126">
        <f t="shared" si="40"/>
        <v>0</v>
      </c>
      <c r="AP29" s="126">
        <f t="shared" si="41"/>
        <v>0</v>
      </c>
      <c r="AQ29" s="126">
        <f t="shared" si="42"/>
        <v>0</v>
      </c>
      <c r="AR29" s="126">
        <f t="shared" si="43"/>
        <v>0</v>
      </c>
      <c r="AS29" s="126">
        <f t="array" ref="AS29">_xlfn.IFS(S29=0,AL29,S29&lt;0,AL29/-S29,S29&gt;0,AL29/S29)</f>
        <v>0</v>
      </c>
      <c r="AT29" s="121">
        <f t="shared" si="44"/>
        <v>0</v>
      </c>
      <c r="AU29" s="121">
        <f t="shared" si="45"/>
        <v>0</v>
      </c>
      <c r="AV29" s="127"/>
      <c r="AW29" s="122">
        <f t="shared" si="46"/>
        <v>0</v>
      </c>
    </row>
    <row r="30" spans="1:49" hidden="1" outlineLevel="1">
      <c r="A30" s="116"/>
      <c r="B30" s="117"/>
      <c r="C30" s="117"/>
      <c r="D30" s="118"/>
      <c r="E30" s="119">
        <f t="shared" si="27"/>
        <v>0</v>
      </c>
      <c r="F30" s="119"/>
      <c r="G30" s="119"/>
      <c r="H30" s="119"/>
      <c r="I30" s="119"/>
      <c r="J30" s="119">
        <f t="shared" si="28"/>
        <v>0</v>
      </c>
      <c r="K30" s="116"/>
      <c r="L30" s="116"/>
      <c r="M30" s="116"/>
      <c r="N30" s="116"/>
      <c r="O30" s="119">
        <f t="shared" si="29"/>
        <v>0</v>
      </c>
      <c r="P30" s="119">
        <f t="shared" si="30"/>
        <v>0</v>
      </c>
      <c r="Q30" s="120"/>
      <c r="R30" s="120"/>
      <c r="S30" s="119">
        <f t="shared" si="31"/>
        <v>0</v>
      </c>
      <c r="T30" s="119"/>
      <c r="U30" s="119"/>
      <c r="V30" s="119">
        <f t="shared" si="32"/>
        <v>0</v>
      </c>
      <c r="W30" s="120"/>
      <c r="X30" s="120"/>
      <c r="Y30" s="119">
        <f t="shared" si="33"/>
        <v>0</v>
      </c>
      <c r="Z30" s="119">
        <f t="shared" si="34"/>
        <v>0</v>
      </c>
      <c r="AA30" s="121">
        <f t="shared" si="47"/>
        <v>0</v>
      </c>
      <c r="AB30" s="119">
        <f t="shared" si="35"/>
        <v>0</v>
      </c>
      <c r="AC30" s="120"/>
      <c r="AD30" s="121">
        <f t="shared" si="36"/>
        <v>0</v>
      </c>
      <c r="AE30" s="120"/>
      <c r="AF30" s="120"/>
      <c r="AG30" s="120"/>
      <c r="AH30" s="120"/>
      <c r="AI30" s="243"/>
      <c r="AJ30" s="120"/>
      <c r="AK30" s="122">
        <f t="shared" si="37"/>
        <v>0</v>
      </c>
      <c r="AL30" s="123">
        <f t="shared" si="38"/>
        <v>0</v>
      </c>
      <c r="AM30" s="124"/>
      <c r="AN30" s="125">
        <f t="shared" si="39"/>
        <v>0</v>
      </c>
      <c r="AO30" s="126">
        <f t="shared" si="40"/>
        <v>0</v>
      </c>
      <c r="AP30" s="126">
        <f t="shared" si="41"/>
        <v>0</v>
      </c>
      <c r="AQ30" s="126">
        <f t="shared" si="42"/>
        <v>0</v>
      </c>
      <c r="AR30" s="126">
        <f t="shared" si="43"/>
        <v>0</v>
      </c>
      <c r="AS30" s="126">
        <f t="array" ref="AS30">_xlfn.IFS(S30=0,AL30,S30&lt;0,AL30/-S30,S30&gt;0,AL30/S30)</f>
        <v>0</v>
      </c>
      <c r="AT30" s="121">
        <f t="shared" si="44"/>
        <v>0</v>
      </c>
      <c r="AU30" s="121">
        <f t="shared" si="45"/>
        <v>0</v>
      </c>
      <c r="AV30" s="127"/>
      <c r="AW30" s="122">
        <f t="shared" si="46"/>
        <v>0</v>
      </c>
    </row>
    <row r="31" spans="1:49" hidden="1" outlineLevel="1">
      <c r="A31" s="116"/>
      <c r="B31" s="117"/>
      <c r="C31" s="117"/>
      <c r="D31" s="118"/>
      <c r="E31" s="119">
        <f t="shared" si="27"/>
        <v>0</v>
      </c>
      <c r="F31" s="119"/>
      <c r="G31" s="119"/>
      <c r="H31" s="119"/>
      <c r="I31" s="119"/>
      <c r="J31" s="119">
        <f t="shared" si="28"/>
        <v>0</v>
      </c>
      <c r="K31" s="116"/>
      <c r="L31" s="116"/>
      <c r="M31" s="116"/>
      <c r="N31" s="116"/>
      <c r="O31" s="119">
        <f t="shared" si="29"/>
        <v>0</v>
      </c>
      <c r="P31" s="119">
        <f t="shared" si="30"/>
        <v>0</v>
      </c>
      <c r="Q31" s="120"/>
      <c r="R31" s="120"/>
      <c r="S31" s="119">
        <f t="shared" si="31"/>
        <v>0</v>
      </c>
      <c r="T31" s="119"/>
      <c r="U31" s="119"/>
      <c r="V31" s="119">
        <f t="shared" si="32"/>
        <v>0</v>
      </c>
      <c r="W31" s="120"/>
      <c r="X31" s="120"/>
      <c r="Y31" s="119">
        <f t="shared" si="33"/>
        <v>0</v>
      </c>
      <c r="Z31" s="119">
        <f t="shared" si="34"/>
        <v>0</v>
      </c>
      <c r="AA31" s="121">
        <f t="shared" si="47"/>
        <v>0</v>
      </c>
      <c r="AB31" s="119">
        <f t="shared" si="35"/>
        <v>0</v>
      </c>
      <c r="AC31" s="120"/>
      <c r="AD31" s="121">
        <f t="shared" si="36"/>
        <v>0</v>
      </c>
      <c r="AE31" s="120"/>
      <c r="AF31" s="120"/>
      <c r="AG31" s="120"/>
      <c r="AH31" s="120"/>
      <c r="AI31" s="243"/>
      <c r="AJ31" s="120"/>
      <c r="AK31" s="122">
        <f t="shared" si="37"/>
        <v>0</v>
      </c>
      <c r="AL31" s="123">
        <f t="shared" si="38"/>
        <v>0</v>
      </c>
      <c r="AM31" s="124"/>
      <c r="AN31" s="125">
        <f t="shared" si="39"/>
        <v>0</v>
      </c>
      <c r="AO31" s="126">
        <f t="shared" si="40"/>
        <v>0</v>
      </c>
      <c r="AP31" s="126">
        <f t="shared" si="41"/>
        <v>0</v>
      </c>
      <c r="AQ31" s="126">
        <f t="shared" si="42"/>
        <v>0</v>
      </c>
      <c r="AR31" s="126">
        <f t="shared" si="43"/>
        <v>0</v>
      </c>
      <c r="AS31" s="126">
        <f t="array" ref="AS31">_xlfn.IFS(S31=0,AL31,S31&lt;0,AL31/-S31,S31&gt;0,AL31/S31)</f>
        <v>0</v>
      </c>
      <c r="AT31" s="121">
        <f t="shared" si="44"/>
        <v>0</v>
      </c>
      <c r="AU31" s="121">
        <f t="shared" si="45"/>
        <v>0</v>
      </c>
      <c r="AV31" s="127"/>
      <c r="AW31" s="122">
        <f t="shared" si="46"/>
        <v>0</v>
      </c>
    </row>
    <row r="32" spans="1:49" hidden="1" outlineLevel="1">
      <c r="A32" s="116"/>
      <c r="B32" s="117"/>
      <c r="C32" s="117"/>
      <c r="D32" s="118"/>
      <c r="E32" s="119">
        <f t="shared" si="27"/>
        <v>0</v>
      </c>
      <c r="F32" s="119"/>
      <c r="G32" s="119"/>
      <c r="H32" s="119"/>
      <c r="I32" s="119"/>
      <c r="J32" s="119">
        <f t="shared" si="28"/>
        <v>0</v>
      </c>
      <c r="K32" s="116"/>
      <c r="L32" s="116"/>
      <c r="M32" s="116"/>
      <c r="N32" s="116"/>
      <c r="O32" s="119">
        <f t="shared" si="29"/>
        <v>0</v>
      </c>
      <c r="P32" s="119">
        <f t="shared" si="30"/>
        <v>0</v>
      </c>
      <c r="Q32" s="120"/>
      <c r="R32" s="120"/>
      <c r="S32" s="119">
        <f t="shared" si="31"/>
        <v>0</v>
      </c>
      <c r="T32" s="119"/>
      <c r="U32" s="119"/>
      <c r="V32" s="119">
        <f t="shared" si="32"/>
        <v>0</v>
      </c>
      <c r="W32" s="120"/>
      <c r="X32" s="120"/>
      <c r="Y32" s="119">
        <f t="shared" si="33"/>
        <v>0</v>
      </c>
      <c r="Z32" s="119">
        <f t="shared" si="34"/>
        <v>0</v>
      </c>
      <c r="AA32" s="121">
        <f t="shared" si="47"/>
        <v>0</v>
      </c>
      <c r="AB32" s="119">
        <f t="shared" si="35"/>
        <v>0</v>
      </c>
      <c r="AC32" s="120"/>
      <c r="AD32" s="121">
        <f t="shared" si="36"/>
        <v>0</v>
      </c>
      <c r="AE32" s="120"/>
      <c r="AF32" s="120"/>
      <c r="AG32" s="120"/>
      <c r="AH32" s="120"/>
      <c r="AI32" s="243"/>
      <c r="AJ32" s="120"/>
      <c r="AK32" s="122">
        <f t="shared" si="37"/>
        <v>0</v>
      </c>
      <c r="AL32" s="123">
        <f t="shared" si="38"/>
        <v>0</v>
      </c>
      <c r="AM32" s="124"/>
      <c r="AN32" s="125">
        <f t="shared" si="39"/>
        <v>0</v>
      </c>
      <c r="AO32" s="126">
        <f t="shared" si="40"/>
        <v>0</v>
      </c>
      <c r="AP32" s="126">
        <f t="shared" si="41"/>
        <v>0</v>
      </c>
      <c r="AQ32" s="126">
        <f t="shared" si="42"/>
        <v>0</v>
      </c>
      <c r="AR32" s="126">
        <f t="shared" si="43"/>
        <v>0</v>
      </c>
      <c r="AS32" s="126">
        <f t="array" ref="AS32">_xlfn.IFS(S32=0,AL32,S32&lt;0,AL32/-S32,S32&gt;0,AL32/S32)</f>
        <v>0</v>
      </c>
      <c r="AT32" s="121">
        <f t="shared" si="44"/>
        <v>0</v>
      </c>
      <c r="AU32" s="121">
        <f t="shared" si="45"/>
        <v>0</v>
      </c>
      <c r="AV32" s="127"/>
      <c r="AW32" s="122">
        <f t="shared" si="46"/>
        <v>0</v>
      </c>
    </row>
    <row r="33" spans="1:49" hidden="1" outlineLevel="1">
      <c r="A33" s="116"/>
      <c r="B33" s="117"/>
      <c r="C33" s="117"/>
      <c r="D33" s="118"/>
      <c r="E33" s="119">
        <f t="shared" si="27"/>
        <v>0</v>
      </c>
      <c r="F33" s="119"/>
      <c r="G33" s="119"/>
      <c r="H33" s="119"/>
      <c r="I33" s="119"/>
      <c r="J33" s="119">
        <f t="shared" si="28"/>
        <v>0</v>
      </c>
      <c r="K33" s="116"/>
      <c r="L33" s="116"/>
      <c r="M33" s="116"/>
      <c r="N33" s="116"/>
      <c r="O33" s="119">
        <f t="shared" si="29"/>
        <v>0</v>
      </c>
      <c r="P33" s="119">
        <f t="shared" si="30"/>
        <v>0</v>
      </c>
      <c r="Q33" s="120"/>
      <c r="R33" s="120"/>
      <c r="S33" s="119">
        <f t="shared" si="31"/>
        <v>0</v>
      </c>
      <c r="T33" s="119"/>
      <c r="U33" s="119"/>
      <c r="V33" s="119">
        <f t="shared" si="32"/>
        <v>0</v>
      </c>
      <c r="W33" s="120"/>
      <c r="X33" s="120"/>
      <c r="Y33" s="119">
        <f t="shared" si="33"/>
        <v>0</v>
      </c>
      <c r="Z33" s="119">
        <f t="shared" si="34"/>
        <v>0</v>
      </c>
      <c r="AA33" s="121">
        <f t="shared" si="47"/>
        <v>0</v>
      </c>
      <c r="AB33" s="119">
        <f t="shared" si="35"/>
        <v>0</v>
      </c>
      <c r="AC33" s="120"/>
      <c r="AD33" s="121">
        <f t="shared" si="36"/>
        <v>0</v>
      </c>
      <c r="AE33" s="120"/>
      <c r="AF33" s="120"/>
      <c r="AG33" s="120"/>
      <c r="AH33" s="120"/>
      <c r="AI33" s="243"/>
      <c r="AJ33" s="120"/>
      <c r="AK33" s="122">
        <f t="shared" si="37"/>
        <v>0</v>
      </c>
      <c r="AL33" s="123">
        <f t="shared" si="38"/>
        <v>0</v>
      </c>
      <c r="AM33" s="124"/>
      <c r="AN33" s="125">
        <f t="shared" si="39"/>
        <v>0</v>
      </c>
      <c r="AO33" s="126">
        <f t="shared" si="40"/>
        <v>0</v>
      </c>
      <c r="AP33" s="126">
        <f t="shared" si="41"/>
        <v>0</v>
      </c>
      <c r="AQ33" s="126">
        <f t="shared" si="42"/>
        <v>0</v>
      </c>
      <c r="AR33" s="126">
        <f t="shared" si="43"/>
        <v>0</v>
      </c>
      <c r="AS33" s="126">
        <f t="array" ref="AS33">_xlfn.IFS(S33=0,AL33,S33&lt;0,AL33/-S33,S33&gt;0,AL33/S33)</f>
        <v>0</v>
      </c>
      <c r="AT33" s="121">
        <f t="shared" si="44"/>
        <v>0</v>
      </c>
      <c r="AU33" s="121">
        <f t="shared" si="45"/>
        <v>0</v>
      </c>
      <c r="AV33" s="127"/>
      <c r="AW33" s="122">
        <f t="shared" si="46"/>
        <v>0</v>
      </c>
    </row>
    <row r="34" spans="1:49" hidden="1" outlineLevel="1">
      <c r="A34" s="116"/>
      <c r="B34" s="117"/>
      <c r="C34" s="117"/>
      <c r="D34" s="118"/>
      <c r="E34" s="119">
        <f t="shared" si="27"/>
        <v>0</v>
      </c>
      <c r="F34" s="119"/>
      <c r="G34" s="119"/>
      <c r="H34" s="119"/>
      <c r="I34" s="119"/>
      <c r="J34" s="119">
        <f t="shared" si="28"/>
        <v>0</v>
      </c>
      <c r="K34" s="116"/>
      <c r="L34" s="116"/>
      <c r="M34" s="116"/>
      <c r="N34" s="116"/>
      <c r="O34" s="119">
        <f t="shared" si="29"/>
        <v>0</v>
      </c>
      <c r="P34" s="119">
        <f t="shared" si="30"/>
        <v>0</v>
      </c>
      <c r="Q34" s="120"/>
      <c r="R34" s="120"/>
      <c r="S34" s="119">
        <f t="shared" si="31"/>
        <v>0</v>
      </c>
      <c r="T34" s="119"/>
      <c r="U34" s="119"/>
      <c r="V34" s="119">
        <f t="shared" si="32"/>
        <v>0</v>
      </c>
      <c r="W34" s="120"/>
      <c r="X34" s="120"/>
      <c r="Y34" s="119">
        <f t="shared" si="33"/>
        <v>0</v>
      </c>
      <c r="Z34" s="119">
        <f t="shared" si="34"/>
        <v>0</v>
      </c>
      <c r="AA34" s="121">
        <f t="shared" si="47"/>
        <v>0</v>
      </c>
      <c r="AB34" s="119">
        <f t="shared" si="35"/>
        <v>0</v>
      </c>
      <c r="AC34" s="120"/>
      <c r="AD34" s="121">
        <f t="shared" si="36"/>
        <v>0</v>
      </c>
      <c r="AE34" s="120"/>
      <c r="AF34" s="120"/>
      <c r="AG34" s="120"/>
      <c r="AH34" s="120"/>
      <c r="AI34" s="243"/>
      <c r="AJ34" s="120"/>
      <c r="AK34" s="122">
        <f t="shared" si="37"/>
        <v>0</v>
      </c>
      <c r="AL34" s="123">
        <f t="shared" si="38"/>
        <v>0</v>
      </c>
      <c r="AM34" s="124"/>
      <c r="AN34" s="125">
        <f t="shared" si="39"/>
        <v>0</v>
      </c>
      <c r="AO34" s="126">
        <f t="shared" si="40"/>
        <v>0</v>
      </c>
      <c r="AP34" s="126">
        <f t="shared" si="41"/>
        <v>0</v>
      </c>
      <c r="AQ34" s="126">
        <f t="shared" si="42"/>
        <v>0</v>
      </c>
      <c r="AR34" s="126">
        <f t="shared" si="43"/>
        <v>0</v>
      </c>
      <c r="AS34" s="126">
        <f t="array" ref="AS34">_xlfn.IFS(S34=0,AL34,S34&lt;0,AL34/-S34,S34&gt;0,AL34/S34)</f>
        <v>0</v>
      </c>
      <c r="AT34" s="121">
        <f t="shared" si="44"/>
        <v>0</v>
      </c>
      <c r="AU34" s="121">
        <f t="shared" si="45"/>
        <v>0</v>
      </c>
      <c r="AV34" s="127"/>
      <c r="AW34" s="122">
        <f t="shared" si="46"/>
        <v>0</v>
      </c>
    </row>
    <row r="35" spans="1:49" hidden="1" outlineLevel="1">
      <c r="A35" s="116"/>
      <c r="B35" s="117"/>
      <c r="C35" s="117"/>
      <c r="D35" s="118"/>
      <c r="E35" s="119">
        <f t="shared" si="27"/>
        <v>0</v>
      </c>
      <c r="F35" s="119"/>
      <c r="G35" s="119"/>
      <c r="H35" s="119"/>
      <c r="I35" s="119"/>
      <c r="J35" s="119">
        <f t="shared" si="28"/>
        <v>0</v>
      </c>
      <c r="K35" s="116"/>
      <c r="L35" s="116"/>
      <c r="M35" s="116"/>
      <c r="N35" s="116"/>
      <c r="O35" s="119">
        <f t="shared" si="29"/>
        <v>0</v>
      </c>
      <c r="P35" s="119">
        <f t="shared" si="30"/>
        <v>0</v>
      </c>
      <c r="Q35" s="120"/>
      <c r="R35" s="120"/>
      <c r="S35" s="119">
        <f t="shared" si="31"/>
        <v>0</v>
      </c>
      <c r="T35" s="119"/>
      <c r="U35" s="119"/>
      <c r="V35" s="119">
        <f t="shared" si="32"/>
        <v>0</v>
      </c>
      <c r="W35" s="120"/>
      <c r="X35" s="120"/>
      <c r="Y35" s="119">
        <f t="shared" si="33"/>
        <v>0</v>
      </c>
      <c r="Z35" s="119">
        <f t="shared" si="34"/>
        <v>0</v>
      </c>
      <c r="AA35" s="121">
        <f t="shared" si="47"/>
        <v>0</v>
      </c>
      <c r="AB35" s="119">
        <f t="shared" si="35"/>
        <v>0</v>
      </c>
      <c r="AC35" s="120"/>
      <c r="AD35" s="121">
        <f t="shared" si="36"/>
        <v>0</v>
      </c>
      <c r="AE35" s="120"/>
      <c r="AF35" s="120"/>
      <c r="AG35" s="120"/>
      <c r="AH35" s="120"/>
      <c r="AI35" s="243"/>
      <c r="AJ35" s="120"/>
      <c r="AK35" s="122">
        <f t="shared" si="37"/>
        <v>0</v>
      </c>
      <c r="AL35" s="123">
        <f t="shared" si="38"/>
        <v>0</v>
      </c>
      <c r="AM35" s="124"/>
      <c r="AN35" s="125">
        <f t="shared" si="39"/>
        <v>0</v>
      </c>
      <c r="AO35" s="126">
        <f t="shared" si="40"/>
        <v>0</v>
      </c>
      <c r="AP35" s="126">
        <f t="shared" si="41"/>
        <v>0</v>
      </c>
      <c r="AQ35" s="126">
        <f t="shared" si="42"/>
        <v>0</v>
      </c>
      <c r="AR35" s="126">
        <f t="shared" si="43"/>
        <v>0</v>
      </c>
      <c r="AS35" s="126">
        <f t="array" ref="AS35">_xlfn.IFS(S35=0,AL35,S35&lt;0,AL35/-S35,S35&gt;0,AL35/S35)</f>
        <v>0</v>
      </c>
      <c r="AT35" s="121">
        <f t="shared" si="44"/>
        <v>0</v>
      </c>
      <c r="AU35" s="121">
        <f t="shared" si="45"/>
        <v>0</v>
      </c>
      <c r="AV35" s="127"/>
      <c r="AW35" s="122">
        <f t="shared" si="46"/>
        <v>0</v>
      </c>
    </row>
    <row r="36" spans="1:49" hidden="1" outlineLevel="1">
      <c r="A36" s="116"/>
      <c r="B36" s="117"/>
      <c r="C36" s="117"/>
      <c r="D36" s="118"/>
      <c r="E36" s="119">
        <f t="shared" si="27"/>
        <v>0</v>
      </c>
      <c r="F36" s="119"/>
      <c r="G36" s="119"/>
      <c r="H36" s="119"/>
      <c r="I36" s="119"/>
      <c r="J36" s="119">
        <f t="shared" si="28"/>
        <v>0</v>
      </c>
      <c r="K36" s="116"/>
      <c r="L36" s="116"/>
      <c r="M36" s="116"/>
      <c r="N36" s="116"/>
      <c r="O36" s="119">
        <f t="shared" si="29"/>
        <v>0</v>
      </c>
      <c r="P36" s="119">
        <f t="shared" si="30"/>
        <v>0</v>
      </c>
      <c r="Q36" s="120"/>
      <c r="R36" s="120"/>
      <c r="S36" s="119">
        <f t="shared" si="31"/>
        <v>0</v>
      </c>
      <c r="T36" s="119"/>
      <c r="U36" s="119"/>
      <c r="V36" s="119">
        <f t="shared" si="32"/>
        <v>0</v>
      </c>
      <c r="W36" s="120"/>
      <c r="X36" s="120"/>
      <c r="Y36" s="119">
        <f t="shared" si="33"/>
        <v>0</v>
      </c>
      <c r="Z36" s="119">
        <f t="shared" si="34"/>
        <v>0</v>
      </c>
      <c r="AA36" s="121">
        <f t="shared" si="47"/>
        <v>0</v>
      </c>
      <c r="AB36" s="119">
        <f t="shared" si="35"/>
        <v>0</v>
      </c>
      <c r="AC36" s="120"/>
      <c r="AD36" s="121">
        <f t="shared" si="36"/>
        <v>0</v>
      </c>
      <c r="AE36" s="120"/>
      <c r="AF36" s="120"/>
      <c r="AG36" s="120"/>
      <c r="AH36" s="120"/>
      <c r="AI36" s="243"/>
      <c r="AJ36" s="120"/>
      <c r="AK36" s="122">
        <f t="shared" si="37"/>
        <v>0</v>
      </c>
      <c r="AL36" s="123">
        <f t="shared" si="38"/>
        <v>0</v>
      </c>
      <c r="AM36" s="124"/>
      <c r="AN36" s="125">
        <f t="shared" si="39"/>
        <v>0</v>
      </c>
      <c r="AO36" s="126">
        <f t="shared" si="40"/>
        <v>0</v>
      </c>
      <c r="AP36" s="126">
        <f t="shared" si="41"/>
        <v>0</v>
      </c>
      <c r="AQ36" s="126">
        <f t="shared" si="42"/>
        <v>0</v>
      </c>
      <c r="AR36" s="126">
        <f t="shared" si="43"/>
        <v>0</v>
      </c>
      <c r="AS36" s="126">
        <f t="array" ref="AS36">_xlfn.IFS(S36=0,AL36,S36&lt;0,AL36/-S36,S36&gt;0,AL36/S36)</f>
        <v>0</v>
      </c>
      <c r="AT36" s="121">
        <f t="shared" si="44"/>
        <v>0</v>
      </c>
      <c r="AU36" s="121">
        <f t="shared" si="45"/>
        <v>0</v>
      </c>
      <c r="AV36" s="127"/>
      <c r="AW36" s="122">
        <f t="shared" si="46"/>
        <v>0</v>
      </c>
    </row>
    <row r="37" spans="1:49" hidden="1" outlineLevel="1">
      <c r="A37" s="116"/>
      <c r="B37" s="117"/>
      <c r="C37" s="117"/>
      <c r="D37" s="118"/>
      <c r="E37" s="119">
        <f t="shared" si="27"/>
        <v>0</v>
      </c>
      <c r="F37" s="119"/>
      <c r="G37" s="119"/>
      <c r="H37" s="119"/>
      <c r="I37" s="119"/>
      <c r="J37" s="119">
        <f t="shared" si="28"/>
        <v>0</v>
      </c>
      <c r="K37" s="116"/>
      <c r="L37" s="116"/>
      <c r="M37" s="116"/>
      <c r="N37" s="116"/>
      <c r="O37" s="119">
        <f t="shared" si="29"/>
        <v>0</v>
      </c>
      <c r="P37" s="119">
        <f t="shared" si="30"/>
        <v>0</v>
      </c>
      <c r="Q37" s="120"/>
      <c r="R37" s="120"/>
      <c r="S37" s="119">
        <f t="shared" si="31"/>
        <v>0</v>
      </c>
      <c r="T37" s="119"/>
      <c r="U37" s="119"/>
      <c r="V37" s="119">
        <f t="shared" si="32"/>
        <v>0</v>
      </c>
      <c r="W37" s="120"/>
      <c r="X37" s="120"/>
      <c r="Y37" s="119">
        <f t="shared" si="33"/>
        <v>0</v>
      </c>
      <c r="Z37" s="119">
        <f t="shared" si="34"/>
        <v>0</v>
      </c>
      <c r="AA37" s="121">
        <f t="shared" si="47"/>
        <v>0</v>
      </c>
      <c r="AB37" s="119">
        <f t="shared" si="35"/>
        <v>0</v>
      </c>
      <c r="AC37" s="120"/>
      <c r="AD37" s="121">
        <f t="shared" si="36"/>
        <v>0</v>
      </c>
      <c r="AE37" s="120"/>
      <c r="AF37" s="120"/>
      <c r="AG37" s="120"/>
      <c r="AH37" s="120"/>
      <c r="AI37" s="243"/>
      <c r="AJ37" s="120"/>
      <c r="AK37" s="122">
        <f t="shared" si="37"/>
        <v>0</v>
      </c>
      <c r="AL37" s="123">
        <f t="shared" si="38"/>
        <v>0</v>
      </c>
      <c r="AM37" s="124"/>
      <c r="AN37" s="125">
        <f t="shared" si="39"/>
        <v>0</v>
      </c>
      <c r="AO37" s="126">
        <f t="shared" si="40"/>
        <v>0</v>
      </c>
      <c r="AP37" s="126">
        <f t="shared" si="41"/>
        <v>0</v>
      </c>
      <c r="AQ37" s="126">
        <f t="shared" si="42"/>
        <v>0</v>
      </c>
      <c r="AR37" s="126">
        <f t="shared" si="43"/>
        <v>0</v>
      </c>
      <c r="AS37" s="126">
        <f t="array" ref="AS37">_xlfn.IFS(S37=0,AL37,S37&lt;0,AL37/-S37,S37&gt;0,AL37/S37)</f>
        <v>0</v>
      </c>
      <c r="AT37" s="121">
        <f t="shared" si="44"/>
        <v>0</v>
      </c>
      <c r="AU37" s="121">
        <f t="shared" si="45"/>
        <v>0</v>
      </c>
      <c r="AV37" s="127"/>
      <c r="AW37" s="122">
        <f t="shared" si="46"/>
        <v>0</v>
      </c>
    </row>
    <row r="38" spans="1:49" hidden="1" outlineLevel="1">
      <c r="A38" s="116"/>
      <c r="B38" s="117"/>
      <c r="C38" s="117"/>
      <c r="D38" s="118"/>
      <c r="E38" s="119">
        <f t="shared" si="27"/>
        <v>0</v>
      </c>
      <c r="F38" s="119"/>
      <c r="G38" s="119"/>
      <c r="H38" s="119"/>
      <c r="I38" s="119"/>
      <c r="J38" s="119">
        <f t="shared" si="28"/>
        <v>0</v>
      </c>
      <c r="K38" s="116"/>
      <c r="L38" s="116"/>
      <c r="M38" s="116"/>
      <c r="N38" s="116"/>
      <c r="O38" s="119">
        <f t="shared" si="29"/>
        <v>0</v>
      </c>
      <c r="P38" s="119">
        <f t="shared" si="30"/>
        <v>0</v>
      </c>
      <c r="Q38" s="120"/>
      <c r="R38" s="120"/>
      <c r="S38" s="119">
        <f t="shared" si="31"/>
        <v>0</v>
      </c>
      <c r="T38" s="119"/>
      <c r="U38" s="119"/>
      <c r="V38" s="119">
        <f t="shared" si="32"/>
        <v>0</v>
      </c>
      <c r="W38" s="120"/>
      <c r="X38" s="120"/>
      <c r="Y38" s="119">
        <f t="shared" si="33"/>
        <v>0</v>
      </c>
      <c r="Z38" s="119">
        <f t="shared" si="34"/>
        <v>0</v>
      </c>
      <c r="AA38" s="121">
        <f t="shared" si="47"/>
        <v>0</v>
      </c>
      <c r="AB38" s="119">
        <f t="shared" si="35"/>
        <v>0</v>
      </c>
      <c r="AC38" s="120"/>
      <c r="AD38" s="121">
        <f t="shared" si="36"/>
        <v>0</v>
      </c>
      <c r="AE38" s="120"/>
      <c r="AF38" s="120"/>
      <c r="AG38" s="120"/>
      <c r="AH38" s="120"/>
      <c r="AI38" s="243"/>
      <c r="AJ38" s="120"/>
      <c r="AK38" s="122">
        <f t="shared" si="37"/>
        <v>0</v>
      </c>
      <c r="AL38" s="123">
        <f t="shared" si="38"/>
        <v>0</v>
      </c>
      <c r="AM38" s="124"/>
      <c r="AN38" s="125">
        <f t="shared" si="39"/>
        <v>0</v>
      </c>
      <c r="AO38" s="126">
        <f t="shared" si="40"/>
        <v>0</v>
      </c>
      <c r="AP38" s="126">
        <f t="shared" si="41"/>
        <v>0</v>
      </c>
      <c r="AQ38" s="126">
        <f t="shared" si="42"/>
        <v>0</v>
      </c>
      <c r="AR38" s="126">
        <f t="shared" si="43"/>
        <v>0</v>
      </c>
      <c r="AS38" s="126">
        <f t="array" ref="AS38">_xlfn.IFS(S38=0,AL38,S38&lt;0,AL38/-S38,S38&gt;0,AL38/S38)</f>
        <v>0</v>
      </c>
      <c r="AT38" s="121">
        <f t="shared" si="44"/>
        <v>0</v>
      </c>
      <c r="AU38" s="121">
        <f t="shared" si="45"/>
        <v>0</v>
      </c>
      <c r="AV38" s="127"/>
      <c r="AW38" s="122">
        <f t="shared" si="46"/>
        <v>0</v>
      </c>
    </row>
    <row r="39" spans="1:49" hidden="1" outlineLevel="1">
      <c r="A39" s="116"/>
      <c r="B39" s="117"/>
      <c r="C39" s="117"/>
      <c r="D39" s="118"/>
      <c r="E39" s="119">
        <f t="shared" si="27"/>
        <v>0</v>
      </c>
      <c r="F39" s="119"/>
      <c r="G39" s="119"/>
      <c r="H39" s="119"/>
      <c r="I39" s="119"/>
      <c r="J39" s="119">
        <f t="shared" si="28"/>
        <v>0</v>
      </c>
      <c r="K39" s="116"/>
      <c r="L39" s="116"/>
      <c r="M39" s="116"/>
      <c r="N39" s="116"/>
      <c r="O39" s="119">
        <f t="shared" si="29"/>
        <v>0</v>
      </c>
      <c r="P39" s="119">
        <f t="shared" si="30"/>
        <v>0</v>
      </c>
      <c r="Q39" s="120"/>
      <c r="R39" s="120"/>
      <c r="S39" s="119">
        <f t="shared" si="31"/>
        <v>0</v>
      </c>
      <c r="T39" s="119"/>
      <c r="U39" s="119"/>
      <c r="V39" s="119">
        <f t="shared" si="32"/>
        <v>0</v>
      </c>
      <c r="W39" s="120"/>
      <c r="X39" s="120"/>
      <c r="Y39" s="119">
        <f t="shared" si="33"/>
        <v>0</v>
      </c>
      <c r="Z39" s="119">
        <f t="shared" si="34"/>
        <v>0</v>
      </c>
      <c r="AA39" s="121">
        <f t="shared" si="47"/>
        <v>0</v>
      </c>
      <c r="AB39" s="119">
        <f t="shared" si="35"/>
        <v>0</v>
      </c>
      <c r="AC39" s="120"/>
      <c r="AD39" s="121">
        <f t="shared" si="36"/>
        <v>0</v>
      </c>
      <c r="AE39" s="120"/>
      <c r="AF39" s="120"/>
      <c r="AG39" s="120"/>
      <c r="AH39" s="120"/>
      <c r="AI39" s="243"/>
      <c r="AJ39" s="120"/>
      <c r="AK39" s="122">
        <f t="shared" si="37"/>
        <v>0</v>
      </c>
      <c r="AL39" s="123">
        <f t="shared" si="38"/>
        <v>0</v>
      </c>
      <c r="AM39" s="124"/>
      <c r="AN39" s="125">
        <f t="shared" si="39"/>
        <v>0</v>
      </c>
      <c r="AO39" s="126">
        <f t="shared" si="40"/>
        <v>0</v>
      </c>
      <c r="AP39" s="126">
        <f t="shared" si="41"/>
        <v>0</v>
      </c>
      <c r="AQ39" s="126">
        <f t="shared" si="42"/>
        <v>0</v>
      </c>
      <c r="AR39" s="126">
        <f t="shared" si="43"/>
        <v>0</v>
      </c>
      <c r="AS39" s="126">
        <f t="array" ref="AS39">_xlfn.IFS(S39=0,AL39,S39&lt;0,AL39/-S39,S39&gt;0,AL39/S39)</f>
        <v>0</v>
      </c>
      <c r="AT39" s="121">
        <f t="shared" si="44"/>
        <v>0</v>
      </c>
      <c r="AU39" s="121">
        <f t="shared" si="45"/>
        <v>0</v>
      </c>
      <c r="AV39" s="127"/>
      <c r="AW39" s="122">
        <f t="shared" si="46"/>
        <v>0</v>
      </c>
    </row>
    <row r="40" spans="1:49" hidden="1" outlineLevel="1">
      <c r="A40" s="116"/>
      <c r="B40" s="117"/>
      <c r="C40" s="117"/>
      <c r="D40" s="118"/>
      <c r="E40" s="119">
        <f t="shared" si="27"/>
        <v>0</v>
      </c>
      <c r="F40" s="119"/>
      <c r="G40" s="119"/>
      <c r="H40" s="119"/>
      <c r="I40" s="119"/>
      <c r="J40" s="119">
        <f t="shared" si="28"/>
        <v>0</v>
      </c>
      <c r="K40" s="116"/>
      <c r="L40" s="116"/>
      <c r="M40" s="116"/>
      <c r="N40" s="116"/>
      <c r="O40" s="119">
        <f t="shared" si="29"/>
        <v>0</v>
      </c>
      <c r="P40" s="119">
        <f t="shared" si="30"/>
        <v>0</v>
      </c>
      <c r="Q40" s="120"/>
      <c r="R40" s="120"/>
      <c r="S40" s="119">
        <f t="shared" si="31"/>
        <v>0</v>
      </c>
      <c r="T40" s="119"/>
      <c r="U40" s="119"/>
      <c r="V40" s="119">
        <f t="shared" si="32"/>
        <v>0</v>
      </c>
      <c r="W40" s="120"/>
      <c r="X40" s="120"/>
      <c r="Y40" s="119">
        <f t="shared" si="33"/>
        <v>0</v>
      </c>
      <c r="Z40" s="119">
        <f t="shared" si="34"/>
        <v>0</v>
      </c>
      <c r="AA40" s="121">
        <f t="shared" si="47"/>
        <v>0</v>
      </c>
      <c r="AB40" s="119">
        <f t="shared" si="35"/>
        <v>0</v>
      </c>
      <c r="AC40" s="120"/>
      <c r="AD40" s="121">
        <f t="shared" si="36"/>
        <v>0</v>
      </c>
      <c r="AE40" s="120"/>
      <c r="AF40" s="120"/>
      <c r="AG40" s="120"/>
      <c r="AH40" s="120"/>
      <c r="AI40" s="243"/>
      <c r="AJ40" s="120"/>
      <c r="AK40" s="122">
        <f t="shared" si="37"/>
        <v>0</v>
      </c>
      <c r="AL40" s="123">
        <f t="shared" si="38"/>
        <v>0</v>
      </c>
      <c r="AM40" s="124"/>
      <c r="AN40" s="125">
        <f t="shared" si="39"/>
        <v>0</v>
      </c>
      <c r="AO40" s="126">
        <f t="shared" si="40"/>
        <v>0</v>
      </c>
      <c r="AP40" s="126">
        <f t="shared" si="41"/>
        <v>0</v>
      </c>
      <c r="AQ40" s="126">
        <f t="shared" si="42"/>
        <v>0</v>
      </c>
      <c r="AR40" s="126">
        <f t="shared" si="43"/>
        <v>0</v>
      </c>
      <c r="AS40" s="126">
        <f t="array" ref="AS40">_xlfn.IFS(S40=0,AL40,S40&lt;0,AL40/-S40,S40&gt;0,AL40/S40)</f>
        <v>0</v>
      </c>
      <c r="AT40" s="121">
        <f t="shared" si="44"/>
        <v>0</v>
      </c>
      <c r="AU40" s="121">
        <f t="shared" si="45"/>
        <v>0</v>
      </c>
      <c r="AV40" s="127"/>
      <c r="AW40" s="122">
        <f t="shared" si="46"/>
        <v>0</v>
      </c>
    </row>
    <row r="41" spans="1:49" hidden="1" outlineLevel="1">
      <c r="A41" s="116"/>
      <c r="B41" s="117"/>
      <c r="C41" s="117"/>
      <c r="D41" s="118"/>
      <c r="E41" s="119">
        <f t="shared" si="27"/>
        <v>0</v>
      </c>
      <c r="F41" s="119"/>
      <c r="G41" s="119"/>
      <c r="H41" s="119"/>
      <c r="I41" s="119"/>
      <c r="J41" s="119">
        <f t="shared" si="28"/>
        <v>0</v>
      </c>
      <c r="K41" s="116"/>
      <c r="L41" s="116"/>
      <c r="M41" s="116"/>
      <c r="N41" s="116"/>
      <c r="O41" s="119">
        <f t="shared" si="29"/>
        <v>0</v>
      </c>
      <c r="P41" s="119">
        <f t="shared" si="30"/>
        <v>0</v>
      </c>
      <c r="Q41" s="120"/>
      <c r="R41" s="120"/>
      <c r="S41" s="119">
        <f t="shared" si="31"/>
        <v>0</v>
      </c>
      <c r="T41" s="119"/>
      <c r="U41" s="119"/>
      <c r="V41" s="119">
        <f t="shared" si="32"/>
        <v>0</v>
      </c>
      <c r="W41" s="120"/>
      <c r="X41" s="120"/>
      <c r="Y41" s="119">
        <f t="shared" si="33"/>
        <v>0</v>
      </c>
      <c r="Z41" s="119">
        <f t="shared" si="34"/>
        <v>0</v>
      </c>
      <c r="AA41" s="121">
        <f t="shared" si="47"/>
        <v>0</v>
      </c>
      <c r="AB41" s="119">
        <f t="shared" si="35"/>
        <v>0</v>
      </c>
      <c r="AC41" s="120"/>
      <c r="AD41" s="121">
        <f t="shared" si="36"/>
        <v>0</v>
      </c>
      <c r="AE41" s="120"/>
      <c r="AF41" s="120"/>
      <c r="AG41" s="120"/>
      <c r="AH41" s="120"/>
      <c r="AI41" s="243"/>
      <c r="AJ41" s="120"/>
      <c r="AK41" s="122">
        <f t="shared" si="37"/>
        <v>0</v>
      </c>
      <c r="AL41" s="123">
        <f t="shared" si="38"/>
        <v>0</v>
      </c>
      <c r="AM41" s="124"/>
      <c r="AN41" s="125">
        <f t="shared" si="39"/>
        <v>0</v>
      </c>
      <c r="AO41" s="126">
        <f t="shared" si="40"/>
        <v>0</v>
      </c>
      <c r="AP41" s="126">
        <f t="shared" si="41"/>
        <v>0</v>
      </c>
      <c r="AQ41" s="126">
        <f t="shared" si="42"/>
        <v>0</v>
      </c>
      <c r="AR41" s="126">
        <f t="shared" si="43"/>
        <v>0</v>
      </c>
      <c r="AS41" s="126">
        <f t="array" ref="AS41">_xlfn.IFS(S41=0,AL41,S41&lt;0,AL41/-S41,S41&gt;0,AL41/S41)</f>
        <v>0</v>
      </c>
      <c r="AT41" s="121">
        <f t="shared" si="44"/>
        <v>0</v>
      </c>
      <c r="AU41" s="121">
        <f t="shared" si="45"/>
        <v>0</v>
      </c>
      <c r="AV41" s="127"/>
      <c r="AW41" s="122">
        <f t="shared" si="46"/>
        <v>0</v>
      </c>
    </row>
    <row r="42" spans="1:49" hidden="1" outlineLevel="1">
      <c r="A42" s="116"/>
      <c r="B42" s="117"/>
      <c r="C42" s="117"/>
      <c r="D42" s="118"/>
      <c r="E42" s="119">
        <f t="shared" si="27"/>
        <v>0</v>
      </c>
      <c r="F42" s="119"/>
      <c r="G42" s="119"/>
      <c r="H42" s="119"/>
      <c r="I42" s="119"/>
      <c r="J42" s="119">
        <f t="shared" si="28"/>
        <v>0</v>
      </c>
      <c r="K42" s="116"/>
      <c r="L42" s="116"/>
      <c r="M42" s="116"/>
      <c r="N42" s="116"/>
      <c r="O42" s="119">
        <f t="shared" si="29"/>
        <v>0</v>
      </c>
      <c r="P42" s="119">
        <f t="shared" si="30"/>
        <v>0</v>
      </c>
      <c r="Q42" s="120"/>
      <c r="R42" s="120"/>
      <c r="S42" s="119">
        <f t="shared" si="31"/>
        <v>0</v>
      </c>
      <c r="T42" s="119"/>
      <c r="U42" s="119"/>
      <c r="V42" s="119">
        <f t="shared" si="32"/>
        <v>0</v>
      </c>
      <c r="W42" s="120"/>
      <c r="X42" s="120"/>
      <c r="Y42" s="119">
        <f t="shared" si="33"/>
        <v>0</v>
      </c>
      <c r="Z42" s="119">
        <f t="shared" si="34"/>
        <v>0</v>
      </c>
      <c r="AA42" s="121">
        <f t="shared" si="47"/>
        <v>0</v>
      </c>
      <c r="AB42" s="119">
        <f t="shared" si="35"/>
        <v>0</v>
      </c>
      <c r="AC42" s="120"/>
      <c r="AD42" s="121">
        <f t="shared" si="36"/>
        <v>0</v>
      </c>
      <c r="AE42" s="120"/>
      <c r="AF42" s="120"/>
      <c r="AG42" s="120"/>
      <c r="AH42" s="120"/>
      <c r="AI42" s="243"/>
      <c r="AJ42" s="120"/>
      <c r="AK42" s="122">
        <f t="shared" si="37"/>
        <v>0</v>
      </c>
      <c r="AL42" s="123">
        <f t="shared" si="38"/>
        <v>0</v>
      </c>
      <c r="AM42" s="124"/>
      <c r="AN42" s="125">
        <f t="shared" si="39"/>
        <v>0</v>
      </c>
      <c r="AO42" s="126">
        <f t="shared" si="40"/>
        <v>0</v>
      </c>
      <c r="AP42" s="126">
        <f t="shared" si="41"/>
        <v>0</v>
      </c>
      <c r="AQ42" s="126">
        <f t="shared" si="42"/>
        <v>0</v>
      </c>
      <c r="AR42" s="126">
        <f t="shared" si="43"/>
        <v>0</v>
      </c>
      <c r="AS42" s="126">
        <f t="array" ref="AS42">_xlfn.IFS(S42=0,AL42,S42&lt;0,AL42/-S42,S42&gt;0,AL42/S42)</f>
        <v>0</v>
      </c>
      <c r="AT42" s="121">
        <f t="shared" si="44"/>
        <v>0</v>
      </c>
      <c r="AU42" s="121">
        <f t="shared" si="45"/>
        <v>0</v>
      </c>
      <c r="AV42" s="127"/>
      <c r="AW42" s="122">
        <f t="shared" si="46"/>
        <v>0</v>
      </c>
    </row>
    <row r="43" spans="1:49" hidden="1" outlineLevel="1">
      <c r="A43" s="116"/>
      <c r="B43" s="117"/>
      <c r="C43" s="117"/>
      <c r="D43" s="118"/>
      <c r="E43" s="119">
        <f t="shared" si="27"/>
        <v>0</v>
      </c>
      <c r="F43" s="119"/>
      <c r="G43" s="119"/>
      <c r="H43" s="119"/>
      <c r="I43" s="119"/>
      <c r="J43" s="119">
        <f t="shared" si="28"/>
        <v>0</v>
      </c>
      <c r="K43" s="116"/>
      <c r="L43" s="116"/>
      <c r="M43" s="116"/>
      <c r="N43" s="116"/>
      <c r="O43" s="119">
        <f t="shared" si="29"/>
        <v>0</v>
      </c>
      <c r="P43" s="119">
        <f t="shared" si="30"/>
        <v>0</v>
      </c>
      <c r="Q43" s="120"/>
      <c r="R43" s="120"/>
      <c r="S43" s="119">
        <f t="shared" si="31"/>
        <v>0</v>
      </c>
      <c r="T43" s="119"/>
      <c r="U43" s="119"/>
      <c r="V43" s="119">
        <f t="shared" si="32"/>
        <v>0</v>
      </c>
      <c r="W43" s="120"/>
      <c r="X43" s="120"/>
      <c r="Y43" s="119">
        <f t="shared" si="33"/>
        <v>0</v>
      </c>
      <c r="Z43" s="119">
        <f t="shared" si="34"/>
        <v>0</v>
      </c>
      <c r="AA43" s="121">
        <f t="shared" si="47"/>
        <v>0</v>
      </c>
      <c r="AB43" s="119">
        <f t="shared" si="35"/>
        <v>0</v>
      </c>
      <c r="AC43" s="120"/>
      <c r="AD43" s="121">
        <f t="shared" si="36"/>
        <v>0</v>
      </c>
      <c r="AE43" s="120"/>
      <c r="AF43" s="120"/>
      <c r="AG43" s="120"/>
      <c r="AH43" s="120"/>
      <c r="AI43" s="243"/>
      <c r="AJ43" s="120"/>
      <c r="AK43" s="122">
        <f t="shared" si="37"/>
        <v>0</v>
      </c>
      <c r="AL43" s="123">
        <f t="shared" si="38"/>
        <v>0</v>
      </c>
      <c r="AM43" s="124"/>
      <c r="AN43" s="125">
        <f t="shared" si="39"/>
        <v>0</v>
      </c>
      <c r="AO43" s="126">
        <f t="shared" si="40"/>
        <v>0</v>
      </c>
      <c r="AP43" s="126">
        <f t="shared" si="41"/>
        <v>0</v>
      </c>
      <c r="AQ43" s="126">
        <f t="shared" si="42"/>
        <v>0</v>
      </c>
      <c r="AR43" s="126">
        <f t="shared" si="43"/>
        <v>0</v>
      </c>
      <c r="AS43" s="126">
        <f t="array" ref="AS43">_xlfn.IFS(S43=0,AL43,S43&lt;0,AL43/-S43,S43&gt;0,AL43/S43)</f>
        <v>0</v>
      </c>
      <c r="AT43" s="121">
        <f t="shared" si="44"/>
        <v>0</v>
      </c>
      <c r="AU43" s="121">
        <f t="shared" si="45"/>
        <v>0</v>
      </c>
      <c r="AV43" s="127"/>
      <c r="AW43" s="122">
        <f t="shared" si="46"/>
        <v>0</v>
      </c>
    </row>
    <row r="44" spans="1:49" hidden="1" outlineLevel="1">
      <c r="A44" s="116"/>
      <c r="B44" s="117"/>
      <c r="C44" s="117"/>
      <c r="D44" s="151"/>
      <c r="E44" s="120">
        <f t="shared" si="27"/>
        <v>0</v>
      </c>
      <c r="F44" s="119"/>
      <c r="G44" s="119"/>
      <c r="H44" s="119"/>
      <c r="I44" s="119"/>
      <c r="J44" s="119">
        <f t="shared" si="28"/>
        <v>0</v>
      </c>
      <c r="K44" s="116"/>
      <c r="L44" s="116"/>
      <c r="M44" s="116"/>
      <c r="N44" s="116"/>
      <c r="O44" s="119">
        <f t="shared" si="29"/>
        <v>0</v>
      </c>
      <c r="P44" s="119">
        <f t="shared" si="30"/>
        <v>0</v>
      </c>
      <c r="Q44" s="120"/>
      <c r="R44" s="120"/>
      <c r="S44" s="119">
        <f t="shared" si="31"/>
        <v>0</v>
      </c>
      <c r="T44" s="119"/>
      <c r="U44" s="119"/>
      <c r="V44" s="119">
        <f t="shared" si="32"/>
        <v>0</v>
      </c>
      <c r="W44" s="120"/>
      <c r="X44" s="120"/>
      <c r="Y44" s="119">
        <f t="shared" si="33"/>
        <v>0</v>
      </c>
      <c r="Z44" s="119">
        <f t="shared" si="34"/>
        <v>0</v>
      </c>
      <c r="AA44" s="121">
        <f t="shared" si="47"/>
        <v>0</v>
      </c>
      <c r="AB44" s="119">
        <f t="shared" si="35"/>
        <v>0</v>
      </c>
      <c r="AC44" s="120"/>
      <c r="AD44" s="121">
        <f t="shared" si="36"/>
        <v>0</v>
      </c>
      <c r="AE44" s="120"/>
      <c r="AF44" s="120"/>
      <c r="AG44" s="120"/>
      <c r="AH44" s="120"/>
      <c r="AI44" s="243"/>
      <c r="AJ44" s="120"/>
      <c r="AK44" s="122">
        <f t="shared" si="37"/>
        <v>0</v>
      </c>
      <c r="AL44" s="123">
        <f t="shared" si="38"/>
        <v>0</v>
      </c>
      <c r="AM44" s="124"/>
      <c r="AN44" s="125">
        <f t="shared" si="39"/>
        <v>0</v>
      </c>
      <c r="AO44" s="126">
        <f t="shared" si="40"/>
        <v>0</v>
      </c>
      <c r="AP44" s="126">
        <f t="shared" si="41"/>
        <v>0</v>
      </c>
      <c r="AQ44" s="126">
        <f t="shared" si="42"/>
        <v>0</v>
      </c>
      <c r="AR44" s="126">
        <f t="shared" si="43"/>
        <v>0</v>
      </c>
      <c r="AS44" s="126">
        <f t="array" ref="AS44">_xlfn.IFS(S44=0,AL44,S44&lt;0,AL44/-S44,S44&gt;0,AL44/S44)</f>
        <v>0</v>
      </c>
      <c r="AT44" s="121">
        <f t="shared" si="44"/>
        <v>0</v>
      </c>
      <c r="AU44" s="121">
        <f t="shared" si="45"/>
        <v>0</v>
      </c>
      <c r="AV44" s="127"/>
      <c r="AW44" s="122">
        <f t="shared" si="46"/>
        <v>0</v>
      </c>
    </row>
    <row r="45" spans="1:49" hidden="1" outlineLevel="1">
      <c r="A45" s="116"/>
      <c r="B45" s="117"/>
      <c r="C45" s="117"/>
      <c r="D45" s="151"/>
      <c r="E45" s="120">
        <f t="shared" si="27"/>
        <v>0</v>
      </c>
      <c r="F45" s="119"/>
      <c r="G45" s="119"/>
      <c r="H45" s="119"/>
      <c r="I45" s="119"/>
      <c r="J45" s="119">
        <f t="shared" si="28"/>
        <v>0</v>
      </c>
      <c r="K45" s="116"/>
      <c r="L45" s="116"/>
      <c r="M45" s="116"/>
      <c r="N45" s="116"/>
      <c r="O45" s="119">
        <f t="shared" si="29"/>
        <v>0</v>
      </c>
      <c r="P45" s="119">
        <f t="shared" si="30"/>
        <v>0</v>
      </c>
      <c r="Q45" s="120"/>
      <c r="R45" s="120"/>
      <c r="S45" s="119">
        <f t="shared" si="31"/>
        <v>0</v>
      </c>
      <c r="T45" s="119"/>
      <c r="U45" s="119"/>
      <c r="V45" s="119">
        <f t="shared" si="32"/>
        <v>0</v>
      </c>
      <c r="W45" s="120"/>
      <c r="X45" s="120"/>
      <c r="Y45" s="119">
        <f t="shared" si="33"/>
        <v>0</v>
      </c>
      <c r="Z45" s="119">
        <f t="shared" si="34"/>
        <v>0</v>
      </c>
      <c r="AA45" s="121">
        <f t="shared" si="47"/>
        <v>0</v>
      </c>
      <c r="AB45" s="119">
        <f t="shared" si="35"/>
        <v>0</v>
      </c>
      <c r="AC45" s="120"/>
      <c r="AD45" s="121">
        <f t="shared" si="36"/>
        <v>0</v>
      </c>
      <c r="AE45" s="120"/>
      <c r="AF45" s="120"/>
      <c r="AG45" s="120"/>
      <c r="AH45" s="120"/>
      <c r="AI45" s="243"/>
      <c r="AJ45" s="120"/>
      <c r="AK45" s="122">
        <f t="shared" si="37"/>
        <v>0</v>
      </c>
      <c r="AL45" s="123">
        <f t="shared" si="38"/>
        <v>0</v>
      </c>
      <c r="AM45" s="124"/>
      <c r="AN45" s="125">
        <f t="shared" si="39"/>
        <v>0</v>
      </c>
      <c r="AO45" s="126">
        <f t="shared" si="40"/>
        <v>0</v>
      </c>
      <c r="AP45" s="126">
        <f t="shared" si="41"/>
        <v>0</v>
      </c>
      <c r="AQ45" s="126">
        <f t="shared" si="42"/>
        <v>0</v>
      </c>
      <c r="AR45" s="126">
        <f t="shared" si="43"/>
        <v>0</v>
      </c>
      <c r="AS45" s="126">
        <f t="array" ref="AS45">_xlfn.IFS(S45=0,AL45,S45&lt;0,AL45/-S45,S45&gt;0,AL45/S45)</f>
        <v>0</v>
      </c>
      <c r="AT45" s="121">
        <f t="shared" si="44"/>
        <v>0</v>
      </c>
      <c r="AU45" s="121">
        <f t="shared" si="45"/>
        <v>0</v>
      </c>
      <c r="AV45" s="127"/>
      <c r="AW45" s="122">
        <f t="shared" si="46"/>
        <v>0</v>
      </c>
    </row>
    <row r="46" spans="1:49" hidden="1" outlineLevel="1">
      <c r="A46" s="116"/>
      <c r="B46" s="117"/>
      <c r="C46" s="117"/>
      <c r="D46" s="151"/>
      <c r="E46" s="120">
        <f t="shared" si="27"/>
        <v>0</v>
      </c>
      <c r="F46" s="119"/>
      <c r="G46" s="119"/>
      <c r="H46" s="119"/>
      <c r="I46" s="119"/>
      <c r="J46" s="119">
        <f t="shared" si="28"/>
        <v>0</v>
      </c>
      <c r="K46" s="116"/>
      <c r="L46" s="116"/>
      <c r="M46" s="116"/>
      <c r="N46" s="116"/>
      <c r="O46" s="119">
        <f t="shared" si="29"/>
        <v>0</v>
      </c>
      <c r="P46" s="119">
        <f t="shared" si="30"/>
        <v>0</v>
      </c>
      <c r="Q46" s="120"/>
      <c r="R46" s="120"/>
      <c r="S46" s="119">
        <f t="shared" si="31"/>
        <v>0</v>
      </c>
      <c r="T46" s="119"/>
      <c r="U46" s="119"/>
      <c r="V46" s="119">
        <f t="shared" si="32"/>
        <v>0</v>
      </c>
      <c r="W46" s="120"/>
      <c r="X46" s="120"/>
      <c r="Y46" s="119">
        <f t="shared" si="33"/>
        <v>0</v>
      </c>
      <c r="Z46" s="119">
        <f t="shared" si="34"/>
        <v>0</v>
      </c>
      <c r="AA46" s="121">
        <f t="shared" si="47"/>
        <v>0</v>
      </c>
      <c r="AB46" s="119">
        <f t="shared" si="35"/>
        <v>0</v>
      </c>
      <c r="AC46" s="120"/>
      <c r="AD46" s="121">
        <f t="shared" si="36"/>
        <v>0</v>
      </c>
      <c r="AE46" s="120"/>
      <c r="AF46" s="120"/>
      <c r="AG46" s="120"/>
      <c r="AH46" s="120"/>
      <c r="AI46" s="243"/>
      <c r="AJ46" s="120"/>
      <c r="AK46" s="122">
        <f t="shared" si="37"/>
        <v>0</v>
      </c>
      <c r="AL46" s="123">
        <f t="shared" si="38"/>
        <v>0</v>
      </c>
      <c r="AM46" s="124"/>
      <c r="AN46" s="125">
        <f t="shared" si="39"/>
        <v>0</v>
      </c>
      <c r="AO46" s="126">
        <f t="shared" si="40"/>
        <v>0</v>
      </c>
      <c r="AP46" s="126">
        <f t="shared" si="41"/>
        <v>0</v>
      </c>
      <c r="AQ46" s="126">
        <f t="shared" si="42"/>
        <v>0</v>
      </c>
      <c r="AR46" s="126">
        <f t="shared" si="43"/>
        <v>0</v>
      </c>
      <c r="AS46" s="126">
        <f t="array" ref="AS46">_xlfn.IFS(S46=0,AL46,S46&lt;0,AL46/-S46,S46&gt;0,AL46/S46)</f>
        <v>0</v>
      </c>
      <c r="AT46" s="121">
        <f t="shared" si="44"/>
        <v>0</v>
      </c>
      <c r="AU46" s="121">
        <f t="shared" si="45"/>
        <v>0</v>
      </c>
      <c r="AV46" s="127"/>
      <c r="AW46" s="122">
        <f t="shared" si="46"/>
        <v>0</v>
      </c>
    </row>
    <row r="47" spans="1:49" hidden="1" outlineLevel="1">
      <c r="A47" s="116"/>
      <c r="B47" s="117"/>
      <c r="C47" s="117"/>
      <c r="D47" s="118"/>
      <c r="E47" s="119">
        <f t="shared" si="27"/>
        <v>0</v>
      </c>
      <c r="F47" s="119"/>
      <c r="G47" s="119"/>
      <c r="H47" s="119"/>
      <c r="I47" s="119"/>
      <c r="J47" s="119">
        <f t="shared" si="28"/>
        <v>0</v>
      </c>
      <c r="K47" s="116"/>
      <c r="L47" s="116"/>
      <c r="M47" s="116"/>
      <c r="N47" s="116"/>
      <c r="O47" s="119">
        <f t="shared" si="29"/>
        <v>0</v>
      </c>
      <c r="P47" s="119">
        <f t="shared" si="30"/>
        <v>0</v>
      </c>
      <c r="Q47" s="120"/>
      <c r="R47" s="120"/>
      <c r="S47" s="119">
        <f t="shared" si="31"/>
        <v>0</v>
      </c>
      <c r="T47" s="119"/>
      <c r="U47" s="119"/>
      <c r="V47" s="119">
        <f t="shared" si="32"/>
        <v>0</v>
      </c>
      <c r="W47" s="120"/>
      <c r="X47" s="120"/>
      <c r="Y47" s="119">
        <f t="shared" si="33"/>
        <v>0</v>
      </c>
      <c r="Z47" s="119">
        <f t="shared" si="34"/>
        <v>0</v>
      </c>
      <c r="AA47" s="121">
        <f t="shared" si="47"/>
        <v>0</v>
      </c>
      <c r="AB47" s="119">
        <f t="shared" si="35"/>
        <v>0</v>
      </c>
      <c r="AC47" s="120"/>
      <c r="AD47" s="121">
        <f t="shared" si="36"/>
        <v>0</v>
      </c>
      <c r="AE47" s="120"/>
      <c r="AF47" s="120"/>
      <c r="AG47" s="120"/>
      <c r="AH47" s="120"/>
      <c r="AI47" s="243"/>
      <c r="AJ47" s="120"/>
      <c r="AK47" s="122">
        <f t="shared" si="37"/>
        <v>0</v>
      </c>
      <c r="AL47" s="123">
        <f t="shared" si="38"/>
        <v>0</v>
      </c>
      <c r="AM47" s="124"/>
      <c r="AN47" s="125">
        <f t="shared" si="39"/>
        <v>0</v>
      </c>
      <c r="AO47" s="126">
        <f t="shared" si="40"/>
        <v>0</v>
      </c>
      <c r="AP47" s="126">
        <f t="shared" si="41"/>
        <v>0</v>
      </c>
      <c r="AQ47" s="126">
        <f t="shared" si="42"/>
        <v>0</v>
      </c>
      <c r="AR47" s="126">
        <f t="shared" si="43"/>
        <v>0</v>
      </c>
      <c r="AS47" s="126">
        <f t="array" ref="AS47">_xlfn.IFS(S47=0,AL47,S47&lt;0,AL47/-S47,S47&gt;0,AL47/S47)</f>
        <v>0</v>
      </c>
      <c r="AT47" s="121">
        <f t="shared" si="44"/>
        <v>0</v>
      </c>
      <c r="AU47" s="121">
        <f t="shared" si="45"/>
        <v>0</v>
      </c>
      <c r="AV47" s="127"/>
      <c r="AW47" s="122">
        <f t="shared" si="46"/>
        <v>0</v>
      </c>
    </row>
    <row r="48" spans="1:49" hidden="1" outlineLevel="1">
      <c r="A48" s="116"/>
      <c r="B48" s="117"/>
      <c r="C48" s="117"/>
      <c r="D48" s="118"/>
      <c r="E48" s="119">
        <f t="shared" si="27"/>
        <v>0</v>
      </c>
      <c r="F48" s="119"/>
      <c r="G48" s="119"/>
      <c r="H48" s="119"/>
      <c r="I48" s="119"/>
      <c r="J48" s="119">
        <f t="shared" si="28"/>
        <v>0</v>
      </c>
      <c r="K48" s="116"/>
      <c r="L48" s="116"/>
      <c r="M48" s="116"/>
      <c r="N48" s="116"/>
      <c r="O48" s="119">
        <f t="shared" si="29"/>
        <v>0</v>
      </c>
      <c r="P48" s="119">
        <f t="shared" si="30"/>
        <v>0</v>
      </c>
      <c r="Q48" s="120"/>
      <c r="R48" s="120"/>
      <c r="S48" s="119">
        <f t="shared" si="31"/>
        <v>0</v>
      </c>
      <c r="T48" s="119"/>
      <c r="U48" s="119"/>
      <c r="V48" s="119">
        <f t="shared" si="32"/>
        <v>0</v>
      </c>
      <c r="W48" s="120"/>
      <c r="X48" s="120"/>
      <c r="Y48" s="119">
        <f t="shared" si="33"/>
        <v>0</v>
      </c>
      <c r="Z48" s="119">
        <f t="shared" si="34"/>
        <v>0</v>
      </c>
      <c r="AA48" s="121">
        <f t="shared" si="47"/>
        <v>0</v>
      </c>
      <c r="AB48" s="119">
        <f t="shared" si="35"/>
        <v>0</v>
      </c>
      <c r="AC48" s="120"/>
      <c r="AD48" s="121">
        <f t="shared" si="36"/>
        <v>0</v>
      </c>
      <c r="AE48" s="120"/>
      <c r="AF48" s="120"/>
      <c r="AG48" s="120"/>
      <c r="AH48" s="120"/>
      <c r="AI48" s="243"/>
      <c r="AJ48" s="120"/>
      <c r="AK48" s="122">
        <f t="shared" si="37"/>
        <v>0</v>
      </c>
      <c r="AL48" s="123">
        <f t="shared" si="38"/>
        <v>0</v>
      </c>
      <c r="AM48" s="124"/>
      <c r="AN48" s="125">
        <f t="shared" si="39"/>
        <v>0</v>
      </c>
      <c r="AO48" s="126">
        <f t="shared" si="40"/>
        <v>0</v>
      </c>
      <c r="AP48" s="126">
        <f t="shared" si="41"/>
        <v>0</v>
      </c>
      <c r="AQ48" s="126">
        <f t="shared" si="42"/>
        <v>0</v>
      </c>
      <c r="AR48" s="126">
        <f t="shared" si="43"/>
        <v>0</v>
      </c>
      <c r="AS48" s="126">
        <f t="array" ref="AS48">_xlfn.IFS(S48=0,AL48,S48&lt;0,AL48/-S48,S48&gt;0,AL48/S48)</f>
        <v>0</v>
      </c>
      <c r="AT48" s="121">
        <f t="shared" si="44"/>
        <v>0</v>
      </c>
      <c r="AU48" s="121">
        <f t="shared" si="45"/>
        <v>0</v>
      </c>
      <c r="AV48" s="127"/>
      <c r="AW48" s="122">
        <f t="shared" si="46"/>
        <v>0</v>
      </c>
    </row>
    <row r="49" spans="1:49" hidden="1" outlineLevel="1">
      <c r="A49" s="116"/>
      <c r="B49" s="117"/>
      <c r="C49" s="117"/>
      <c r="D49" s="118"/>
      <c r="E49" s="119">
        <f t="shared" si="27"/>
        <v>0</v>
      </c>
      <c r="F49" s="119"/>
      <c r="G49" s="119"/>
      <c r="H49" s="119"/>
      <c r="I49" s="119"/>
      <c r="J49" s="119">
        <f t="shared" si="28"/>
        <v>0</v>
      </c>
      <c r="K49" s="116"/>
      <c r="L49" s="116"/>
      <c r="M49" s="116"/>
      <c r="N49" s="116"/>
      <c r="O49" s="119">
        <f t="shared" si="29"/>
        <v>0</v>
      </c>
      <c r="P49" s="119">
        <f t="shared" si="30"/>
        <v>0</v>
      </c>
      <c r="Q49" s="120"/>
      <c r="R49" s="120"/>
      <c r="S49" s="119">
        <f t="shared" si="31"/>
        <v>0</v>
      </c>
      <c r="T49" s="119"/>
      <c r="U49" s="119"/>
      <c r="V49" s="119">
        <f t="shared" si="32"/>
        <v>0</v>
      </c>
      <c r="W49" s="120"/>
      <c r="X49" s="120"/>
      <c r="Y49" s="119">
        <f t="shared" si="33"/>
        <v>0</v>
      </c>
      <c r="Z49" s="119">
        <f t="shared" si="34"/>
        <v>0</v>
      </c>
      <c r="AA49" s="121">
        <f t="shared" si="47"/>
        <v>0</v>
      </c>
      <c r="AB49" s="119">
        <f t="shared" si="35"/>
        <v>0</v>
      </c>
      <c r="AC49" s="120"/>
      <c r="AD49" s="121">
        <f t="shared" si="36"/>
        <v>0</v>
      </c>
      <c r="AE49" s="120"/>
      <c r="AF49" s="120"/>
      <c r="AG49" s="120"/>
      <c r="AH49" s="120"/>
      <c r="AI49" s="243"/>
      <c r="AJ49" s="120"/>
      <c r="AK49" s="122">
        <f t="shared" si="37"/>
        <v>0</v>
      </c>
      <c r="AL49" s="123">
        <f t="shared" si="38"/>
        <v>0</v>
      </c>
      <c r="AM49" s="124"/>
      <c r="AN49" s="125">
        <f t="shared" si="39"/>
        <v>0</v>
      </c>
      <c r="AO49" s="126">
        <f t="shared" si="40"/>
        <v>0</v>
      </c>
      <c r="AP49" s="126">
        <f t="shared" si="41"/>
        <v>0</v>
      </c>
      <c r="AQ49" s="126">
        <f t="shared" si="42"/>
        <v>0</v>
      </c>
      <c r="AR49" s="126">
        <f t="shared" si="43"/>
        <v>0</v>
      </c>
      <c r="AS49" s="126">
        <f t="array" ref="AS49">_xlfn.IFS(S49=0,AL49,S49&lt;0,AL49/-S49,S49&gt;0,AL49/S49)</f>
        <v>0</v>
      </c>
      <c r="AT49" s="121">
        <f t="shared" si="44"/>
        <v>0</v>
      </c>
      <c r="AU49" s="121">
        <f t="shared" si="45"/>
        <v>0</v>
      </c>
      <c r="AV49" s="127"/>
      <c r="AW49" s="122">
        <f t="shared" si="46"/>
        <v>0</v>
      </c>
    </row>
    <row r="50" spans="1:49" hidden="1" outlineLevel="1">
      <c r="A50" s="116"/>
      <c r="B50" s="117"/>
      <c r="C50" s="117"/>
      <c r="D50" s="118"/>
      <c r="E50" s="119">
        <f t="shared" si="27"/>
        <v>0</v>
      </c>
      <c r="F50" s="119"/>
      <c r="G50" s="119"/>
      <c r="H50" s="119"/>
      <c r="I50" s="119"/>
      <c r="J50" s="119">
        <f t="shared" si="28"/>
        <v>0</v>
      </c>
      <c r="K50" s="116"/>
      <c r="L50" s="116"/>
      <c r="M50" s="116"/>
      <c r="N50" s="116"/>
      <c r="O50" s="119">
        <f t="shared" si="29"/>
        <v>0</v>
      </c>
      <c r="P50" s="119">
        <f t="shared" si="30"/>
        <v>0</v>
      </c>
      <c r="Q50" s="120"/>
      <c r="R50" s="120"/>
      <c r="S50" s="119">
        <f t="shared" si="31"/>
        <v>0</v>
      </c>
      <c r="T50" s="119"/>
      <c r="U50" s="119"/>
      <c r="V50" s="119">
        <f t="shared" si="32"/>
        <v>0</v>
      </c>
      <c r="W50" s="120"/>
      <c r="X50" s="120"/>
      <c r="Y50" s="119">
        <f t="shared" si="33"/>
        <v>0</v>
      </c>
      <c r="Z50" s="119">
        <f t="shared" si="34"/>
        <v>0</v>
      </c>
      <c r="AA50" s="121">
        <f t="shared" si="47"/>
        <v>0</v>
      </c>
      <c r="AB50" s="119">
        <f t="shared" si="35"/>
        <v>0</v>
      </c>
      <c r="AC50" s="120"/>
      <c r="AD50" s="121">
        <f t="shared" si="36"/>
        <v>0</v>
      </c>
      <c r="AE50" s="120"/>
      <c r="AF50" s="120"/>
      <c r="AG50" s="120"/>
      <c r="AH50" s="120"/>
      <c r="AI50" s="243"/>
      <c r="AJ50" s="120"/>
      <c r="AK50" s="122">
        <f t="shared" si="37"/>
        <v>0</v>
      </c>
      <c r="AL50" s="123">
        <f t="shared" si="38"/>
        <v>0</v>
      </c>
      <c r="AM50" s="124"/>
      <c r="AN50" s="125">
        <f t="shared" si="39"/>
        <v>0</v>
      </c>
      <c r="AO50" s="126">
        <f t="shared" si="40"/>
        <v>0</v>
      </c>
      <c r="AP50" s="126">
        <f t="shared" si="41"/>
        <v>0</v>
      </c>
      <c r="AQ50" s="126">
        <f t="shared" si="42"/>
        <v>0</v>
      </c>
      <c r="AR50" s="126">
        <f t="shared" si="43"/>
        <v>0</v>
      </c>
      <c r="AS50" s="126">
        <f t="array" ref="AS50">_xlfn.IFS(S50=0,AL50,S50&lt;0,AL50/-S50,S50&gt;0,AL50/S50)</f>
        <v>0</v>
      </c>
      <c r="AT50" s="121">
        <f t="shared" si="44"/>
        <v>0</v>
      </c>
      <c r="AU50" s="121">
        <f t="shared" si="45"/>
        <v>0</v>
      </c>
      <c r="AV50" s="127"/>
      <c r="AW50" s="122">
        <f t="shared" si="46"/>
        <v>0</v>
      </c>
    </row>
    <row r="51" spans="1:49" hidden="1" outlineLevel="1">
      <c r="A51" s="116"/>
      <c r="B51" s="117"/>
      <c r="C51" s="117"/>
      <c r="D51" s="118"/>
      <c r="E51" s="119">
        <f t="shared" ref="E51:E70" si="48">SUM(F51:H51)</f>
        <v>0</v>
      </c>
      <c r="F51" s="119"/>
      <c r="G51" s="119"/>
      <c r="H51" s="119"/>
      <c r="I51" s="119"/>
      <c r="J51" s="119">
        <f t="shared" si="28"/>
        <v>0</v>
      </c>
      <c r="K51" s="116"/>
      <c r="L51" s="116"/>
      <c r="M51" s="116"/>
      <c r="N51" s="116"/>
      <c r="O51" s="119">
        <f t="shared" si="29"/>
        <v>0</v>
      </c>
      <c r="P51" s="119">
        <f t="shared" si="30"/>
        <v>0</v>
      </c>
      <c r="Q51" s="120"/>
      <c r="R51" s="120"/>
      <c r="S51" s="119">
        <f t="shared" si="31"/>
        <v>0</v>
      </c>
      <c r="T51" s="119"/>
      <c r="U51" s="119"/>
      <c r="V51" s="119">
        <f t="shared" si="32"/>
        <v>0</v>
      </c>
      <c r="W51" s="120"/>
      <c r="X51" s="120"/>
      <c r="Y51" s="119">
        <f t="shared" si="33"/>
        <v>0</v>
      </c>
      <c r="Z51" s="119">
        <f t="shared" si="34"/>
        <v>0</v>
      </c>
      <c r="AA51" s="121">
        <f t="shared" si="47"/>
        <v>0</v>
      </c>
      <c r="AB51" s="119">
        <f t="shared" si="35"/>
        <v>0</v>
      </c>
      <c r="AC51" s="120"/>
      <c r="AD51" s="121">
        <f t="shared" si="36"/>
        <v>0</v>
      </c>
      <c r="AE51" s="120"/>
      <c r="AF51" s="120"/>
      <c r="AG51" s="120"/>
      <c r="AH51" s="120"/>
      <c r="AI51" s="243"/>
      <c r="AJ51" s="120"/>
      <c r="AK51" s="122">
        <f t="shared" si="37"/>
        <v>0</v>
      </c>
      <c r="AL51" s="123">
        <f t="shared" si="38"/>
        <v>0</v>
      </c>
      <c r="AM51" s="124"/>
      <c r="AN51" s="125">
        <f t="shared" si="39"/>
        <v>0</v>
      </c>
      <c r="AO51" s="126">
        <f t="shared" si="40"/>
        <v>0</v>
      </c>
      <c r="AP51" s="126">
        <f t="shared" si="41"/>
        <v>0</v>
      </c>
      <c r="AQ51" s="126">
        <f t="shared" si="42"/>
        <v>0</v>
      </c>
      <c r="AR51" s="126">
        <f t="shared" si="43"/>
        <v>0</v>
      </c>
      <c r="AS51" s="126">
        <f t="array" ref="AS51">_xlfn.IFS(S51=0,AL51,S51&lt;0,AL51/-S51,S51&gt;0,AL51/S51)</f>
        <v>0</v>
      </c>
      <c r="AT51" s="121">
        <f t="shared" si="44"/>
        <v>0</v>
      </c>
      <c r="AU51" s="121">
        <f t="shared" si="45"/>
        <v>0</v>
      </c>
      <c r="AV51" s="127"/>
      <c r="AW51" s="122">
        <f t="shared" si="46"/>
        <v>0</v>
      </c>
    </row>
    <row r="52" spans="1:49" hidden="1" outlineLevel="1">
      <c r="A52" s="116"/>
      <c r="B52" s="117"/>
      <c r="C52" s="117"/>
      <c r="D52" s="118"/>
      <c r="E52" s="119">
        <f t="shared" si="48"/>
        <v>0</v>
      </c>
      <c r="F52" s="119"/>
      <c r="G52" s="119"/>
      <c r="H52" s="119"/>
      <c r="I52" s="119"/>
      <c r="J52" s="119">
        <f t="shared" si="28"/>
        <v>0</v>
      </c>
      <c r="K52" s="116"/>
      <c r="L52" s="116"/>
      <c r="M52" s="116"/>
      <c r="N52" s="116"/>
      <c r="O52" s="119">
        <f t="shared" si="29"/>
        <v>0</v>
      </c>
      <c r="P52" s="119">
        <f t="shared" si="30"/>
        <v>0</v>
      </c>
      <c r="Q52" s="120"/>
      <c r="R52" s="120"/>
      <c r="S52" s="119">
        <f t="shared" si="31"/>
        <v>0</v>
      </c>
      <c r="T52" s="119"/>
      <c r="U52" s="119"/>
      <c r="V52" s="119">
        <f t="shared" si="32"/>
        <v>0</v>
      </c>
      <c r="W52" s="120"/>
      <c r="X52" s="120"/>
      <c r="Y52" s="119">
        <f t="shared" si="33"/>
        <v>0</v>
      </c>
      <c r="Z52" s="119">
        <f t="shared" si="34"/>
        <v>0</v>
      </c>
      <c r="AA52" s="121">
        <f t="shared" si="47"/>
        <v>0</v>
      </c>
      <c r="AB52" s="119">
        <f t="shared" si="35"/>
        <v>0</v>
      </c>
      <c r="AC52" s="120"/>
      <c r="AD52" s="121">
        <f t="shared" si="36"/>
        <v>0</v>
      </c>
      <c r="AE52" s="120"/>
      <c r="AF52" s="120"/>
      <c r="AG52" s="120"/>
      <c r="AH52" s="120"/>
      <c r="AI52" s="243"/>
      <c r="AJ52" s="120"/>
      <c r="AK52" s="122">
        <f t="shared" si="37"/>
        <v>0</v>
      </c>
      <c r="AL52" s="123">
        <f t="shared" si="38"/>
        <v>0</v>
      </c>
      <c r="AM52" s="124"/>
      <c r="AN52" s="125">
        <f t="shared" si="39"/>
        <v>0</v>
      </c>
      <c r="AO52" s="126">
        <f t="shared" si="40"/>
        <v>0</v>
      </c>
      <c r="AP52" s="126">
        <f t="shared" si="41"/>
        <v>0</v>
      </c>
      <c r="AQ52" s="126">
        <f t="shared" si="42"/>
        <v>0</v>
      </c>
      <c r="AR52" s="126">
        <f t="shared" si="43"/>
        <v>0</v>
      </c>
      <c r="AS52" s="126">
        <f t="array" ref="AS52">_xlfn.IFS(S52=0,AL52,S52&lt;0,AL52/-S52,S52&gt;0,AL52/S52)</f>
        <v>0</v>
      </c>
      <c r="AT52" s="121">
        <f t="shared" si="44"/>
        <v>0</v>
      </c>
      <c r="AU52" s="121">
        <f t="shared" si="45"/>
        <v>0</v>
      </c>
      <c r="AV52" s="127"/>
      <c r="AW52" s="122">
        <f t="shared" si="46"/>
        <v>0</v>
      </c>
    </row>
    <row r="53" spans="1:49" hidden="1" outlineLevel="1">
      <c r="A53" s="116"/>
      <c r="B53" s="117"/>
      <c r="C53" s="117"/>
      <c r="D53" s="118"/>
      <c r="E53" s="119">
        <f t="shared" si="48"/>
        <v>0</v>
      </c>
      <c r="F53" s="119"/>
      <c r="G53" s="119"/>
      <c r="H53" s="119"/>
      <c r="I53" s="119"/>
      <c r="J53" s="119">
        <f t="shared" si="28"/>
        <v>0</v>
      </c>
      <c r="K53" s="116"/>
      <c r="L53" s="116"/>
      <c r="M53" s="116"/>
      <c r="N53" s="116"/>
      <c r="O53" s="119">
        <f t="shared" si="29"/>
        <v>0</v>
      </c>
      <c r="P53" s="119">
        <f t="shared" si="30"/>
        <v>0</v>
      </c>
      <c r="Q53" s="120"/>
      <c r="R53" s="120"/>
      <c r="S53" s="119">
        <f t="shared" si="31"/>
        <v>0</v>
      </c>
      <c r="T53" s="119"/>
      <c r="U53" s="119"/>
      <c r="V53" s="119">
        <f t="shared" si="32"/>
        <v>0</v>
      </c>
      <c r="W53" s="120"/>
      <c r="X53" s="120"/>
      <c r="Y53" s="119">
        <f t="shared" si="33"/>
        <v>0</v>
      </c>
      <c r="Z53" s="119">
        <f t="shared" si="34"/>
        <v>0</v>
      </c>
      <c r="AA53" s="121">
        <f t="shared" si="47"/>
        <v>0</v>
      </c>
      <c r="AB53" s="119">
        <f t="shared" si="35"/>
        <v>0</v>
      </c>
      <c r="AC53" s="120"/>
      <c r="AD53" s="121">
        <f t="shared" si="36"/>
        <v>0</v>
      </c>
      <c r="AE53" s="120"/>
      <c r="AF53" s="120"/>
      <c r="AG53" s="120"/>
      <c r="AH53" s="120"/>
      <c r="AI53" s="243"/>
      <c r="AJ53" s="120"/>
      <c r="AK53" s="122">
        <f t="shared" si="37"/>
        <v>0</v>
      </c>
      <c r="AL53" s="123">
        <f t="shared" si="38"/>
        <v>0</v>
      </c>
      <c r="AM53" s="124"/>
      <c r="AN53" s="125">
        <f t="shared" si="39"/>
        <v>0</v>
      </c>
      <c r="AO53" s="126">
        <f t="shared" si="40"/>
        <v>0</v>
      </c>
      <c r="AP53" s="126">
        <f t="shared" si="41"/>
        <v>0</v>
      </c>
      <c r="AQ53" s="126">
        <f t="shared" si="42"/>
        <v>0</v>
      </c>
      <c r="AR53" s="126">
        <f t="shared" si="43"/>
        <v>0</v>
      </c>
      <c r="AS53" s="126">
        <f t="array" ref="AS53">_xlfn.IFS(S53=0,AL53,S53&lt;0,AL53/-S53,S53&gt;0,AL53/S53)</f>
        <v>0</v>
      </c>
      <c r="AT53" s="121">
        <f t="shared" si="44"/>
        <v>0</v>
      </c>
      <c r="AU53" s="121">
        <f t="shared" si="45"/>
        <v>0</v>
      </c>
      <c r="AV53" s="127"/>
      <c r="AW53" s="122">
        <f t="shared" si="46"/>
        <v>0</v>
      </c>
    </row>
    <row r="54" spans="1:49" hidden="1" outlineLevel="1">
      <c r="A54" s="116"/>
      <c r="B54" s="117"/>
      <c r="C54" s="117"/>
      <c r="D54" s="118"/>
      <c r="E54" s="119">
        <f t="shared" si="48"/>
        <v>0</v>
      </c>
      <c r="F54" s="119"/>
      <c r="G54" s="119"/>
      <c r="H54" s="119"/>
      <c r="I54" s="119"/>
      <c r="J54" s="119">
        <f t="shared" si="28"/>
        <v>0</v>
      </c>
      <c r="K54" s="116"/>
      <c r="L54" s="116"/>
      <c r="M54" s="116"/>
      <c r="N54" s="116"/>
      <c r="O54" s="119">
        <f t="shared" si="29"/>
        <v>0</v>
      </c>
      <c r="P54" s="119">
        <f t="shared" si="30"/>
        <v>0</v>
      </c>
      <c r="Q54" s="120"/>
      <c r="R54" s="120"/>
      <c r="S54" s="119">
        <f t="shared" si="31"/>
        <v>0</v>
      </c>
      <c r="T54" s="119"/>
      <c r="U54" s="119"/>
      <c r="V54" s="119">
        <f t="shared" si="32"/>
        <v>0</v>
      </c>
      <c r="W54" s="120"/>
      <c r="X54" s="120"/>
      <c r="Y54" s="119">
        <f t="shared" si="33"/>
        <v>0</v>
      </c>
      <c r="Z54" s="119">
        <f t="shared" si="34"/>
        <v>0</v>
      </c>
      <c r="AA54" s="121">
        <f t="shared" si="47"/>
        <v>0</v>
      </c>
      <c r="AB54" s="119">
        <f t="shared" si="35"/>
        <v>0</v>
      </c>
      <c r="AC54" s="120"/>
      <c r="AD54" s="121">
        <f t="shared" si="36"/>
        <v>0</v>
      </c>
      <c r="AE54" s="120"/>
      <c r="AF54" s="120"/>
      <c r="AG54" s="120"/>
      <c r="AH54" s="120"/>
      <c r="AI54" s="243"/>
      <c r="AJ54" s="120"/>
      <c r="AK54" s="122">
        <f t="shared" si="37"/>
        <v>0</v>
      </c>
      <c r="AL54" s="123">
        <f t="shared" si="38"/>
        <v>0</v>
      </c>
      <c r="AM54" s="124"/>
      <c r="AN54" s="125">
        <f t="shared" si="39"/>
        <v>0</v>
      </c>
      <c r="AO54" s="126">
        <f t="shared" si="40"/>
        <v>0</v>
      </c>
      <c r="AP54" s="126">
        <f t="shared" si="41"/>
        <v>0</v>
      </c>
      <c r="AQ54" s="126">
        <f t="shared" si="42"/>
        <v>0</v>
      </c>
      <c r="AR54" s="126">
        <f t="shared" si="43"/>
        <v>0</v>
      </c>
      <c r="AS54" s="126">
        <f t="array" ref="AS54">_xlfn.IFS(S54=0,AL54,S54&lt;0,AL54/-S54,S54&gt;0,AL54/S54)</f>
        <v>0</v>
      </c>
      <c r="AT54" s="121">
        <f t="shared" si="44"/>
        <v>0</v>
      </c>
      <c r="AU54" s="121">
        <f t="shared" si="45"/>
        <v>0</v>
      </c>
      <c r="AV54" s="127"/>
      <c r="AW54" s="122">
        <f t="shared" si="46"/>
        <v>0</v>
      </c>
    </row>
    <row r="55" spans="1:49" hidden="1" outlineLevel="1">
      <c r="A55" s="116"/>
      <c r="B55" s="117"/>
      <c r="C55" s="117"/>
      <c r="D55" s="118"/>
      <c r="E55" s="119">
        <f t="shared" si="48"/>
        <v>0</v>
      </c>
      <c r="F55" s="119"/>
      <c r="G55" s="119"/>
      <c r="H55" s="119"/>
      <c r="I55" s="119"/>
      <c r="J55" s="119">
        <f t="shared" si="28"/>
        <v>0</v>
      </c>
      <c r="K55" s="116"/>
      <c r="L55" s="116"/>
      <c r="M55" s="116"/>
      <c r="N55" s="116"/>
      <c r="O55" s="119">
        <f t="shared" si="29"/>
        <v>0</v>
      </c>
      <c r="P55" s="119">
        <f t="shared" si="30"/>
        <v>0</v>
      </c>
      <c r="Q55" s="120"/>
      <c r="R55" s="120"/>
      <c r="S55" s="119">
        <f t="shared" si="31"/>
        <v>0</v>
      </c>
      <c r="T55" s="119"/>
      <c r="U55" s="119"/>
      <c r="V55" s="119">
        <f t="shared" si="32"/>
        <v>0</v>
      </c>
      <c r="W55" s="120"/>
      <c r="X55" s="120"/>
      <c r="Y55" s="119">
        <f t="shared" si="33"/>
        <v>0</v>
      </c>
      <c r="Z55" s="119">
        <f t="shared" si="34"/>
        <v>0</v>
      </c>
      <c r="AA55" s="121">
        <f t="shared" si="47"/>
        <v>0</v>
      </c>
      <c r="AB55" s="119">
        <f t="shared" si="35"/>
        <v>0</v>
      </c>
      <c r="AC55" s="120"/>
      <c r="AD55" s="121">
        <f t="shared" si="36"/>
        <v>0</v>
      </c>
      <c r="AE55" s="120"/>
      <c r="AF55" s="120"/>
      <c r="AG55" s="120"/>
      <c r="AH55" s="120"/>
      <c r="AI55" s="243"/>
      <c r="AJ55" s="120"/>
      <c r="AK55" s="122">
        <f t="shared" si="37"/>
        <v>0</v>
      </c>
      <c r="AL55" s="123">
        <f t="shared" si="38"/>
        <v>0</v>
      </c>
      <c r="AM55" s="124"/>
      <c r="AN55" s="125">
        <f t="shared" si="39"/>
        <v>0</v>
      </c>
      <c r="AO55" s="126">
        <f t="shared" si="40"/>
        <v>0</v>
      </c>
      <c r="AP55" s="126">
        <f t="shared" si="41"/>
        <v>0</v>
      </c>
      <c r="AQ55" s="126">
        <f t="shared" si="42"/>
        <v>0</v>
      </c>
      <c r="AR55" s="126">
        <f t="shared" si="43"/>
        <v>0</v>
      </c>
      <c r="AS55" s="126">
        <f t="array" ref="AS55">_xlfn.IFS(S55=0,AL55,S55&lt;0,AL55/-S55,S55&gt;0,AL55/S55)</f>
        <v>0</v>
      </c>
      <c r="AT55" s="121">
        <f t="shared" si="44"/>
        <v>0</v>
      </c>
      <c r="AU55" s="121">
        <f t="shared" si="45"/>
        <v>0</v>
      </c>
      <c r="AV55" s="127"/>
      <c r="AW55" s="122">
        <f t="shared" si="46"/>
        <v>0</v>
      </c>
    </row>
    <row r="56" spans="1:49" hidden="1" outlineLevel="1">
      <c r="A56" s="116"/>
      <c r="B56" s="117"/>
      <c r="C56" s="117"/>
      <c r="D56" s="118"/>
      <c r="E56" s="119">
        <f t="shared" si="48"/>
        <v>0</v>
      </c>
      <c r="F56" s="119"/>
      <c r="G56" s="119"/>
      <c r="H56" s="119"/>
      <c r="I56" s="119"/>
      <c r="J56" s="119">
        <f t="shared" si="28"/>
        <v>0</v>
      </c>
      <c r="K56" s="116"/>
      <c r="L56" s="116"/>
      <c r="M56" s="116"/>
      <c r="N56" s="116"/>
      <c r="O56" s="119">
        <f t="shared" si="29"/>
        <v>0</v>
      </c>
      <c r="P56" s="119">
        <f t="shared" si="30"/>
        <v>0</v>
      </c>
      <c r="Q56" s="120"/>
      <c r="R56" s="120"/>
      <c r="S56" s="119">
        <f t="shared" si="31"/>
        <v>0</v>
      </c>
      <c r="T56" s="119"/>
      <c r="U56" s="119"/>
      <c r="V56" s="119">
        <f t="shared" si="32"/>
        <v>0</v>
      </c>
      <c r="W56" s="120"/>
      <c r="X56" s="120"/>
      <c r="Y56" s="119">
        <f t="shared" si="33"/>
        <v>0</v>
      </c>
      <c r="Z56" s="119">
        <f t="shared" si="34"/>
        <v>0</v>
      </c>
      <c r="AA56" s="121">
        <f t="shared" si="47"/>
        <v>0</v>
      </c>
      <c r="AB56" s="119">
        <f t="shared" si="35"/>
        <v>0</v>
      </c>
      <c r="AC56" s="120"/>
      <c r="AD56" s="121">
        <f t="shared" si="36"/>
        <v>0</v>
      </c>
      <c r="AE56" s="120"/>
      <c r="AF56" s="120"/>
      <c r="AG56" s="120"/>
      <c r="AH56" s="120"/>
      <c r="AI56" s="243"/>
      <c r="AJ56" s="120"/>
      <c r="AK56" s="122">
        <f t="shared" si="37"/>
        <v>0</v>
      </c>
      <c r="AL56" s="123">
        <f t="shared" si="38"/>
        <v>0</v>
      </c>
      <c r="AM56" s="124"/>
      <c r="AN56" s="125">
        <f t="shared" si="39"/>
        <v>0</v>
      </c>
      <c r="AO56" s="126">
        <f t="shared" si="40"/>
        <v>0</v>
      </c>
      <c r="AP56" s="126">
        <f t="shared" si="41"/>
        <v>0</v>
      </c>
      <c r="AQ56" s="126">
        <f t="shared" si="42"/>
        <v>0</v>
      </c>
      <c r="AR56" s="126">
        <f t="shared" si="43"/>
        <v>0</v>
      </c>
      <c r="AS56" s="126">
        <f t="array" ref="AS56">_xlfn.IFS(S56=0,AL56,S56&lt;0,AL56/-S56,S56&gt;0,AL56/S56)</f>
        <v>0</v>
      </c>
      <c r="AT56" s="121">
        <f t="shared" si="44"/>
        <v>0</v>
      </c>
      <c r="AU56" s="121">
        <f t="shared" si="45"/>
        <v>0</v>
      </c>
      <c r="AV56" s="127"/>
      <c r="AW56" s="122">
        <f t="shared" si="46"/>
        <v>0</v>
      </c>
    </row>
    <row r="57" spans="1:49" hidden="1" outlineLevel="1">
      <c r="A57" s="116"/>
      <c r="B57" s="117"/>
      <c r="C57" s="117"/>
      <c r="D57" s="118"/>
      <c r="E57" s="119">
        <f t="shared" si="48"/>
        <v>0</v>
      </c>
      <c r="F57" s="119"/>
      <c r="G57" s="119"/>
      <c r="H57" s="119"/>
      <c r="I57" s="119"/>
      <c r="J57" s="119">
        <f t="shared" si="28"/>
        <v>0</v>
      </c>
      <c r="K57" s="116"/>
      <c r="L57" s="116"/>
      <c r="M57" s="116"/>
      <c r="N57" s="116"/>
      <c r="O57" s="119">
        <f t="shared" si="29"/>
        <v>0</v>
      </c>
      <c r="P57" s="119">
        <f t="shared" si="30"/>
        <v>0</v>
      </c>
      <c r="Q57" s="120"/>
      <c r="R57" s="120"/>
      <c r="S57" s="119">
        <f t="shared" si="31"/>
        <v>0</v>
      </c>
      <c r="T57" s="119"/>
      <c r="U57" s="119"/>
      <c r="V57" s="119">
        <f t="shared" si="32"/>
        <v>0</v>
      </c>
      <c r="W57" s="120"/>
      <c r="X57" s="120"/>
      <c r="Y57" s="119">
        <f t="shared" si="33"/>
        <v>0</v>
      </c>
      <c r="Z57" s="119">
        <f t="shared" si="34"/>
        <v>0</v>
      </c>
      <c r="AA57" s="121">
        <f t="shared" si="47"/>
        <v>0</v>
      </c>
      <c r="AB57" s="119">
        <f t="shared" si="35"/>
        <v>0</v>
      </c>
      <c r="AC57" s="120"/>
      <c r="AD57" s="121">
        <f t="shared" si="36"/>
        <v>0</v>
      </c>
      <c r="AE57" s="120"/>
      <c r="AF57" s="120"/>
      <c r="AG57" s="120"/>
      <c r="AH57" s="120"/>
      <c r="AI57" s="243"/>
      <c r="AJ57" s="120"/>
      <c r="AK57" s="122">
        <f t="shared" si="37"/>
        <v>0</v>
      </c>
      <c r="AL57" s="123">
        <f t="shared" si="38"/>
        <v>0</v>
      </c>
      <c r="AM57" s="124"/>
      <c r="AN57" s="125">
        <f t="shared" si="39"/>
        <v>0</v>
      </c>
      <c r="AO57" s="126">
        <f t="shared" si="40"/>
        <v>0</v>
      </c>
      <c r="AP57" s="126">
        <f t="shared" si="41"/>
        <v>0</v>
      </c>
      <c r="AQ57" s="126">
        <f t="shared" si="42"/>
        <v>0</v>
      </c>
      <c r="AR57" s="126">
        <f t="shared" si="43"/>
        <v>0</v>
      </c>
      <c r="AS57" s="126">
        <f t="array" ref="AS57">_xlfn.IFS(S57=0,AL57,S57&lt;0,AL57/-S57,S57&gt;0,AL57/S57)</f>
        <v>0</v>
      </c>
      <c r="AT57" s="121">
        <f t="shared" si="44"/>
        <v>0</v>
      </c>
      <c r="AU57" s="121">
        <f t="shared" si="45"/>
        <v>0</v>
      </c>
      <c r="AV57" s="127"/>
      <c r="AW57" s="122">
        <f t="shared" si="46"/>
        <v>0</v>
      </c>
    </row>
    <row r="58" spans="1:49" hidden="1" outlineLevel="1">
      <c r="A58" s="116"/>
      <c r="B58" s="117"/>
      <c r="C58" s="117"/>
      <c r="D58" s="118"/>
      <c r="E58" s="119">
        <f t="shared" si="48"/>
        <v>0</v>
      </c>
      <c r="F58" s="119"/>
      <c r="G58" s="119"/>
      <c r="H58" s="119"/>
      <c r="I58" s="119"/>
      <c r="J58" s="119">
        <f t="shared" si="28"/>
        <v>0</v>
      </c>
      <c r="K58" s="116"/>
      <c r="L58" s="116"/>
      <c r="M58" s="116"/>
      <c r="N58" s="116"/>
      <c r="O58" s="119">
        <f t="shared" si="29"/>
        <v>0</v>
      </c>
      <c r="P58" s="119">
        <f t="shared" si="30"/>
        <v>0</v>
      </c>
      <c r="Q58" s="120"/>
      <c r="R58" s="120"/>
      <c r="S58" s="119">
        <f t="shared" si="31"/>
        <v>0</v>
      </c>
      <c r="T58" s="119"/>
      <c r="U58" s="119"/>
      <c r="V58" s="119">
        <f t="shared" si="32"/>
        <v>0</v>
      </c>
      <c r="W58" s="120"/>
      <c r="X58" s="120"/>
      <c r="Y58" s="119">
        <f t="shared" si="33"/>
        <v>0</v>
      </c>
      <c r="Z58" s="119">
        <f t="shared" si="34"/>
        <v>0</v>
      </c>
      <c r="AA58" s="121">
        <f t="shared" si="47"/>
        <v>0</v>
      </c>
      <c r="AB58" s="119">
        <f t="shared" si="35"/>
        <v>0</v>
      </c>
      <c r="AC58" s="120"/>
      <c r="AD58" s="121">
        <f t="shared" si="36"/>
        <v>0</v>
      </c>
      <c r="AE58" s="120"/>
      <c r="AF58" s="120"/>
      <c r="AG58" s="120"/>
      <c r="AH58" s="120"/>
      <c r="AI58" s="243"/>
      <c r="AJ58" s="120"/>
      <c r="AK58" s="122">
        <f t="shared" si="37"/>
        <v>0</v>
      </c>
      <c r="AL58" s="123">
        <f t="shared" si="38"/>
        <v>0</v>
      </c>
      <c r="AM58" s="124"/>
      <c r="AN58" s="125">
        <f t="shared" si="39"/>
        <v>0</v>
      </c>
      <c r="AO58" s="126">
        <f t="shared" si="40"/>
        <v>0</v>
      </c>
      <c r="AP58" s="126">
        <f t="shared" si="41"/>
        <v>0</v>
      </c>
      <c r="AQ58" s="126">
        <f t="shared" si="42"/>
        <v>0</v>
      </c>
      <c r="AR58" s="126">
        <f t="shared" si="43"/>
        <v>0</v>
      </c>
      <c r="AS58" s="126">
        <f t="array" ref="AS58">_xlfn.IFS(S58=0,AL58,S58&lt;0,AL58/-S58,S58&gt;0,AL58/S58)</f>
        <v>0</v>
      </c>
      <c r="AT58" s="121">
        <f t="shared" si="44"/>
        <v>0</v>
      </c>
      <c r="AU58" s="121">
        <f t="shared" si="45"/>
        <v>0</v>
      </c>
      <c r="AV58" s="127"/>
      <c r="AW58" s="122">
        <f t="shared" si="46"/>
        <v>0</v>
      </c>
    </row>
    <row r="59" spans="1:49" hidden="1" outlineLevel="1">
      <c r="A59" s="116"/>
      <c r="B59" s="117"/>
      <c r="C59" s="117"/>
      <c r="D59" s="118"/>
      <c r="E59" s="119">
        <f t="shared" si="48"/>
        <v>0</v>
      </c>
      <c r="F59" s="119"/>
      <c r="G59" s="119"/>
      <c r="H59" s="119"/>
      <c r="I59" s="119"/>
      <c r="J59" s="119">
        <f t="shared" si="28"/>
        <v>0</v>
      </c>
      <c r="K59" s="116"/>
      <c r="L59" s="116"/>
      <c r="M59" s="116"/>
      <c r="N59" s="116"/>
      <c r="O59" s="119">
        <f t="shared" si="29"/>
        <v>0</v>
      </c>
      <c r="P59" s="119">
        <f t="shared" si="30"/>
        <v>0</v>
      </c>
      <c r="Q59" s="120"/>
      <c r="R59" s="120"/>
      <c r="S59" s="119">
        <f t="shared" si="31"/>
        <v>0</v>
      </c>
      <c r="T59" s="119"/>
      <c r="U59" s="119"/>
      <c r="V59" s="119">
        <f t="shared" si="32"/>
        <v>0</v>
      </c>
      <c r="W59" s="120"/>
      <c r="X59" s="120"/>
      <c r="Y59" s="119">
        <f t="shared" si="33"/>
        <v>0</v>
      </c>
      <c r="Z59" s="119">
        <f t="shared" si="34"/>
        <v>0</v>
      </c>
      <c r="AA59" s="121">
        <f t="shared" si="47"/>
        <v>0</v>
      </c>
      <c r="AB59" s="119">
        <f t="shared" si="35"/>
        <v>0</v>
      </c>
      <c r="AC59" s="120"/>
      <c r="AD59" s="121">
        <f t="shared" si="36"/>
        <v>0</v>
      </c>
      <c r="AE59" s="120"/>
      <c r="AF59" s="120"/>
      <c r="AG59" s="120"/>
      <c r="AH59" s="120"/>
      <c r="AI59" s="243"/>
      <c r="AJ59" s="120"/>
      <c r="AK59" s="122">
        <f t="shared" si="37"/>
        <v>0</v>
      </c>
      <c r="AL59" s="123">
        <f t="shared" si="38"/>
        <v>0</v>
      </c>
      <c r="AM59" s="124"/>
      <c r="AN59" s="125">
        <f t="shared" si="39"/>
        <v>0</v>
      </c>
      <c r="AO59" s="126">
        <f t="shared" si="40"/>
        <v>0</v>
      </c>
      <c r="AP59" s="126">
        <f t="shared" si="41"/>
        <v>0</v>
      </c>
      <c r="AQ59" s="126">
        <f t="shared" si="42"/>
        <v>0</v>
      </c>
      <c r="AR59" s="126">
        <f t="shared" si="43"/>
        <v>0</v>
      </c>
      <c r="AS59" s="126">
        <f t="array" ref="AS59">_xlfn.IFS(S59=0,AL59,S59&lt;0,AL59/-S59,S59&gt;0,AL59/S59)</f>
        <v>0</v>
      </c>
      <c r="AT59" s="121">
        <f t="shared" si="44"/>
        <v>0</v>
      </c>
      <c r="AU59" s="121">
        <f t="shared" si="45"/>
        <v>0</v>
      </c>
      <c r="AV59" s="127"/>
      <c r="AW59" s="122">
        <f t="shared" si="46"/>
        <v>0</v>
      </c>
    </row>
    <row r="60" spans="1:49" hidden="1" outlineLevel="1">
      <c r="A60" s="116"/>
      <c r="B60" s="117"/>
      <c r="C60" s="117"/>
      <c r="D60" s="118"/>
      <c r="E60" s="119">
        <f t="shared" si="48"/>
        <v>0</v>
      </c>
      <c r="F60" s="119"/>
      <c r="G60" s="119"/>
      <c r="H60" s="119"/>
      <c r="I60" s="119"/>
      <c r="J60" s="119">
        <f t="shared" si="28"/>
        <v>0</v>
      </c>
      <c r="K60" s="116"/>
      <c r="L60" s="116"/>
      <c r="M60" s="116"/>
      <c r="N60" s="116"/>
      <c r="O60" s="119">
        <f t="shared" si="29"/>
        <v>0</v>
      </c>
      <c r="P60" s="119">
        <f t="shared" si="30"/>
        <v>0</v>
      </c>
      <c r="Q60" s="120"/>
      <c r="R60" s="120"/>
      <c r="S60" s="119">
        <f t="shared" si="31"/>
        <v>0</v>
      </c>
      <c r="T60" s="119"/>
      <c r="U60" s="119"/>
      <c r="V60" s="119">
        <f t="shared" si="32"/>
        <v>0</v>
      </c>
      <c r="W60" s="120"/>
      <c r="X60" s="120"/>
      <c r="Y60" s="119">
        <f t="shared" si="33"/>
        <v>0</v>
      </c>
      <c r="Z60" s="119">
        <f t="shared" si="34"/>
        <v>0</v>
      </c>
      <c r="AA60" s="121">
        <f t="shared" si="47"/>
        <v>0</v>
      </c>
      <c r="AB60" s="119">
        <f t="shared" si="35"/>
        <v>0</v>
      </c>
      <c r="AC60" s="120"/>
      <c r="AD60" s="121">
        <f t="shared" si="36"/>
        <v>0</v>
      </c>
      <c r="AE60" s="120"/>
      <c r="AF60" s="120"/>
      <c r="AG60" s="120"/>
      <c r="AH60" s="120"/>
      <c r="AI60" s="243"/>
      <c r="AJ60" s="120"/>
      <c r="AK60" s="122">
        <f t="shared" si="37"/>
        <v>0</v>
      </c>
      <c r="AL60" s="123">
        <f t="shared" si="38"/>
        <v>0</v>
      </c>
      <c r="AM60" s="124"/>
      <c r="AN60" s="125">
        <f t="shared" si="39"/>
        <v>0</v>
      </c>
      <c r="AO60" s="126">
        <f t="shared" si="40"/>
        <v>0</v>
      </c>
      <c r="AP60" s="126">
        <f t="shared" si="41"/>
        <v>0</v>
      </c>
      <c r="AQ60" s="126">
        <f t="shared" si="42"/>
        <v>0</v>
      </c>
      <c r="AR60" s="126">
        <f t="shared" si="43"/>
        <v>0</v>
      </c>
      <c r="AS60" s="126">
        <f t="array" ref="AS60">_xlfn.IFS(S60=0,AL60,S60&lt;0,AL60/-S60,S60&gt;0,AL60/S60)</f>
        <v>0</v>
      </c>
      <c r="AT60" s="121">
        <f t="shared" si="44"/>
        <v>0</v>
      </c>
      <c r="AU60" s="121">
        <f t="shared" si="45"/>
        <v>0</v>
      </c>
      <c r="AV60" s="127"/>
      <c r="AW60" s="122">
        <f t="shared" si="46"/>
        <v>0</v>
      </c>
    </row>
    <row r="61" spans="1:49" hidden="1" outlineLevel="1">
      <c r="A61" s="116"/>
      <c r="B61" s="117"/>
      <c r="C61" s="117"/>
      <c r="D61" s="118"/>
      <c r="E61" s="119">
        <f t="shared" si="48"/>
        <v>0</v>
      </c>
      <c r="F61" s="119"/>
      <c r="G61" s="119"/>
      <c r="H61" s="119"/>
      <c r="I61" s="119"/>
      <c r="J61" s="119">
        <f t="shared" si="28"/>
        <v>0</v>
      </c>
      <c r="K61" s="116"/>
      <c r="L61" s="116"/>
      <c r="M61" s="116"/>
      <c r="N61" s="116"/>
      <c r="O61" s="119">
        <f t="shared" si="29"/>
        <v>0</v>
      </c>
      <c r="P61" s="119">
        <f t="shared" si="30"/>
        <v>0</v>
      </c>
      <c r="Q61" s="120"/>
      <c r="R61" s="120"/>
      <c r="S61" s="119">
        <f t="shared" si="31"/>
        <v>0</v>
      </c>
      <c r="T61" s="119"/>
      <c r="U61" s="119"/>
      <c r="V61" s="119">
        <f t="shared" si="32"/>
        <v>0</v>
      </c>
      <c r="W61" s="120"/>
      <c r="X61" s="120"/>
      <c r="Y61" s="119">
        <f t="shared" si="33"/>
        <v>0</v>
      </c>
      <c r="Z61" s="119">
        <f t="shared" si="34"/>
        <v>0</v>
      </c>
      <c r="AA61" s="121">
        <f t="shared" si="47"/>
        <v>0</v>
      </c>
      <c r="AB61" s="119">
        <f t="shared" si="35"/>
        <v>0</v>
      </c>
      <c r="AC61" s="120"/>
      <c r="AD61" s="121">
        <f t="shared" si="36"/>
        <v>0</v>
      </c>
      <c r="AE61" s="120"/>
      <c r="AF61" s="120"/>
      <c r="AG61" s="120"/>
      <c r="AH61" s="120"/>
      <c r="AI61" s="243"/>
      <c r="AJ61" s="120"/>
      <c r="AK61" s="122">
        <f t="shared" si="37"/>
        <v>0</v>
      </c>
      <c r="AL61" s="123">
        <f t="shared" si="38"/>
        <v>0</v>
      </c>
      <c r="AM61" s="124"/>
      <c r="AN61" s="125">
        <f t="shared" si="39"/>
        <v>0</v>
      </c>
      <c r="AO61" s="126">
        <f t="shared" si="40"/>
        <v>0</v>
      </c>
      <c r="AP61" s="126">
        <f t="shared" si="41"/>
        <v>0</v>
      </c>
      <c r="AQ61" s="126">
        <f t="shared" si="42"/>
        <v>0</v>
      </c>
      <c r="AR61" s="126">
        <f t="shared" si="43"/>
        <v>0</v>
      </c>
      <c r="AS61" s="126">
        <f t="array" ref="AS61">_xlfn.IFS(S61=0,AL61,S61&lt;0,AL61/-S61,S61&gt;0,AL61/S61)</f>
        <v>0</v>
      </c>
      <c r="AT61" s="121">
        <f t="shared" si="44"/>
        <v>0</v>
      </c>
      <c r="AU61" s="121">
        <f t="shared" si="45"/>
        <v>0</v>
      </c>
      <c r="AV61" s="127"/>
      <c r="AW61" s="122">
        <f t="shared" si="46"/>
        <v>0</v>
      </c>
    </row>
    <row r="62" spans="1:49" hidden="1" outlineLevel="1">
      <c r="A62" s="116"/>
      <c r="B62" s="117"/>
      <c r="C62" s="117"/>
      <c r="D62" s="118"/>
      <c r="E62" s="119">
        <f t="shared" si="48"/>
        <v>0</v>
      </c>
      <c r="F62" s="119"/>
      <c r="G62" s="119"/>
      <c r="H62" s="119"/>
      <c r="I62" s="119"/>
      <c r="J62" s="119">
        <f t="shared" si="28"/>
        <v>0</v>
      </c>
      <c r="K62" s="116"/>
      <c r="L62" s="116"/>
      <c r="M62" s="116"/>
      <c r="N62" s="116"/>
      <c r="O62" s="119">
        <f t="shared" si="29"/>
        <v>0</v>
      </c>
      <c r="P62" s="119">
        <f t="shared" si="30"/>
        <v>0</v>
      </c>
      <c r="Q62" s="120"/>
      <c r="R62" s="120"/>
      <c r="S62" s="119">
        <f t="shared" si="31"/>
        <v>0</v>
      </c>
      <c r="T62" s="119"/>
      <c r="U62" s="119"/>
      <c r="V62" s="119">
        <f t="shared" si="32"/>
        <v>0</v>
      </c>
      <c r="W62" s="120"/>
      <c r="X62" s="120"/>
      <c r="Y62" s="119">
        <f t="shared" si="33"/>
        <v>0</v>
      </c>
      <c r="Z62" s="119">
        <f t="shared" si="34"/>
        <v>0</v>
      </c>
      <c r="AA62" s="121">
        <f t="shared" si="47"/>
        <v>0</v>
      </c>
      <c r="AB62" s="119">
        <f t="shared" si="35"/>
        <v>0</v>
      </c>
      <c r="AC62" s="120"/>
      <c r="AD62" s="121">
        <f t="shared" si="36"/>
        <v>0</v>
      </c>
      <c r="AE62" s="120"/>
      <c r="AF62" s="120"/>
      <c r="AG62" s="120"/>
      <c r="AH62" s="120"/>
      <c r="AI62" s="243"/>
      <c r="AJ62" s="120"/>
      <c r="AK62" s="122">
        <f t="shared" si="37"/>
        <v>0</v>
      </c>
      <c r="AL62" s="123">
        <f t="shared" si="38"/>
        <v>0</v>
      </c>
      <c r="AM62" s="124"/>
      <c r="AN62" s="125">
        <f t="shared" si="39"/>
        <v>0</v>
      </c>
      <c r="AO62" s="126">
        <f t="shared" si="40"/>
        <v>0</v>
      </c>
      <c r="AP62" s="126">
        <f t="shared" si="41"/>
        <v>0</v>
      </c>
      <c r="AQ62" s="126">
        <f t="shared" si="42"/>
        <v>0</v>
      </c>
      <c r="AR62" s="126">
        <f t="shared" si="43"/>
        <v>0</v>
      </c>
      <c r="AS62" s="126">
        <f t="array" ref="AS62">_xlfn.IFS(S62=0,AL62,S62&lt;0,AL62/-S62,S62&gt;0,AL62/S62)</f>
        <v>0</v>
      </c>
      <c r="AT62" s="121">
        <f t="shared" si="44"/>
        <v>0</v>
      </c>
      <c r="AU62" s="121">
        <f t="shared" si="45"/>
        <v>0</v>
      </c>
      <c r="AV62" s="127"/>
      <c r="AW62" s="122">
        <f t="shared" si="46"/>
        <v>0</v>
      </c>
    </row>
    <row r="63" spans="1:49" hidden="1" outlineLevel="1">
      <c r="A63" s="116"/>
      <c r="B63" s="117"/>
      <c r="C63" s="117"/>
      <c r="D63" s="151"/>
      <c r="E63" s="120">
        <f t="shared" si="48"/>
        <v>0</v>
      </c>
      <c r="F63" s="119"/>
      <c r="G63" s="119"/>
      <c r="H63" s="119"/>
      <c r="I63" s="119"/>
      <c r="J63" s="119">
        <f t="shared" si="28"/>
        <v>0</v>
      </c>
      <c r="K63" s="116"/>
      <c r="L63" s="116"/>
      <c r="M63" s="116"/>
      <c r="N63" s="116"/>
      <c r="O63" s="119">
        <f t="shared" si="29"/>
        <v>0</v>
      </c>
      <c r="P63" s="119">
        <f t="shared" si="30"/>
        <v>0</v>
      </c>
      <c r="Q63" s="120"/>
      <c r="R63" s="120"/>
      <c r="S63" s="119">
        <f t="shared" si="31"/>
        <v>0</v>
      </c>
      <c r="T63" s="119"/>
      <c r="U63" s="119"/>
      <c r="V63" s="119">
        <f t="shared" si="32"/>
        <v>0</v>
      </c>
      <c r="W63" s="120"/>
      <c r="X63" s="120"/>
      <c r="Y63" s="119">
        <f t="shared" si="33"/>
        <v>0</v>
      </c>
      <c r="Z63" s="119">
        <f t="shared" si="34"/>
        <v>0</v>
      </c>
      <c r="AA63" s="121">
        <f t="shared" si="47"/>
        <v>0</v>
      </c>
      <c r="AB63" s="119">
        <f t="shared" si="35"/>
        <v>0</v>
      </c>
      <c r="AC63" s="120"/>
      <c r="AD63" s="121">
        <f t="shared" si="36"/>
        <v>0</v>
      </c>
      <c r="AE63" s="120"/>
      <c r="AF63" s="120"/>
      <c r="AG63" s="120"/>
      <c r="AH63" s="120"/>
      <c r="AI63" s="243"/>
      <c r="AJ63" s="120"/>
      <c r="AK63" s="122">
        <f t="shared" si="37"/>
        <v>0</v>
      </c>
      <c r="AL63" s="123">
        <f t="shared" si="38"/>
        <v>0</v>
      </c>
      <c r="AM63" s="124"/>
      <c r="AN63" s="125">
        <f t="shared" si="39"/>
        <v>0</v>
      </c>
      <c r="AO63" s="126">
        <f t="shared" si="40"/>
        <v>0</v>
      </c>
      <c r="AP63" s="126">
        <f t="shared" si="41"/>
        <v>0</v>
      </c>
      <c r="AQ63" s="126">
        <f t="shared" si="42"/>
        <v>0</v>
      </c>
      <c r="AR63" s="126">
        <f t="shared" si="43"/>
        <v>0</v>
      </c>
      <c r="AS63" s="126">
        <f t="array" ref="AS63">_xlfn.IFS(S63=0,AL63,S63&lt;0,AL63/-S63,S63&gt;0,AL63/S63)</f>
        <v>0</v>
      </c>
      <c r="AT63" s="121">
        <f t="shared" si="44"/>
        <v>0</v>
      </c>
      <c r="AU63" s="121">
        <f t="shared" si="45"/>
        <v>0</v>
      </c>
      <c r="AV63" s="127"/>
      <c r="AW63" s="122">
        <f t="shared" si="46"/>
        <v>0</v>
      </c>
    </row>
    <row r="64" spans="1:49" hidden="1" outlineLevel="1">
      <c r="A64" s="116"/>
      <c r="B64" s="117"/>
      <c r="C64" s="117"/>
      <c r="D64" s="151"/>
      <c r="E64" s="120">
        <f t="shared" si="48"/>
        <v>0</v>
      </c>
      <c r="F64" s="119"/>
      <c r="G64" s="119"/>
      <c r="H64" s="119"/>
      <c r="I64" s="119"/>
      <c r="J64" s="119">
        <f t="shared" si="28"/>
        <v>0</v>
      </c>
      <c r="K64" s="116"/>
      <c r="L64" s="116"/>
      <c r="M64" s="116"/>
      <c r="N64" s="116"/>
      <c r="O64" s="119">
        <f t="shared" si="29"/>
        <v>0</v>
      </c>
      <c r="P64" s="119">
        <f t="shared" si="30"/>
        <v>0</v>
      </c>
      <c r="Q64" s="120"/>
      <c r="R64" s="120"/>
      <c r="S64" s="119">
        <f t="shared" si="31"/>
        <v>0</v>
      </c>
      <c r="T64" s="119"/>
      <c r="U64" s="119"/>
      <c r="V64" s="119">
        <f t="shared" si="32"/>
        <v>0</v>
      </c>
      <c r="W64" s="120"/>
      <c r="X64" s="120"/>
      <c r="Y64" s="119">
        <f t="shared" si="33"/>
        <v>0</v>
      </c>
      <c r="Z64" s="119">
        <f t="shared" si="34"/>
        <v>0</v>
      </c>
      <c r="AA64" s="121">
        <f t="shared" si="47"/>
        <v>0</v>
      </c>
      <c r="AB64" s="119">
        <f t="shared" si="35"/>
        <v>0</v>
      </c>
      <c r="AC64" s="120"/>
      <c r="AD64" s="121">
        <f t="shared" si="36"/>
        <v>0</v>
      </c>
      <c r="AE64" s="120"/>
      <c r="AF64" s="120"/>
      <c r="AG64" s="120"/>
      <c r="AH64" s="120"/>
      <c r="AI64" s="243"/>
      <c r="AJ64" s="120"/>
      <c r="AK64" s="122">
        <f t="shared" si="37"/>
        <v>0</v>
      </c>
      <c r="AL64" s="123">
        <f t="shared" si="38"/>
        <v>0</v>
      </c>
      <c r="AM64" s="124"/>
      <c r="AN64" s="125">
        <f t="shared" si="39"/>
        <v>0</v>
      </c>
      <c r="AO64" s="126">
        <f t="shared" si="40"/>
        <v>0</v>
      </c>
      <c r="AP64" s="126">
        <f t="shared" si="41"/>
        <v>0</v>
      </c>
      <c r="AQ64" s="126">
        <f t="shared" si="42"/>
        <v>0</v>
      </c>
      <c r="AR64" s="126">
        <f t="shared" si="43"/>
        <v>0</v>
      </c>
      <c r="AS64" s="126">
        <f t="array" ref="AS64">_xlfn.IFS(S64=0,AL64,S64&lt;0,AL64/-S64,S64&gt;0,AL64/S64)</f>
        <v>0</v>
      </c>
      <c r="AT64" s="121">
        <f t="shared" si="44"/>
        <v>0</v>
      </c>
      <c r="AU64" s="121">
        <f t="shared" si="45"/>
        <v>0</v>
      </c>
      <c r="AV64" s="127"/>
      <c r="AW64" s="122">
        <f t="shared" si="46"/>
        <v>0</v>
      </c>
    </row>
    <row r="65" spans="1:49" hidden="1" outlineLevel="1">
      <c r="A65" s="116"/>
      <c r="B65" s="117"/>
      <c r="C65" s="117"/>
      <c r="D65" s="151"/>
      <c r="E65" s="120">
        <f t="shared" si="48"/>
        <v>0</v>
      </c>
      <c r="F65" s="119"/>
      <c r="G65" s="119"/>
      <c r="H65" s="119"/>
      <c r="I65" s="119"/>
      <c r="J65" s="119">
        <f t="shared" si="28"/>
        <v>0</v>
      </c>
      <c r="K65" s="116"/>
      <c r="L65" s="116"/>
      <c r="M65" s="116"/>
      <c r="N65" s="116"/>
      <c r="O65" s="119">
        <f t="shared" si="29"/>
        <v>0</v>
      </c>
      <c r="P65" s="119">
        <f t="shared" si="30"/>
        <v>0</v>
      </c>
      <c r="Q65" s="120"/>
      <c r="R65" s="120"/>
      <c r="S65" s="119">
        <f t="shared" si="31"/>
        <v>0</v>
      </c>
      <c r="T65" s="119"/>
      <c r="U65" s="119"/>
      <c r="V65" s="119">
        <f t="shared" si="32"/>
        <v>0</v>
      </c>
      <c r="W65" s="120"/>
      <c r="X65" s="120"/>
      <c r="Y65" s="119">
        <f t="shared" si="33"/>
        <v>0</v>
      </c>
      <c r="Z65" s="119">
        <f t="shared" si="34"/>
        <v>0</v>
      </c>
      <c r="AA65" s="121">
        <f t="shared" si="47"/>
        <v>0</v>
      </c>
      <c r="AB65" s="119">
        <f t="shared" si="35"/>
        <v>0</v>
      </c>
      <c r="AC65" s="120"/>
      <c r="AD65" s="121">
        <f t="shared" si="36"/>
        <v>0</v>
      </c>
      <c r="AE65" s="120"/>
      <c r="AF65" s="120"/>
      <c r="AG65" s="120"/>
      <c r="AH65" s="120"/>
      <c r="AI65" s="243"/>
      <c r="AJ65" s="120"/>
      <c r="AK65" s="122">
        <f t="shared" si="37"/>
        <v>0</v>
      </c>
      <c r="AL65" s="123">
        <f t="shared" si="38"/>
        <v>0</v>
      </c>
      <c r="AM65" s="124"/>
      <c r="AN65" s="125">
        <f t="shared" si="39"/>
        <v>0</v>
      </c>
      <c r="AO65" s="126">
        <f t="shared" si="40"/>
        <v>0</v>
      </c>
      <c r="AP65" s="126">
        <f t="shared" si="41"/>
        <v>0</v>
      </c>
      <c r="AQ65" s="126">
        <f t="shared" si="42"/>
        <v>0</v>
      </c>
      <c r="AR65" s="126">
        <f t="shared" si="43"/>
        <v>0</v>
      </c>
      <c r="AS65" s="126">
        <f t="array" ref="AS65">_xlfn.IFS(S65=0,AL65,S65&lt;0,AL65/-S65,S65&gt;0,AL65/S65)</f>
        <v>0</v>
      </c>
      <c r="AT65" s="121">
        <f t="shared" si="44"/>
        <v>0</v>
      </c>
      <c r="AU65" s="121">
        <f t="shared" si="45"/>
        <v>0</v>
      </c>
      <c r="AV65" s="127"/>
      <c r="AW65" s="122">
        <f t="shared" si="46"/>
        <v>0</v>
      </c>
    </row>
    <row r="66" spans="1:49" hidden="1" outlineLevel="1">
      <c r="A66" s="116"/>
      <c r="B66" s="117"/>
      <c r="C66" s="117"/>
      <c r="D66" s="151"/>
      <c r="E66" s="120">
        <f t="shared" si="48"/>
        <v>0</v>
      </c>
      <c r="F66" s="119"/>
      <c r="G66" s="119"/>
      <c r="H66" s="119"/>
      <c r="I66" s="119"/>
      <c r="J66" s="119">
        <f t="shared" si="28"/>
        <v>0</v>
      </c>
      <c r="K66" s="116"/>
      <c r="L66" s="116"/>
      <c r="M66" s="116"/>
      <c r="N66" s="116"/>
      <c r="O66" s="119">
        <f t="shared" si="29"/>
        <v>0</v>
      </c>
      <c r="P66" s="119">
        <f t="shared" si="30"/>
        <v>0</v>
      </c>
      <c r="Q66" s="120"/>
      <c r="R66" s="120"/>
      <c r="S66" s="119">
        <f t="shared" si="31"/>
        <v>0</v>
      </c>
      <c r="T66" s="119"/>
      <c r="U66" s="119"/>
      <c r="V66" s="119">
        <f t="shared" si="32"/>
        <v>0</v>
      </c>
      <c r="W66" s="120"/>
      <c r="X66" s="120"/>
      <c r="Y66" s="119">
        <f t="shared" si="33"/>
        <v>0</v>
      </c>
      <c r="Z66" s="119">
        <f>L66*M66*N66/100</f>
        <v>0</v>
      </c>
      <c r="AA66" s="121">
        <f t="shared" si="47"/>
        <v>0</v>
      </c>
      <c r="AB66" s="119">
        <f t="shared" si="35"/>
        <v>0</v>
      </c>
      <c r="AC66" s="120"/>
      <c r="AD66" s="121">
        <f t="shared" si="36"/>
        <v>0</v>
      </c>
      <c r="AE66" s="120"/>
      <c r="AF66" s="120"/>
      <c r="AG66" s="120"/>
      <c r="AH66" s="120"/>
      <c r="AI66" s="243"/>
      <c r="AJ66" s="120"/>
      <c r="AK66" s="122">
        <f t="shared" si="37"/>
        <v>0</v>
      </c>
      <c r="AL66" s="123">
        <f t="shared" si="38"/>
        <v>0</v>
      </c>
      <c r="AM66" s="124"/>
      <c r="AN66" s="125">
        <f t="shared" si="39"/>
        <v>0</v>
      </c>
      <c r="AO66" s="126">
        <f t="shared" si="40"/>
        <v>0</v>
      </c>
      <c r="AP66" s="126">
        <f t="shared" si="41"/>
        <v>0</v>
      </c>
      <c r="AQ66" s="126">
        <f t="shared" si="42"/>
        <v>0</v>
      </c>
      <c r="AR66" s="126">
        <f t="shared" si="43"/>
        <v>0</v>
      </c>
      <c r="AS66" s="126">
        <f t="array" ref="AS66">_xlfn.IFS(S66=0,AL66,S66&lt;0,AL66/-S66,S66&gt;0,AL66/S66)</f>
        <v>0</v>
      </c>
      <c r="AT66" s="121">
        <f t="shared" si="44"/>
        <v>0</v>
      </c>
      <c r="AU66" s="121">
        <f t="shared" si="45"/>
        <v>0</v>
      </c>
      <c r="AV66" s="127"/>
      <c r="AW66" s="122">
        <f t="shared" si="46"/>
        <v>0</v>
      </c>
    </row>
    <row r="67" spans="1:49" hidden="1" outlineLevel="1">
      <c r="A67" s="116"/>
      <c r="B67" s="117"/>
      <c r="C67" s="117"/>
      <c r="D67" s="151"/>
      <c r="E67" s="120">
        <f t="shared" si="48"/>
        <v>0</v>
      </c>
      <c r="F67" s="119"/>
      <c r="G67" s="119"/>
      <c r="H67" s="119"/>
      <c r="I67" s="119"/>
      <c r="J67" s="119">
        <f t="shared" si="28"/>
        <v>0</v>
      </c>
      <c r="K67" s="116"/>
      <c r="L67" s="116"/>
      <c r="M67" s="116"/>
      <c r="N67" s="116"/>
      <c r="O67" s="119">
        <f t="shared" si="29"/>
        <v>0</v>
      </c>
      <c r="P67" s="119">
        <f t="shared" si="30"/>
        <v>0</v>
      </c>
      <c r="Q67" s="120"/>
      <c r="R67" s="120"/>
      <c r="S67" s="119">
        <f t="shared" si="31"/>
        <v>0</v>
      </c>
      <c r="T67" s="119"/>
      <c r="U67" s="119"/>
      <c r="V67" s="119">
        <f t="shared" si="32"/>
        <v>0</v>
      </c>
      <c r="W67" s="120"/>
      <c r="X67" s="120"/>
      <c r="Y67" s="119">
        <f t="shared" si="33"/>
        <v>0</v>
      </c>
      <c r="Z67" s="119">
        <f t="shared" ref="Z67:Z70" si="49">L67*M67*N67/100</f>
        <v>0</v>
      </c>
      <c r="AA67" s="121">
        <f t="shared" si="47"/>
        <v>0</v>
      </c>
      <c r="AB67" s="119">
        <f t="shared" si="35"/>
        <v>0</v>
      </c>
      <c r="AC67" s="120"/>
      <c r="AD67" s="121">
        <f t="shared" si="36"/>
        <v>0</v>
      </c>
      <c r="AE67" s="120"/>
      <c r="AF67" s="120"/>
      <c r="AG67" s="120"/>
      <c r="AH67" s="120"/>
      <c r="AI67" s="243"/>
      <c r="AJ67" s="120"/>
      <c r="AK67" s="122">
        <f t="shared" si="37"/>
        <v>0</v>
      </c>
      <c r="AL67" s="123">
        <f t="shared" si="38"/>
        <v>0</v>
      </c>
      <c r="AM67" s="124"/>
      <c r="AN67" s="125">
        <f t="shared" si="39"/>
        <v>0</v>
      </c>
      <c r="AO67" s="126">
        <f t="shared" si="40"/>
        <v>0</v>
      </c>
      <c r="AP67" s="126">
        <f t="shared" si="41"/>
        <v>0</v>
      </c>
      <c r="AQ67" s="126">
        <f t="shared" si="42"/>
        <v>0</v>
      </c>
      <c r="AR67" s="126">
        <f t="shared" si="43"/>
        <v>0</v>
      </c>
      <c r="AS67" s="126">
        <f t="array" ref="AS67">_xlfn.IFS(S67=0,AL67,S67&lt;0,AL67/-S67,S67&gt;0,AL67/S67)</f>
        <v>0</v>
      </c>
      <c r="AT67" s="121">
        <f t="shared" si="44"/>
        <v>0</v>
      </c>
      <c r="AU67" s="121">
        <f t="shared" si="45"/>
        <v>0</v>
      </c>
      <c r="AV67" s="127"/>
      <c r="AW67" s="122">
        <f t="shared" si="46"/>
        <v>0</v>
      </c>
    </row>
    <row r="68" spans="1:49" hidden="1" outlineLevel="1">
      <c r="A68" s="116"/>
      <c r="B68" s="117"/>
      <c r="C68" s="117"/>
      <c r="D68" s="118"/>
      <c r="E68" s="119">
        <f t="shared" si="48"/>
        <v>0</v>
      </c>
      <c r="F68" s="119"/>
      <c r="G68" s="119"/>
      <c r="H68" s="119"/>
      <c r="I68" s="119"/>
      <c r="J68" s="119">
        <f t="shared" si="28"/>
        <v>0</v>
      </c>
      <c r="K68" s="116"/>
      <c r="L68" s="116"/>
      <c r="M68" s="116"/>
      <c r="N68" s="116"/>
      <c r="O68" s="119">
        <f t="shared" si="29"/>
        <v>0</v>
      </c>
      <c r="P68" s="119">
        <f t="shared" si="30"/>
        <v>0</v>
      </c>
      <c r="Q68" s="120"/>
      <c r="R68" s="120"/>
      <c r="S68" s="119">
        <f t="shared" si="31"/>
        <v>0</v>
      </c>
      <c r="T68" s="119"/>
      <c r="U68" s="119"/>
      <c r="V68" s="119">
        <f t="shared" si="32"/>
        <v>0</v>
      </c>
      <c r="W68" s="120"/>
      <c r="X68" s="120"/>
      <c r="Y68" s="119">
        <f t="shared" si="33"/>
        <v>0</v>
      </c>
      <c r="Z68" s="119">
        <f t="shared" si="49"/>
        <v>0</v>
      </c>
      <c r="AA68" s="121">
        <f t="shared" si="47"/>
        <v>0</v>
      </c>
      <c r="AB68" s="119">
        <f t="shared" si="35"/>
        <v>0</v>
      </c>
      <c r="AC68" s="120"/>
      <c r="AD68" s="121">
        <f t="shared" si="36"/>
        <v>0</v>
      </c>
      <c r="AE68" s="120"/>
      <c r="AF68" s="120"/>
      <c r="AG68" s="120"/>
      <c r="AH68" s="120"/>
      <c r="AI68" s="243"/>
      <c r="AJ68" s="120"/>
      <c r="AK68" s="122">
        <f t="shared" si="37"/>
        <v>0</v>
      </c>
      <c r="AL68" s="123">
        <f t="shared" si="38"/>
        <v>0</v>
      </c>
      <c r="AM68" s="124"/>
      <c r="AN68" s="125">
        <f t="shared" si="39"/>
        <v>0</v>
      </c>
      <c r="AO68" s="126">
        <f t="shared" si="40"/>
        <v>0</v>
      </c>
      <c r="AP68" s="126">
        <f t="shared" si="41"/>
        <v>0</v>
      </c>
      <c r="AQ68" s="126">
        <f t="shared" si="42"/>
        <v>0</v>
      </c>
      <c r="AR68" s="126">
        <f t="shared" si="43"/>
        <v>0</v>
      </c>
      <c r="AS68" s="126">
        <f t="array" ref="AS68">_xlfn.IFS(S68=0,AL68,S68&lt;0,AL68/-S68,S68&gt;0,AL68/S68)</f>
        <v>0</v>
      </c>
      <c r="AT68" s="121">
        <f t="shared" si="44"/>
        <v>0</v>
      </c>
      <c r="AU68" s="121">
        <f t="shared" si="45"/>
        <v>0</v>
      </c>
      <c r="AV68" s="127"/>
      <c r="AW68" s="122">
        <f t="shared" si="46"/>
        <v>0</v>
      </c>
    </row>
    <row r="69" spans="1:49" hidden="1" outlineLevel="1">
      <c r="A69" s="116"/>
      <c r="B69" s="117"/>
      <c r="C69" s="117"/>
      <c r="D69" s="118"/>
      <c r="E69" s="119">
        <f t="shared" si="48"/>
        <v>0</v>
      </c>
      <c r="F69" s="119"/>
      <c r="G69" s="119"/>
      <c r="H69" s="119"/>
      <c r="I69" s="119"/>
      <c r="J69" s="119">
        <f t="shared" si="28"/>
        <v>0</v>
      </c>
      <c r="K69" s="116"/>
      <c r="L69" s="116"/>
      <c r="M69" s="116"/>
      <c r="N69" s="116"/>
      <c r="O69" s="119">
        <f t="shared" si="29"/>
        <v>0</v>
      </c>
      <c r="P69" s="119">
        <f t="shared" si="30"/>
        <v>0</v>
      </c>
      <c r="Q69" s="120"/>
      <c r="R69" s="120"/>
      <c r="S69" s="119">
        <f t="shared" si="31"/>
        <v>0</v>
      </c>
      <c r="T69" s="119"/>
      <c r="U69" s="119"/>
      <c r="V69" s="119">
        <f t="shared" si="32"/>
        <v>0</v>
      </c>
      <c r="W69" s="120"/>
      <c r="X69" s="120"/>
      <c r="Y69" s="119">
        <f t="shared" si="33"/>
        <v>0</v>
      </c>
      <c r="Z69" s="119">
        <f t="shared" si="49"/>
        <v>0</v>
      </c>
      <c r="AA69" s="121">
        <f t="shared" si="47"/>
        <v>0</v>
      </c>
      <c r="AB69" s="119">
        <f t="shared" si="35"/>
        <v>0</v>
      </c>
      <c r="AC69" s="120"/>
      <c r="AD69" s="121">
        <f t="shared" si="36"/>
        <v>0</v>
      </c>
      <c r="AE69" s="120"/>
      <c r="AF69" s="120"/>
      <c r="AG69" s="120"/>
      <c r="AH69" s="120"/>
      <c r="AI69" s="243"/>
      <c r="AJ69" s="120"/>
      <c r="AK69" s="122">
        <f t="shared" si="37"/>
        <v>0</v>
      </c>
      <c r="AL69" s="123">
        <f t="shared" si="38"/>
        <v>0</v>
      </c>
      <c r="AM69" s="124"/>
      <c r="AN69" s="125">
        <f t="shared" si="39"/>
        <v>0</v>
      </c>
      <c r="AO69" s="126">
        <f t="shared" si="40"/>
        <v>0</v>
      </c>
      <c r="AP69" s="126">
        <f t="shared" si="41"/>
        <v>0</v>
      </c>
      <c r="AQ69" s="126">
        <f t="shared" si="42"/>
        <v>0</v>
      </c>
      <c r="AR69" s="126">
        <f t="shared" si="43"/>
        <v>0</v>
      </c>
      <c r="AS69" s="126">
        <f t="array" ref="AS69">_xlfn.IFS(S69=0,AL69,S69&lt;0,AL69/-S69,S69&gt;0,AL69/S69)</f>
        <v>0</v>
      </c>
      <c r="AT69" s="121">
        <f t="shared" si="44"/>
        <v>0</v>
      </c>
      <c r="AU69" s="121">
        <f t="shared" si="45"/>
        <v>0</v>
      </c>
      <c r="AV69" s="127"/>
      <c r="AW69" s="122">
        <f t="shared" si="46"/>
        <v>0</v>
      </c>
    </row>
    <row r="70" spans="1:49" hidden="1" outlineLevel="1">
      <c r="A70" s="116"/>
      <c r="B70" s="117"/>
      <c r="C70" s="117"/>
      <c r="D70" s="118"/>
      <c r="E70" s="119">
        <f t="shared" si="48"/>
        <v>0</v>
      </c>
      <c r="F70" s="119"/>
      <c r="G70" s="119"/>
      <c r="H70" s="119"/>
      <c r="I70" s="119"/>
      <c r="J70" s="119">
        <f t="shared" si="28"/>
        <v>0</v>
      </c>
      <c r="K70" s="116"/>
      <c r="L70" s="116"/>
      <c r="M70" s="116"/>
      <c r="N70" s="116"/>
      <c r="O70" s="119">
        <f t="shared" si="29"/>
        <v>0</v>
      </c>
      <c r="P70" s="119">
        <f t="shared" si="30"/>
        <v>0</v>
      </c>
      <c r="Q70" s="120"/>
      <c r="R70" s="120"/>
      <c r="S70" s="119">
        <f t="shared" si="31"/>
        <v>0</v>
      </c>
      <c r="T70" s="119"/>
      <c r="U70" s="119"/>
      <c r="V70" s="119">
        <f t="shared" si="32"/>
        <v>0</v>
      </c>
      <c r="W70" s="120"/>
      <c r="X70" s="120"/>
      <c r="Y70" s="119">
        <f t="shared" si="33"/>
        <v>0</v>
      </c>
      <c r="Z70" s="119">
        <f t="shared" si="49"/>
        <v>0</v>
      </c>
      <c r="AA70" s="121">
        <f t="shared" si="47"/>
        <v>0</v>
      </c>
      <c r="AB70" s="119">
        <f t="shared" si="35"/>
        <v>0</v>
      </c>
      <c r="AC70" s="120"/>
      <c r="AD70" s="121">
        <f t="shared" si="36"/>
        <v>0</v>
      </c>
      <c r="AE70" s="120"/>
      <c r="AF70" s="120"/>
      <c r="AG70" s="120"/>
      <c r="AH70" s="120"/>
      <c r="AI70" s="243"/>
      <c r="AJ70" s="120"/>
      <c r="AK70" s="122">
        <f t="shared" si="37"/>
        <v>0</v>
      </c>
      <c r="AL70" s="123">
        <f t="shared" si="38"/>
        <v>0</v>
      </c>
      <c r="AM70" s="124"/>
      <c r="AN70" s="125">
        <f t="shared" si="39"/>
        <v>0</v>
      </c>
      <c r="AO70" s="126">
        <f t="shared" si="40"/>
        <v>0</v>
      </c>
      <c r="AP70" s="126">
        <f t="shared" si="41"/>
        <v>0</v>
      </c>
      <c r="AQ70" s="126">
        <f t="shared" si="42"/>
        <v>0</v>
      </c>
      <c r="AR70" s="126">
        <f t="shared" si="43"/>
        <v>0</v>
      </c>
      <c r="AS70" s="126">
        <f t="array" ref="AS70">_xlfn.IFS(S70=0,AL70,S70&lt;0,AL70/-S70,S70&gt;0,AL70/S70)</f>
        <v>0</v>
      </c>
      <c r="AT70" s="121">
        <f t="shared" si="44"/>
        <v>0</v>
      </c>
      <c r="AU70" s="121">
        <f t="shared" si="45"/>
        <v>0</v>
      </c>
      <c r="AV70" s="127"/>
      <c r="AW70" s="122">
        <f t="shared" si="46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0">AVERAGE(AO19:AO70)</f>
        <v>0</v>
      </c>
      <c r="AP71" s="163">
        <f t="shared" si="50"/>
        <v>0</v>
      </c>
      <c r="AQ71" s="163">
        <f t="shared" si="50"/>
        <v>0</v>
      </c>
      <c r="AR71" s="163">
        <f t="shared" si="50"/>
        <v>0</v>
      </c>
      <c r="AS71" s="163">
        <f t="shared" si="50"/>
        <v>0</v>
      </c>
      <c r="AT71" s="164">
        <f t="shared" si="50"/>
        <v>0</v>
      </c>
      <c r="AU71" s="164">
        <f t="shared" si="50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1">SUM(Q19:Q70)</f>
        <v>0</v>
      </c>
      <c r="R72" s="167">
        <f t="shared" si="51"/>
        <v>0</v>
      </c>
      <c r="S72" s="167">
        <f t="shared" si="51"/>
        <v>0</v>
      </c>
      <c r="T72" s="167">
        <f t="shared" si="51"/>
        <v>0</v>
      </c>
      <c r="U72" s="167">
        <f t="shared" si="51"/>
        <v>0</v>
      </c>
      <c r="V72" s="167">
        <f t="shared" si="51"/>
        <v>0</v>
      </c>
      <c r="W72" s="167">
        <f t="shared" si="51"/>
        <v>0</v>
      </c>
      <c r="X72" s="167">
        <f t="shared" si="51"/>
        <v>0</v>
      </c>
      <c r="Y72" s="167">
        <f t="shared" si="51"/>
        <v>0</v>
      </c>
      <c r="Z72" s="167">
        <f t="shared" si="51"/>
        <v>0</v>
      </c>
      <c r="AA72" s="168">
        <f t="shared" si="51"/>
        <v>0</v>
      </c>
      <c r="AB72" s="169">
        <f t="shared" si="51"/>
        <v>0</v>
      </c>
      <c r="AC72" s="167">
        <f t="shared" si="51"/>
        <v>0</v>
      </c>
      <c r="AD72" s="168" t="e">
        <f>AC72/Y72</f>
        <v>#DIV/0!</v>
      </c>
      <c r="AE72" s="167">
        <f t="shared" ref="AE72:AK72" si="52">SUM(AE19:AE70)</f>
        <v>0</v>
      </c>
      <c r="AF72" s="167">
        <f t="shared" si="52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2"/>
        <v>0</v>
      </c>
      <c r="AK72" s="167">
        <f t="shared" si="52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239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3">E17+E72</f>
        <v>0</v>
      </c>
      <c r="F74" s="190">
        <f t="shared" si="53"/>
        <v>99</v>
      </c>
      <c r="G74" s="190">
        <f t="shared" si="53"/>
        <v>19</v>
      </c>
      <c r="H74" s="190">
        <f t="shared" si="53"/>
        <v>2126</v>
      </c>
      <c r="I74" s="190">
        <f t="shared" si="53"/>
        <v>0</v>
      </c>
      <c r="J74" s="190">
        <f t="shared" si="53"/>
        <v>0</v>
      </c>
      <c r="K74" s="190">
        <f t="shared" si="53"/>
        <v>0</v>
      </c>
      <c r="L74" s="190">
        <f t="shared" si="53"/>
        <v>457</v>
      </c>
      <c r="M74" s="190">
        <f t="shared" si="53"/>
        <v>0</v>
      </c>
      <c r="N74" s="190">
        <f t="shared" si="53"/>
        <v>0</v>
      </c>
      <c r="O74" s="190">
        <f t="shared" si="53"/>
        <v>0</v>
      </c>
      <c r="P74" s="190">
        <f t="shared" si="53"/>
        <v>0</v>
      </c>
      <c r="Q74" s="190">
        <f t="shared" si="53"/>
        <v>256</v>
      </c>
      <c r="R74" s="190">
        <f t="shared" si="53"/>
        <v>-5</v>
      </c>
      <c r="S74" s="190">
        <f t="shared" si="53"/>
        <v>251</v>
      </c>
      <c r="T74" s="190">
        <f t="shared" si="53"/>
        <v>233222.72</v>
      </c>
      <c r="U74" s="190">
        <f t="shared" si="53"/>
        <v>-4580</v>
      </c>
      <c r="V74" s="190">
        <f t="shared" si="53"/>
        <v>228642.71999999997</v>
      </c>
      <c r="W74" s="190">
        <f t="shared" si="53"/>
        <v>303779.89</v>
      </c>
      <c r="X74" s="190">
        <f t="shared" si="53"/>
        <v>-6023</v>
      </c>
      <c r="Y74" s="190">
        <f t="shared" si="53"/>
        <v>297756.89</v>
      </c>
      <c r="Z74" s="190">
        <f t="shared" si="53"/>
        <v>8198527.6300000008</v>
      </c>
      <c r="AA74" s="191">
        <f t="shared" si="53"/>
        <v>1</v>
      </c>
      <c r="AB74" s="192">
        <f t="shared" si="53"/>
        <v>34328.369999999988</v>
      </c>
      <c r="AC74" s="190">
        <f t="shared" si="53"/>
        <v>106888.70000000001</v>
      </c>
      <c r="AD74" s="191">
        <f>AC74/Y74</f>
        <v>0.35897977037575857</v>
      </c>
      <c r="AE74" s="192">
        <f t="shared" ref="AE74:AL74" si="54">AE17+AE72</f>
        <v>30976.05</v>
      </c>
      <c r="AF74" s="193">
        <f t="shared" si="54"/>
        <v>22451</v>
      </c>
      <c r="AG74" s="193">
        <f t="shared" si="54"/>
        <v>26323</v>
      </c>
      <c r="AH74" s="193">
        <f t="shared" si="54"/>
        <v>0</v>
      </c>
      <c r="AI74" s="193">
        <f t="shared" si="54"/>
        <v>6310.98</v>
      </c>
      <c r="AJ74" s="190">
        <f t="shared" si="54"/>
        <v>0</v>
      </c>
      <c r="AK74" s="190">
        <f t="shared" si="54"/>
        <v>2286.4272000000001</v>
      </c>
      <c r="AL74" s="190">
        <f t="shared" si="54"/>
        <v>68192.362799999988</v>
      </c>
      <c r="AM74" s="190"/>
      <c r="AN74" s="190"/>
      <c r="AO74" s="190"/>
      <c r="AP74" s="190"/>
      <c r="AQ74" s="190"/>
      <c r="AR74" s="190">
        <f>(AF74+AG74)/Q74</f>
        <v>190.5234375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/>
      <c r="AG75" s="299"/>
      <c r="AH75" s="239"/>
      <c r="AI75" s="184"/>
      <c r="AJ75" s="185"/>
      <c r="AL75" s="177">
        <f>Сводная!AC9+Сводная!V9</f>
        <v>68192.362799999988</v>
      </c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F4" sqref="AF4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133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139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/>
      <c r="F3" s="119">
        <v>36</v>
      </c>
      <c r="G3" s="119">
        <v>5</v>
      </c>
      <c r="H3" s="119">
        <v>349</v>
      </c>
      <c r="I3" s="119">
        <v>142.97999999999999</v>
      </c>
      <c r="J3" s="119">
        <f t="shared" ref="J3:J15" si="0">E3*I3</f>
        <v>0</v>
      </c>
      <c r="K3" s="116">
        <v>133</v>
      </c>
      <c r="L3" s="116">
        <v>51</v>
      </c>
      <c r="M3" s="116">
        <v>1238</v>
      </c>
      <c r="N3" s="116">
        <v>59</v>
      </c>
      <c r="O3" s="215">
        <f t="shared" ref="O3:O15" si="1">L3/7</f>
        <v>7.2857142857142856</v>
      </c>
      <c r="P3" s="119">
        <f t="shared" ref="P3" si="2">S3/7</f>
        <v>2.7142857142857144</v>
      </c>
      <c r="Q3" s="120">
        <v>20</v>
      </c>
      <c r="R3" s="120">
        <v>-1</v>
      </c>
      <c r="S3" s="119">
        <f>Q3+R3</f>
        <v>19</v>
      </c>
      <c r="T3" s="120">
        <v>16491.900000000001</v>
      </c>
      <c r="U3" s="120">
        <v>-813</v>
      </c>
      <c r="V3" s="119">
        <f>T3+U3</f>
        <v>15678.900000000001</v>
      </c>
      <c r="W3" s="120">
        <v>24760.02</v>
      </c>
      <c r="X3" s="120">
        <v>-1238</v>
      </c>
      <c r="Y3" s="119">
        <f t="shared" ref="Y3:Y15" si="3">W3+X3</f>
        <v>23522.02</v>
      </c>
      <c r="Z3" s="119">
        <f>L3*M3*N3/100</f>
        <v>37251.42</v>
      </c>
      <c r="AA3" s="121">
        <f t="shared" ref="AA3:AA15" si="4">Y3/$Y$74</f>
        <v>0.29731804737467454</v>
      </c>
      <c r="AB3" s="119">
        <f>S3*I3</f>
        <v>2716.62</v>
      </c>
      <c r="AC3" s="120">
        <v>8499.4400000000023</v>
      </c>
      <c r="AD3" s="121">
        <f t="shared" ref="AD3:AD15" si="5">IF(Y3=0,0,AC3/Y3)</f>
        <v>0.36133971487142696</v>
      </c>
      <c r="AE3" s="120">
        <v>2693.7000000000007</v>
      </c>
      <c r="AF3" s="120">
        <f>3000+1000</f>
        <v>4000</v>
      </c>
      <c r="AG3" s="120">
        <v>3416</v>
      </c>
      <c r="AH3" s="120"/>
      <c r="AI3" s="154">
        <f t="shared" ref="AI3:AI15" si="6">IFERROR($AI$74*H3/$H$74,0)</f>
        <v>226.13919567262465</v>
      </c>
      <c r="AJ3" s="120">
        <v>0</v>
      </c>
      <c r="AK3" s="122">
        <f>V3*1%</f>
        <v>156.78900000000002</v>
      </c>
      <c r="AL3" s="123">
        <f>Y3-AB3-AC3-AE3-AF3-AG3-AH3-AI3-AK3-AJ3</f>
        <v>1813.3318043273737</v>
      </c>
      <c r="AM3" s="124"/>
      <c r="AN3" s="125">
        <f t="shared" ref="AN3:AN15" si="7">IF(S3=0,0,Y3/S3)</f>
        <v>1238.0010526315789</v>
      </c>
      <c r="AO3" s="126">
        <f t="shared" ref="AO3:AO15" si="8">I3</f>
        <v>142.97999999999999</v>
      </c>
      <c r="AP3" s="126">
        <f t="shared" ref="AP3:AP15" si="9">IF(S3=0,0,AC3/S3)</f>
        <v>447.3389473684212</v>
      </c>
      <c r="AQ3" s="126">
        <f>IF(Q3=0,AE3/1,AE3/Q3)</f>
        <v>134.68500000000003</v>
      </c>
      <c r="AR3" s="126">
        <f>IF(Q3=0,0,(AF3+AG3)/Q3)</f>
        <v>370.8</v>
      </c>
      <c r="AS3" s="126">
        <f>_xlfn.IFS(S3=0,AL3,S3&lt;0,AL3/-S3,S3&gt;0,AL3/S3)</f>
        <v>95.438516017230199</v>
      </c>
      <c r="AT3" s="121">
        <f t="shared" ref="AT3" si="10">IF(AN3=0,0,AS3/AN3)</f>
        <v>7.7090819764942545E-2</v>
      </c>
      <c r="AU3" s="121">
        <f t="shared" ref="AU3" si="11">IF(AO3=0,0,AS3/AO3)</f>
        <v>0.66749556593390824</v>
      </c>
      <c r="AV3" s="127"/>
      <c r="AW3" s="122">
        <f t="shared" ref="AW3:AW15" si="12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/>
      <c r="F4" s="119">
        <v>15</v>
      </c>
      <c r="G4" s="119">
        <v>4</v>
      </c>
      <c r="H4" s="119">
        <v>260</v>
      </c>
      <c r="I4" s="119">
        <v>123.09</v>
      </c>
      <c r="J4" s="119">
        <f t="shared" si="0"/>
        <v>0</v>
      </c>
      <c r="K4" s="116">
        <v>314</v>
      </c>
      <c r="L4" s="116">
        <v>29</v>
      </c>
      <c r="M4" s="116">
        <v>929</v>
      </c>
      <c r="N4" s="116">
        <v>60</v>
      </c>
      <c r="O4" s="215">
        <f t="shared" si="1"/>
        <v>4.1428571428571432</v>
      </c>
      <c r="P4" s="119">
        <f>S4/7</f>
        <v>1.4285714285714286</v>
      </c>
      <c r="Q4" s="120">
        <v>10</v>
      </c>
      <c r="R4" s="120">
        <v>0</v>
      </c>
      <c r="S4" s="119">
        <f t="shared" ref="S4:S15" si="13">Q4+R4</f>
        <v>10</v>
      </c>
      <c r="T4" s="120">
        <v>6321.49</v>
      </c>
      <c r="U4" s="120">
        <v>0</v>
      </c>
      <c r="V4" s="119">
        <f t="shared" ref="V4:V15" si="14">T4+U4</f>
        <v>6321.49</v>
      </c>
      <c r="W4" s="120">
        <v>9289.3799999999992</v>
      </c>
      <c r="X4" s="120">
        <v>0</v>
      </c>
      <c r="Y4" s="119">
        <f t="shared" si="3"/>
        <v>9289.3799999999992</v>
      </c>
      <c r="Z4" s="119">
        <f t="shared" ref="Z4:Z15" si="15">L4*M4*N4/100</f>
        <v>16164.6</v>
      </c>
      <c r="AA4" s="121">
        <f t="shared" si="4"/>
        <v>0.11741765047905553</v>
      </c>
      <c r="AB4" s="119">
        <f t="shared" ref="AB4:AB15" si="16">S4*I4</f>
        <v>1230.9000000000001</v>
      </c>
      <c r="AC4" s="120">
        <v>3407.1899999999987</v>
      </c>
      <c r="AD4" s="121">
        <f t="shared" si="5"/>
        <v>0.366783359061638</v>
      </c>
      <c r="AE4" s="120">
        <v>1035.9000000000001</v>
      </c>
      <c r="AF4" s="120">
        <v>892</v>
      </c>
      <c r="AG4" s="120">
        <v>2314</v>
      </c>
      <c r="AH4" s="120"/>
      <c r="AI4" s="154">
        <f t="shared" si="6"/>
        <v>168.47046095954846</v>
      </c>
      <c r="AJ4" s="120">
        <v>0</v>
      </c>
      <c r="AK4" s="122">
        <f t="shared" ref="AK4:AK15" si="17">V4*1%</f>
        <v>63.2149</v>
      </c>
      <c r="AL4" s="123">
        <f t="shared" ref="AL4:AL15" si="18">Y4-AB4-AC4-AE4-AF4-AG4-AH4-AI4-AK4-AJ4</f>
        <v>177.70463904045232</v>
      </c>
      <c r="AM4" s="124"/>
      <c r="AN4" s="125">
        <f t="shared" si="7"/>
        <v>928.93799999999987</v>
      </c>
      <c r="AO4" s="126">
        <f t="shared" si="8"/>
        <v>123.09</v>
      </c>
      <c r="AP4" s="126">
        <f t="shared" si="9"/>
        <v>340.71899999999988</v>
      </c>
      <c r="AQ4" s="126">
        <f t="shared" ref="AQ4:AQ15" si="19">IF(Q4=0,AE4/1,AE4/Q4)</f>
        <v>103.59</v>
      </c>
      <c r="AR4" s="126">
        <f t="shared" ref="AR4:AR15" si="20">IF(Q4=0,0,(AF4+AG4)/Q4)</f>
        <v>320.60000000000002</v>
      </c>
      <c r="AS4" s="126">
        <f t="array" ref="AS4">_xlfn.IFS(S4=0,AL4,S4&lt;0,AL4/-S4,S4&gt;0,AL4/S4)</f>
        <v>17.770463904045233</v>
      </c>
      <c r="AT4" s="121">
        <f>IF(AN4=0,0,AS4/AN4)</f>
        <v>1.9129870781521733E-2</v>
      </c>
      <c r="AU4" s="121">
        <f>IF(AO4=0,0,AS4/AO4)</f>
        <v>0.14436967994187369</v>
      </c>
      <c r="AV4" s="127"/>
      <c r="AW4" s="122">
        <f t="shared" si="12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/>
      <c r="F5" s="119">
        <v>3</v>
      </c>
      <c r="G5" s="119" t="s">
        <v>145</v>
      </c>
      <c r="H5" s="119">
        <v>372</v>
      </c>
      <c r="I5" s="119">
        <v>123.09</v>
      </c>
      <c r="J5" s="119">
        <f t="shared" si="0"/>
        <v>0</v>
      </c>
      <c r="K5" s="116">
        <v>999</v>
      </c>
      <c r="L5" s="116">
        <v>5</v>
      </c>
      <c r="M5" s="116">
        <v>1052</v>
      </c>
      <c r="N5" s="116">
        <v>100</v>
      </c>
      <c r="O5" s="215">
        <f t="shared" si="1"/>
        <v>0.7142857142857143</v>
      </c>
      <c r="P5" s="119">
        <f>S5/7</f>
        <v>0.42857142857142855</v>
      </c>
      <c r="Q5" s="120">
        <v>3</v>
      </c>
      <c r="R5" s="120">
        <v>0</v>
      </c>
      <c r="S5" s="119">
        <f t="shared" si="13"/>
        <v>3</v>
      </c>
      <c r="T5" s="120">
        <v>2054</v>
      </c>
      <c r="U5" s="120">
        <v>0</v>
      </c>
      <c r="V5" s="119">
        <f t="shared" si="14"/>
        <v>2054</v>
      </c>
      <c r="W5" s="120">
        <v>3156</v>
      </c>
      <c r="X5" s="120">
        <v>0</v>
      </c>
      <c r="Y5" s="119">
        <f t="shared" si="3"/>
        <v>3156</v>
      </c>
      <c r="Z5" s="119">
        <f t="shared" si="15"/>
        <v>5260</v>
      </c>
      <c r="AA5" s="121">
        <f t="shared" si="4"/>
        <v>3.9891801703870362E-2</v>
      </c>
      <c r="AB5" s="119">
        <f t="shared" si="16"/>
        <v>369.27</v>
      </c>
      <c r="AC5" s="120">
        <v>1149.9100000000001</v>
      </c>
      <c r="AD5" s="121">
        <f t="shared" si="5"/>
        <v>0.36435678073510774</v>
      </c>
      <c r="AE5" s="120">
        <v>187.05</v>
      </c>
      <c r="AF5" s="120">
        <v>1691</v>
      </c>
      <c r="AG5" s="120">
        <f>309+106</f>
        <v>415</v>
      </c>
      <c r="AH5" s="120"/>
      <c r="AI5" s="154">
        <f t="shared" si="6"/>
        <v>241.04235183443083</v>
      </c>
      <c r="AJ5" s="120">
        <v>0</v>
      </c>
      <c r="AK5" s="122">
        <f t="shared" si="17"/>
        <v>20.54</v>
      </c>
      <c r="AL5" s="123">
        <f t="shared" si="18"/>
        <v>-917.81235183443084</v>
      </c>
      <c r="AM5" s="124"/>
      <c r="AN5" s="125">
        <f t="shared" si="7"/>
        <v>1052</v>
      </c>
      <c r="AO5" s="126">
        <f t="shared" si="8"/>
        <v>123.09</v>
      </c>
      <c r="AP5" s="126">
        <f t="shared" si="9"/>
        <v>383.30333333333334</v>
      </c>
      <c r="AQ5" s="126">
        <f t="shared" si="19"/>
        <v>62.35</v>
      </c>
      <c r="AR5" s="126">
        <f t="shared" si="20"/>
        <v>702</v>
      </c>
      <c r="AS5" s="126">
        <f t="array" ref="AS5">_xlfn.IFS(S5=0,AL5,S5&lt;0,AL5/-S5,S5&gt;0,AL5/S5)</f>
        <v>-305.93745061147695</v>
      </c>
      <c r="AT5" s="121">
        <f>IF(AN5=0,0,AS5/AN5)</f>
        <v>-0.29081506712117583</v>
      </c>
      <c r="AU5" s="121">
        <f>IF(AO5=0,0,AS5/AO5)</f>
        <v>-2.4854777042121774</v>
      </c>
      <c r="AV5" s="127"/>
      <c r="AW5" s="122">
        <f t="shared" si="12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/>
      <c r="F6" s="119">
        <v>4</v>
      </c>
      <c r="G6" s="119">
        <v>2</v>
      </c>
      <c r="H6" s="119">
        <v>341</v>
      </c>
      <c r="I6" s="119">
        <v>123.09</v>
      </c>
      <c r="J6" s="119">
        <f t="shared" si="0"/>
        <v>0</v>
      </c>
      <c r="K6" s="116">
        <v>551</v>
      </c>
      <c r="L6" s="116">
        <v>7</v>
      </c>
      <c r="M6" s="116">
        <v>1158</v>
      </c>
      <c r="N6" s="116">
        <v>100</v>
      </c>
      <c r="O6" s="215">
        <f t="shared" si="1"/>
        <v>1</v>
      </c>
      <c r="P6" s="119">
        <f t="shared" ref="P6:P15" si="21">S6/7</f>
        <v>0.42857142857142855</v>
      </c>
      <c r="Q6" s="120">
        <v>3</v>
      </c>
      <c r="R6" s="120">
        <v>0</v>
      </c>
      <c r="S6" s="119">
        <f t="shared" si="13"/>
        <v>3</v>
      </c>
      <c r="T6" s="120">
        <v>2282</v>
      </c>
      <c r="U6" s="120">
        <v>0</v>
      </c>
      <c r="V6" s="119">
        <f t="shared" si="14"/>
        <v>2282</v>
      </c>
      <c r="W6" s="120">
        <v>3466</v>
      </c>
      <c r="X6" s="120">
        <v>0</v>
      </c>
      <c r="Y6" s="119">
        <f t="shared" si="3"/>
        <v>3466</v>
      </c>
      <c r="Z6" s="119">
        <f t="shared" si="15"/>
        <v>8106</v>
      </c>
      <c r="AA6" s="121">
        <f t="shared" si="4"/>
        <v>4.3810197942209979E-2</v>
      </c>
      <c r="AB6" s="119">
        <f t="shared" si="16"/>
        <v>369.27</v>
      </c>
      <c r="AC6" s="120">
        <v>1258.3499999999999</v>
      </c>
      <c r="AD6" s="121">
        <f t="shared" si="5"/>
        <v>0.36305539526832081</v>
      </c>
      <c r="AE6" s="120">
        <v>440</v>
      </c>
      <c r="AF6" s="120"/>
      <c r="AG6" s="120"/>
      <c r="AH6" s="120"/>
      <c r="AI6" s="154">
        <f t="shared" si="6"/>
        <v>220.9554891815616</v>
      </c>
      <c r="AJ6" s="120">
        <v>0</v>
      </c>
      <c r="AK6" s="122">
        <f t="shared" si="17"/>
        <v>22.82</v>
      </c>
      <c r="AL6" s="123">
        <f t="shared" si="18"/>
        <v>1154.6045108184385</v>
      </c>
      <c r="AM6" s="124"/>
      <c r="AN6" s="125">
        <f t="shared" si="7"/>
        <v>1155.3333333333333</v>
      </c>
      <c r="AO6" s="126">
        <f t="shared" si="8"/>
        <v>123.09</v>
      </c>
      <c r="AP6" s="126">
        <f t="shared" si="9"/>
        <v>419.45</v>
      </c>
      <c r="AQ6" s="126">
        <f t="shared" si="19"/>
        <v>146.66666666666666</v>
      </c>
      <c r="AR6" s="126">
        <f t="shared" si="20"/>
        <v>0</v>
      </c>
      <c r="AS6" s="126">
        <f t="array" ref="AS6">_xlfn.IFS(S6=0,AL6,S6&lt;0,AL6/-S6,S6&gt;0,AL6/S6)</f>
        <v>384.86817027281285</v>
      </c>
      <c r="AT6" s="121">
        <f t="shared" ref="AT6:AT15" si="22">IF(AN6=0,0,AS6/AN6)</f>
        <v>0.33312305563140182</v>
      </c>
      <c r="AU6" s="121">
        <f t="shared" ref="AU6:AU15" si="23">IF(AO6=0,0,AS6/AO6)</f>
        <v>3.1267216692892421</v>
      </c>
      <c r="AV6" s="127"/>
      <c r="AW6" s="122">
        <f t="shared" si="12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/>
      <c r="F7" s="119">
        <v>4</v>
      </c>
      <c r="G7" s="119" t="s">
        <v>145</v>
      </c>
      <c r="H7" s="119">
        <v>279</v>
      </c>
      <c r="I7" s="119">
        <v>123.09</v>
      </c>
      <c r="J7" s="119">
        <f t="shared" si="0"/>
        <v>0</v>
      </c>
      <c r="K7" s="116">
        <v>999</v>
      </c>
      <c r="L7" s="116">
        <v>4</v>
      </c>
      <c r="M7" s="116">
        <v>1079</v>
      </c>
      <c r="N7" s="116">
        <v>100</v>
      </c>
      <c r="O7" s="215">
        <f t="shared" si="1"/>
        <v>0.5714285714285714</v>
      </c>
      <c r="P7" s="119">
        <f t="shared" si="21"/>
        <v>0.14285714285714285</v>
      </c>
      <c r="Q7" s="120">
        <v>1</v>
      </c>
      <c r="R7" s="120">
        <v>0</v>
      </c>
      <c r="S7" s="119">
        <f t="shared" si="13"/>
        <v>1</v>
      </c>
      <c r="T7" s="120">
        <v>672</v>
      </c>
      <c r="U7" s="120">
        <v>0</v>
      </c>
      <c r="V7" s="119">
        <f t="shared" si="14"/>
        <v>672</v>
      </c>
      <c r="W7" s="120">
        <v>1079</v>
      </c>
      <c r="X7" s="120">
        <v>0</v>
      </c>
      <c r="Y7" s="119">
        <f t="shared" si="3"/>
        <v>1079</v>
      </c>
      <c r="Z7" s="119">
        <f t="shared" si="15"/>
        <v>4316</v>
      </c>
      <c r="AA7" s="121">
        <f t="shared" si="4"/>
        <v>1.363854690699497E-2</v>
      </c>
      <c r="AB7" s="119">
        <f t="shared" si="16"/>
        <v>123.09</v>
      </c>
      <c r="AC7" s="120">
        <v>394.09000000000003</v>
      </c>
      <c r="AD7" s="121">
        <f t="shared" si="5"/>
        <v>0.36523632993512517</v>
      </c>
      <c r="AE7" s="120">
        <v>63.8</v>
      </c>
      <c r="AF7" s="120">
        <v>1067</v>
      </c>
      <c r="AG7" s="120">
        <v>17</v>
      </c>
      <c r="AH7" s="120"/>
      <c r="AI7" s="154">
        <f t="shared" si="6"/>
        <v>180.78176387582312</v>
      </c>
      <c r="AJ7" s="120">
        <v>0</v>
      </c>
      <c r="AK7" s="122">
        <f t="shared" si="17"/>
        <v>6.72</v>
      </c>
      <c r="AL7" s="123">
        <f t="shared" si="18"/>
        <v>-773.48176387582316</v>
      </c>
      <c r="AM7" s="124"/>
      <c r="AN7" s="125">
        <f t="shared" si="7"/>
        <v>1079</v>
      </c>
      <c r="AO7" s="126">
        <f t="shared" si="8"/>
        <v>123.09</v>
      </c>
      <c r="AP7" s="126">
        <f t="shared" si="9"/>
        <v>394.09000000000003</v>
      </c>
      <c r="AQ7" s="126">
        <f t="shared" si="19"/>
        <v>63.8</v>
      </c>
      <c r="AR7" s="126">
        <f t="shared" si="20"/>
        <v>1084</v>
      </c>
      <c r="AS7" s="126">
        <f t="array" ref="AS7">_xlfn.IFS(S7=0,AL7,S7&lt;0,AL7/-S7,S7&gt;0,AL7/S7)</f>
        <v>-773.48176387582316</v>
      </c>
      <c r="AT7" s="121">
        <f t="shared" si="22"/>
        <v>-0.71685056893032728</v>
      </c>
      <c r="AU7" s="121">
        <f t="shared" si="23"/>
        <v>-6.2838716701261124</v>
      </c>
      <c r="AV7" s="127"/>
      <c r="AW7" s="122">
        <f t="shared" si="12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/>
      <c r="F8" s="119">
        <v>23</v>
      </c>
      <c r="G8" s="119">
        <v>1</v>
      </c>
      <c r="H8" s="119">
        <v>75</v>
      </c>
      <c r="I8" s="119">
        <v>123.09</v>
      </c>
      <c r="J8" s="119">
        <f t="shared" si="0"/>
        <v>0</v>
      </c>
      <c r="K8" s="116">
        <v>50</v>
      </c>
      <c r="L8" s="116">
        <v>31</v>
      </c>
      <c r="M8" s="116">
        <v>1150</v>
      </c>
      <c r="N8" s="116">
        <v>71</v>
      </c>
      <c r="O8" s="215">
        <f t="shared" si="1"/>
        <v>4.4285714285714288</v>
      </c>
      <c r="P8" s="119">
        <f t="shared" si="21"/>
        <v>2</v>
      </c>
      <c r="Q8" s="120">
        <v>14</v>
      </c>
      <c r="R8" s="120">
        <v>0</v>
      </c>
      <c r="S8" s="119">
        <f t="shared" si="13"/>
        <v>14</v>
      </c>
      <c r="T8" s="120">
        <v>10725.07</v>
      </c>
      <c r="U8" s="120">
        <v>0</v>
      </c>
      <c r="V8" s="119">
        <f t="shared" si="14"/>
        <v>10725.07</v>
      </c>
      <c r="W8" s="120">
        <v>16236.869999999999</v>
      </c>
      <c r="X8" s="120">
        <v>0</v>
      </c>
      <c r="Y8" s="119">
        <f t="shared" si="3"/>
        <v>16236.869999999999</v>
      </c>
      <c r="Z8" s="119">
        <f t="shared" si="15"/>
        <v>25311.5</v>
      </c>
      <c r="AA8" s="121">
        <f t="shared" si="4"/>
        <v>0.20523383977551379</v>
      </c>
      <c r="AB8" s="119">
        <f t="shared" si="16"/>
        <v>1723.26</v>
      </c>
      <c r="AC8" s="120">
        <v>5923.7499999999982</v>
      </c>
      <c r="AD8" s="121">
        <f t="shared" si="5"/>
        <v>0.36483324680187734</v>
      </c>
      <c r="AE8" s="120">
        <v>1425.8999999999999</v>
      </c>
      <c r="AF8" s="120">
        <v>3963</v>
      </c>
      <c r="AG8" s="120">
        <v>1000</v>
      </c>
      <c r="AH8" s="120"/>
      <c r="AI8" s="154">
        <f t="shared" si="6"/>
        <v>48.597248353715898</v>
      </c>
      <c r="AJ8" s="120">
        <v>0</v>
      </c>
      <c r="AK8" s="122">
        <f t="shared" si="17"/>
        <v>107.25069999999999</v>
      </c>
      <c r="AL8" s="123">
        <f t="shared" si="18"/>
        <v>2045.1120516462852</v>
      </c>
      <c r="AM8" s="124"/>
      <c r="AN8" s="125">
        <f t="shared" si="7"/>
        <v>1159.7764285714286</v>
      </c>
      <c r="AO8" s="126">
        <f t="shared" si="8"/>
        <v>123.09</v>
      </c>
      <c r="AP8" s="126">
        <f t="shared" si="9"/>
        <v>423.12499999999989</v>
      </c>
      <c r="AQ8" s="126">
        <f t="shared" si="19"/>
        <v>101.85</v>
      </c>
      <c r="AR8" s="126">
        <f t="shared" si="20"/>
        <v>354.5</v>
      </c>
      <c r="AS8" s="126">
        <f t="array" ref="AS8">_xlfn.IFS(S8=0,AL8,S8&lt;0,AL8/-S8,S8&gt;0,AL8/S8)</f>
        <v>146.07943226044895</v>
      </c>
      <c r="AT8" s="121">
        <f t="shared" si="22"/>
        <v>0.12595482082730755</v>
      </c>
      <c r="AU8" s="121">
        <f t="shared" si="23"/>
        <v>1.1867692928787794</v>
      </c>
      <c r="AV8" s="127"/>
      <c r="AW8" s="122">
        <f t="shared" si="12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/>
      <c r="F9" s="119">
        <v>14</v>
      </c>
      <c r="G9" s="119">
        <v>4</v>
      </c>
      <c r="H9" s="119">
        <v>229</v>
      </c>
      <c r="I9" s="119">
        <v>169.89</v>
      </c>
      <c r="J9" s="119">
        <f t="shared" si="0"/>
        <v>0</v>
      </c>
      <c r="K9" s="116">
        <v>207</v>
      </c>
      <c r="L9" s="116">
        <v>26</v>
      </c>
      <c r="M9" s="116">
        <v>1174</v>
      </c>
      <c r="N9" s="116">
        <v>64</v>
      </c>
      <c r="O9" s="215">
        <f t="shared" si="1"/>
        <v>3.7142857142857144</v>
      </c>
      <c r="P9" s="119">
        <f t="shared" si="21"/>
        <v>1.5714285714285714</v>
      </c>
      <c r="Q9" s="120">
        <v>11</v>
      </c>
      <c r="R9" s="120">
        <v>0</v>
      </c>
      <c r="S9" s="119">
        <f t="shared" si="13"/>
        <v>11</v>
      </c>
      <c r="T9" s="120">
        <v>8595.9599999999991</v>
      </c>
      <c r="U9" s="120">
        <v>0</v>
      </c>
      <c r="V9" s="119">
        <f t="shared" si="14"/>
        <v>8595.9599999999991</v>
      </c>
      <c r="W9" s="120">
        <v>12913.73</v>
      </c>
      <c r="X9" s="120">
        <v>0</v>
      </c>
      <c r="Y9" s="119">
        <f t="shared" si="3"/>
        <v>12913.73</v>
      </c>
      <c r="Z9" s="119">
        <f t="shared" si="15"/>
        <v>19535.36</v>
      </c>
      <c r="AA9" s="121">
        <f t="shared" si="4"/>
        <v>0.1632293904997851</v>
      </c>
      <c r="AB9" s="119">
        <f t="shared" si="16"/>
        <v>1868.79</v>
      </c>
      <c r="AC9" s="120">
        <v>4666.2700000000004</v>
      </c>
      <c r="AD9" s="121">
        <f t="shared" si="5"/>
        <v>0.36134176570208609</v>
      </c>
      <c r="AE9" s="120">
        <v>1456.3000000000002</v>
      </c>
      <c r="AF9" s="120">
        <v>2000</v>
      </c>
      <c r="AG9" s="120">
        <v>2391</v>
      </c>
      <c r="AH9" s="120"/>
      <c r="AI9" s="154">
        <f t="shared" si="6"/>
        <v>148.3835983066792</v>
      </c>
      <c r="AJ9" s="120">
        <v>0</v>
      </c>
      <c r="AK9" s="122">
        <f t="shared" si="17"/>
        <v>85.959599999999995</v>
      </c>
      <c r="AL9" s="123">
        <f t="shared" si="18"/>
        <v>297.02680169331882</v>
      </c>
      <c r="AM9" s="124"/>
      <c r="AN9" s="125">
        <f t="shared" si="7"/>
        <v>1173.9754545454546</v>
      </c>
      <c r="AO9" s="126">
        <f t="shared" si="8"/>
        <v>169.89</v>
      </c>
      <c r="AP9" s="126">
        <f t="shared" si="9"/>
        <v>424.20636363636368</v>
      </c>
      <c r="AQ9" s="126">
        <f t="shared" si="19"/>
        <v>132.3909090909091</v>
      </c>
      <c r="AR9" s="126">
        <f t="shared" si="20"/>
        <v>399.18181818181819</v>
      </c>
      <c r="AS9" s="126">
        <f t="array" ref="AS9">_xlfn.IFS(S9=0,AL9,S9&lt;0,AL9/-S9,S9&gt;0,AL9/S9)</f>
        <v>27.002436517574438</v>
      </c>
      <c r="AT9" s="121">
        <f t="shared" si="22"/>
        <v>2.3000852712060638E-2</v>
      </c>
      <c r="AU9" s="121">
        <f t="shared" si="23"/>
        <v>0.1589407058542259</v>
      </c>
      <c r="AV9" s="127"/>
      <c r="AW9" s="122">
        <f t="shared" si="12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/>
      <c r="F10" s="119" t="s">
        <v>145</v>
      </c>
      <c r="G10" s="119">
        <v>1</v>
      </c>
      <c r="H10" s="119">
        <v>39</v>
      </c>
      <c r="I10" s="119">
        <v>169.89</v>
      </c>
      <c r="J10" s="119">
        <f t="shared" si="0"/>
        <v>0</v>
      </c>
      <c r="K10" s="116">
        <v>399</v>
      </c>
      <c r="L10" s="116">
        <v>0</v>
      </c>
      <c r="M10" s="116">
        <v>0</v>
      </c>
      <c r="N10" s="116">
        <v>0</v>
      </c>
      <c r="O10" s="215">
        <f t="shared" si="1"/>
        <v>0</v>
      </c>
      <c r="P10" s="119">
        <f t="shared" si="21"/>
        <v>0.14285714285714285</v>
      </c>
      <c r="Q10" s="120">
        <v>1</v>
      </c>
      <c r="R10" s="120">
        <v>0</v>
      </c>
      <c r="S10" s="119">
        <f t="shared" si="13"/>
        <v>1</v>
      </c>
      <c r="T10" s="120">
        <v>876</v>
      </c>
      <c r="U10" s="120">
        <v>0</v>
      </c>
      <c r="V10" s="119">
        <f t="shared" si="14"/>
        <v>876</v>
      </c>
      <c r="W10" s="120">
        <v>1199</v>
      </c>
      <c r="X10" s="120">
        <v>0</v>
      </c>
      <c r="Y10" s="119">
        <f t="shared" si="3"/>
        <v>1199</v>
      </c>
      <c r="Z10" s="119">
        <f t="shared" si="15"/>
        <v>0</v>
      </c>
      <c r="AA10" s="121">
        <f t="shared" si="4"/>
        <v>1.5155345450868368E-2</v>
      </c>
      <c r="AB10" s="119">
        <f t="shared" si="16"/>
        <v>169.89</v>
      </c>
      <c r="AC10" s="120">
        <v>433.02</v>
      </c>
      <c r="AD10" s="121">
        <f t="shared" si="5"/>
        <v>0.36115095913261047</v>
      </c>
      <c r="AE10" s="120">
        <v>163.1</v>
      </c>
      <c r="AF10" s="120"/>
      <c r="AG10" s="120"/>
      <c r="AH10" s="120"/>
      <c r="AI10" s="154">
        <f t="shared" si="6"/>
        <v>25.270569143932264</v>
      </c>
      <c r="AJ10" s="120">
        <v>0</v>
      </c>
      <c r="AK10" s="122">
        <f t="shared" si="17"/>
        <v>8.76</v>
      </c>
      <c r="AL10" s="123">
        <f t="shared" si="18"/>
        <v>398.95943085606785</v>
      </c>
      <c r="AM10" s="124"/>
      <c r="AN10" s="125">
        <f t="shared" si="7"/>
        <v>1199</v>
      </c>
      <c r="AO10" s="126">
        <f t="shared" si="8"/>
        <v>169.89</v>
      </c>
      <c r="AP10" s="126">
        <f t="shared" si="9"/>
        <v>433.02</v>
      </c>
      <c r="AQ10" s="126">
        <f t="shared" si="19"/>
        <v>163.1</v>
      </c>
      <c r="AR10" s="126">
        <f t="shared" si="20"/>
        <v>0</v>
      </c>
      <c r="AS10" s="126">
        <f t="array" ref="AS10">_xlfn.IFS(S10=0,AL10,S10&lt;0,AL10/-S10,S10&gt;0,AL10/S10)</f>
        <v>398.95943085606785</v>
      </c>
      <c r="AT10" s="121">
        <f t="shared" si="22"/>
        <v>0.33274347861223341</v>
      </c>
      <c r="AU10" s="121">
        <f t="shared" si="23"/>
        <v>2.3483396954268518</v>
      </c>
      <c r="AV10" s="127"/>
      <c r="AW10" s="122">
        <f t="shared" si="12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/>
      <c r="F11" s="119" t="s">
        <v>145</v>
      </c>
      <c r="G11" s="119">
        <v>1</v>
      </c>
      <c r="H11" s="119">
        <v>38</v>
      </c>
      <c r="I11" s="119">
        <v>169.89</v>
      </c>
      <c r="J11" s="119">
        <f t="shared" si="0"/>
        <v>0</v>
      </c>
      <c r="K11" s="116">
        <v>399</v>
      </c>
      <c r="L11" s="116">
        <v>2</v>
      </c>
      <c r="M11" s="116">
        <v>1145</v>
      </c>
      <c r="N11" s="116">
        <v>50</v>
      </c>
      <c r="O11" s="215">
        <f t="shared" si="1"/>
        <v>0.2857142857142857</v>
      </c>
      <c r="P11" s="119">
        <f t="shared" si="21"/>
        <v>0.2857142857142857</v>
      </c>
      <c r="Q11" s="120">
        <v>2</v>
      </c>
      <c r="R11" s="120">
        <v>0</v>
      </c>
      <c r="S11" s="119">
        <f t="shared" si="13"/>
        <v>2</v>
      </c>
      <c r="T11" s="120">
        <v>1563</v>
      </c>
      <c r="U11" s="120">
        <v>0</v>
      </c>
      <c r="V11" s="119">
        <f t="shared" si="14"/>
        <v>1563</v>
      </c>
      <c r="W11" s="120">
        <v>2290</v>
      </c>
      <c r="X11" s="120">
        <v>0</v>
      </c>
      <c r="Y11" s="119">
        <f t="shared" si="3"/>
        <v>2290</v>
      </c>
      <c r="Z11" s="119">
        <f t="shared" si="15"/>
        <v>1145</v>
      </c>
      <c r="AA11" s="121">
        <f t="shared" si="4"/>
        <v>2.8945572212250675E-2</v>
      </c>
      <c r="AB11" s="119">
        <f t="shared" si="16"/>
        <v>339.78</v>
      </c>
      <c r="AC11" s="120">
        <v>817.75</v>
      </c>
      <c r="AD11" s="121">
        <f t="shared" si="5"/>
        <v>0.35709606986899561</v>
      </c>
      <c r="AE11" s="120">
        <v>333.45</v>
      </c>
      <c r="AF11" s="120"/>
      <c r="AG11" s="120"/>
      <c r="AH11" s="120"/>
      <c r="AI11" s="154">
        <f t="shared" si="6"/>
        <v>24.622605832549386</v>
      </c>
      <c r="AJ11" s="120">
        <v>0</v>
      </c>
      <c r="AK11" s="122">
        <f t="shared" si="17"/>
        <v>15.63</v>
      </c>
      <c r="AL11" s="123">
        <f t="shared" si="18"/>
        <v>758.76739416745056</v>
      </c>
      <c r="AM11" s="124"/>
      <c r="AN11" s="125">
        <f t="shared" si="7"/>
        <v>1145</v>
      </c>
      <c r="AO11" s="126">
        <f t="shared" si="8"/>
        <v>169.89</v>
      </c>
      <c r="AP11" s="126">
        <f t="shared" si="9"/>
        <v>408.875</v>
      </c>
      <c r="AQ11" s="126">
        <f t="shared" si="19"/>
        <v>166.72499999999999</v>
      </c>
      <c r="AR11" s="126">
        <f t="shared" si="20"/>
        <v>0</v>
      </c>
      <c r="AS11" s="126">
        <f t="array" ref="AS11">_xlfn.IFS(S11=0,AL11,S11&lt;0,AL11/-S11,S11&gt;0,AL11/S11)</f>
        <v>379.38369708372528</v>
      </c>
      <c r="AT11" s="121">
        <f t="shared" si="22"/>
        <v>0.33133947343556791</v>
      </c>
      <c r="AU11" s="121">
        <f t="shared" si="23"/>
        <v>2.2331137623387209</v>
      </c>
      <c r="AV11" s="127"/>
      <c r="AW11" s="122">
        <f t="shared" si="12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/>
      <c r="F12" s="119" t="s">
        <v>145</v>
      </c>
      <c r="G12" s="119" t="s">
        <v>145</v>
      </c>
      <c r="H12" s="119">
        <v>44</v>
      </c>
      <c r="I12" s="119">
        <v>169.89</v>
      </c>
      <c r="J12" s="119">
        <f t="shared" si="0"/>
        <v>0</v>
      </c>
      <c r="K12" s="116">
        <v>264</v>
      </c>
      <c r="L12" s="116">
        <v>0</v>
      </c>
      <c r="M12" s="116">
        <v>0</v>
      </c>
      <c r="N12" s="116">
        <v>0</v>
      </c>
      <c r="O12" s="215">
        <f t="shared" si="1"/>
        <v>0</v>
      </c>
      <c r="P12" s="119">
        <f t="shared" si="21"/>
        <v>0.2857142857142857</v>
      </c>
      <c r="Q12" s="120">
        <v>2</v>
      </c>
      <c r="R12" s="120">
        <v>0</v>
      </c>
      <c r="S12" s="119">
        <f t="shared" si="13"/>
        <v>2</v>
      </c>
      <c r="T12" s="120">
        <v>1779</v>
      </c>
      <c r="U12" s="120">
        <v>0</v>
      </c>
      <c r="V12" s="119">
        <f t="shared" si="14"/>
        <v>1779</v>
      </c>
      <c r="W12" s="120">
        <v>2332</v>
      </c>
      <c r="X12" s="120">
        <v>0</v>
      </c>
      <c r="Y12" s="119">
        <f t="shared" si="3"/>
        <v>2332</v>
      </c>
      <c r="Z12" s="119">
        <f t="shared" si="15"/>
        <v>0</v>
      </c>
      <c r="AA12" s="121">
        <f t="shared" si="4"/>
        <v>2.9476451702606366E-2</v>
      </c>
      <c r="AB12" s="119">
        <f t="shared" si="16"/>
        <v>339.78</v>
      </c>
      <c r="AC12" s="120">
        <v>836.55</v>
      </c>
      <c r="AD12" s="121">
        <f t="shared" si="5"/>
        <v>0.35872641509433961</v>
      </c>
      <c r="AE12" s="120">
        <v>326.2</v>
      </c>
      <c r="AF12" s="120"/>
      <c r="AG12" s="120"/>
      <c r="AH12" s="120"/>
      <c r="AI12" s="154">
        <f t="shared" si="6"/>
        <v>28.510385700846658</v>
      </c>
      <c r="AJ12" s="120">
        <v>0</v>
      </c>
      <c r="AK12" s="122">
        <f t="shared" si="17"/>
        <v>17.79</v>
      </c>
      <c r="AL12" s="123">
        <f t="shared" si="18"/>
        <v>783.16961429915341</v>
      </c>
      <c r="AM12" s="124"/>
      <c r="AN12" s="125">
        <f t="shared" si="7"/>
        <v>1166</v>
      </c>
      <c r="AO12" s="126">
        <f t="shared" si="8"/>
        <v>169.89</v>
      </c>
      <c r="AP12" s="126">
        <f t="shared" si="9"/>
        <v>418.27499999999998</v>
      </c>
      <c r="AQ12" s="126">
        <f t="shared" si="19"/>
        <v>163.1</v>
      </c>
      <c r="AR12" s="126">
        <f t="shared" si="20"/>
        <v>0</v>
      </c>
      <c r="AS12" s="126">
        <f t="array" ref="AS12">_xlfn.IFS(S12=0,AL12,S12&lt;0,AL12/-S12,S12&gt;0,AL12/S12)</f>
        <v>391.5848071495767</v>
      </c>
      <c r="AT12" s="121">
        <f t="shared" si="22"/>
        <v>0.33583602671490281</v>
      </c>
      <c r="AU12" s="121">
        <f t="shared" si="23"/>
        <v>2.3049314683005284</v>
      </c>
      <c r="AV12" s="127"/>
      <c r="AW12" s="122">
        <f t="shared" si="12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/>
      <c r="F13" s="119" t="s">
        <v>145</v>
      </c>
      <c r="G13" s="119" t="s">
        <v>145</v>
      </c>
      <c r="H13" s="119">
        <v>8</v>
      </c>
      <c r="I13" s="119">
        <v>169.89</v>
      </c>
      <c r="J13" s="119">
        <f t="shared" si="0"/>
        <v>0</v>
      </c>
      <c r="K13" s="116">
        <v>92</v>
      </c>
      <c r="L13" s="116">
        <v>0</v>
      </c>
      <c r="M13" s="116">
        <v>0</v>
      </c>
      <c r="N13" s="116">
        <v>0</v>
      </c>
      <c r="O13" s="215">
        <f t="shared" si="1"/>
        <v>0</v>
      </c>
      <c r="P13" s="119">
        <f t="shared" si="21"/>
        <v>0.14285714285714285</v>
      </c>
      <c r="Q13" s="120">
        <v>1</v>
      </c>
      <c r="R13" s="120">
        <v>0</v>
      </c>
      <c r="S13" s="119">
        <f t="shared" si="13"/>
        <v>1</v>
      </c>
      <c r="T13" s="120">
        <v>788</v>
      </c>
      <c r="U13" s="120">
        <v>0</v>
      </c>
      <c r="V13" s="119">
        <f t="shared" si="14"/>
        <v>788</v>
      </c>
      <c r="W13" s="120">
        <v>1166</v>
      </c>
      <c r="X13" s="120">
        <v>0</v>
      </c>
      <c r="Y13" s="119">
        <f t="shared" si="3"/>
        <v>1166</v>
      </c>
      <c r="Z13" s="119">
        <f t="shared" si="15"/>
        <v>0</v>
      </c>
      <c r="AA13" s="121">
        <f t="shared" si="4"/>
        <v>1.4738225851303183E-2</v>
      </c>
      <c r="AB13" s="119">
        <f t="shared" si="16"/>
        <v>169.89</v>
      </c>
      <c r="AC13" s="120">
        <v>427.88</v>
      </c>
      <c r="AD13" s="121">
        <f t="shared" si="5"/>
        <v>0.36696397941680958</v>
      </c>
      <c r="AE13" s="120">
        <v>46.4</v>
      </c>
      <c r="AF13" s="120"/>
      <c r="AG13" s="120"/>
      <c r="AH13" s="120"/>
      <c r="AI13" s="154">
        <f t="shared" si="6"/>
        <v>5.1837064910630293</v>
      </c>
      <c r="AJ13" s="120">
        <v>0</v>
      </c>
      <c r="AK13" s="122">
        <f t="shared" si="17"/>
        <v>7.88</v>
      </c>
      <c r="AL13" s="123">
        <f t="shared" si="18"/>
        <v>508.766293508937</v>
      </c>
      <c r="AM13" s="124"/>
      <c r="AN13" s="125">
        <f t="shared" si="7"/>
        <v>1166</v>
      </c>
      <c r="AO13" s="126">
        <f t="shared" si="8"/>
        <v>169.89</v>
      </c>
      <c r="AP13" s="126">
        <f t="shared" si="9"/>
        <v>427.88</v>
      </c>
      <c r="AQ13" s="126">
        <f t="shared" si="19"/>
        <v>46.4</v>
      </c>
      <c r="AR13" s="126">
        <f t="shared" si="20"/>
        <v>0</v>
      </c>
      <c r="AS13" s="126">
        <f t="array" ref="AS13">_xlfn.IFS(S13=0,AL13,S13&lt;0,AL13/-S13,S13&gt;0,AL13/S13)</f>
        <v>508.766293508937</v>
      </c>
      <c r="AT13" s="121">
        <f t="shared" si="22"/>
        <v>0.43633472856684136</v>
      </c>
      <c r="AU13" s="121">
        <f t="shared" si="23"/>
        <v>2.9946806375239099</v>
      </c>
      <c r="AV13" s="127"/>
      <c r="AW13" s="122">
        <f t="shared" si="12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/>
      <c r="F14" s="119" t="s">
        <v>145</v>
      </c>
      <c r="G14" s="119">
        <v>1</v>
      </c>
      <c r="H14" s="119">
        <v>58</v>
      </c>
      <c r="I14" s="119">
        <v>169.89</v>
      </c>
      <c r="J14" s="119">
        <f t="shared" si="0"/>
        <v>0</v>
      </c>
      <c r="K14" s="116">
        <v>259</v>
      </c>
      <c r="L14" s="116">
        <v>2</v>
      </c>
      <c r="M14" s="116">
        <v>1232</v>
      </c>
      <c r="N14" s="116">
        <v>100</v>
      </c>
      <c r="O14" s="215">
        <f t="shared" si="1"/>
        <v>0.2857142857142857</v>
      </c>
      <c r="P14" s="119">
        <f t="shared" si="21"/>
        <v>0.2857142857142857</v>
      </c>
      <c r="Q14" s="120">
        <v>2</v>
      </c>
      <c r="R14" s="120">
        <v>0</v>
      </c>
      <c r="S14" s="119">
        <f t="shared" si="13"/>
        <v>2</v>
      </c>
      <c r="T14" s="120">
        <v>1559</v>
      </c>
      <c r="U14" s="120">
        <v>0</v>
      </c>
      <c r="V14" s="119">
        <f t="shared" si="14"/>
        <v>1559</v>
      </c>
      <c r="W14" s="120">
        <v>2464</v>
      </c>
      <c r="X14" s="120">
        <v>0</v>
      </c>
      <c r="Y14" s="119">
        <f t="shared" si="3"/>
        <v>2464</v>
      </c>
      <c r="Z14" s="119">
        <f t="shared" si="15"/>
        <v>2464</v>
      </c>
      <c r="AA14" s="121">
        <f t="shared" si="4"/>
        <v>3.1144930100867104E-2</v>
      </c>
      <c r="AB14" s="119">
        <f t="shared" si="16"/>
        <v>339.78</v>
      </c>
      <c r="AC14" s="120">
        <v>906.46</v>
      </c>
      <c r="AD14" s="121">
        <f t="shared" si="5"/>
        <v>0.36788149350649352</v>
      </c>
      <c r="AE14" s="120">
        <v>337.8</v>
      </c>
      <c r="AF14" s="120"/>
      <c r="AG14" s="120"/>
      <c r="AH14" s="120"/>
      <c r="AI14" s="154">
        <f t="shared" si="6"/>
        <v>37.581872060206962</v>
      </c>
      <c r="AJ14" s="120">
        <v>0</v>
      </c>
      <c r="AK14" s="122">
        <f t="shared" si="17"/>
        <v>15.59</v>
      </c>
      <c r="AL14" s="123">
        <f t="shared" si="18"/>
        <v>826.7881279397933</v>
      </c>
      <c r="AM14" s="124"/>
      <c r="AN14" s="125">
        <f t="shared" si="7"/>
        <v>1232</v>
      </c>
      <c r="AO14" s="126">
        <f t="shared" si="8"/>
        <v>169.89</v>
      </c>
      <c r="AP14" s="126">
        <f t="shared" si="9"/>
        <v>453.23</v>
      </c>
      <c r="AQ14" s="126">
        <f t="shared" si="19"/>
        <v>168.9</v>
      </c>
      <c r="AR14" s="126">
        <f t="shared" si="20"/>
        <v>0</v>
      </c>
      <c r="AS14" s="126">
        <f t="array" ref="AS14">_xlfn.IFS(S14=0,AL14,S14&lt;0,AL14/-S14,S14&gt;0,AL14/S14)</f>
        <v>413.39406396989665</v>
      </c>
      <c r="AT14" s="121">
        <f t="shared" si="22"/>
        <v>0.33554712984569535</v>
      </c>
      <c r="AU14" s="121">
        <f t="shared" si="23"/>
        <v>2.4333042790623147</v>
      </c>
      <c r="AV14" s="127"/>
      <c r="AW14" s="122">
        <f t="shared" si="12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/>
      <c r="F15" s="119" t="s">
        <v>145</v>
      </c>
      <c r="G15" s="119" t="s">
        <v>145</v>
      </c>
      <c r="H15" s="119">
        <v>34</v>
      </c>
      <c r="I15" s="119">
        <v>169.89</v>
      </c>
      <c r="J15" s="119">
        <f t="shared" si="0"/>
        <v>0</v>
      </c>
      <c r="K15" s="116">
        <v>524</v>
      </c>
      <c r="L15" s="116">
        <v>0</v>
      </c>
      <c r="M15" s="116">
        <v>0</v>
      </c>
      <c r="N15" s="116">
        <v>0</v>
      </c>
      <c r="O15" s="215">
        <f t="shared" si="1"/>
        <v>0</v>
      </c>
      <c r="P15" s="119">
        <f t="shared" si="21"/>
        <v>0</v>
      </c>
      <c r="Q15" s="120">
        <v>0</v>
      </c>
      <c r="R15" s="120">
        <v>0</v>
      </c>
      <c r="S15" s="119">
        <f t="shared" si="13"/>
        <v>0</v>
      </c>
      <c r="T15" s="120">
        <v>0</v>
      </c>
      <c r="U15" s="120">
        <v>0</v>
      </c>
      <c r="V15" s="119">
        <f t="shared" si="14"/>
        <v>0</v>
      </c>
      <c r="W15" s="120">
        <v>0</v>
      </c>
      <c r="X15" s="120">
        <v>0</v>
      </c>
      <c r="Y15" s="119">
        <f t="shared" si="3"/>
        <v>0</v>
      </c>
      <c r="Z15" s="119">
        <f t="shared" si="15"/>
        <v>0</v>
      </c>
      <c r="AA15" s="121">
        <f t="shared" si="4"/>
        <v>0</v>
      </c>
      <c r="AB15" s="119">
        <f t="shared" si="16"/>
        <v>0</v>
      </c>
      <c r="AC15" s="120">
        <v>0</v>
      </c>
      <c r="AD15" s="121">
        <f t="shared" si="5"/>
        <v>0</v>
      </c>
      <c r="AE15" s="120">
        <v>0</v>
      </c>
      <c r="AF15" s="120"/>
      <c r="AG15" s="120"/>
      <c r="AH15" s="120"/>
      <c r="AI15" s="154">
        <f t="shared" si="6"/>
        <v>22.030752587017872</v>
      </c>
      <c r="AJ15" s="120">
        <v>0</v>
      </c>
      <c r="AK15" s="122">
        <f t="shared" si="17"/>
        <v>0</v>
      </c>
      <c r="AL15" s="123">
        <f t="shared" si="18"/>
        <v>-22.030752587017872</v>
      </c>
      <c r="AM15" s="124"/>
      <c r="AN15" s="125">
        <f t="shared" si="7"/>
        <v>0</v>
      </c>
      <c r="AO15" s="126">
        <f t="shared" si="8"/>
        <v>169.89</v>
      </c>
      <c r="AP15" s="126">
        <f t="shared" si="9"/>
        <v>0</v>
      </c>
      <c r="AQ15" s="126">
        <f t="shared" si="19"/>
        <v>0</v>
      </c>
      <c r="AR15" s="126">
        <f t="shared" si="20"/>
        <v>0</v>
      </c>
      <c r="AS15" s="126">
        <f t="array" ref="AS15">_xlfn.IFS(S15=0,AL15,S15&lt;0,AL15/-S15,S15&gt;0,AL15/S15)</f>
        <v>-22.030752587017872</v>
      </c>
      <c r="AT15" s="121">
        <f t="shared" si="22"/>
        <v>0</v>
      </c>
      <c r="AU15" s="121">
        <f t="shared" si="23"/>
        <v>-0.12967657064581714</v>
      </c>
      <c r="AV15" s="127"/>
      <c r="AW15" s="122">
        <f t="shared" si="12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1093.5680964912281</v>
      </c>
      <c r="AO16" s="140">
        <f t="shared" si="24"/>
        <v>128.0625</v>
      </c>
      <c r="AP16" s="140">
        <f t="shared" si="24"/>
        <v>397.7028201754386</v>
      </c>
      <c r="AQ16" s="140">
        <f t="shared" si="24"/>
        <v>111.82291666666669</v>
      </c>
      <c r="AR16" s="140">
        <f t="shared" si="24"/>
        <v>348.35</v>
      </c>
      <c r="AS16" s="140">
        <f t="shared" si="24"/>
        <v>48.034924895652836</v>
      </c>
      <c r="AT16" s="141">
        <f t="shared" si="24"/>
        <v>3.4632169764172563E-2</v>
      </c>
      <c r="AU16" s="140">
        <f t="shared" si="24"/>
        <v>0.36327730273821168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99</v>
      </c>
      <c r="G17" s="145">
        <f t="shared" si="25"/>
        <v>19</v>
      </c>
      <c r="H17" s="145">
        <f>SUM(H3:H15)</f>
        <v>2126</v>
      </c>
      <c r="I17" s="145"/>
      <c r="J17" s="145">
        <f>SUM(J3:J15)</f>
        <v>0</v>
      </c>
      <c r="K17" s="145"/>
      <c r="L17" s="145">
        <f>SUM(L3:L15)</f>
        <v>157</v>
      </c>
      <c r="M17" s="145"/>
      <c r="N17" s="145"/>
      <c r="O17" s="145"/>
      <c r="P17" s="145"/>
      <c r="Q17" s="145">
        <f>SUM(Q3:Q15)</f>
        <v>70</v>
      </c>
      <c r="R17" s="145">
        <f t="shared" ref="R17:Z17" si="26">SUM(R3:R15)</f>
        <v>-1</v>
      </c>
      <c r="S17" s="145">
        <f t="shared" si="26"/>
        <v>69</v>
      </c>
      <c r="T17" s="145">
        <f t="shared" si="26"/>
        <v>53707.42</v>
      </c>
      <c r="U17" s="145">
        <f t="shared" si="26"/>
        <v>-813</v>
      </c>
      <c r="V17" s="145">
        <f t="shared" si="26"/>
        <v>52894.42</v>
      </c>
      <c r="W17" s="145">
        <f t="shared" si="26"/>
        <v>80352</v>
      </c>
      <c r="X17" s="145">
        <f t="shared" si="26"/>
        <v>-1238</v>
      </c>
      <c r="Y17" s="145">
        <f t="shared" si="26"/>
        <v>79114</v>
      </c>
      <c r="Z17" s="145">
        <f t="shared" si="26"/>
        <v>119553.87999999999</v>
      </c>
      <c r="AA17" s="146">
        <f>SUM(AA3:AA15)</f>
        <v>1</v>
      </c>
      <c r="AB17" s="147">
        <f>SUM(AB3:AB15)</f>
        <v>9760.3200000000015</v>
      </c>
      <c r="AC17" s="147">
        <f>SUM(AC3:AC15)</f>
        <v>28720.66</v>
      </c>
      <c r="AD17" s="146">
        <f>AC17/Y17</f>
        <v>0.36302879389235787</v>
      </c>
      <c r="AE17" s="145">
        <f>SUM(AE3:AE15)</f>
        <v>8509.6</v>
      </c>
      <c r="AF17" s="145">
        <f t="shared" ref="AF17:AL17" si="27">SUM(AF3:AF15)</f>
        <v>13613</v>
      </c>
      <c r="AG17" s="145">
        <f t="shared" si="27"/>
        <v>9553</v>
      </c>
      <c r="AH17" s="145">
        <f t="shared" si="27"/>
        <v>0</v>
      </c>
      <c r="AI17" s="145">
        <f>SUM(AI3:AI15)</f>
        <v>1377.5700000000002</v>
      </c>
      <c r="AJ17" s="145">
        <f>SUM(AJ3:AJ15)</f>
        <v>0</v>
      </c>
      <c r="AK17" s="145">
        <f t="shared" si="27"/>
        <v>528.94420000000014</v>
      </c>
      <c r="AL17" s="145">
        <f t="shared" si="27"/>
        <v>7050.9057999999986</v>
      </c>
      <c r="AM17" s="148"/>
      <c r="AN17" s="145"/>
      <c r="AO17" s="145"/>
      <c r="AP17" s="145"/>
      <c r="AQ17" s="145"/>
      <c r="AR17" s="145">
        <f>(AF17+AG17)/Q17</f>
        <v>330.94285714285712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238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>
        <f>Y19/$Y$74</f>
        <v>0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>
        <f t="shared" ref="AI19:AI70" si="38">$AI$74*H19/$H$74</f>
        <v>0</v>
      </c>
      <c r="AJ19" s="120"/>
      <c r="AK19" s="122">
        <f t="shared" ref="AK19:AK70" si="39">V19*1%</f>
        <v>0</v>
      </c>
      <c r="AL19" s="123">
        <f t="shared" ref="AL19:AL70" si="40">Y19-AB19-AC19-AE19-AF19-AG19-AH19-AI19-AK19-AJ19</f>
        <v>0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>
        <f t="shared" ref="AW19:AW70" si="48">AS19*E19</f>
        <v>0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>
        <f t="shared" ref="AA20:AA70" si="49">Y20/$Y$74</f>
        <v>0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>
        <f t="shared" si="38"/>
        <v>0</v>
      </c>
      <c r="AJ20" s="120"/>
      <c r="AK20" s="122">
        <f t="shared" si="39"/>
        <v>0</v>
      </c>
      <c r="AL20" s="123">
        <f t="shared" si="40"/>
        <v>0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>
        <f t="array" ref="AS20">_xlfn.IFS(S20=0,AL20,S20&lt;0,AL20/-S20,S20&gt;0,AL20/S20)</f>
        <v>0</v>
      </c>
      <c r="AT20" s="121">
        <f t="shared" si="46"/>
        <v>0</v>
      </c>
      <c r="AU20" s="121">
        <f t="shared" si="47"/>
        <v>0</v>
      </c>
      <c r="AV20" s="127"/>
      <c r="AW20" s="122">
        <f t="shared" si="48"/>
        <v>0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>
        <f t="shared" si="49"/>
        <v>0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>
        <f t="shared" si="38"/>
        <v>0</v>
      </c>
      <c r="AJ21" s="120"/>
      <c r="AK21" s="122">
        <f t="shared" si="39"/>
        <v>0</v>
      </c>
      <c r="AL21" s="123">
        <f t="shared" si="40"/>
        <v>0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>
        <f t="array" ref="AS21">_xlfn.IFS(S21=0,AL21,S21&lt;0,AL21/-S21,S21&gt;0,AL21/S21)</f>
        <v>0</v>
      </c>
      <c r="AT21" s="121">
        <f t="shared" si="46"/>
        <v>0</v>
      </c>
      <c r="AU21" s="121">
        <f t="shared" si="47"/>
        <v>0</v>
      </c>
      <c r="AV21" s="127"/>
      <c r="AW21" s="122">
        <f t="shared" si="48"/>
        <v>0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>
        <f t="shared" si="49"/>
        <v>0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>
        <f t="shared" si="38"/>
        <v>0</v>
      </c>
      <c r="AJ22" s="120"/>
      <c r="AK22" s="122">
        <f t="shared" si="39"/>
        <v>0</v>
      </c>
      <c r="AL22" s="123">
        <f t="shared" si="40"/>
        <v>0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>
        <f t="array" ref="AS22">_xlfn.IFS(S22=0,AL22,S22&lt;0,AL22/-S22,S22&gt;0,AL22/S22)</f>
        <v>0</v>
      </c>
      <c r="AT22" s="121">
        <f t="shared" si="46"/>
        <v>0</v>
      </c>
      <c r="AU22" s="121">
        <f t="shared" si="47"/>
        <v>0</v>
      </c>
      <c r="AV22" s="127"/>
      <c r="AW22" s="122">
        <f t="shared" si="48"/>
        <v>0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>
        <f t="shared" si="49"/>
        <v>0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>
        <f t="shared" si="38"/>
        <v>0</v>
      </c>
      <c r="AJ23" s="120"/>
      <c r="AK23" s="122">
        <f t="shared" si="39"/>
        <v>0</v>
      </c>
      <c r="AL23" s="123">
        <f t="shared" si="40"/>
        <v>0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>
        <f t="array" ref="AS23">_xlfn.IFS(S23=0,AL23,S23&lt;0,AL23/-S23,S23&gt;0,AL23/S23)</f>
        <v>0</v>
      </c>
      <c r="AT23" s="121">
        <f t="shared" si="46"/>
        <v>0</v>
      </c>
      <c r="AU23" s="121">
        <f t="shared" si="47"/>
        <v>0</v>
      </c>
      <c r="AV23" s="127"/>
      <c r="AW23" s="122">
        <f t="shared" si="48"/>
        <v>0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>
        <f t="shared" si="49"/>
        <v>0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>
        <f t="shared" si="38"/>
        <v>0</v>
      </c>
      <c r="AJ24" s="120"/>
      <c r="AK24" s="122">
        <f t="shared" si="39"/>
        <v>0</v>
      </c>
      <c r="AL24" s="123">
        <f t="shared" si="40"/>
        <v>0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>
        <f t="array" ref="AS24">_xlfn.IFS(S24=0,AL24,S24&lt;0,AL24/-S24,S24&gt;0,AL24/S24)</f>
        <v>0</v>
      </c>
      <c r="AT24" s="121">
        <f t="shared" si="46"/>
        <v>0</v>
      </c>
      <c r="AU24" s="121">
        <f t="shared" si="47"/>
        <v>0</v>
      </c>
      <c r="AV24" s="127"/>
      <c r="AW24" s="122">
        <f t="shared" si="48"/>
        <v>0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>
        <f t="shared" si="49"/>
        <v>0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>
        <f t="shared" si="38"/>
        <v>0</v>
      </c>
      <c r="AJ25" s="120"/>
      <c r="AK25" s="122">
        <f t="shared" si="39"/>
        <v>0</v>
      </c>
      <c r="AL25" s="123">
        <f t="shared" si="40"/>
        <v>0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>
        <f t="array" ref="AS25">_xlfn.IFS(S25=0,AL25,S25&lt;0,AL25/-S25,S25&gt;0,AL25/S25)</f>
        <v>0</v>
      </c>
      <c r="AT25" s="121">
        <f t="shared" si="46"/>
        <v>0</v>
      </c>
      <c r="AU25" s="121">
        <f t="shared" si="47"/>
        <v>0</v>
      </c>
      <c r="AV25" s="127"/>
      <c r="AW25" s="122">
        <f t="shared" si="48"/>
        <v>0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>
        <f t="shared" si="49"/>
        <v>0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>
        <f t="shared" si="38"/>
        <v>0</v>
      </c>
      <c r="AJ26" s="120"/>
      <c r="AK26" s="122">
        <f t="shared" si="39"/>
        <v>0</v>
      </c>
      <c r="AL26" s="123">
        <f t="shared" si="40"/>
        <v>0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>
        <f t="array" ref="AS26">_xlfn.IFS(S26=0,AL26,S26&lt;0,AL26/-S26,S26&gt;0,AL26/S26)</f>
        <v>0</v>
      </c>
      <c r="AT26" s="121">
        <f t="shared" si="46"/>
        <v>0</v>
      </c>
      <c r="AU26" s="121">
        <f t="shared" si="47"/>
        <v>0</v>
      </c>
      <c r="AV26" s="127"/>
      <c r="AW26" s="122">
        <f t="shared" si="48"/>
        <v>0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>
        <f t="shared" si="49"/>
        <v>0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>
        <f t="shared" si="38"/>
        <v>0</v>
      </c>
      <c r="AJ27" s="120"/>
      <c r="AK27" s="122">
        <f t="shared" si="39"/>
        <v>0</v>
      </c>
      <c r="AL27" s="123">
        <f t="shared" si="40"/>
        <v>0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>
        <f t="array" ref="AS27">_xlfn.IFS(S27=0,AL27,S27&lt;0,AL27/-S27,S27&gt;0,AL27/S27)</f>
        <v>0</v>
      </c>
      <c r="AT27" s="121">
        <f t="shared" si="46"/>
        <v>0</v>
      </c>
      <c r="AU27" s="121">
        <f t="shared" si="47"/>
        <v>0</v>
      </c>
      <c r="AV27" s="127"/>
      <c r="AW27" s="122">
        <f t="shared" si="48"/>
        <v>0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>
        <f t="shared" si="49"/>
        <v>0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>
        <f t="shared" si="38"/>
        <v>0</v>
      </c>
      <c r="AJ28" s="120"/>
      <c r="AK28" s="122">
        <f t="shared" si="39"/>
        <v>0</v>
      </c>
      <c r="AL28" s="123">
        <f t="shared" si="40"/>
        <v>0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>
        <f t="array" ref="AS28">_xlfn.IFS(S28=0,AL28,S28&lt;0,AL28/-S28,S28&gt;0,AL28/S28)</f>
        <v>0</v>
      </c>
      <c r="AT28" s="121">
        <f t="shared" si="46"/>
        <v>0</v>
      </c>
      <c r="AU28" s="121">
        <f t="shared" si="47"/>
        <v>0</v>
      </c>
      <c r="AV28" s="127"/>
      <c r="AW28" s="122">
        <f t="shared" si="48"/>
        <v>0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>
        <f t="shared" si="49"/>
        <v>0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>
        <f t="shared" si="38"/>
        <v>0</v>
      </c>
      <c r="AJ29" s="120"/>
      <c r="AK29" s="122">
        <f t="shared" si="39"/>
        <v>0</v>
      </c>
      <c r="AL29" s="123">
        <f t="shared" si="40"/>
        <v>0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>
        <f t="array" ref="AS29">_xlfn.IFS(S29=0,AL29,S29&lt;0,AL29/-S29,S29&gt;0,AL29/S29)</f>
        <v>0</v>
      </c>
      <c r="AT29" s="121">
        <f t="shared" si="46"/>
        <v>0</v>
      </c>
      <c r="AU29" s="121">
        <f t="shared" si="47"/>
        <v>0</v>
      </c>
      <c r="AV29" s="127"/>
      <c r="AW29" s="122">
        <f t="shared" si="48"/>
        <v>0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>
        <f t="shared" si="49"/>
        <v>0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>
        <f t="shared" si="38"/>
        <v>0</v>
      </c>
      <c r="AJ30" s="120"/>
      <c r="AK30" s="122">
        <f t="shared" si="39"/>
        <v>0</v>
      </c>
      <c r="AL30" s="123">
        <f t="shared" si="40"/>
        <v>0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>
        <f t="array" ref="AS30">_xlfn.IFS(S30=0,AL30,S30&lt;0,AL30/-S30,S30&gt;0,AL30/S30)</f>
        <v>0</v>
      </c>
      <c r="AT30" s="121">
        <f t="shared" si="46"/>
        <v>0</v>
      </c>
      <c r="AU30" s="121">
        <f t="shared" si="47"/>
        <v>0</v>
      </c>
      <c r="AV30" s="127"/>
      <c r="AW30" s="122">
        <f t="shared" si="48"/>
        <v>0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>
        <f t="shared" si="49"/>
        <v>0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>
        <f t="shared" si="38"/>
        <v>0</v>
      </c>
      <c r="AJ31" s="120"/>
      <c r="AK31" s="122">
        <f t="shared" si="39"/>
        <v>0</v>
      </c>
      <c r="AL31" s="123">
        <f t="shared" si="40"/>
        <v>0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>
        <f t="array" ref="AS31">_xlfn.IFS(S31=0,AL31,S31&lt;0,AL31/-S31,S31&gt;0,AL31/S31)</f>
        <v>0</v>
      </c>
      <c r="AT31" s="121">
        <f t="shared" si="46"/>
        <v>0</v>
      </c>
      <c r="AU31" s="121">
        <f t="shared" si="47"/>
        <v>0</v>
      </c>
      <c r="AV31" s="127"/>
      <c r="AW31" s="122">
        <f t="shared" si="48"/>
        <v>0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>
        <f t="shared" si="49"/>
        <v>0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>
        <f t="shared" si="38"/>
        <v>0</v>
      </c>
      <c r="AJ32" s="120"/>
      <c r="AK32" s="122">
        <f t="shared" si="39"/>
        <v>0</v>
      </c>
      <c r="AL32" s="123">
        <f t="shared" si="40"/>
        <v>0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>
        <f t="array" ref="AS32">_xlfn.IFS(S32=0,AL32,S32&lt;0,AL32/-S32,S32&gt;0,AL32/S32)</f>
        <v>0</v>
      </c>
      <c r="AT32" s="121">
        <f t="shared" si="46"/>
        <v>0</v>
      </c>
      <c r="AU32" s="121">
        <f t="shared" si="47"/>
        <v>0</v>
      </c>
      <c r="AV32" s="127"/>
      <c r="AW32" s="122">
        <f t="shared" si="48"/>
        <v>0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>
        <f t="shared" si="49"/>
        <v>0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>
        <f t="shared" si="38"/>
        <v>0</v>
      </c>
      <c r="AJ33" s="120"/>
      <c r="AK33" s="122">
        <f t="shared" si="39"/>
        <v>0</v>
      </c>
      <c r="AL33" s="123">
        <f t="shared" si="40"/>
        <v>0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>
        <f t="array" ref="AS33">_xlfn.IFS(S33=0,AL33,S33&lt;0,AL33/-S33,S33&gt;0,AL33/S33)</f>
        <v>0</v>
      </c>
      <c r="AT33" s="121">
        <f t="shared" si="46"/>
        <v>0</v>
      </c>
      <c r="AU33" s="121">
        <f t="shared" si="47"/>
        <v>0</v>
      </c>
      <c r="AV33" s="127"/>
      <c r="AW33" s="122">
        <f t="shared" si="48"/>
        <v>0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>
        <f t="shared" si="49"/>
        <v>0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>
        <f t="shared" si="38"/>
        <v>0</v>
      </c>
      <c r="AJ34" s="120"/>
      <c r="AK34" s="122">
        <f t="shared" si="39"/>
        <v>0</v>
      </c>
      <c r="AL34" s="123">
        <f t="shared" si="40"/>
        <v>0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>
        <f t="array" ref="AS34">_xlfn.IFS(S34=0,AL34,S34&lt;0,AL34/-S34,S34&gt;0,AL34/S34)</f>
        <v>0</v>
      </c>
      <c r="AT34" s="121">
        <f t="shared" si="46"/>
        <v>0</v>
      </c>
      <c r="AU34" s="121">
        <f t="shared" si="47"/>
        <v>0</v>
      </c>
      <c r="AV34" s="127"/>
      <c r="AW34" s="122">
        <f t="shared" si="48"/>
        <v>0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>
        <f t="shared" si="49"/>
        <v>0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>
        <f t="shared" si="38"/>
        <v>0</v>
      </c>
      <c r="AJ35" s="120"/>
      <c r="AK35" s="122">
        <f t="shared" si="39"/>
        <v>0</v>
      </c>
      <c r="AL35" s="123">
        <f t="shared" si="40"/>
        <v>0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>
        <f t="array" ref="AS35">_xlfn.IFS(S35=0,AL35,S35&lt;0,AL35/-S35,S35&gt;0,AL35/S35)</f>
        <v>0</v>
      </c>
      <c r="AT35" s="121">
        <f t="shared" si="46"/>
        <v>0</v>
      </c>
      <c r="AU35" s="121">
        <f t="shared" si="47"/>
        <v>0</v>
      </c>
      <c r="AV35" s="127"/>
      <c r="AW35" s="122">
        <f t="shared" si="48"/>
        <v>0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>
        <f t="shared" si="49"/>
        <v>0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>
        <f t="shared" si="38"/>
        <v>0</v>
      </c>
      <c r="AJ36" s="120"/>
      <c r="AK36" s="122">
        <f t="shared" si="39"/>
        <v>0</v>
      </c>
      <c r="AL36" s="123">
        <f t="shared" si="40"/>
        <v>0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>
        <f t="array" ref="AS36">_xlfn.IFS(S36=0,AL36,S36&lt;0,AL36/-S36,S36&gt;0,AL36/S36)</f>
        <v>0</v>
      </c>
      <c r="AT36" s="121">
        <f t="shared" si="46"/>
        <v>0</v>
      </c>
      <c r="AU36" s="121">
        <f t="shared" si="47"/>
        <v>0</v>
      </c>
      <c r="AV36" s="127"/>
      <c r="AW36" s="122">
        <f t="shared" si="48"/>
        <v>0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>
        <f t="shared" si="49"/>
        <v>0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>
        <f t="shared" si="38"/>
        <v>0</v>
      </c>
      <c r="AJ37" s="120"/>
      <c r="AK37" s="122">
        <f t="shared" si="39"/>
        <v>0</v>
      </c>
      <c r="AL37" s="123">
        <f t="shared" si="40"/>
        <v>0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>
        <f t="array" ref="AS37">_xlfn.IFS(S37=0,AL37,S37&lt;0,AL37/-S37,S37&gt;0,AL37/S37)</f>
        <v>0</v>
      </c>
      <c r="AT37" s="121">
        <f t="shared" si="46"/>
        <v>0</v>
      </c>
      <c r="AU37" s="121">
        <f t="shared" si="47"/>
        <v>0</v>
      </c>
      <c r="AV37" s="127"/>
      <c r="AW37" s="122">
        <f t="shared" si="48"/>
        <v>0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>
        <f t="shared" si="49"/>
        <v>0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>
        <f t="shared" si="38"/>
        <v>0</v>
      </c>
      <c r="AJ38" s="120"/>
      <c r="AK38" s="122">
        <f t="shared" si="39"/>
        <v>0</v>
      </c>
      <c r="AL38" s="123">
        <f t="shared" si="40"/>
        <v>0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>
        <f t="array" ref="AS38">_xlfn.IFS(S38=0,AL38,S38&lt;0,AL38/-S38,S38&gt;0,AL38/S38)</f>
        <v>0</v>
      </c>
      <c r="AT38" s="121">
        <f t="shared" si="46"/>
        <v>0</v>
      </c>
      <c r="AU38" s="121">
        <f t="shared" si="47"/>
        <v>0</v>
      </c>
      <c r="AV38" s="127"/>
      <c r="AW38" s="122">
        <f t="shared" si="48"/>
        <v>0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>
        <f t="shared" si="49"/>
        <v>0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>
        <f t="shared" si="38"/>
        <v>0</v>
      </c>
      <c r="AJ39" s="120"/>
      <c r="AK39" s="122">
        <f t="shared" si="39"/>
        <v>0</v>
      </c>
      <c r="AL39" s="123">
        <f t="shared" si="40"/>
        <v>0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>
        <f t="array" ref="AS39">_xlfn.IFS(S39=0,AL39,S39&lt;0,AL39/-S39,S39&gt;0,AL39/S39)</f>
        <v>0</v>
      </c>
      <c r="AT39" s="121">
        <f t="shared" si="46"/>
        <v>0</v>
      </c>
      <c r="AU39" s="121">
        <f t="shared" si="47"/>
        <v>0</v>
      </c>
      <c r="AV39" s="127"/>
      <c r="AW39" s="122">
        <f t="shared" si="48"/>
        <v>0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>
        <f t="shared" si="49"/>
        <v>0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>
        <f t="shared" si="38"/>
        <v>0</v>
      </c>
      <c r="AJ40" s="120"/>
      <c r="AK40" s="122">
        <f t="shared" si="39"/>
        <v>0</v>
      </c>
      <c r="AL40" s="123">
        <f t="shared" si="40"/>
        <v>0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>
        <f t="array" ref="AS40">_xlfn.IFS(S40=0,AL40,S40&lt;0,AL40/-S40,S40&gt;0,AL40/S40)</f>
        <v>0</v>
      </c>
      <c r="AT40" s="121">
        <f t="shared" si="46"/>
        <v>0</v>
      </c>
      <c r="AU40" s="121">
        <f t="shared" si="47"/>
        <v>0</v>
      </c>
      <c r="AV40" s="127"/>
      <c r="AW40" s="122">
        <f t="shared" si="48"/>
        <v>0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>
        <f t="shared" si="49"/>
        <v>0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>
        <f t="shared" si="38"/>
        <v>0</v>
      </c>
      <c r="AJ41" s="120"/>
      <c r="AK41" s="122">
        <f t="shared" si="39"/>
        <v>0</v>
      </c>
      <c r="AL41" s="123">
        <f t="shared" si="40"/>
        <v>0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>
        <f t="array" ref="AS41">_xlfn.IFS(S41=0,AL41,S41&lt;0,AL41/-S41,S41&gt;0,AL41/S41)</f>
        <v>0</v>
      </c>
      <c r="AT41" s="121">
        <f t="shared" si="46"/>
        <v>0</v>
      </c>
      <c r="AU41" s="121">
        <f t="shared" si="47"/>
        <v>0</v>
      </c>
      <c r="AV41" s="127"/>
      <c r="AW41" s="122">
        <f t="shared" si="48"/>
        <v>0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>
        <f t="shared" si="49"/>
        <v>0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>
        <f t="shared" si="38"/>
        <v>0</v>
      </c>
      <c r="AJ42" s="120"/>
      <c r="AK42" s="122">
        <f t="shared" si="39"/>
        <v>0</v>
      </c>
      <c r="AL42" s="123">
        <f t="shared" si="40"/>
        <v>0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>
        <f t="array" ref="AS42">_xlfn.IFS(S42=0,AL42,S42&lt;0,AL42/-S42,S42&gt;0,AL42/S42)</f>
        <v>0</v>
      </c>
      <c r="AT42" s="121">
        <f t="shared" si="46"/>
        <v>0</v>
      </c>
      <c r="AU42" s="121">
        <f t="shared" si="47"/>
        <v>0</v>
      </c>
      <c r="AV42" s="127"/>
      <c r="AW42" s="122">
        <f t="shared" si="48"/>
        <v>0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>
        <f t="shared" si="49"/>
        <v>0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>
        <f t="shared" si="38"/>
        <v>0</v>
      </c>
      <c r="AJ43" s="120"/>
      <c r="AK43" s="122">
        <f t="shared" si="39"/>
        <v>0</v>
      </c>
      <c r="AL43" s="123">
        <f t="shared" si="40"/>
        <v>0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>
        <f t="array" ref="AS43">_xlfn.IFS(S43=0,AL43,S43&lt;0,AL43/-S43,S43&gt;0,AL43/S43)</f>
        <v>0</v>
      </c>
      <c r="AT43" s="121">
        <f t="shared" si="46"/>
        <v>0</v>
      </c>
      <c r="AU43" s="121">
        <f t="shared" si="47"/>
        <v>0</v>
      </c>
      <c r="AV43" s="127"/>
      <c r="AW43" s="122">
        <f t="shared" si="48"/>
        <v>0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>
        <f t="shared" si="49"/>
        <v>0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>
        <f t="shared" si="38"/>
        <v>0</v>
      </c>
      <c r="AJ44" s="120"/>
      <c r="AK44" s="122">
        <f t="shared" si="39"/>
        <v>0</v>
      </c>
      <c r="AL44" s="123">
        <f t="shared" si="40"/>
        <v>0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>
        <f t="array" ref="AS44">_xlfn.IFS(S44=0,AL44,S44&lt;0,AL44/-S44,S44&gt;0,AL44/S44)</f>
        <v>0</v>
      </c>
      <c r="AT44" s="121">
        <f t="shared" si="46"/>
        <v>0</v>
      </c>
      <c r="AU44" s="121">
        <f t="shared" si="47"/>
        <v>0</v>
      </c>
      <c r="AV44" s="127"/>
      <c r="AW44" s="122">
        <f t="shared" si="48"/>
        <v>0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>
        <f t="shared" si="49"/>
        <v>0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>
        <f t="shared" si="38"/>
        <v>0</v>
      </c>
      <c r="AJ45" s="120"/>
      <c r="AK45" s="122">
        <f t="shared" si="39"/>
        <v>0</v>
      </c>
      <c r="AL45" s="123">
        <f t="shared" si="40"/>
        <v>0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>
        <f t="array" ref="AS45">_xlfn.IFS(S45=0,AL45,S45&lt;0,AL45/-S45,S45&gt;0,AL45/S45)</f>
        <v>0</v>
      </c>
      <c r="AT45" s="121">
        <f t="shared" si="46"/>
        <v>0</v>
      </c>
      <c r="AU45" s="121">
        <f t="shared" si="47"/>
        <v>0</v>
      </c>
      <c r="AV45" s="127"/>
      <c r="AW45" s="122">
        <f t="shared" si="48"/>
        <v>0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>
        <f t="shared" si="49"/>
        <v>0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>
        <f t="shared" si="38"/>
        <v>0</v>
      </c>
      <c r="AJ46" s="120"/>
      <c r="AK46" s="122">
        <f t="shared" si="39"/>
        <v>0</v>
      </c>
      <c r="AL46" s="123">
        <f t="shared" si="40"/>
        <v>0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>
        <f t="array" ref="AS46">_xlfn.IFS(S46=0,AL46,S46&lt;0,AL46/-S46,S46&gt;0,AL46/S46)</f>
        <v>0</v>
      </c>
      <c r="AT46" s="121">
        <f t="shared" si="46"/>
        <v>0</v>
      </c>
      <c r="AU46" s="121">
        <f t="shared" si="47"/>
        <v>0</v>
      </c>
      <c r="AV46" s="127"/>
      <c r="AW46" s="122">
        <f t="shared" si="48"/>
        <v>0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>
        <f t="shared" si="49"/>
        <v>0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>
        <f t="shared" si="38"/>
        <v>0</v>
      </c>
      <c r="AJ47" s="120"/>
      <c r="AK47" s="122">
        <f t="shared" si="39"/>
        <v>0</v>
      </c>
      <c r="AL47" s="123">
        <f t="shared" si="40"/>
        <v>0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>
        <f t="array" ref="AS47">_xlfn.IFS(S47=0,AL47,S47&lt;0,AL47/-S47,S47&gt;0,AL47/S47)</f>
        <v>0</v>
      </c>
      <c r="AT47" s="121">
        <f t="shared" si="46"/>
        <v>0</v>
      </c>
      <c r="AU47" s="121">
        <f t="shared" si="47"/>
        <v>0</v>
      </c>
      <c r="AV47" s="127"/>
      <c r="AW47" s="122">
        <f t="shared" si="48"/>
        <v>0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>
        <f t="shared" si="49"/>
        <v>0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>
        <f t="shared" si="38"/>
        <v>0</v>
      </c>
      <c r="AJ48" s="120"/>
      <c r="AK48" s="122">
        <f t="shared" si="39"/>
        <v>0</v>
      </c>
      <c r="AL48" s="123">
        <f t="shared" si="40"/>
        <v>0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>
        <f t="array" ref="AS48">_xlfn.IFS(S48=0,AL48,S48&lt;0,AL48/-S48,S48&gt;0,AL48/S48)</f>
        <v>0</v>
      </c>
      <c r="AT48" s="121">
        <f t="shared" si="46"/>
        <v>0</v>
      </c>
      <c r="AU48" s="121">
        <f t="shared" si="47"/>
        <v>0</v>
      </c>
      <c r="AV48" s="127"/>
      <c r="AW48" s="122">
        <f t="shared" si="48"/>
        <v>0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>
        <f t="shared" si="49"/>
        <v>0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>
        <f t="shared" si="38"/>
        <v>0</v>
      </c>
      <c r="AJ49" s="120"/>
      <c r="AK49" s="122">
        <f t="shared" si="39"/>
        <v>0</v>
      </c>
      <c r="AL49" s="123">
        <f t="shared" si="40"/>
        <v>0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>
        <f t="array" ref="AS49">_xlfn.IFS(S49=0,AL49,S49&lt;0,AL49/-S49,S49&gt;0,AL49/S49)</f>
        <v>0</v>
      </c>
      <c r="AT49" s="121">
        <f t="shared" si="46"/>
        <v>0</v>
      </c>
      <c r="AU49" s="121">
        <f t="shared" si="47"/>
        <v>0</v>
      </c>
      <c r="AV49" s="127"/>
      <c r="AW49" s="122">
        <f t="shared" si="48"/>
        <v>0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>
        <f t="shared" si="49"/>
        <v>0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>
        <f t="shared" si="38"/>
        <v>0</v>
      </c>
      <c r="AJ50" s="120"/>
      <c r="AK50" s="122">
        <f t="shared" si="39"/>
        <v>0</v>
      </c>
      <c r="AL50" s="123">
        <f t="shared" si="40"/>
        <v>0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>
        <f t="array" ref="AS50">_xlfn.IFS(S50=0,AL50,S50&lt;0,AL50/-S50,S50&gt;0,AL50/S50)</f>
        <v>0</v>
      </c>
      <c r="AT50" s="121">
        <f t="shared" si="46"/>
        <v>0</v>
      </c>
      <c r="AU50" s="121">
        <f t="shared" si="47"/>
        <v>0</v>
      </c>
      <c r="AV50" s="127"/>
      <c r="AW50" s="122">
        <f t="shared" si="48"/>
        <v>0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>
        <f t="shared" si="49"/>
        <v>0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>
        <f t="shared" si="38"/>
        <v>0</v>
      </c>
      <c r="AJ51" s="120"/>
      <c r="AK51" s="122">
        <f t="shared" si="39"/>
        <v>0</v>
      </c>
      <c r="AL51" s="123">
        <f t="shared" si="40"/>
        <v>0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>
        <f t="array" ref="AS51">_xlfn.IFS(S51=0,AL51,S51&lt;0,AL51/-S51,S51&gt;0,AL51/S51)</f>
        <v>0</v>
      </c>
      <c r="AT51" s="121">
        <f t="shared" si="46"/>
        <v>0</v>
      </c>
      <c r="AU51" s="121">
        <f t="shared" si="47"/>
        <v>0</v>
      </c>
      <c r="AV51" s="127"/>
      <c r="AW51" s="122">
        <f t="shared" si="48"/>
        <v>0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>
        <f t="shared" si="49"/>
        <v>0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>
        <f t="shared" si="38"/>
        <v>0</v>
      </c>
      <c r="AJ52" s="120"/>
      <c r="AK52" s="122">
        <f t="shared" si="39"/>
        <v>0</v>
      </c>
      <c r="AL52" s="123">
        <f t="shared" si="40"/>
        <v>0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>
        <f t="array" ref="AS52">_xlfn.IFS(S52=0,AL52,S52&lt;0,AL52/-S52,S52&gt;0,AL52/S52)</f>
        <v>0</v>
      </c>
      <c r="AT52" s="121">
        <f t="shared" si="46"/>
        <v>0</v>
      </c>
      <c r="AU52" s="121">
        <f t="shared" si="47"/>
        <v>0</v>
      </c>
      <c r="AV52" s="127"/>
      <c r="AW52" s="122">
        <f t="shared" si="48"/>
        <v>0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>
        <f t="shared" si="49"/>
        <v>0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>
        <f t="shared" si="38"/>
        <v>0</v>
      </c>
      <c r="AJ53" s="120"/>
      <c r="AK53" s="122">
        <f t="shared" si="39"/>
        <v>0</v>
      </c>
      <c r="AL53" s="123">
        <f t="shared" si="40"/>
        <v>0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>
        <f t="array" ref="AS53">_xlfn.IFS(S53=0,AL53,S53&lt;0,AL53/-S53,S53&gt;0,AL53/S53)</f>
        <v>0</v>
      </c>
      <c r="AT53" s="121">
        <f t="shared" si="46"/>
        <v>0</v>
      </c>
      <c r="AU53" s="121">
        <f t="shared" si="47"/>
        <v>0</v>
      </c>
      <c r="AV53" s="127"/>
      <c r="AW53" s="122">
        <f t="shared" si="48"/>
        <v>0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>
        <f t="shared" si="49"/>
        <v>0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>
        <f t="shared" si="38"/>
        <v>0</v>
      </c>
      <c r="AJ54" s="120"/>
      <c r="AK54" s="122">
        <f t="shared" si="39"/>
        <v>0</v>
      </c>
      <c r="AL54" s="123">
        <f t="shared" si="40"/>
        <v>0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>
        <f t="array" ref="AS54">_xlfn.IFS(S54=0,AL54,S54&lt;0,AL54/-S54,S54&gt;0,AL54/S54)</f>
        <v>0</v>
      </c>
      <c r="AT54" s="121">
        <f t="shared" si="46"/>
        <v>0</v>
      </c>
      <c r="AU54" s="121">
        <f t="shared" si="47"/>
        <v>0</v>
      </c>
      <c r="AV54" s="127"/>
      <c r="AW54" s="122">
        <f t="shared" si="48"/>
        <v>0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>
        <f t="shared" si="49"/>
        <v>0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>
        <f t="shared" si="38"/>
        <v>0</v>
      </c>
      <c r="AJ55" s="120"/>
      <c r="AK55" s="122">
        <f t="shared" si="39"/>
        <v>0</v>
      </c>
      <c r="AL55" s="123">
        <f t="shared" si="40"/>
        <v>0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>
        <f t="array" ref="AS55">_xlfn.IFS(S55=0,AL55,S55&lt;0,AL55/-S55,S55&gt;0,AL55/S55)</f>
        <v>0</v>
      </c>
      <c r="AT55" s="121">
        <f t="shared" si="46"/>
        <v>0</v>
      </c>
      <c r="AU55" s="121">
        <f t="shared" si="47"/>
        <v>0</v>
      </c>
      <c r="AV55" s="127"/>
      <c r="AW55" s="122">
        <f t="shared" si="48"/>
        <v>0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>
        <f t="shared" si="49"/>
        <v>0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>
        <f t="shared" si="38"/>
        <v>0</v>
      </c>
      <c r="AJ56" s="120"/>
      <c r="AK56" s="122">
        <f t="shared" si="39"/>
        <v>0</v>
      </c>
      <c r="AL56" s="123">
        <f t="shared" si="40"/>
        <v>0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>
        <f t="array" ref="AS56">_xlfn.IFS(S56=0,AL56,S56&lt;0,AL56/-S56,S56&gt;0,AL56/S56)</f>
        <v>0</v>
      </c>
      <c r="AT56" s="121">
        <f t="shared" si="46"/>
        <v>0</v>
      </c>
      <c r="AU56" s="121">
        <f t="shared" si="47"/>
        <v>0</v>
      </c>
      <c r="AV56" s="127"/>
      <c r="AW56" s="122">
        <f t="shared" si="48"/>
        <v>0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>
        <f t="shared" si="49"/>
        <v>0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>
        <f t="shared" si="38"/>
        <v>0</v>
      </c>
      <c r="AJ57" s="120"/>
      <c r="AK57" s="122">
        <f t="shared" si="39"/>
        <v>0</v>
      </c>
      <c r="AL57" s="123">
        <f t="shared" si="40"/>
        <v>0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>
        <f t="array" ref="AS57">_xlfn.IFS(S57=0,AL57,S57&lt;0,AL57/-S57,S57&gt;0,AL57/S57)</f>
        <v>0</v>
      </c>
      <c r="AT57" s="121">
        <f t="shared" si="46"/>
        <v>0</v>
      </c>
      <c r="AU57" s="121">
        <f t="shared" si="47"/>
        <v>0</v>
      </c>
      <c r="AV57" s="127"/>
      <c r="AW57" s="122">
        <f t="shared" si="48"/>
        <v>0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>
        <f t="shared" si="49"/>
        <v>0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>
        <f t="shared" si="38"/>
        <v>0</v>
      </c>
      <c r="AJ58" s="120"/>
      <c r="AK58" s="122">
        <f t="shared" si="39"/>
        <v>0</v>
      </c>
      <c r="AL58" s="123">
        <f t="shared" si="40"/>
        <v>0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>
        <f t="array" ref="AS58">_xlfn.IFS(S58=0,AL58,S58&lt;0,AL58/-S58,S58&gt;0,AL58/S58)</f>
        <v>0</v>
      </c>
      <c r="AT58" s="121">
        <f t="shared" si="46"/>
        <v>0</v>
      </c>
      <c r="AU58" s="121">
        <f t="shared" si="47"/>
        <v>0</v>
      </c>
      <c r="AV58" s="127"/>
      <c r="AW58" s="122">
        <f t="shared" si="48"/>
        <v>0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>
        <f t="shared" si="49"/>
        <v>0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>
        <f t="shared" si="38"/>
        <v>0</v>
      </c>
      <c r="AJ59" s="120"/>
      <c r="AK59" s="122">
        <f t="shared" si="39"/>
        <v>0</v>
      </c>
      <c r="AL59" s="123">
        <f t="shared" si="40"/>
        <v>0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>
        <f t="array" ref="AS59">_xlfn.IFS(S59=0,AL59,S59&lt;0,AL59/-S59,S59&gt;0,AL59/S59)</f>
        <v>0</v>
      </c>
      <c r="AT59" s="121">
        <f t="shared" si="46"/>
        <v>0</v>
      </c>
      <c r="AU59" s="121">
        <f t="shared" si="47"/>
        <v>0</v>
      </c>
      <c r="AV59" s="127"/>
      <c r="AW59" s="122">
        <f t="shared" si="48"/>
        <v>0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>
        <f t="shared" si="49"/>
        <v>0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>
        <f t="shared" si="38"/>
        <v>0</v>
      </c>
      <c r="AJ60" s="120"/>
      <c r="AK60" s="122">
        <f t="shared" si="39"/>
        <v>0</v>
      </c>
      <c r="AL60" s="123">
        <f t="shared" si="40"/>
        <v>0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>
        <f t="array" ref="AS60">_xlfn.IFS(S60=0,AL60,S60&lt;0,AL60/-S60,S60&gt;0,AL60/S60)</f>
        <v>0</v>
      </c>
      <c r="AT60" s="121">
        <f t="shared" si="46"/>
        <v>0</v>
      </c>
      <c r="AU60" s="121">
        <f t="shared" si="47"/>
        <v>0</v>
      </c>
      <c r="AV60" s="127"/>
      <c r="AW60" s="122">
        <f t="shared" si="48"/>
        <v>0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>
        <f t="shared" si="49"/>
        <v>0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>
        <f t="shared" si="38"/>
        <v>0</v>
      </c>
      <c r="AJ61" s="120"/>
      <c r="AK61" s="122">
        <f t="shared" si="39"/>
        <v>0</v>
      </c>
      <c r="AL61" s="123">
        <f t="shared" si="40"/>
        <v>0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>
        <f t="array" ref="AS61">_xlfn.IFS(S61=0,AL61,S61&lt;0,AL61/-S61,S61&gt;0,AL61/S61)</f>
        <v>0</v>
      </c>
      <c r="AT61" s="121">
        <f t="shared" si="46"/>
        <v>0</v>
      </c>
      <c r="AU61" s="121">
        <f t="shared" si="47"/>
        <v>0</v>
      </c>
      <c r="AV61" s="127"/>
      <c r="AW61" s="122">
        <f t="shared" si="48"/>
        <v>0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>
        <f t="shared" si="49"/>
        <v>0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>
        <f t="shared" si="38"/>
        <v>0</v>
      </c>
      <c r="AJ62" s="120"/>
      <c r="AK62" s="122">
        <f t="shared" si="39"/>
        <v>0</v>
      </c>
      <c r="AL62" s="123">
        <f t="shared" si="40"/>
        <v>0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>
        <f t="array" ref="AS62">_xlfn.IFS(S62=0,AL62,S62&lt;0,AL62/-S62,S62&gt;0,AL62/S62)</f>
        <v>0</v>
      </c>
      <c r="AT62" s="121">
        <f t="shared" si="46"/>
        <v>0</v>
      </c>
      <c r="AU62" s="121">
        <f t="shared" si="47"/>
        <v>0</v>
      </c>
      <c r="AV62" s="127"/>
      <c r="AW62" s="122">
        <f t="shared" si="48"/>
        <v>0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>
        <f t="shared" si="49"/>
        <v>0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>
        <f t="shared" si="38"/>
        <v>0</v>
      </c>
      <c r="AJ63" s="120"/>
      <c r="AK63" s="122">
        <f t="shared" si="39"/>
        <v>0</v>
      </c>
      <c r="AL63" s="123">
        <f t="shared" si="40"/>
        <v>0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>
        <f t="array" ref="AS63">_xlfn.IFS(S63=0,AL63,S63&lt;0,AL63/-S63,S63&gt;0,AL63/S63)</f>
        <v>0</v>
      </c>
      <c r="AT63" s="121">
        <f t="shared" si="46"/>
        <v>0</v>
      </c>
      <c r="AU63" s="121">
        <f t="shared" si="47"/>
        <v>0</v>
      </c>
      <c r="AV63" s="127"/>
      <c r="AW63" s="122">
        <f t="shared" si="48"/>
        <v>0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>
        <f t="shared" si="49"/>
        <v>0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>
        <f t="shared" si="38"/>
        <v>0</v>
      </c>
      <c r="AJ64" s="120"/>
      <c r="AK64" s="122">
        <f t="shared" si="39"/>
        <v>0</v>
      </c>
      <c r="AL64" s="123">
        <f t="shared" si="40"/>
        <v>0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>
        <f t="array" ref="AS64">_xlfn.IFS(S64=0,AL64,S64&lt;0,AL64/-S64,S64&gt;0,AL64/S64)</f>
        <v>0</v>
      </c>
      <c r="AT64" s="121">
        <f t="shared" si="46"/>
        <v>0</v>
      </c>
      <c r="AU64" s="121">
        <f t="shared" si="47"/>
        <v>0</v>
      </c>
      <c r="AV64" s="127"/>
      <c r="AW64" s="122">
        <f t="shared" si="48"/>
        <v>0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>
        <f t="shared" si="49"/>
        <v>0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>
        <f t="shared" si="38"/>
        <v>0</v>
      </c>
      <c r="AJ65" s="120"/>
      <c r="AK65" s="122">
        <f t="shared" si="39"/>
        <v>0</v>
      </c>
      <c r="AL65" s="123">
        <f t="shared" si="40"/>
        <v>0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>
        <f t="array" ref="AS65">_xlfn.IFS(S65=0,AL65,S65&lt;0,AL65/-S65,S65&gt;0,AL65/S65)</f>
        <v>0</v>
      </c>
      <c r="AT65" s="121">
        <f t="shared" si="46"/>
        <v>0</v>
      </c>
      <c r="AU65" s="121">
        <f t="shared" si="47"/>
        <v>0</v>
      </c>
      <c r="AV65" s="127"/>
      <c r="AW65" s="122">
        <f t="shared" si="48"/>
        <v>0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>
        <f t="shared" si="49"/>
        <v>0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>
        <f t="shared" si="38"/>
        <v>0</v>
      </c>
      <c r="AJ66" s="120"/>
      <c r="AK66" s="122">
        <f t="shared" si="39"/>
        <v>0</v>
      </c>
      <c r="AL66" s="123">
        <f t="shared" si="40"/>
        <v>0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>
        <f t="array" ref="AS66">_xlfn.IFS(S66=0,AL66,S66&lt;0,AL66/-S66,S66&gt;0,AL66/S66)</f>
        <v>0</v>
      </c>
      <c r="AT66" s="121">
        <f t="shared" si="46"/>
        <v>0</v>
      </c>
      <c r="AU66" s="121">
        <f t="shared" si="47"/>
        <v>0</v>
      </c>
      <c r="AV66" s="127"/>
      <c r="AW66" s="122">
        <f t="shared" si="48"/>
        <v>0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>
        <f t="shared" si="49"/>
        <v>0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>
        <f t="shared" si="38"/>
        <v>0</v>
      </c>
      <c r="AJ67" s="120"/>
      <c r="AK67" s="122">
        <f t="shared" si="39"/>
        <v>0</v>
      </c>
      <c r="AL67" s="123">
        <f t="shared" si="40"/>
        <v>0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>
        <f t="array" ref="AS67">_xlfn.IFS(S67=0,AL67,S67&lt;0,AL67/-S67,S67&gt;0,AL67/S67)</f>
        <v>0</v>
      </c>
      <c r="AT67" s="121">
        <f t="shared" si="46"/>
        <v>0</v>
      </c>
      <c r="AU67" s="121">
        <f t="shared" si="47"/>
        <v>0</v>
      </c>
      <c r="AV67" s="127"/>
      <c r="AW67" s="122">
        <f t="shared" si="48"/>
        <v>0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>
        <f t="shared" si="49"/>
        <v>0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>
        <f t="shared" si="38"/>
        <v>0</v>
      </c>
      <c r="AJ68" s="120"/>
      <c r="AK68" s="122">
        <f t="shared" si="39"/>
        <v>0</v>
      </c>
      <c r="AL68" s="123">
        <f t="shared" si="40"/>
        <v>0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>
        <f t="array" ref="AS68">_xlfn.IFS(S68=0,AL68,S68&lt;0,AL68/-S68,S68&gt;0,AL68/S68)</f>
        <v>0</v>
      </c>
      <c r="AT68" s="121">
        <f t="shared" si="46"/>
        <v>0</v>
      </c>
      <c r="AU68" s="121">
        <f t="shared" si="47"/>
        <v>0</v>
      </c>
      <c r="AV68" s="127"/>
      <c r="AW68" s="122">
        <f t="shared" si="48"/>
        <v>0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>
        <f t="shared" si="49"/>
        <v>0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>
        <f t="shared" si="38"/>
        <v>0</v>
      </c>
      <c r="AJ69" s="120"/>
      <c r="AK69" s="122">
        <f t="shared" si="39"/>
        <v>0</v>
      </c>
      <c r="AL69" s="123">
        <f t="shared" si="40"/>
        <v>0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>
        <f t="array" ref="AS69">_xlfn.IFS(S69=0,AL69,S69&lt;0,AL69/-S69,S69&gt;0,AL69/S69)</f>
        <v>0</v>
      </c>
      <c r="AT69" s="121">
        <f t="shared" si="46"/>
        <v>0</v>
      </c>
      <c r="AU69" s="121">
        <f t="shared" si="47"/>
        <v>0</v>
      </c>
      <c r="AV69" s="127"/>
      <c r="AW69" s="122">
        <f t="shared" si="48"/>
        <v>0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>
        <f t="shared" si="49"/>
        <v>0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>
        <f t="shared" si="38"/>
        <v>0</v>
      </c>
      <c r="AJ70" s="120"/>
      <c r="AK70" s="122">
        <f t="shared" si="39"/>
        <v>0</v>
      </c>
      <c r="AL70" s="123">
        <f t="shared" si="40"/>
        <v>0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>
        <f t="array" ref="AS70">_xlfn.IFS(S70=0,AL70,S70&lt;0,AL70/-S70,S70&gt;0,AL70/S70)</f>
        <v>0</v>
      </c>
      <c r="AT70" s="121">
        <f t="shared" si="46"/>
        <v>0</v>
      </c>
      <c r="AU70" s="121">
        <f t="shared" si="47"/>
        <v>0</v>
      </c>
      <c r="AV70" s="127"/>
      <c r="AW70" s="122">
        <f t="shared" si="48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>
        <f t="shared" si="52"/>
        <v>0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>
        <f t="shared" si="53"/>
        <v>0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4"/>
        <v>0</v>
      </c>
      <c r="AK72" s="167">
        <f t="shared" si="54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239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99</v>
      </c>
      <c r="G74" s="190">
        <f t="shared" si="55"/>
        <v>19</v>
      </c>
      <c r="H74" s="190">
        <f t="shared" si="55"/>
        <v>2126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157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70</v>
      </c>
      <c r="R74" s="190">
        <f t="shared" si="55"/>
        <v>-1</v>
      </c>
      <c r="S74" s="190">
        <f t="shared" si="55"/>
        <v>69</v>
      </c>
      <c r="T74" s="190">
        <f t="shared" si="55"/>
        <v>53707.42</v>
      </c>
      <c r="U74" s="190">
        <f t="shared" si="55"/>
        <v>-813</v>
      </c>
      <c r="V74" s="190">
        <f t="shared" si="55"/>
        <v>52894.42</v>
      </c>
      <c r="W74" s="190">
        <f t="shared" si="55"/>
        <v>80352</v>
      </c>
      <c r="X74" s="190">
        <f t="shared" si="55"/>
        <v>-1238</v>
      </c>
      <c r="Y74" s="190">
        <f t="shared" si="55"/>
        <v>79114</v>
      </c>
      <c r="Z74" s="190">
        <f t="shared" si="55"/>
        <v>119553.87999999999</v>
      </c>
      <c r="AA74" s="191">
        <f t="shared" si="55"/>
        <v>1</v>
      </c>
      <c r="AB74" s="192">
        <f t="shared" si="55"/>
        <v>9760.3200000000015</v>
      </c>
      <c r="AC74" s="190">
        <f t="shared" si="55"/>
        <v>28720.66</v>
      </c>
      <c r="AD74" s="191">
        <f>AC74/Y74</f>
        <v>0.36302879389235787</v>
      </c>
      <c r="AE74" s="192">
        <f>AE17+AE72</f>
        <v>8509.6</v>
      </c>
      <c r="AF74" s="193">
        <f>AF17+AF72</f>
        <v>13613</v>
      </c>
      <c r="AG74" s="193">
        <f>AG17+AG72</f>
        <v>9553</v>
      </c>
      <c r="AH74" s="193">
        <f>AH17+AH72</f>
        <v>0</v>
      </c>
      <c r="AI74" s="194">
        <v>1377.57</v>
      </c>
      <c r="AJ74" s="190">
        <f>AJ17+AJ72</f>
        <v>0</v>
      </c>
      <c r="AK74" s="190">
        <f>AK17+AK72</f>
        <v>528.94420000000014</v>
      </c>
      <c r="AL74" s="190">
        <f>AL17+AL72</f>
        <v>7050.9057999999986</v>
      </c>
      <c r="AM74" s="190"/>
      <c r="AN74" s="190"/>
      <c r="AO74" s="190"/>
      <c r="AP74" s="190"/>
      <c r="AQ74" s="190"/>
      <c r="AR74" s="190">
        <f>(AF74+AG74)/Q74</f>
        <v>330.94285714285712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>
        <f>AF18+AF73</f>
        <v>0</v>
      </c>
      <c r="AG75" s="299"/>
      <c r="AH75" s="239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132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138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 t="shared" ref="E3:E15" si="0">SUM(F3:H3)</f>
        <v>407</v>
      </c>
      <c r="F3" s="119">
        <v>16</v>
      </c>
      <c r="G3" s="119">
        <v>3</v>
      </c>
      <c r="H3" s="119">
        <v>388</v>
      </c>
      <c r="I3" s="119">
        <v>142.97999999999999</v>
      </c>
      <c r="J3" s="119">
        <f t="shared" ref="J3:J15" si="1">E3*I3</f>
        <v>58192.859999999993</v>
      </c>
      <c r="K3" s="116">
        <v>232</v>
      </c>
      <c r="L3" s="116">
        <v>32</v>
      </c>
      <c r="M3" s="116">
        <v>1238</v>
      </c>
      <c r="N3" s="116">
        <v>77</v>
      </c>
      <c r="O3" s="215">
        <f t="shared" ref="O3:O15" si="2">L3/7</f>
        <v>4.5714285714285712</v>
      </c>
      <c r="P3" s="119">
        <f t="shared" ref="P3" si="3">S3/7</f>
        <v>3</v>
      </c>
      <c r="Q3" s="120">
        <v>22</v>
      </c>
      <c r="R3" s="120">
        <v>-1</v>
      </c>
      <c r="S3" s="119">
        <f>Q3+R3</f>
        <v>21</v>
      </c>
      <c r="T3" s="120">
        <v>20652</v>
      </c>
      <c r="U3" s="120">
        <v>-1057</v>
      </c>
      <c r="V3" s="119">
        <f>T3+U3</f>
        <v>19595</v>
      </c>
      <c r="W3" s="120">
        <v>27236</v>
      </c>
      <c r="X3" s="120">
        <v>-1238</v>
      </c>
      <c r="Y3" s="119">
        <f t="shared" ref="Y3:Y15" si="4">W3+X3</f>
        <v>25998</v>
      </c>
      <c r="Z3" s="119">
        <f>L3*M3*N3/100</f>
        <v>30504.32</v>
      </c>
      <c r="AA3" s="121">
        <f t="shared" ref="AA3:AA15" si="5">Y3/$Y$74</f>
        <v>0.45682921724901937</v>
      </c>
      <c r="AB3" s="119">
        <f>S3*I3</f>
        <v>3002.58</v>
      </c>
      <c r="AC3" s="120">
        <v>9406.6299999999974</v>
      </c>
      <c r="AD3" s="121">
        <f t="shared" ref="AD3:AD15" si="6">IF(Y3=0,0,AC3/Y3)</f>
        <v>0.36182129394568802</v>
      </c>
      <c r="AE3" s="120">
        <v>2466.8500000000004</v>
      </c>
      <c r="AF3" s="120">
        <v>4000</v>
      </c>
      <c r="AG3" s="120">
        <v>1000</v>
      </c>
      <c r="AH3" s="120">
        <v>0</v>
      </c>
      <c r="AI3" s="154">
        <f t="shared" ref="AI3:AI15" si="7">IFERROR($AI$74*H3/$H$74,0)</f>
        <v>248.14583111111111</v>
      </c>
      <c r="AJ3" s="120">
        <v>0</v>
      </c>
      <c r="AK3" s="122">
        <f>V3*1%</f>
        <v>195.95000000000002</v>
      </c>
      <c r="AL3" s="123">
        <f>Y3-AB3-AC3-AE3-AF3-AG3-AH3-AI3-AK3-AJ3</f>
        <v>5677.8441688888897</v>
      </c>
      <c r="AM3" s="124"/>
      <c r="AN3" s="125">
        <f t="shared" ref="AN3:AN15" si="8">IF(S3=0,0,Y3/S3)</f>
        <v>1238</v>
      </c>
      <c r="AO3" s="126">
        <f t="shared" ref="AO3:AO15" si="9">I3</f>
        <v>142.97999999999999</v>
      </c>
      <c r="AP3" s="126">
        <f t="shared" ref="AP3:AP15" si="10">IF(S3=0,0,AC3/S3)</f>
        <v>447.93476190476179</v>
      </c>
      <c r="AQ3" s="126">
        <f>IF(Q3=0,AE3/1,AE3/Q3)</f>
        <v>112.12954545454546</v>
      </c>
      <c r="AR3" s="126">
        <f>IF(Q3=0,0,(AF3+AG3)/Q3)</f>
        <v>227.27272727272728</v>
      </c>
      <c r="AS3" s="126">
        <f>_xlfn.IFS(S3=0,AL3,S3&lt;0,AL3/-S3,S3&gt;0,AL3/S3)</f>
        <v>270.37353185185191</v>
      </c>
      <c r="AT3" s="121">
        <f t="shared" ref="AT3" si="11">IF(AN3=0,0,AS3/AN3)</f>
        <v>0.21839542152815178</v>
      </c>
      <c r="AU3" s="121">
        <f t="shared" ref="AU3" si="12">IF(AO3=0,0,AS3/AO3)</f>
        <v>1.8909884728762898</v>
      </c>
      <c r="AV3" s="127"/>
      <c r="AW3" s="122">
        <f t="shared" ref="AW3:AW15" si="13">AS3*E3</f>
        <v>110042.02746370372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 t="shared" si="0"/>
        <v>289</v>
      </c>
      <c r="F4" s="119">
        <v>1</v>
      </c>
      <c r="G4" s="119">
        <v>2</v>
      </c>
      <c r="H4" s="119">
        <v>286</v>
      </c>
      <c r="I4" s="119">
        <v>123.09</v>
      </c>
      <c r="J4" s="119">
        <f t="shared" si="1"/>
        <v>35573.01</v>
      </c>
      <c r="K4" s="116">
        <v>999</v>
      </c>
      <c r="L4" s="116">
        <v>1</v>
      </c>
      <c r="M4" s="116">
        <v>929</v>
      </c>
      <c r="N4" s="116">
        <v>0</v>
      </c>
      <c r="O4" s="215">
        <f t="shared" si="2"/>
        <v>0.14285714285714285</v>
      </c>
      <c r="P4" s="119">
        <f>S4/7</f>
        <v>0</v>
      </c>
      <c r="Q4" s="120">
        <v>0</v>
      </c>
      <c r="R4" s="120">
        <v>0</v>
      </c>
      <c r="S4" s="119">
        <f t="shared" ref="S4:S15" si="14">Q4+R4</f>
        <v>0</v>
      </c>
      <c r="T4" s="120">
        <v>0</v>
      </c>
      <c r="U4" s="120">
        <v>0</v>
      </c>
      <c r="V4" s="119">
        <f t="shared" ref="V4:V15" si="15">T4+U4</f>
        <v>0</v>
      </c>
      <c r="W4" s="120">
        <v>0</v>
      </c>
      <c r="X4" s="120">
        <v>0</v>
      </c>
      <c r="Y4" s="119">
        <f t="shared" si="4"/>
        <v>0</v>
      </c>
      <c r="Z4" s="119">
        <f t="shared" ref="Z4:Z15" si="16">L4*M4*N4/100</f>
        <v>0</v>
      </c>
      <c r="AA4" s="121">
        <f t="shared" si="5"/>
        <v>0</v>
      </c>
      <c r="AB4" s="119">
        <f t="shared" ref="AB4:AB15" si="17">S4*I4</f>
        <v>0</v>
      </c>
      <c r="AC4" s="120">
        <v>0</v>
      </c>
      <c r="AD4" s="121">
        <f t="shared" si="6"/>
        <v>0</v>
      </c>
      <c r="AE4" s="120">
        <v>0</v>
      </c>
      <c r="AF4" s="120"/>
      <c r="AG4" s="120">
        <v>112</v>
      </c>
      <c r="AH4" s="120">
        <v>0</v>
      </c>
      <c r="AI4" s="154">
        <f t="shared" si="7"/>
        <v>182.91161777777779</v>
      </c>
      <c r="AJ4" s="120">
        <v>0</v>
      </c>
      <c r="AK4" s="122">
        <f t="shared" ref="AK4:AK15" si="18">V4*1%</f>
        <v>0</v>
      </c>
      <c r="AL4" s="123">
        <f t="shared" ref="AL4:AL15" si="19">Y4-AB4-AC4-AE4-AF4-AG4-AH4-AI4-AK4-AJ4</f>
        <v>-294.91161777777779</v>
      </c>
      <c r="AM4" s="124"/>
      <c r="AN4" s="125">
        <f t="shared" si="8"/>
        <v>0</v>
      </c>
      <c r="AO4" s="126">
        <f t="shared" si="9"/>
        <v>123.09</v>
      </c>
      <c r="AP4" s="126">
        <f t="shared" si="10"/>
        <v>0</v>
      </c>
      <c r="AQ4" s="126">
        <f t="shared" ref="AQ4:AQ15" si="20">IF(Q4=0,AE4/1,AE4/Q4)</f>
        <v>0</v>
      </c>
      <c r="AR4" s="126">
        <f t="shared" ref="AR4:AR15" si="21">IF(Q4=0,0,(AF4+AG4)/Q4)</f>
        <v>0</v>
      </c>
      <c r="AS4" s="126">
        <f t="array" ref="AS4">_xlfn.IFS(S4=0,AL4,S4&lt;0,AL4/-S4,S4&gt;0,AL4/S4)</f>
        <v>-294.91161777777779</v>
      </c>
      <c r="AT4" s="121">
        <f>IF(AN4=0,0,AS4/AN4)</f>
        <v>0</v>
      </c>
      <c r="AU4" s="121">
        <f>IF(AO4=0,0,AS4/AO4)</f>
        <v>-2.3959023298219009</v>
      </c>
      <c r="AV4" s="127"/>
      <c r="AW4" s="122">
        <f t="shared" si="13"/>
        <v>-85229.45753777778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 t="shared" si="0"/>
        <v>378</v>
      </c>
      <c r="F5" s="119">
        <v>1</v>
      </c>
      <c r="G5" s="119" t="s">
        <v>145</v>
      </c>
      <c r="H5" s="119">
        <v>377</v>
      </c>
      <c r="I5" s="119">
        <v>123.09</v>
      </c>
      <c r="J5" s="119">
        <f t="shared" si="1"/>
        <v>46528.020000000004</v>
      </c>
      <c r="K5" s="116">
        <v>999</v>
      </c>
      <c r="L5" s="116">
        <v>1</v>
      </c>
      <c r="M5" s="116">
        <v>1052</v>
      </c>
      <c r="N5" s="116">
        <v>0</v>
      </c>
      <c r="O5" s="215">
        <f t="shared" si="2"/>
        <v>0.14285714285714285</v>
      </c>
      <c r="P5" s="119">
        <f>S5/7</f>
        <v>0</v>
      </c>
      <c r="Q5" s="120">
        <v>0</v>
      </c>
      <c r="R5" s="120">
        <v>0</v>
      </c>
      <c r="S5" s="119">
        <f t="shared" si="14"/>
        <v>0</v>
      </c>
      <c r="T5" s="120">
        <v>0</v>
      </c>
      <c r="U5" s="120">
        <v>0</v>
      </c>
      <c r="V5" s="119">
        <f t="shared" si="15"/>
        <v>0</v>
      </c>
      <c r="W5" s="120">
        <v>0</v>
      </c>
      <c r="X5" s="120">
        <v>0</v>
      </c>
      <c r="Y5" s="119">
        <f t="shared" si="4"/>
        <v>0</v>
      </c>
      <c r="Z5" s="119">
        <f t="shared" si="16"/>
        <v>0</v>
      </c>
      <c r="AA5" s="121">
        <f t="shared" si="5"/>
        <v>0</v>
      </c>
      <c r="AB5" s="119">
        <f t="shared" si="17"/>
        <v>0</v>
      </c>
      <c r="AC5" s="120">
        <v>0</v>
      </c>
      <c r="AD5" s="121">
        <f t="shared" si="6"/>
        <v>0</v>
      </c>
      <c r="AE5" s="120">
        <v>0</v>
      </c>
      <c r="AF5" s="120"/>
      <c r="AG5" s="120">
        <v>142</v>
      </c>
      <c r="AH5" s="120">
        <v>0</v>
      </c>
      <c r="AI5" s="154">
        <f t="shared" si="7"/>
        <v>241.11076888888888</v>
      </c>
      <c r="AJ5" s="120">
        <v>0</v>
      </c>
      <c r="AK5" s="122">
        <f t="shared" si="18"/>
        <v>0</v>
      </c>
      <c r="AL5" s="123">
        <f t="shared" si="19"/>
        <v>-383.11076888888886</v>
      </c>
      <c r="AM5" s="124"/>
      <c r="AN5" s="125">
        <f t="shared" si="8"/>
        <v>0</v>
      </c>
      <c r="AO5" s="126">
        <f t="shared" si="9"/>
        <v>123.09</v>
      </c>
      <c r="AP5" s="126">
        <f t="shared" si="10"/>
        <v>0</v>
      </c>
      <c r="AQ5" s="126">
        <f t="shared" si="20"/>
        <v>0</v>
      </c>
      <c r="AR5" s="126">
        <f t="shared" si="21"/>
        <v>0</v>
      </c>
      <c r="AS5" s="126">
        <f t="array" ref="AS5">_xlfn.IFS(S5=0,AL5,S5&lt;0,AL5/-S5,S5&gt;0,AL5/S5)</f>
        <v>-383.11076888888886</v>
      </c>
      <c r="AT5" s="121">
        <f>IF(AN5=0,0,AS5/AN5)</f>
        <v>0</v>
      </c>
      <c r="AU5" s="121">
        <f>IF(AO5=0,0,AS5/AO5)</f>
        <v>-3.1124443000153454</v>
      </c>
      <c r="AV5" s="127"/>
      <c r="AW5" s="122">
        <f t="shared" si="13"/>
        <v>-144815.87063999998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 t="shared" si="0"/>
        <v>350</v>
      </c>
      <c r="F6" s="119">
        <v>3</v>
      </c>
      <c r="G6" s="119">
        <v>1</v>
      </c>
      <c r="H6" s="119">
        <v>346</v>
      </c>
      <c r="I6" s="119">
        <v>123.09</v>
      </c>
      <c r="J6" s="119">
        <f t="shared" si="1"/>
        <v>43081.5</v>
      </c>
      <c r="K6" s="116">
        <v>392</v>
      </c>
      <c r="L6" s="116">
        <v>5</v>
      </c>
      <c r="M6" s="116">
        <v>1176</v>
      </c>
      <c r="N6" s="116">
        <v>100</v>
      </c>
      <c r="O6" s="215">
        <f t="shared" si="2"/>
        <v>0.7142857142857143</v>
      </c>
      <c r="P6" s="119">
        <f t="shared" ref="P6:P15" si="22">S6/7</f>
        <v>0.5714285714285714</v>
      </c>
      <c r="Q6" s="120">
        <v>4</v>
      </c>
      <c r="R6" s="120">
        <v>0</v>
      </c>
      <c r="S6" s="119">
        <f t="shared" si="14"/>
        <v>4</v>
      </c>
      <c r="T6" s="120">
        <v>3391</v>
      </c>
      <c r="U6" s="120">
        <v>0</v>
      </c>
      <c r="V6" s="119">
        <f t="shared" si="15"/>
        <v>3391</v>
      </c>
      <c r="W6" s="120">
        <v>4704</v>
      </c>
      <c r="X6" s="120">
        <v>0</v>
      </c>
      <c r="Y6" s="119">
        <f t="shared" si="4"/>
        <v>4704</v>
      </c>
      <c r="Z6" s="119">
        <f t="shared" si="16"/>
        <v>5880</v>
      </c>
      <c r="AA6" s="121">
        <f t="shared" si="5"/>
        <v>8.2657305867350844E-2</v>
      </c>
      <c r="AB6" s="119">
        <f t="shared" si="17"/>
        <v>492.36</v>
      </c>
      <c r="AC6" s="120">
        <v>1704.3700000000003</v>
      </c>
      <c r="AD6" s="121">
        <f t="shared" si="6"/>
        <v>0.36232355442176878</v>
      </c>
      <c r="AE6" s="120">
        <v>427.1</v>
      </c>
      <c r="AF6" s="120">
        <v>3</v>
      </c>
      <c r="AG6" s="120"/>
      <c r="AH6" s="120">
        <v>0</v>
      </c>
      <c r="AI6" s="154">
        <f t="shared" si="7"/>
        <v>221.28468444444442</v>
      </c>
      <c r="AJ6" s="120">
        <v>0</v>
      </c>
      <c r="AK6" s="122">
        <f t="shared" si="18"/>
        <v>33.910000000000004</v>
      </c>
      <c r="AL6" s="123">
        <f t="shared" si="19"/>
        <v>1821.9753155555557</v>
      </c>
      <c r="AM6" s="124"/>
      <c r="AN6" s="125">
        <f t="shared" si="8"/>
        <v>1176</v>
      </c>
      <c r="AO6" s="126">
        <f t="shared" si="9"/>
        <v>123.09</v>
      </c>
      <c r="AP6" s="126">
        <f t="shared" si="10"/>
        <v>426.09250000000009</v>
      </c>
      <c r="AQ6" s="126">
        <f t="shared" si="20"/>
        <v>106.77500000000001</v>
      </c>
      <c r="AR6" s="126">
        <f t="shared" si="21"/>
        <v>0.75</v>
      </c>
      <c r="AS6" s="126">
        <f t="array" ref="AS6">_xlfn.IFS(S6=0,AL6,S6&lt;0,AL6/-S6,S6&gt;0,AL6/S6)</f>
        <v>455.49382888888891</v>
      </c>
      <c r="AT6" s="121">
        <f t="shared" ref="AT6:AT15" si="23">IF(AN6=0,0,AS6/AN6)</f>
        <v>0.38732468442932733</v>
      </c>
      <c r="AU6" s="121">
        <f t="shared" ref="AU6:AU15" si="24">IF(AO6=0,0,AS6/AO6)</f>
        <v>3.7004941822153619</v>
      </c>
      <c r="AV6" s="127"/>
      <c r="AW6" s="122">
        <f t="shared" si="13"/>
        <v>159422.84011111112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 t="shared" si="0"/>
        <v>284</v>
      </c>
      <c r="F7" s="119" t="s">
        <v>145</v>
      </c>
      <c r="G7" s="119" t="s">
        <v>145</v>
      </c>
      <c r="H7" s="119">
        <v>284</v>
      </c>
      <c r="I7" s="119">
        <v>123.09</v>
      </c>
      <c r="J7" s="119">
        <f t="shared" si="1"/>
        <v>34957.56</v>
      </c>
      <c r="K7" s="116">
        <v>999</v>
      </c>
      <c r="L7" s="116">
        <v>0</v>
      </c>
      <c r="M7" s="116">
        <v>0</v>
      </c>
      <c r="N7" s="116">
        <v>0</v>
      </c>
      <c r="O7" s="215">
        <f t="shared" si="2"/>
        <v>0</v>
      </c>
      <c r="P7" s="119">
        <f t="shared" si="22"/>
        <v>0</v>
      </c>
      <c r="Q7" s="120">
        <v>0</v>
      </c>
      <c r="R7" s="120">
        <v>0</v>
      </c>
      <c r="S7" s="119">
        <f t="shared" si="14"/>
        <v>0</v>
      </c>
      <c r="T7" s="120">
        <v>0</v>
      </c>
      <c r="U7" s="120">
        <v>0</v>
      </c>
      <c r="V7" s="119">
        <f t="shared" si="15"/>
        <v>0</v>
      </c>
      <c r="W7" s="120">
        <v>0</v>
      </c>
      <c r="X7" s="120">
        <v>0</v>
      </c>
      <c r="Y7" s="119">
        <f t="shared" si="4"/>
        <v>0</v>
      </c>
      <c r="Z7" s="119">
        <f t="shared" si="16"/>
        <v>0</v>
      </c>
      <c r="AA7" s="121">
        <f t="shared" si="5"/>
        <v>0</v>
      </c>
      <c r="AB7" s="119">
        <f t="shared" si="17"/>
        <v>0</v>
      </c>
      <c r="AC7" s="120">
        <v>0</v>
      </c>
      <c r="AD7" s="121">
        <f t="shared" si="6"/>
        <v>0</v>
      </c>
      <c r="AE7" s="120">
        <v>113.8</v>
      </c>
      <c r="AF7" s="120">
        <v>27</v>
      </c>
      <c r="AG7" s="120">
        <v>170</v>
      </c>
      <c r="AH7" s="120">
        <v>0</v>
      </c>
      <c r="AI7" s="154">
        <f t="shared" si="7"/>
        <v>181.63251555555556</v>
      </c>
      <c r="AJ7" s="120">
        <v>0</v>
      </c>
      <c r="AK7" s="122">
        <f t="shared" si="18"/>
        <v>0</v>
      </c>
      <c r="AL7" s="123">
        <f t="shared" si="19"/>
        <v>-492.4325155555556</v>
      </c>
      <c r="AM7" s="124"/>
      <c r="AN7" s="125">
        <f t="shared" si="8"/>
        <v>0</v>
      </c>
      <c r="AO7" s="126">
        <f t="shared" si="9"/>
        <v>123.09</v>
      </c>
      <c r="AP7" s="126">
        <f t="shared" si="10"/>
        <v>0</v>
      </c>
      <c r="AQ7" s="126">
        <f t="shared" si="20"/>
        <v>113.8</v>
      </c>
      <c r="AR7" s="126">
        <f t="shared" si="21"/>
        <v>0</v>
      </c>
      <c r="AS7" s="126">
        <f t="array" ref="AS7">_xlfn.IFS(S7=0,AL7,S7&lt;0,AL7/-S7,S7&gt;0,AL7/S7)</f>
        <v>-492.4325155555556</v>
      </c>
      <c r="AT7" s="121">
        <f t="shared" si="23"/>
        <v>0</v>
      </c>
      <c r="AU7" s="121">
        <f t="shared" si="24"/>
        <v>-4.0005891262942201</v>
      </c>
      <c r="AV7" s="127"/>
      <c r="AW7" s="122">
        <f t="shared" si="13"/>
        <v>-139850.83441777778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 t="shared" si="0"/>
        <v>113</v>
      </c>
      <c r="F8" s="119">
        <v>12</v>
      </c>
      <c r="G8" s="119">
        <v>1</v>
      </c>
      <c r="H8" s="119">
        <v>100</v>
      </c>
      <c r="I8" s="119">
        <v>123.09</v>
      </c>
      <c r="J8" s="119">
        <f t="shared" si="1"/>
        <v>13909.17</v>
      </c>
      <c r="K8" s="116">
        <v>46</v>
      </c>
      <c r="L8" s="116">
        <v>15</v>
      </c>
      <c r="M8" s="116">
        <v>1212</v>
      </c>
      <c r="N8" s="116">
        <v>83</v>
      </c>
      <c r="O8" s="215">
        <f t="shared" si="2"/>
        <v>2.1428571428571428</v>
      </c>
      <c r="P8" s="119">
        <f t="shared" si="22"/>
        <v>1.4285714285714286</v>
      </c>
      <c r="Q8" s="120">
        <v>10</v>
      </c>
      <c r="R8" s="120">
        <v>0</v>
      </c>
      <c r="S8" s="119">
        <f t="shared" si="14"/>
        <v>10</v>
      </c>
      <c r="T8" s="120">
        <v>9131.880000000001</v>
      </c>
      <c r="U8" s="120">
        <v>0</v>
      </c>
      <c r="V8" s="119">
        <f t="shared" si="15"/>
        <v>9131.880000000001</v>
      </c>
      <c r="W8" s="120">
        <v>12077.67</v>
      </c>
      <c r="X8" s="120">
        <v>0</v>
      </c>
      <c r="Y8" s="119">
        <f t="shared" si="4"/>
        <v>12077.67</v>
      </c>
      <c r="Z8" s="119">
        <f t="shared" si="16"/>
        <v>15089.4</v>
      </c>
      <c r="AA8" s="121">
        <f t="shared" si="5"/>
        <v>0.21222526857035018</v>
      </c>
      <c r="AB8" s="119">
        <f t="shared" si="17"/>
        <v>1230.9000000000001</v>
      </c>
      <c r="AC8" s="120">
        <v>4334.4900000000007</v>
      </c>
      <c r="AD8" s="121">
        <f t="shared" si="6"/>
        <v>0.35888461930157062</v>
      </c>
      <c r="AE8" s="120">
        <v>822.79999999999984</v>
      </c>
      <c r="AF8" s="120">
        <v>37</v>
      </c>
      <c r="AG8" s="120"/>
      <c r="AH8" s="120">
        <v>0</v>
      </c>
      <c r="AI8" s="154">
        <f t="shared" si="7"/>
        <v>63.955111111111108</v>
      </c>
      <c r="AJ8" s="120">
        <v>0</v>
      </c>
      <c r="AK8" s="122">
        <f t="shared" si="18"/>
        <v>91.31880000000001</v>
      </c>
      <c r="AL8" s="123">
        <f t="shared" si="19"/>
        <v>5497.2060888888882</v>
      </c>
      <c r="AM8" s="124"/>
      <c r="AN8" s="125">
        <f t="shared" si="8"/>
        <v>1207.7670000000001</v>
      </c>
      <c r="AO8" s="126">
        <f t="shared" si="9"/>
        <v>123.09</v>
      </c>
      <c r="AP8" s="126">
        <f t="shared" si="10"/>
        <v>433.44900000000007</v>
      </c>
      <c r="AQ8" s="126">
        <f t="shared" si="20"/>
        <v>82.279999999999987</v>
      </c>
      <c r="AR8" s="126">
        <f t="shared" si="21"/>
        <v>3.7</v>
      </c>
      <c r="AS8" s="126">
        <f t="array" ref="AS8">_xlfn.IFS(S8=0,AL8,S8&lt;0,AL8/-S8,S8&gt;0,AL8/S8)</f>
        <v>549.72060888888882</v>
      </c>
      <c r="AT8" s="121">
        <f t="shared" si="23"/>
        <v>0.45515451977814331</v>
      </c>
      <c r="AU8" s="121">
        <f t="shared" si="24"/>
        <v>4.4660054341448436</v>
      </c>
      <c r="AV8" s="127"/>
      <c r="AW8" s="122">
        <f t="shared" si="13"/>
        <v>62118.42880444444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 t="shared" si="0"/>
        <v>259</v>
      </c>
      <c r="F9" s="119">
        <v>8</v>
      </c>
      <c r="G9" s="119">
        <v>3</v>
      </c>
      <c r="H9" s="119">
        <v>248</v>
      </c>
      <c r="I9" s="119">
        <v>169.89</v>
      </c>
      <c r="J9" s="119">
        <f t="shared" si="1"/>
        <v>44001.509999999995</v>
      </c>
      <c r="K9" s="116">
        <v>290</v>
      </c>
      <c r="L9" s="116">
        <v>21</v>
      </c>
      <c r="M9" s="116">
        <v>1174</v>
      </c>
      <c r="N9" s="116">
        <v>62</v>
      </c>
      <c r="O9" s="215">
        <f t="shared" si="2"/>
        <v>3</v>
      </c>
      <c r="P9" s="119">
        <f t="shared" si="22"/>
        <v>1.2857142857142858</v>
      </c>
      <c r="Q9" s="120">
        <v>10</v>
      </c>
      <c r="R9" s="120">
        <v>-1</v>
      </c>
      <c r="S9" s="119">
        <f t="shared" si="14"/>
        <v>9</v>
      </c>
      <c r="T9" s="120">
        <v>8390</v>
      </c>
      <c r="U9" s="120">
        <v>-831</v>
      </c>
      <c r="V9" s="119">
        <f t="shared" si="15"/>
        <v>7559</v>
      </c>
      <c r="W9" s="120">
        <v>11740</v>
      </c>
      <c r="X9" s="120">
        <v>-1174</v>
      </c>
      <c r="Y9" s="119">
        <f t="shared" si="4"/>
        <v>10566</v>
      </c>
      <c r="Z9" s="119">
        <f t="shared" si="16"/>
        <v>15285.48</v>
      </c>
      <c r="AA9" s="121">
        <f t="shared" si="5"/>
        <v>0.18566264749031228</v>
      </c>
      <c r="AB9" s="119">
        <f t="shared" si="17"/>
        <v>1529.0099999999998</v>
      </c>
      <c r="AC9" s="120">
        <v>3809.19</v>
      </c>
      <c r="AD9" s="121">
        <f t="shared" si="6"/>
        <v>0.36051391254968768</v>
      </c>
      <c r="AE9" s="120">
        <v>1720.8500000000001</v>
      </c>
      <c r="AF9" s="120">
        <v>1849</v>
      </c>
      <c r="AG9" s="120">
        <v>609</v>
      </c>
      <c r="AH9" s="120">
        <v>0</v>
      </c>
      <c r="AI9" s="154">
        <f t="shared" si="7"/>
        <v>158.60867555555555</v>
      </c>
      <c r="AJ9" s="120">
        <v>0</v>
      </c>
      <c r="AK9" s="122">
        <f t="shared" si="18"/>
        <v>75.59</v>
      </c>
      <c r="AL9" s="123">
        <f t="shared" si="19"/>
        <v>814.7513244444433</v>
      </c>
      <c r="AM9" s="124"/>
      <c r="AN9" s="125">
        <f t="shared" si="8"/>
        <v>1174</v>
      </c>
      <c r="AO9" s="126">
        <f t="shared" si="9"/>
        <v>169.89</v>
      </c>
      <c r="AP9" s="126">
        <f t="shared" si="10"/>
        <v>423.24333333333334</v>
      </c>
      <c r="AQ9" s="126">
        <f t="shared" si="20"/>
        <v>172.08500000000001</v>
      </c>
      <c r="AR9" s="126">
        <f t="shared" si="21"/>
        <v>245.8</v>
      </c>
      <c r="AS9" s="126">
        <f t="array" ref="AS9">_xlfn.IFS(S9=0,AL9,S9&lt;0,AL9/-S9,S9&gt;0,AL9/S9)</f>
        <v>90.527924938271482</v>
      </c>
      <c r="AT9" s="121">
        <f t="shared" si="23"/>
        <v>7.7110668601594101E-2</v>
      </c>
      <c r="AU9" s="121">
        <f t="shared" si="24"/>
        <v>0.53286199857714689</v>
      </c>
      <c r="AV9" s="127"/>
      <c r="AW9" s="122">
        <f t="shared" si="13"/>
        <v>23446.732559012315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 t="shared" si="0"/>
        <v>41</v>
      </c>
      <c r="F10" s="119">
        <v>2</v>
      </c>
      <c r="G10" s="119" t="s">
        <v>145</v>
      </c>
      <c r="H10" s="119">
        <v>39</v>
      </c>
      <c r="I10" s="119">
        <v>169.89</v>
      </c>
      <c r="J10" s="119">
        <f t="shared" si="1"/>
        <v>6965.49</v>
      </c>
      <c r="K10" s="116">
        <v>406</v>
      </c>
      <c r="L10" s="116">
        <v>2</v>
      </c>
      <c r="M10" s="116">
        <v>1199</v>
      </c>
      <c r="N10" s="116">
        <v>0</v>
      </c>
      <c r="O10" s="215">
        <f t="shared" si="2"/>
        <v>0.2857142857142857</v>
      </c>
      <c r="P10" s="119">
        <f t="shared" si="22"/>
        <v>0</v>
      </c>
      <c r="Q10" s="120">
        <v>0</v>
      </c>
      <c r="R10" s="120">
        <v>0</v>
      </c>
      <c r="S10" s="119">
        <f t="shared" si="14"/>
        <v>0</v>
      </c>
      <c r="T10" s="120">
        <v>0</v>
      </c>
      <c r="U10" s="120">
        <v>0</v>
      </c>
      <c r="V10" s="119">
        <f t="shared" si="15"/>
        <v>0</v>
      </c>
      <c r="W10" s="120">
        <v>0</v>
      </c>
      <c r="X10" s="120">
        <v>0</v>
      </c>
      <c r="Y10" s="119">
        <f t="shared" si="4"/>
        <v>0</v>
      </c>
      <c r="Z10" s="119">
        <f t="shared" si="16"/>
        <v>0</v>
      </c>
      <c r="AA10" s="121">
        <f t="shared" si="5"/>
        <v>0</v>
      </c>
      <c r="AB10" s="119">
        <f t="shared" si="17"/>
        <v>0</v>
      </c>
      <c r="AC10" s="120">
        <v>0</v>
      </c>
      <c r="AD10" s="121">
        <f t="shared" si="6"/>
        <v>0</v>
      </c>
      <c r="AE10" s="120">
        <v>96.4</v>
      </c>
      <c r="AF10" s="120"/>
      <c r="AG10" s="120"/>
      <c r="AH10" s="120">
        <v>0</v>
      </c>
      <c r="AI10" s="154">
        <f t="shared" si="7"/>
        <v>24.942493333333335</v>
      </c>
      <c r="AJ10" s="120">
        <v>0</v>
      </c>
      <c r="AK10" s="122">
        <f t="shared" si="18"/>
        <v>0</v>
      </c>
      <c r="AL10" s="123">
        <f t="shared" si="19"/>
        <v>-121.34249333333334</v>
      </c>
      <c r="AM10" s="124"/>
      <c r="AN10" s="125">
        <f t="shared" si="8"/>
        <v>0</v>
      </c>
      <c r="AO10" s="126">
        <f t="shared" si="9"/>
        <v>169.89</v>
      </c>
      <c r="AP10" s="126">
        <f t="shared" si="10"/>
        <v>0</v>
      </c>
      <c r="AQ10" s="126">
        <f t="shared" si="20"/>
        <v>96.4</v>
      </c>
      <c r="AR10" s="126">
        <f t="shared" si="21"/>
        <v>0</v>
      </c>
      <c r="AS10" s="126">
        <f t="array" ref="AS10">_xlfn.IFS(S10=0,AL10,S10&lt;0,AL10/-S10,S10&gt;0,AL10/S10)</f>
        <v>-121.34249333333334</v>
      </c>
      <c r="AT10" s="121">
        <f t="shared" si="23"/>
        <v>0</v>
      </c>
      <c r="AU10" s="121">
        <f t="shared" si="24"/>
        <v>-0.71424152883238179</v>
      </c>
      <c r="AV10" s="127"/>
      <c r="AW10" s="122">
        <f t="shared" si="13"/>
        <v>-4975.0422266666665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 t="shared" si="0"/>
        <v>41</v>
      </c>
      <c r="F11" s="119">
        <v>2</v>
      </c>
      <c r="G11" s="119" t="s">
        <v>145</v>
      </c>
      <c r="H11" s="119">
        <v>39</v>
      </c>
      <c r="I11" s="119">
        <v>169.89</v>
      </c>
      <c r="J11" s="119">
        <f t="shared" si="1"/>
        <v>6965.49</v>
      </c>
      <c r="K11" s="116">
        <v>609</v>
      </c>
      <c r="L11" s="116">
        <v>2</v>
      </c>
      <c r="M11" s="116">
        <v>1145</v>
      </c>
      <c r="N11" s="116">
        <v>0</v>
      </c>
      <c r="O11" s="215">
        <f t="shared" si="2"/>
        <v>0.2857142857142857</v>
      </c>
      <c r="P11" s="119">
        <f t="shared" si="22"/>
        <v>0</v>
      </c>
      <c r="Q11" s="120">
        <v>0</v>
      </c>
      <c r="R11" s="120">
        <v>0</v>
      </c>
      <c r="S11" s="119">
        <f t="shared" si="14"/>
        <v>0</v>
      </c>
      <c r="T11" s="120">
        <v>0</v>
      </c>
      <c r="U11" s="120">
        <v>0</v>
      </c>
      <c r="V11" s="119">
        <f t="shared" si="15"/>
        <v>0</v>
      </c>
      <c r="W11" s="120">
        <v>0</v>
      </c>
      <c r="X11" s="120">
        <v>0</v>
      </c>
      <c r="Y11" s="119">
        <f t="shared" si="4"/>
        <v>0</v>
      </c>
      <c r="Z11" s="119">
        <f t="shared" si="16"/>
        <v>0</v>
      </c>
      <c r="AA11" s="121">
        <f t="shared" si="5"/>
        <v>0</v>
      </c>
      <c r="AB11" s="119">
        <f t="shared" si="17"/>
        <v>0</v>
      </c>
      <c r="AC11" s="120">
        <v>0</v>
      </c>
      <c r="AD11" s="121">
        <f t="shared" si="6"/>
        <v>0</v>
      </c>
      <c r="AE11" s="120">
        <v>0</v>
      </c>
      <c r="AF11" s="120"/>
      <c r="AG11" s="120"/>
      <c r="AH11" s="120">
        <v>0</v>
      </c>
      <c r="AI11" s="154">
        <f t="shared" si="7"/>
        <v>24.942493333333335</v>
      </c>
      <c r="AJ11" s="120">
        <v>0</v>
      </c>
      <c r="AK11" s="122">
        <f t="shared" si="18"/>
        <v>0</v>
      </c>
      <c r="AL11" s="123">
        <f t="shared" si="19"/>
        <v>-24.942493333333335</v>
      </c>
      <c r="AM11" s="124"/>
      <c r="AN11" s="125">
        <f t="shared" si="8"/>
        <v>0</v>
      </c>
      <c r="AO11" s="126">
        <f t="shared" si="9"/>
        <v>169.89</v>
      </c>
      <c r="AP11" s="126">
        <f t="shared" si="10"/>
        <v>0</v>
      </c>
      <c r="AQ11" s="126">
        <f t="shared" si="20"/>
        <v>0</v>
      </c>
      <c r="AR11" s="126">
        <f t="shared" si="21"/>
        <v>0</v>
      </c>
      <c r="AS11" s="126">
        <f t="array" ref="AS11">_xlfn.IFS(S11=0,AL11,S11&lt;0,AL11/-S11,S11&gt;0,AL11/S11)</f>
        <v>-24.942493333333335</v>
      </c>
      <c r="AT11" s="121">
        <f t="shared" si="23"/>
        <v>0</v>
      </c>
      <c r="AU11" s="121">
        <f t="shared" si="24"/>
        <v>-0.1468155473149293</v>
      </c>
      <c r="AV11" s="127"/>
      <c r="AW11" s="122">
        <f t="shared" si="13"/>
        <v>-1022.6422266666667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 t="shared" si="0"/>
        <v>46</v>
      </c>
      <c r="F12" s="119">
        <v>4</v>
      </c>
      <c r="G12" s="119" t="s">
        <v>145</v>
      </c>
      <c r="H12" s="119">
        <v>42</v>
      </c>
      <c r="I12" s="119">
        <v>169.89</v>
      </c>
      <c r="J12" s="119">
        <f t="shared" si="1"/>
        <v>7814.94</v>
      </c>
      <c r="K12" s="116">
        <v>270</v>
      </c>
      <c r="L12" s="116">
        <v>3</v>
      </c>
      <c r="M12" s="116">
        <v>1166</v>
      </c>
      <c r="N12" s="116">
        <v>0</v>
      </c>
      <c r="O12" s="215">
        <f t="shared" si="2"/>
        <v>0.42857142857142855</v>
      </c>
      <c r="P12" s="119">
        <f t="shared" si="22"/>
        <v>0.14285714285714285</v>
      </c>
      <c r="Q12" s="120">
        <v>1</v>
      </c>
      <c r="R12" s="120">
        <v>0</v>
      </c>
      <c r="S12" s="119">
        <f t="shared" si="14"/>
        <v>1</v>
      </c>
      <c r="T12" s="120">
        <v>959</v>
      </c>
      <c r="U12" s="120">
        <v>0</v>
      </c>
      <c r="V12" s="119">
        <f t="shared" si="15"/>
        <v>959</v>
      </c>
      <c r="W12" s="120">
        <v>1166</v>
      </c>
      <c r="X12" s="120">
        <v>0</v>
      </c>
      <c r="Y12" s="119">
        <f t="shared" si="4"/>
        <v>1166</v>
      </c>
      <c r="Z12" s="119">
        <f t="shared" si="16"/>
        <v>0</v>
      </c>
      <c r="AA12" s="121">
        <f t="shared" si="5"/>
        <v>2.0488609405044874E-2</v>
      </c>
      <c r="AB12" s="119">
        <f t="shared" si="17"/>
        <v>169.89</v>
      </c>
      <c r="AC12" s="120">
        <v>422.9</v>
      </c>
      <c r="AD12" s="121">
        <f t="shared" si="6"/>
        <v>0.3626929674099485</v>
      </c>
      <c r="AE12" s="120">
        <v>163.1</v>
      </c>
      <c r="AF12" s="120"/>
      <c r="AG12" s="120"/>
      <c r="AH12" s="120">
        <v>0</v>
      </c>
      <c r="AI12" s="154">
        <f t="shared" si="7"/>
        <v>26.861146666666667</v>
      </c>
      <c r="AJ12" s="120">
        <v>0</v>
      </c>
      <c r="AK12" s="122">
        <f t="shared" si="18"/>
        <v>9.59</v>
      </c>
      <c r="AL12" s="123">
        <f t="shared" si="19"/>
        <v>373.65885333333335</v>
      </c>
      <c r="AM12" s="124"/>
      <c r="AN12" s="125">
        <f t="shared" si="8"/>
        <v>1166</v>
      </c>
      <c r="AO12" s="126">
        <f t="shared" si="9"/>
        <v>169.89</v>
      </c>
      <c r="AP12" s="126">
        <f t="shared" si="10"/>
        <v>422.9</v>
      </c>
      <c r="AQ12" s="126">
        <f t="shared" si="20"/>
        <v>163.1</v>
      </c>
      <c r="AR12" s="126">
        <f t="shared" si="21"/>
        <v>0</v>
      </c>
      <c r="AS12" s="126">
        <f t="array" ref="AS12">_xlfn.IFS(S12=0,AL12,S12&lt;0,AL12/-S12,S12&gt;0,AL12/S12)</f>
        <v>373.65885333333335</v>
      </c>
      <c r="AT12" s="121">
        <f t="shared" si="23"/>
        <v>0.32046213836477988</v>
      </c>
      <c r="AU12" s="121">
        <f t="shared" si="24"/>
        <v>2.1994164066945281</v>
      </c>
      <c r="AV12" s="127"/>
      <c r="AW12" s="122">
        <f t="shared" si="13"/>
        <v>17188.307253333332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 t="shared" si="0"/>
        <v>9</v>
      </c>
      <c r="F13" s="119">
        <v>1</v>
      </c>
      <c r="G13" s="119" t="s">
        <v>145</v>
      </c>
      <c r="H13" s="119">
        <v>8</v>
      </c>
      <c r="I13" s="119">
        <v>169.89</v>
      </c>
      <c r="J13" s="119">
        <f t="shared" si="1"/>
        <v>1529.0099999999998</v>
      </c>
      <c r="K13" s="116">
        <v>74</v>
      </c>
      <c r="L13" s="116">
        <v>2</v>
      </c>
      <c r="M13" s="116">
        <v>1166</v>
      </c>
      <c r="N13" s="116">
        <v>100</v>
      </c>
      <c r="O13" s="215">
        <f t="shared" si="2"/>
        <v>0.2857142857142857</v>
      </c>
      <c r="P13" s="119">
        <f t="shared" si="22"/>
        <v>0.14285714285714285</v>
      </c>
      <c r="Q13" s="120">
        <v>1</v>
      </c>
      <c r="R13" s="120">
        <v>0</v>
      </c>
      <c r="S13" s="119">
        <f t="shared" si="14"/>
        <v>1</v>
      </c>
      <c r="T13" s="120">
        <v>850</v>
      </c>
      <c r="U13" s="120">
        <v>0</v>
      </c>
      <c r="V13" s="119">
        <f t="shared" si="15"/>
        <v>850</v>
      </c>
      <c r="W13" s="120">
        <v>1166</v>
      </c>
      <c r="X13" s="120">
        <v>0</v>
      </c>
      <c r="Y13" s="119">
        <f t="shared" si="4"/>
        <v>1166</v>
      </c>
      <c r="Z13" s="119">
        <f t="shared" si="16"/>
        <v>2332</v>
      </c>
      <c r="AA13" s="121">
        <f t="shared" si="5"/>
        <v>2.0488609405044874E-2</v>
      </c>
      <c r="AB13" s="119">
        <f t="shared" si="17"/>
        <v>169.89</v>
      </c>
      <c r="AC13" s="120">
        <v>420.54999999999995</v>
      </c>
      <c r="AD13" s="121">
        <f t="shared" si="6"/>
        <v>0.36067753001715264</v>
      </c>
      <c r="AE13" s="120">
        <v>269.64999999999998</v>
      </c>
      <c r="AF13" s="120"/>
      <c r="AG13" s="120"/>
      <c r="AH13" s="120">
        <v>0</v>
      </c>
      <c r="AI13" s="154">
        <f t="shared" si="7"/>
        <v>5.1164088888888886</v>
      </c>
      <c r="AJ13" s="120">
        <v>0</v>
      </c>
      <c r="AK13" s="122">
        <f t="shared" si="18"/>
        <v>8.5</v>
      </c>
      <c r="AL13" s="123">
        <f t="shared" si="19"/>
        <v>292.2935911111112</v>
      </c>
      <c r="AM13" s="124"/>
      <c r="AN13" s="125">
        <f t="shared" si="8"/>
        <v>1166</v>
      </c>
      <c r="AO13" s="126">
        <f t="shared" si="9"/>
        <v>169.89</v>
      </c>
      <c r="AP13" s="126">
        <f t="shared" si="10"/>
        <v>420.54999999999995</v>
      </c>
      <c r="AQ13" s="126">
        <f t="shared" si="20"/>
        <v>269.64999999999998</v>
      </c>
      <c r="AR13" s="126">
        <f t="shared" si="21"/>
        <v>0</v>
      </c>
      <c r="AS13" s="126">
        <f t="array" ref="AS13">_xlfn.IFS(S13=0,AL13,S13&lt;0,AL13/-S13,S13&gt;0,AL13/S13)</f>
        <v>292.2935911111112</v>
      </c>
      <c r="AT13" s="121">
        <f t="shared" si="23"/>
        <v>0.25068060987230806</v>
      </c>
      <c r="AU13" s="121">
        <f t="shared" si="24"/>
        <v>1.720487321861859</v>
      </c>
      <c r="AV13" s="127"/>
      <c r="AW13" s="122">
        <f t="shared" si="13"/>
        <v>2630.6423200000008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 t="shared" si="0"/>
        <v>61</v>
      </c>
      <c r="F14" s="119">
        <v>2</v>
      </c>
      <c r="G14" s="119" t="s">
        <v>145</v>
      </c>
      <c r="H14" s="119">
        <v>59</v>
      </c>
      <c r="I14" s="119">
        <v>169.89</v>
      </c>
      <c r="J14" s="119">
        <f t="shared" si="1"/>
        <v>10363.289999999999</v>
      </c>
      <c r="K14" s="116">
        <v>265</v>
      </c>
      <c r="L14" s="116">
        <v>2</v>
      </c>
      <c r="M14" s="116">
        <v>1232</v>
      </c>
      <c r="N14" s="116">
        <v>0</v>
      </c>
      <c r="O14" s="215">
        <f t="shared" si="2"/>
        <v>0.2857142857142857</v>
      </c>
      <c r="P14" s="119">
        <f t="shared" si="22"/>
        <v>0</v>
      </c>
      <c r="Q14" s="120">
        <v>0</v>
      </c>
      <c r="R14" s="120">
        <v>0</v>
      </c>
      <c r="S14" s="119">
        <f t="shared" si="14"/>
        <v>0</v>
      </c>
      <c r="T14" s="120">
        <v>0</v>
      </c>
      <c r="U14" s="120">
        <v>0</v>
      </c>
      <c r="V14" s="119">
        <f t="shared" si="15"/>
        <v>0</v>
      </c>
      <c r="W14" s="120">
        <v>0</v>
      </c>
      <c r="X14" s="120">
        <v>0</v>
      </c>
      <c r="Y14" s="119">
        <f t="shared" si="4"/>
        <v>0</v>
      </c>
      <c r="Z14" s="119">
        <f t="shared" si="16"/>
        <v>0</v>
      </c>
      <c r="AA14" s="121">
        <f t="shared" si="5"/>
        <v>0</v>
      </c>
      <c r="AB14" s="119">
        <f t="shared" si="17"/>
        <v>0</v>
      </c>
      <c r="AC14" s="120">
        <v>0</v>
      </c>
      <c r="AD14" s="121">
        <f t="shared" si="6"/>
        <v>0</v>
      </c>
      <c r="AE14" s="120">
        <v>0</v>
      </c>
      <c r="AF14" s="120"/>
      <c r="AG14" s="120"/>
      <c r="AH14" s="120">
        <v>0</v>
      </c>
      <c r="AI14" s="154">
        <f t="shared" si="7"/>
        <v>37.733515555555556</v>
      </c>
      <c r="AJ14" s="120">
        <v>0</v>
      </c>
      <c r="AK14" s="122">
        <f t="shared" si="18"/>
        <v>0</v>
      </c>
      <c r="AL14" s="123">
        <f t="shared" si="19"/>
        <v>-37.733515555555556</v>
      </c>
      <c r="AM14" s="124"/>
      <c r="AN14" s="125">
        <f t="shared" si="8"/>
        <v>0</v>
      </c>
      <c r="AO14" s="126">
        <f t="shared" si="9"/>
        <v>169.89</v>
      </c>
      <c r="AP14" s="126">
        <f t="shared" si="10"/>
        <v>0</v>
      </c>
      <c r="AQ14" s="126">
        <f t="shared" si="20"/>
        <v>0</v>
      </c>
      <c r="AR14" s="126">
        <f t="shared" si="21"/>
        <v>0</v>
      </c>
      <c r="AS14" s="126">
        <f t="array" ref="AS14">_xlfn.IFS(S14=0,AL14,S14&lt;0,AL14/-S14,S14&gt;0,AL14/S14)</f>
        <v>-37.733515555555556</v>
      </c>
      <c r="AT14" s="121">
        <f t="shared" si="23"/>
        <v>0</v>
      </c>
      <c r="AU14" s="121">
        <f t="shared" si="24"/>
        <v>-0.22210557157899558</v>
      </c>
      <c r="AV14" s="127"/>
      <c r="AW14" s="122">
        <f t="shared" si="13"/>
        <v>-2301.7444488888891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 t="shared" si="0"/>
        <v>34</v>
      </c>
      <c r="F15" s="119" t="s">
        <v>145</v>
      </c>
      <c r="G15" s="119" t="s">
        <v>145</v>
      </c>
      <c r="H15" s="119">
        <v>34</v>
      </c>
      <c r="I15" s="119">
        <v>169.89</v>
      </c>
      <c r="J15" s="119">
        <f t="shared" si="1"/>
        <v>5776.2599999999993</v>
      </c>
      <c r="K15" s="116">
        <v>531</v>
      </c>
      <c r="L15" s="116">
        <v>0</v>
      </c>
      <c r="M15" s="116">
        <v>0</v>
      </c>
      <c r="N15" s="116">
        <v>0</v>
      </c>
      <c r="O15" s="215">
        <f t="shared" si="2"/>
        <v>0</v>
      </c>
      <c r="P15" s="119">
        <f t="shared" si="22"/>
        <v>0.14285714285714285</v>
      </c>
      <c r="Q15" s="120">
        <v>1</v>
      </c>
      <c r="R15" s="120">
        <v>0</v>
      </c>
      <c r="S15" s="119">
        <f t="shared" si="14"/>
        <v>1</v>
      </c>
      <c r="T15" s="120">
        <v>965</v>
      </c>
      <c r="U15" s="120">
        <v>0</v>
      </c>
      <c r="V15" s="119">
        <f t="shared" si="15"/>
        <v>965</v>
      </c>
      <c r="W15" s="120">
        <v>1232</v>
      </c>
      <c r="X15" s="120">
        <v>0</v>
      </c>
      <c r="Y15" s="119">
        <f t="shared" si="4"/>
        <v>1232</v>
      </c>
      <c r="Z15" s="119">
        <f t="shared" si="16"/>
        <v>0</v>
      </c>
      <c r="AA15" s="121">
        <f t="shared" si="5"/>
        <v>2.1648342012877603E-2</v>
      </c>
      <c r="AB15" s="119">
        <f t="shared" si="17"/>
        <v>169.89</v>
      </c>
      <c r="AC15" s="120">
        <v>445.78999999999996</v>
      </c>
      <c r="AD15" s="121">
        <f t="shared" si="6"/>
        <v>0.36184253246753245</v>
      </c>
      <c r="AE15" s="120">
        <v>34.799999999999997</v>
      </c>
      <c r="AF15" s="120"/>
      <c r="AG15" s="120"/>
      <c r="AH15" s="120">
        <v>0</v>
      </c>
      <c r="AI15" s="154">
        <f t="shared" si="7"/>
        <v>21.744737777777779</v>
      </c>
      <c r="AJ15" s="120">
        <v>0</v>
      </c>
      <c r="AK15" s="122">
        <f t="shared" si="18"/>
        <v>9.65</v>
      </c>
      <c r="AL15" s="123">
        <f t="shared" si="19"/>
        <v>550.12526222222243</v>
      </c>
      <c r="AM15" s="124"/>
      <c r="AN15" s="125">
        <f t="shared" si="8"/>
        <v>1232</v>
      </c>
      <c r="AO15" s="126">
        <f t="shared" si="9"/>
        <v>169.89</v>
      </c>
      <c r="AP15" s="126">
        <f t="shared" si="10"/>
        <v>445.78999999999996</v>
      </c>
      <c r="AQ15" s="126">
        <f t="shared" si="20"/>
        <v>34.799999999999997</v>
      </c>
      <c r="AR15" s="126">
        <f t="shared" si="21"/>
        <v>0</v>
      </c>
      <c r="AS15" s="126">
        <f t="array" ref="AS15">_xlfn.IFS(S15=0,AL15,S15&lt;0,AL15/-S15,S15&gt;0,AL15/S15)</f>
        <v>550.12526222222243</v>
      </c>
      <c r="AT15" s="121">
        <f t="shared" si="23"/>
        <v>0.44653024531024549</v>
      </c>
      <c r="AU15" s="121">
        <f t="shared" si="24"/>
        <v>3.2381262123857937</v>
      </c>
      <c r="AV15" s="127"/>
      <c r="AW15" s="122">
        <f t="shared" si="13"/>
        <v>18704.258915555562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5">AVERAGE(AN3:AN6)</f>
        <v>603.5</v>
      </c>
      <c r="AO16" s="140">
        <f t="shared" si="25"/>
        <v>128.0625</v>
      </c>
      <c r="AP16" s="140">
        <f t="shared" si="25"/>
        <v>218.50681547619047</v>
      </c>
      <c r="AQ16" s="140">
        <f t="shared" si="25"/>
        <v>54.726136363636371</v>
      </c>
      <c r="AR16" s="140">
        <f t="shared" si="25"/>
        <v>57.00568181818182</v>
      </c>
      <c r="AS16" s="140">
        <f t="shared" si="25"/>
        <v>11.961243518518543</v>
      </c>
      <c r="AT16" s="141">
        <f t="shared" si="25"/>
        <v>0.15143002648936976</v>
      </c>
      <c r="AU16" s="140">
        <f t="shared" si="25"/>
        <v>2.0784006313601333E-2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6">SUM(E3:E15)</f>
        <v>2312</v>
      </c>
      <c r="F17" s="145">
        <f t="shared" si="26"/>
        <v>52</v>
      </c>
      <c r="G17" s="145">
        <f t="shared" si="26"/>
        <v>10</v>
      </c>
      <c r="H17" s="145">
        <f>SUM(H3:H15)</f>
        <v>2250</v>
      </c>
      <c r="I17" s="145"/>
      <c r="J17" s="145">
        <f>SUM(J3:J15)</f>
        <v>315658.11</v>
      </c>
      <c r="K17" s="145"/>
      <c r="L17" s="145">
        <f>SUM(L3:L15)</f>
        <v>86</v>
      </c>
      <c r="M17" s="145"/>
      <c r="N17" s="145"/>
      <c r="O17" s="145"/>
      <c r="P17" s="145"/>
      <c r="Q17" s="145">
        <f>SUM(Q3:Q15)</f>
        <v>49</v>
      </c>
      <c r="R17" s="145">
        <f t="shared" ref="R17:Z17" si="27">SUM(R3:R15)</f>
        <v>-2</v>
      </c>
      <c r="S17" s="145">
        <f t="shared" si="27"/>
        <v>47</v>
      </c>
      <c r="T17" s="145">
        <f t="shared" si="27"/>
        <v>44338.880000000005</v>
      </c>
      <c r="U17" s="145">
        <f t="shared" si="27"/>
        <v>-1888</v>
      </c>
      <c r="V17" s="145">
        <f t="shared" si="27"/>
        <v>42450.880000000005</v>
      </c>
      <c r="W17" s="145">
        <f t="shared" si="27"/>
        <v>59321.67</v>
      </c>
      <c r="X17" s="145">
        <f t="shared" si="27"/>
        <v>-2412</v>
      </c>
      <c r="Y17" s="145">
        <f t="shared" si="27"/>
        <v>56909.67</v>
      </c>
      <c r="Z17" s="145">
        <f t="shared" si="27"/>
        <v>69091.199999999997</v>
      </c>
      <c r="AA17" s="146">
        <f>SUM(AA3:AA15)</f>
        <v>0.99999999999999989</v>
      </c>
      <c r="AB17" s="147">
        <f>SUM(AB3:AB15)</f>
        <v>6764.5200000000013</v>
      </c>
      <c r="AC17" s="147">
        <f>SUM(AC3:AC15)</f>
        <v>20543.919999999998</v>
      </c>
      <c r="AD17" s="146">
        <f>AC17/Y17</f>
        <v>0.36099172601071133</v>
      </c>
      <c r="AE17" s="145">
        <f>SUM(AE3:AE15)</f>
        <v>6115.35</v>
      </c>
      <c r="AF17" s="145">
        <f t="shared" ref="AF17:AL17" si="28">SUM(AF3:AF15)</f>
        <v>5916</v>
      </c>
      <c r="AG17" s="145">
        <f t="shared" si="28"/>
        <v>2033</v>
      </c>
      <c r="AH17" s="145">
        <f t="shared" si="28"/>
        <v>0</v>
      </c>
      <c r="AI17" s="145">
        <f>SUM(AI3:AI15)</f>
        <v>1438.9899999999998</v>
      </c>
      <c r="AJ17" s="145">
        <f>SUM(AJ3:AJ15)</f>
        <v>0</v>
      </c>
      <c r="AK17" s="145">
        <f t="shared" si="28"/>
        <v>424.50880000000001</v>
      </c>
      <c r="AL17" s="145">
        <f t="shared" si="28"/>
        <v>13673.3812</v>
      </c>
      <c r="AM17" s="148"/>
      <c r="AN17" s="145"/>
      <c r="AO17" s="145"/>
      <c r="AP17" s="145"/>
      <c r="AQ17" s="145"/>
      <c r="AR17" s="145">
        <f>(AF17+AG17)/Q17</f>
        <v>162.22448979591837</v>
      </c>
      <c r="AS17" s="145"/>
      <c r="AT17" s="145"/>
      <c r="AU17" s="145"/>
      <c r="AV17" s="149"/>
      <c r="AW17" s="145">
        <f>SUM(AW3:AW6)</f>
        <v>39419.539397037079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153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9">SUM(F19:H19)</f>
        <v>0</v>
      </c>
      <c r="F19" s="119"/>
      <c r="G19" s="119"/>
      <c r="H19" s="119"/>
      <c r="I19" s="119"/>
      <c r="J19" s="119">
        <f t="shared" ref="J19:J50" si="30">E19*I19</f>
        <v>0</v>
      </c>
      <c r="K19" s="116"/>
      <c r="L19" s="116"/>
      <c r="M19" s="116"/>
      <c r="N19" s="116"/>
      <c r="O19" s="119">
        <f t="shared" ref="O19:O70" si="31">L19/7</f>
        <v>0</v>
      </c>
      <c r="P19" s="119">
        <f t="shared" ref="P19:P70" si="32">S19/7</f>
        <v>0</v>
      </c>
      <c r="Q19" s="120"/>
      <c r="R19" s="120"/>
      <c r="S19" s="119">
        <f t="shared" ref="S19:S70" si="33">Q19+R19</f>
        <v>0</v>
      </c>
      <c r="T19" s="119"/>
      <c r="U19" s="119"/>
      <c r="V19" s="119">
        <f t="shared" ref="V19:V70" si="34">T19+U19</f>
        <v>0</v>
      </c>
      <c r="W19" s="120"/>
      <c r="X19" s="120"/>
      <c r="Y19" s="119">
        <f t="shared" ref="Y19:Y70" si="35">W19+X19</f>
        <v>0</v>
      </c>
      <c r="Z19" s="119">
        <f t="shared" ref="Z19:Z65" si="36">L19*M19*N19/100</f>
        <v>0</v>
      </c>
      <c r="AA19" s="121">
        <f>Y19/$Y$74</f>
        <v>0</v>
      </c>
      <c r="AB19" s="119">
        <f t="shared" ref="AB19:AB70" si="37">S19*I19</f>
        <v>0</v>
      </c>
      <c r="AC19" s="120"/>
      <c r="AD19" s="121">
        <f t="shared" ref="AD19:AD70" si="38">IF(Y19=0,0,AC19/Y19)</f>
        <v>0</v>
      </c>
      <c r="AE19" s="120"/>
      <c r="AF19" s="120"/>
      <c r="AG19" s="120"/>
      <c r="AH19" s="120"/>
      <c r="AI19" s="154">
        <f t="shared" ref="AI19:AI50" si="39">$AI$74*H19/$H$74</f>
        <v>0</v>
      </c>
      <c r="AJ19" s="120"/>
      <c r="AK19" s="122">
        <f t="shared" ref="AK19:AK70" si="40">V19*1%</f>
        <v>0</v>
      </c>
      <c r="AL19" s="123">
        <f t="shared" ref="AL19:AL70" si="41">Y19-AB19-AC19-AE19-AF19-AG19-AH19-AI19-AK19-AJ19</f>
        <v>0</v>
      </c>
      <c r="AM19" s="124"/>
      <c r="AN19" s="125">
        <f t="shared" ref="AN19:AN70" si="42">IF(S19=0,0,Y19/S19)</f>
        <v>0</v>
      </c>
      <c r="AO19" s="126">
        <f t="shared" ref="AO19:AO70" si="43">I19</f>
        <v>0</v>
      </c>
      <c r="AP19" s="126">
        <f t="shared" ref="AP19:AP70" si="44">IF(S19=0,0,AC19/S19)</f>
        <v>0</v>
      </c>
      <c r="AQ19" s="126">
        <f t="shared" ref="AQ19:AQ70" si="45">IF(Q19=0,AE19/1,AE19/Q19)</f>
        <v>0</v>
      </c>
      <c r="AR19" s="126">
        <f t="shared" ref="AR19:AR70" si="46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7">IF(AN19=0,0,AS19/AN19)</f>
        <v>0</v>
      </c>
      <c r="AU19" s="121">
        <f t="shared" ref="AU19:AU70" si="48">IF(AO19=0,0,AS19/AO19)</f>
        <v>0</v>
      </c>
      <c r="AV19" s="127"/>
      <c r="AW19" s="122">
        <f t="shared" ref="AW19:AW50" si="49">AS19*E19</f>
        <v>0</v>
      </c>
    </row>
    <row r="20" spans="1:49" hidden="1" outlineLevel="1">
      <c r="A20" s="116"/>
      <c r="B20" s="117"/>
      <c r="C20" s="117"/>
      <c r="D20" s="118"/>
      <c r="E20" s="119">
        <f t="shared" si="29"/>
        <v>0</v>
      </c>
      <c r="F20" s="119"/>
      <c r="G20" s="119"/>
      <c r="H20" s="119"/>
      <c r="I20" s="119"/>
      <c r="J20" s="119">
        <f t="shared" si="30"/>
        <v>0</v>
      </c>
      <c r="K20" s="116"/>
      <c r="L20" s="116"/>
      <c r="M20" s="116"/>
      <c r="N20" s="116"/>
      <c r="O20" s="119">
        <f t="shared" si="31"/>
        <v>0</v>
      </c>
      <c r="P20" s="119">
        <f t="shared" si="32"/>
        <v>0</v>
      </c>
      <c r="Q20" s="120"/>
      <c r="R20" s="120"/>
      <c r="S20" s="119">
        <f t="shared" si="33"/>
        <v>0</v>
      </c>
      <c r="T20" s="119"/>
      <c r="U20" s="119"/>
      <c r="V20" s="119">
        <f t="shared" si="34"/>
        <v>0</v>
      </c>
      <c r="W20" s="120"/>
      <c r="X20" s="120"/>
      <c r="Y20" s="119">
        <f t="shared" si="35"/>
        <v>0</v>
      </c>
      <c r="Z20" s="119">
        <f t="shared" si="36"/>
        <v>0</v>
      </c>
      <c r="AA20" s="121">
        <f t="shared" ref="AA20:AA70" si="50">Y20/$Y$74</f>
        <v>0</v>
      </c>
      <c r="AB20" s="119">
        <f t="shared" si="37"/>
        <v>0</v>
      </c>
      <c r="AC20" s="120"/>
      <c r="AD20" s="121">
        <f t="shared" si="38"/>
        <v>0</v>
      </c>
      <c r="AE20" s="120"/>
      <c r="AF20" s="120"/>
      <c r="AG20" s="120"/>
      <c r="AH20" s="120"/>
      <c r="AI20" s="154">
        <f t="shared" si="39"/>
        <v>0</v>
      </c>
      <c r="AJ20" s="120"/>
      <c r="AK20" s="122">
        <f t="shared" si="40"/>
        <v>0</v>
      </c>
      <c r="AL20" s="123">
        <f t="shared" si="41"/>
        <v>0</v>
      </c>
      <c r="AM20" s="124"/>
      <c r="AN20" s="125">
        <f t="shared" si="42"/>
        <v>0</v>
      </c>
      <c r="AO20" s="126">
        <f t="shared" si="43"/>
        <v>0</v>
      </c>
      <c r="AP20" s="126">
        <f t="shared" si="44"/>
        <v>0</v>
      </c>
      <c r="AQ20" s="126">
        <f t="shared" si="45"/>
        <v>0</v>
      </c>
      <c r="AR20" s="126">
        <f t="shared" si="46"/>
        <v>0</v>
      </c>
      <c r="AS20" s="126">
        <f t="array" ref="AS20">_xlfn.IFS(S20=0,AL20,S20&lt;0,AL20/-S20,S20&gt;0,AL20/S20)</f>
        <v>0</v>
      </c>
      <c r="AT20" s="121">
        <f t="shared" si="47"/>
        <v>0</v>
      </c>
      <c r="AU20" s="121">
        <f t="shared" si="48"/>
        <v>0</v>
      </c>
      <c r="AV20" s="127"/>
      <c r="AW20" s="122">
        <f t="shared" si="49"/>
        <v>0</v>
      </c>
    </row>
    <row r="21" spans="1:49" hidden="1" outlineLevel="1">
      <c r="A21" s="116"/>
      <c r="B21" s="117"/>
      <c r="C21" s="117"/>
      <c r="D21" s="118"/>
      <c r="E21" s="119">
        <f t="shared" si="29"/>
        <v>0</v>
      </c>
      <c r="F21" s="119"/>
      <c r="G21" s="119"/>
      <c r="H21" s="119"/>
      <c r="I21" s="119"/>
      <c r="J21" s="119">
        <f t="shared" si="30"/>
        <v>0</v>
      </c>
      <c r="K21" s="116"/>
      <c r="L21" s="116"/>
      <c r="M21" s="116"/>
      <c r="N21" s="116"/>
      <c r="O21" s="119">
        <f t="shared" si="31"/>
        <v>0</v>
      </c>
      <c r="P21" s="119">
        <f t="shared" si="32"/>
        <v>0</v>
      </c>
      <c r="Q21" s="120"/>
      <c r="R21" s="120"/>
      <c r="S21" s="119">
        <f t="shared" si="33"/>
        <v>0</v>
      </c>
      <c r="T21" s="119"/>
      <c r="U21" s="119"/>
      <c r="V21" s="119">
        <f t="shared" si="34"/>
        <v>0</v>
      </c>
      <c r="W21" s="120"/>
      <c r="X21" s="120"/>
      <c r="Y21" s="119">
        <f t="shared" si="35"/>
        <v>0</v>
      </c>
      <c r="Z21" s="119">
        <f t="shared" si="36"/>
        <v>0</v>
      </c>
      <c r="AA21" s="121">
        <f t="shared" si="50"/>
        <v>0</v>
      </c>
      <c r="AB21" s="119">
        <f t="shared" si="37"/>
        <v>0</v>
      </c>
      <c r="AC21" s="120"/>
      <c r="AD21" s="121">
        <f t="shared" si="38"/>
        <v>0</v>
      </c>
      <c r="AE21" s="120"/>
      <c r="AF21" s="120"/>
      <c r="AG21" s="120"/>
      <c r="AH21" s="120"/>
      <c r="AI21" s="154">
        <f t="shared" si="39"/>
        <v>0</v>
      </c>
      <c r="AJ21" s="120"/>
      <c r="AK21" s="122">
        <f t="shared" si="40"/>
        <v>0</v>
      </c>
      <c r="AL21" s="123">
        <f t="shared" si="41"/>
        <v>0</v>
      </c>
      <c r="AM21" s="124"/>
      <c r="AN21" s="125">
        <f t="shared" si="42"/>
        <v>0</v>
      </c>
      <c r="AO21" s="126">
        <f t="shared" si="43"/>
        <v>0</v>
      </c>
      <c r="AP21" s="126">
        <f t="shared" si="44"/>
        <v>0</v>
      </c>
      <c r="AQ21" s="126">
        <f t="shared" si="45"/>
        <v>0</v>
      </c>
      <c r="AR21" s="126">
        <f t="shared" si="46"/>
        <v>0</v>
      </c>
      <c r="AS21" s="126">
        <f t="array" ref="AS21">_xlfn.IFS(S21=0,AL21,S21&lt;0,AL21/-S21,S21&gt;0,AL21/S21)</f>
        <v>0</v>
      </c>
      <c r="AT21" s="121">
        <f t="shared" si="47"/>
        <v>0</v>
      </c>
      <c r="AU21" s="121">
        <f t="shared" si="48"/>
        <v>0</v>
      </c>
      <c r="AV21" s="127"/>
      <c r="AW21" s="122">
        <f t="shared" si="49"/>
        <v>0</v>
      </c>
    </row>
    <row r="22" spans="1:49" hidden="1" outlineLevel="1">
      <c r="A22" s="116"/>
      <c r="B22" s="117"/>
      <c r="C22" s="117"/>
      <c r="D22" s="118"/>
      <c r="E22" s="119">
        <f t="shared" si="29"/>
        <v>0</v>
      </c>
      <c r="F22" s="119"/>
      <c r="G22" s="119"/>
      <c r="H22" s="119"/>
      <c r="I22" s="119"/>
      <c r="J22" s="119">
        <f t="shared" si="30"/>
        <v>0</v>
      </c>
      <c r="K22" s="116"/>
      <c r="L22" s="116"/>
      <c r="M22" s="116"/>
      <c r="N22" s="116"/>
      <c r="O22" s="119">
        <f t="shared" si="31"/>
        <v>0</v>
      </c>
      <c r="P22" s="119">
        <f t="shared" si="32"/>
        <v>0</v>
      </c>
      <c r="Q22" s="120"/>
      <c r="R22" s="120"/>
      <c r="S22" s="119">
        <f t="shared" si="33"/>
        <v>0</v>
      </c>
      <c r="T22" s="119"/>
      <c r="U22" s="119"/>
      <c r="V22" s="119">
        <f t="shared" si="34"/>
        <v>0</v>
      </c>
      <c r="W22" s="120"/>
      <c r="X22" s="120"/>
      <c r="Y22" s="119">
        <f t="shared" si="35"/>
        <v>0</v>
      </c>
      <c r="Z22" s="119">
        <f t="shared" si="36"/>
        <v>0</v>
      </c>
      <c r="AA22" s="121">
        <f t="shared" si="50"/>
        <v>0</v>
      </c>
      <c r="AB22" s="119">
        <f t="shared" si="37"/>
        <v>0</v>
      </c>
      <c r="AC22" s="120"/>
      <c r="AD22" s="121">
        <f t="shared" si="38"/>
        <v>0</v>
      </c>
      <c r="AE22" s="120"/>
      <c r="AF22" s="120"/>
      <c r="AG22" s="120"/>
      <c r="AH22" s="120"/>
      <c r="AI22" s="154">
        <f t="shared" si="39"/>
        <v>0</v>
      </c>
      <c r="AJ22" s="120"/>
      <c r="AK22" s="122">
        <f t="shared" si="40"/>
        <v>0</v>
      </c>
      <c r="AL22" s="123">
        <f t="shared" si="41"/>
        <v>0</v>
      </c>
      <c r="AM22" s="124"/>
      <c r="AN22" s="125">
        <f t="shared" si="42"/>
        <v>0</v>
      </c>
      <c r="AO22" s="126">
        <f t="shared" si="43"/>
        <v>0</v>
      </c>
      <c r="AP22" s="126">
        <f t="shared" si="44"/>
        <v>0</v>
      </c>
      <c r="AQ22" s="126">
        <f t="shared" si="45"/>
        <v>0</v>
      </c>
      <c r="AR22" s="126">
        <f t="shared" si="46"/>
        <v>0</v>
      </c>
      <c r="AS22" s="126">
        <f t="array" ref="AS22">_xlfn.IFS(S22=0,AL22,S22&lt;0,AL22/-S22,S22&gt;0,AL22/S22)</f>
        <v>0</v>
      </c>
      <c r="AT22" s="121">
        <f t="shared" si="47"/>
        <v>0</v>
      </c>
      <c r="AU22" s="121">
        <f t="shared" si="48"/>
        <v>0</v>
      </c>
      <c r="AV22" s="127"/>
      <c r="AW22" s="122">
        <f t="shared" si="49"/>
        <v>0</v>
      </c>
    </row>
    <row r="23" spans="1:49" hidden="1" outlineLevel="1">
      <c r="A23" s="116"/>
      <c r="B23" s="117"/>
      <c r="C23" s="117"/>
      <c r="D23" s="118"/>
      <c r="E23" s="119">
        <f t="shared" si="29"/>
        <v>0</v>
      </c>
      <c r="F23" s="119"/>
      <c r="G23" s="119"/>
      <c r="H23" s="119"/>
      <c r="I23" s="119"/>
      <c r="J23" s="119">
        <f t="shared" si="30"/>
        <v>0</v>
      </c>
      <c r="K23" s="116"/>
      <c r="L23" s="116"/>
      <c r="M23" s="116"/>
      <c r="N23" s="116"/>
      <c r="O23" s="119">
        <f t="shared" si="31"/>
        <v>0</v>
      </c>
      <c r="P23" s="119">
        <f t="shared" si="32"/>
        <v>0</v>
      </c>
      <c r="Q23" s="120"/>
      <c r="R23" s="120"/>
      <c r="S23" s="119">
        <f t="shared" si="33"/>
        <v>0</v>
      </c>
      <c r="T23" s="119"/>
      <c r="U23" s="119"/>
      <c r="V23" s="119">
        <f t="shared" si="34"/>
        <v>0</v>
      </c>
      <c r="W23" s="120"/>
      <c r="X23" s="120"/>
      <c r="Y23" s="119">
        <f t="shared" si="35"/>
        <v>0</v>
      </c>
      <c r="Z23" s="119">
        <f t="shared" si="36"/>
        <v>0</v>
      </c>
      <c r="AA23" s="121">
        <f t="shared" si="50"/>
        <v>0</v>
      </c>
      <c r="AB23" s="119">
        <f t="shared" si="37"/>
        <v>0</v>
      </c>
      <c r="AC23" s="120"/>
      <c r="AD23" s="121">
        <f t="shared" si="38"/>
        <v>0</v>
      </c>
      <c r="AE23" s="120"/>
      <c r="AF23" s="120"/>
      <c r="AG23" s="120"/>
      <c r="AH23" s="120"/>
      <c r="AI23" s="154">
        <f t="shared" si="39"/>
        <v>0</v>
      </c>
      <c r="AJ23" s="120"/>
      <c r="AK23" s="122">
        <f t="shared" si="40"/>
        <v>0</v>
      </c>
      <c r="AL23" s="123">
        <f t="shared" si="41"/>
        <v>0</v>
      </c>
      <c r="AM23" s="124"/>
      <c r="AN23" s="125">
        <f t="shared" si="42"/>
        <v>0</v>
      </c>
      <c r="AO23" s="126">
        <f t="shared" si="43"/>
        <v>0</v>
      </c>
      <c r="AP23" s="126">
        <f t="shared" si="44"/>
        <v>0</v>
      </c>
      <c r="AQ23" s="126">
        <f t="shared" si="45"/>
        <v>0</v>
      </c>
      <c r="AR23" s="126">
        <f t="shared" si="46"/>
        <v>0</v>
      </c>
      <c r="AS23" s="126">
        <f t="array" ref="AS23">_xlfn.IFS(S23=0,AL23,S23&lt;0,AL23/-S23,S23&gt;0,AL23/S23)</f>
        <v>0</v>
      </c>
      <c r="AT23" s="121">
        <f t="shared" si="47"/>
        <v>0</v>
      </c>
      <c r="AU23" s="121">
        <f t="shared" si="48"/>
        <v>0</v>
      </c>
      <c r="AV23" s="127"/>
      <c r="AW23" s="122">
        <f t="shared" si="49"/>
        <v>0</v>
      </c>
    </row>
    <row r="24" spans="1:49" hidden="1" outlineLevel="1">
      <c r="A24" s="116"/>
      <c r="B24" s="117"/>
      <c r="C24" s="117"/>
      <c r="D24" s="118"/>
      <c r="E24" s="119">
        <f t="shared" si="29"/>
        <v>0</v>
      </c>
      <c r="F24" s="119"/>
      <c r="G24" s="119"/>
      <c r="H24" s="119"/>
      <c r="I24" s="119"/>
      <c r="J24" s="119">
        <f t="shared" si="30"/>
        <v>0</v>
      </c>
      <c r="K24" s="116"/>
      <c r="L24" s="116"/>
      <c r="M24" s="116"/>
      <c r="N24" s="116"/>
      <c r="O24" s="119">
        <f t="shared" si="31"/>
        <v>0</v>
      </c>
      <c r="P24" s="119">
        <f t="shared" si="32"/>
        <v>0</v>
      </c>
      <c r="Q24" s="120"/>
      <c r="R24" s="120"/>
      <c r="S24" s="119">
        <f t="shared" si="33"/>
        <v>0</v>
      </c>
      <c r="T24" s="119"/>
      <c r="U24" s="119"/>
      <c r="V24" s="119">
        <f t="shared" si="34"/>
        <v>0</v>
      </c>
      <c r="W24" s="120"/>
      <c r="X24" s="120"/>
      <c r="Y24" s="119">
        <f t="shared" si="35"/>
        <v>0</v>
      </c>
      <c r="Z24" s="119">
        <f t="shared" si="36"/>
        <v>0</v>
      </c>
      <c r="AA24" s="121">
        <f t="shared" si="50"/>
        <v>0</v>
      </c>
      <c r="AB24" s="119">
        <f t="shared" si="37"/>
        <v>0</v>
      </c>
      <c r="AC24" s="120"/>
      <c r="AD24" s="121">
        <f t="shared" si="38"/>
        <v>0</v>
      </c>
      <c r="AE24" s="120"/>
      <c r="AF24" s="120"/>
      <c r="AG24" s="120"/>
      <c r="AH24" s="120"/>
      <c r="AI24" s="154">
        <f t="shared" si="39"/>
        <v>0</v>
      </c>
      <c r="AJ24" s="120"/>
      <c r="AK24" s="122">
        <f t="shared" si="40"/>
        <v>0</v>
      </c>
      <c r="AL24" s="123">
        <f t="shared" si="41"/>
        <v>0</v>
      </c>
      <c r="AM24" s="124"/>
      <c r="AN24" s="125">
        <f t="shared" si="42"/>
        <v>0</v>
      </c>
      <c r="AO24" s="126">
        <f t="shared" si="43"/>
        <v>0</v>
      </c>
      <c r="AP24" s="126">
        <f t="shared" si="44"/>
        <v>0</v>
      </c>
      <c r="AQ24" s="126">
        <f t="shared" si="45"/>
        <v>0</v>
      </c>
      <c r="AR24" s="126">
        <f t="shared" si="46"/>
        <v>0</v>
      </c>
      <c r="AS24" s="126">
        <f t="array" ref="AS24">_xlfn.IFS(S24=0,AL24,S24&lt;0,AL24/-S24,S24&gt;0,AL24/S24)</f>
        <v>0</v>
      </c>
      <c r="AT24" s="121">
        <f t="shared" si="47"/>
        <v>0</v>
      </c>
      <c r="AU24" s="121">
        <f t="shared" si="48"/>
        <v>0</v>
      </c>
      <c r="AV24" s="127"/>
      <c r="AW24" s="122">
        <f t="shared" si="49"/>
        <v>0</v>
      </c>
    </row>
    <row r="25" spans="1:49" hidden="1" outlineLevel="1">
      <c r="A25" s="116"/>
      <c r="B25" s="117"/>
      <c r="C25" s="117"/>
      <c r="D25" s="118"/>
      <c r="E25" s="119">
        <f t="shared" si="29"/>
        <v>0</v>
      </c>
      <c r="F25" s="119"/>
      <c r="G25" s="119"/>
      <c r="H25" s="119"/>
      <c r="I25" s="119"/>
      <c r="J25" s="119">
        <f t="shared" si="30"/>
        <v>0</v>
      </c>
      <c r="K25" s="116"/>
      <c r="L25" s="116"/>
      <c r="M25" s="116"/>
      <c r="N25" s="116"/>
      <c r="O25" s="119">
        <f t="shared" si="31"/>
        <v>0</v>
      </c>
      <c r="P25" s="119">
        <f t="shared" si="32"/>
        <v>0</v>
      </c>
      <c r="Q25" s="120"/>
      <c r="R25" s="120"/>
      <c r="S25" s="119">
        <f t="shared" si="33"/>
        <v>0</v>
      </c>
      <c r="T25" s="119"/>
      <c r="U25" s="119"/>
      <c r="V25" s="119">
        <f t="shared" si="34"/>
        <v>0</v>
      </c>
      <c r="W25" s="120"/>
      <c r="X25" s="120"/>
      <c r="Y25" s="119">
        <f t="shared" si="35"/>
        <v>0</v>
      </c>
      <c r="Z25" s="119">
        <f t="shared" si="36"/>
        <v>0</v>
      </c>
      <c r="AA25" s="121">
        <f t="shared" si="50"/>
        <v>0</v>
      </c>
      <c r="AB25" s="119">
        <f t="shared" si="37"/>
        <v>0</v>
      </c>
      <c r="AC25" s="120"/>
      <c r="AD25" s="121">
        <f t="shared" si="38"/>
        <v>0</v>
      </c>
      <c r="AE25" s="120"/>
      <c r="AF25" s="120"/>
      <c r="AG25" s="120"/>
      <c r="AH25" s="120"/>
      <c r="AI25" s="154">
        <f t="shared" si="39"/>
        <v>0</v>
      </c>
      <c r="AJ25" s="120"/>
      <c r="AK25" s="122">
        <f t="shared" si="40"/>
        <v>0</v>
      </c>
      <c r="AL25" s="123">
        <f t="shared" si="41"/>
        <v>0</v>
      </c>
      <c r="AM25" s="124"/>
      <c r="AN25" s="125">
        <f t="shared" si="42"/>
        <v>0</v>
      </c>
      <c r="AO25" s="126">
        <f t="shared" si="43"/>
        <v>0</v>
      </c>
      <c r="AP25" s="126">
        <f t="shared" si="44"/>
        <v>0</v>
      </c>
      <c r="AQ25" s="126">
        <f t="shared" si="45"/>
        <v>0</v>
      </c>
      <c r="AR25" s="126">
        <f t="shared" si="46"/>
        <v>0</v>
      </c>
      <c r="AS25" s="126">
        <f t="array" ref="AS25">_xlfn.IFS(S25=0,AL25,S25&lt;0,AL25/-S25,S25&gt;0,AL25/S25)</f>
        <v>0</v>
      </c>
      <c r="AT25" s="121">
        <f t="shared" si="47"/>
        <v>0</v>
      </c>
      <c r="AU25" s="121">
        <f t="shared" si="48"/>
        <v>0</v>
      </c>
      <c r="AV25" s="127"/>
      <c r="AW25" s="122">
        <f t="shared" si="49"/>
        <v>0</v>
      </c>
    </row>
    <row r="26" spans="1:49" hidden="1" outlineLevel="1">
      <c r="A26" s="116"/>
      <c r="B26" s="117"/>
      <c r="C26" s="117"/>
      <c r="D26" s="118"/>
      <c r="E26" s="119">
        <f t="shared" si="29"/>
        <v>0</v>
      </c>
      <c r="F26" s="119"/>
      <c r="G26" s="119"/>
      <c r="H26" s="119"/>
      <c r="I26" s="119"/>
      <c r="J26" s="119">
        <f t="shared" si="30"/>
        <v>0</v>
      </c>
      <c r="K26" s="116"/>
      <c r="L26" s="116"/>
      <c r="M26" s="116"/>
      <c r="N26" s="116"/>
      <c r="O26" s="119">
        <f t="shared" si="31"/>
        <v>0</v>
      </c>
      <c r="P26" s="119">
        <f t="shared" si="32"/>
        <v>0</v>
      </c>
      <c r="Q26" s="120"/>
      <c r="R26" s="120"/>
      <c r="S26" s="119">
        <f t="shared" si="33"/>
        <v>0</v>
      </c>
      <c r="T26" s="119"/>
      <c r="U26" s="119"/>
      <c r="V26" s="119">
        <f t="shared" si="34"/>
        <v>0</v>
      </c>
      <c r="W26" s="120"/>
      <c r="X26" s="120"/>
      <c r="Y26" s="119">
        <f t="shared" si="35"/>
        <v>0</v>
      </c>
      <c r="Z26" s="119">
        <f t="shared" si="36"/>
        <v>0</v>
      </c>
      <c r="AA26" s="121">
        <f t="shared" si="50"/>
        <v>0</v>
      </c>
      <c r="AB26" s="119">
        <f t="shared" si="37"/>
        <v>0</v>
      </c>
      <c r="AC26" s="120"/>
      <c r="AD26" s="121">
        <f t="shared" si="38"/>
        <v>0</v>
      </c>
      <c r="AE26" s="120"/>
      <c r="AF26" s="120"/>
      <c r="AG26" s="120"/>
      <c r="AH26" s="120"/>
      <c r="AI26" s="154">
        <f t="shared" si="39"/>
        <v>0</v>
      </c>
      <c r="AJ26" s="120"/>
      <c r="AK26" s="122">
        <f t="shared" si="40"/>
        <v>0</v>
      </c>
      <c r="AL26" s="123">
        <f t="shared" si="41"/>
        <v>0</v>
      </c>
      <c r="AM26" s="124"/>
      <c r="AN26" s="125">
        <f t="shared" si="42"/>
        <v>0</v>
      </c>
      <c r="AO26" s="126">
        <f t="shared" si="43"/>
        <v>0</v>
      </c>
      <c r="AP26" s="126">
        <f t="shared" si="44"/>
        <v>0</v>
      </c>
      <c r="AQ26" s="126">
        <f t="shared" si="45"/>
        <v>0</v>
      </c>
      <c r="AR26" s="126">
        <f t="shared" si="46"/>
        <v>0</v>
      </c>
      <c r="AS26" s="126">
        <f t="array" ref="AS26">_xlfn.IFS(S26=0,AL26,S26&lt;0,AL26/-S26,S26&gt;0,AL26/S26)</f>
        <v>0</v>
      </c>
      <c r="AT26" s="121">
        <f t="shared" si="47"/>
        <v>0</v>
      </c>
      <c r="AU26" s="121">
        <f t="shared" si="48"/>
        <v>0</v>
      </c>
      <c r="AV26" s="127"/>
      <c r="AW26" s="122">
        <f t="shared" si="49"/>
        <v>0</v>
      </c>
    </row>
    <row r="27" spans="1:49" hidden="1" outlineLevel="1">
      <c r="A27" s="116"/>
      <c r="B27" s="117"/>
      <c r="C27" s="117"/>
      <c r="D27" s="118"/>
      <c r="E27" s="119">
        <f t="shared" si="29"/>
        <v>0</v>
      </c>
      <c r="F27" s="119"/>
      <c r="G27" s="119"/>
      <c r="H27" s="119"/>
      <c r="I27" s="119"/>
      <c r="J27" s="119">
        <f t="shared" si="30"/>
        <v>0</v>
      </c>
      <c r="K27" s="116"/>
      <c r="L27" s="116"/>
      <c r="M27" s="116"/>
      <c r="N27" s="116"/>
      <c r="O27" s="119">
        <f t="shared" si="31"/>
        <v>0</v>
      </c>
      <c r="P27" s="119">
        <f t="shared" si="32"/>
        <v>0</v>
      </c>
      <c r="Q27" s="120"/>
      <c r="R27" s="120"/>
      <c r="S27" s="119">
        <f t="shared" si="33"/>
        <v>0</v>
      </c>
      <c r="T27" s="119"/>
      <c r="U27" s="119"/>
      <c r="V27" s="119">
        <f t="shared" si="34"/>
        <v>0</v>
      </c>
      <c r="W27" s="120"/>
      <c r="X27" s="120"/>
      <c r="Y27" s="119">
        <f t="shared" si="35"/>
        <v>0</v>
      </c>
      <c r="Z27" s="119">
        <f t="shared" si="36"/>
        <v>0</v>
      </c>
      <c r="AA27" s="121">
        <f t="shared" si="50"/>
        <v>0</v>
      </c>
      <c r="AB27" s="119">
        <f t="shared" si="37"/>
        <v>0</v>
      </c>
      <c r="AC27" s="120"/>
      <c r="AD27" s="121">
        <f t="shared" si="38"/>
        <v>0</v>
      </c>
      <c r="AE27" s="120"/>
      <c r="AF27" s="120"/>
      <c r="AG27" s="120"/>
      <c r="AH27" s="120"/>
      <c r="AI27" s="154">
        <f t="shared" si="39"/>
        <v>0</v>
      </c>
      <c r="AJ27" s="120"/>
      <c r="AK27" s="122">
        <f t="shared" si="40"/>
        <v>0</v>
      </c>
      <c r="AL27" s="123">
        <f t="shared" si="41"/>
        <v>0</v>
      </c>
      <c r="AM27" s="124"/>
      <c r="AN27" s="125">
        <f t="shared" si="42"/>
        <v>0</v>
      </c>
      <c r="AO27" s="126">
        <f t="shared" si="43"/>
        <v>0</v>
      </c>
      <c r="AP27" s="126">
        <f t="shared" si="44"/>
        <v>0</v>
      </c>
      <c r="AQ27" s="126">
        <f t="shared" si="45"/>
        <v>0</v>
      </c>
      <c r="AR27" s="126">
        <f t="shared" si="46"/>
        <v>0</v>
      </c>
      <c r="AS27" s="126">
        <f t="array" ref="AS27">_xlfn.IFS(S27=0,AL27,S27&lt;0,AL27/-S27,S27&gt;0,AL27/S27)</f>
        <v>0</v>
      </c>
      <c r="AT27" s="121">
        <f t="shared" si="47"/>
        <v>0</v>
      </c>
      <c r="AU27" s="121">
        <f t="shared" si="48"/>
        <v>0</v>
      </c>
      <c r="AV27" s="127"/>
      <c r="AW27" s="122">
        <f t="shared" si="49"/>
        <v>0</v>
      </c>
    </row>
    <row r="28" spans="1:49" hidden="1" outlineLevel="1">
      <c r="A28" s="116"/>
      <c r="B28" s="117"/>
      <c r="C28" s="117"/>
      <c r="D28" s="118"/>
      <c r="E28" s="119">
        <f t="shared" si="29"/>
        <v>0</v>
      </c>
      <c r="F28" s="119"/>
      <c r="G28" s="119"/>
      <c r="H28" s="119"/>
      <c r="I28" s="119"/>
      <c r="J28" s="119">
        <f t="shared" si="30"/>
        <v>0</v>
      </c>
      <c r="K28" s="116"/>
      <c r="L28" s="116"/>
      <c r="M28" s="116"/>
      <c r="N28" s="116"/>
      <c r="O28" s="119">
        <f t="shared" si="31"/>
        <v>0</v>
      </c>
      <c r="P28" s="119">
        <f t="shared" si="32"/>
        <v>0</v>
      </c>
      <c r="Q28" s="120"/>
      <c r="R28" s="120"/>
      <c r="S28" s="119">
        <f t="shared" si="33"/>
        <v>0</v>
      </c>
      <c r="T28" s="119"/>
      <c r="U28" s="119"/>
      <c r="V28" s="119">
        <f t="shared" si="34"/>
        <v>0</v>
      </c>
      <c r="W28" s="120"/>
      <c r="X28" s="120"/>
      <c r="Y28" s="119">
        <f t="shared" si="35"/>
        <v>0</v>
      </c>
      <c r="Z28" s="119">
        <f t="shared" si="36"/>
        <v>0</v>
      </c>
      <c r="AA28" s="121">
        <f t="shared" si="50"/>
        <v>0</v>
      </c>
      <c r="AB28" s="119">
        <f t="shared" si="37"/>
        <v>0</v>
      </c>
      <c r="AC28" s="120"/>
      <c r="AD28" s="121">
        <f t="shared" si="38"/>
        <v>0</v>
      </c>
      <c r="AE28" s="120"/>
      <c r="AF28" s="120"/>
      <c r="AG28" s="120"/>
      <c r="AH28" s="120"/>
      <c r="AI28" s="154">
        <f t="shared" si="39"/>
        <v>0</v>
      </c>
      <c r="AJ28" s="120"/>
      <c r="AK28" s="122">
        <f t="shared" si="40"/>
        <v>0</v>
      </c>
      <c r="AL28" s="123">
        <f t="shared" si="41"/>
        <v>0</v>
      </c>
      <c r="AM28" s="124"/>
      <c r="AN28" s="125">
        <f t="shared" si="42"/>
        <v>0</v>
      </c>
      <c r="AO28" s="126">
        <f t="shared" si="43"/>
        <v>0</v>
      </c>
      <c r="AP28" s="126">
        <f t="shared" si="44"/>
        <v>0</v>
      </c>
      <c r="AQ28" s="126">
        <f t="shared" si="45"/>
        <v>0</v>
      </c>
      <c r="AR28" s="126">
        <f t="shared" si="46"/>
        <v>0</v>
      </c>
      <c r="AS28" s="126">
        <f t="array" ref="AS28">_xlfn.IFS(S28=0,AL28,S28&lt;0,AL28/-S28,S28&gt;0,AL28/S28)</f>
        <v>0</v>
      </c>
      <c r="AT28" s="121">
        <f t="shared" si="47"/>
        <v>0</v>
      </c>
      <c r="AU28" s="121">
        <f t="shared" si="48"/>
        <v>0</v>
      </c>
      <c r="AV28" s="127"/>
      <c r="AW28" s="122">
        <f t="shared" si="49"/>
        <v>0</v>
      </c>
    </row>
    <row r="29" spans="1:49" hidden="1" outlineLevel="1">
      <c r="A29" s="116"/>
      <c r="B29" s="117"/>
      <c r="C29" s="117"/>
      <c r="D29" s="118"/>
      <c r="E29" s="119">
        <f t="shared" si="29"/>
        <v>0</v>
      </c>
      <c r="F29" s="119"/>
      <c r="G29" s="119"/>
      <c r="H29" s="119"/>
      <c r="I29" s="119"/>
      <c r="J29" s="119">
        <f t="shared" si="30"/>
        <v>0</v>
      </c>
      <c r="K29" s="116"/>
      <c r="L29" s="116"/>
      <c r="M29" s="116"/>
      <c r="N29" s="116"/>
      <c r="O29" s="119">
        <f t="shared" si="31"/>
        <v>0</v>
      </c>
      <c r="P29" s="119">
        <f t="shared" si="32"/>
        <v>0</v>
      </c>
      <c r="Q29" s="120"/>
      <c r="R29" s="120"/>
      <c r="S29" s="119">
        <f t="shared" si="33"/>
        <v>0</v>
      </c>
      <c r="T29" s="119"/>
      <c r="U29" s="119"/>
      <c r="V29" s="119">
        <f t="shared" si="34"/>
        <v>0</v>
      </c>
      <c r="W29" s="120"/>
      <c r="X29" s="120"/>
      <c r="Y29" s="119">
        <f t="shared" si="35"/>
        <v>0</v>
      </c>
      <c r="Z29" s="119">
        <f t="shared" si="36"/>
        <v>0</v>
      </c>
      <c r="AA29" s="121">
        <f t="shared" si="50"/>
        <v>0</v>
      </c>
      <c r="AB29" s="119">
        <f t="shared" si="37"/>
        <v>0</v>
      </c>
      <c r="AC29" s="120"/>
      <c r="AD29" s="121">
        <f t="shared" si="38"/>
        <v>0</v>
      </c>
      <c r="AE29" s="120"/>
      <c r="AF29" s="120"/>
      <c r="AG29" s="120"/>
      <c r="AH29" s="120"/>
      <c r="AI29" s="154">
        <f t="shared" si="39"/>
        <v>0</v>
      </c>
      <c r="AJ29" s="120"/>
      <c r="AK29" s="122">
        <f t="shared" si="40"/>
        <v>0</v>
      </c>
      <c r="AL29" s="123">
        <f t="shared" si="41"/>
        <v>0</v>
      </c>
      <c r="AM29" s="124"/>
      <c r="AN29" s="125">
        <f t="shared" si="42"/>
        <v>0</v>
      </c>
      <c r="AO29" s="126">
        <f t="shared" si="43"/>
        <v>0</v>
      </c>
      <c r="AP29" s="126">
        <f t="shared" si="44"/>
        <v>0</v>
      </c>
      <c r="AQ29" s="126">
        <f t="shared" si="45"/>
        <v>0</v>
      </c>
      <c r="AR29" s="126">
        <f t="shared" si="46"/>
        <v>0</v>
      </c>
      <c r="AS29" s="126">
        <f t="array" ref="AS29">_xlfn.IFS(S29=0,AL29,S29&lt;0,AL29/-S29,S29&gt;0,AL29/S29)</f>
        <v>0</v>
      </c>
      <c r="AT29" s="121">
        <f t="shared" si="47"/>
        <v>0</v>
      </c>
      <c r="AU29" s="121">
        <f t="shared" si="48"/>
        <v>0</v>
      </c>
      <c r="AV29" s="127"/>
      <c r="AW29" s="122">
        <f t="shared" si="49"/>
        <v>0</v>
      </c>
    </row>
    <row r="30" spans="1:49" hidden="1" outlineLevel="1">
      <c r="A30" s="116"/>
      <c r="B30" s="117"/>
      <c r="C30" s="117"/>
      <c r="D30" s="118"/>
      <c r="E30" s="119">
        <f t="shared" si="29"/>
        <v>0</v>
      </c>
      <c r="F30" s="119"/>
      <c r="G30" s="119"/>
      <c r="H30" s="119"/>
      <c r="I30" s="119"/>
      <c r="J30" s="119">
        <f t="shared" si="30"/>
        <v>0</v>
      </c>
      <c r="K30" s="116"/>
      <c r="L30" s="116"/>
      <c r="M30" s="116"/>
      <c r="N30" s="116"/>
      <c r="O30" s="119">
        <f t="shared" si="31"/>
        <v>0</v>
      </c>
      <c r="P30" s="119">
        <f t="shared" si="32"/>
        <v>0</v>
      </c>
      <c r="Q30" s="120"/>
      <c r="R30" s="120"/>
      <c r="S30" s="119">
        <f t="shared" si="33"/>
        <v>0</v>
      </c>
      <c r="T30" s="119"/>
      <c r="U30" s="119"/>
      <c r="V30" s="119">
        <f t="shared" si="34"/>
        <v>0</v>
      </c>
      <c r="W30" s="120"/>
      <c r="X30" s="120"/>
      <c r="Y30" s="119">
        <f t="shared" si="35"/>
        <v>0</v>
      </c>
      <c r="Z30" s="119">
        <f t="shared" si="36"/>
        <v>0</v>
      </c>
      <c r="AA30" s="121">
        <f t="shared" si="50"/>
        <v>0</v>
      </c>
      <c r="AB30" s="119">
        <f t="shared" si="37"/>
        <v>0</v>
      </c>
      <c r="AC30" s="120"/>
      <c r="AD30" s="121">
        <f t="shared" si="38"/>
        <v>0</v>
      </c>
      <c r="AE30" s="120"/>
      <c r="AF30" s="120"/>
      <c r="AG30" s="120"/>
      <c r="AH30" s="120"/>
      <c r="AI30" s="154">
        <f t="shared" si="39"/>
        <v>0</v>
      </c>
      <c r="AJ30" s="120"/>
      <c r="AK30" s="122">
        <f t="shared" si="40"/>
        <v>0</v>
      </c>
      <c r="AL30" s="123">
        <f t="shared" si="41"/>
        <v>0</v>
      </c>
      <c r="AM30" s="124"/>
      <c r="AN30" s="125">
        <f t="shared" si="42"/>
        <v>0</v>
      </c>
      <c r="AO30" s="126">
        <f t="shared" si="43"/>
        <v>0</v>
      </c>
      <c r="AP30" s="126">
        <f t="shared" si="44"/>
        <v>0</v>
      </c>
      <c r="AQ30" s="126">
        <f t="shared" si="45"/>
        <v>0</v>
      </c>
      <c r="AR30" s="126">
        <f t="shared" si="46"/>
        <v>0</v>
      </c>
      <c r="AS30" s="126">
        <f t="array" ref="AS30">_xlfn.IFS(S30=0,AL30,S30&lt;0,AL30/-S30,S30&gt;0,AL30/S30)</f>
        <v>0</v>
      </c>
      <c r="AT30" s="121">
        <f t="shared" si="47"/>
        <v>0</v>
      </c>
      <c r="AU30" s="121">
        <f t="shared" si="48"/>
        <v>0</v>
      </c>
      <c r="AV30" s="127"/>
      <c r="AW30" s="122">
        <f t="shared" si="49"/>
        <v>0</v>
      </c>
    </row>
    <row r="31" spans="1:49" hidden="1" outlineLevel="1">
      <c r="A31" s="116"/>
      <c r="B31" s="117"/>
      <c r="C31" s="117"/>
      <c r="D31" s="118"/>
      <c r="E31" s="119">
        <f t="shared" si="29"/>
        <v>0</v>
      </c>
      <c r="F31" s="119"/>
      <c r="G31" s="119"/>
      <c r="H31" s="119"/>
      <c r="I31" s="119"/>
      <c r="J31" s="119">
        <f t="shared" si="30"/>
        <v>0</v>
      </c>
      <c r="K31" s="116"/>
      <c r="L31" s="116"/>
      <c r="M31" s="116"/>
      <c r="N31" s="116"/>
      <c r="O31" s="119">
        <f t="shared" si="31"/>
        <v>0</v>
      </c>
      <c r="P31" s="119">
        <f t="shared" si="32"/>
        <v>0</v>
      </c>
      <c r="Q31" s="120"/>
      <c r="R31" s="120"/>
      <c r="S31" s="119">
        <f t="shared" si="33"/>
        <v>0</v>
      </c>
      <c r="T31" s="119"/>
      <c r="U31" s="119"/>
      <c r="V31" s="119">
        <f t="shared" si="34"/>
        <v>0</v>
      </c>
      <c r="W31" s="120"/>
      <c r="X31" s="120"/>
      <c r="Y31" s="119">
        <f t="shared" si="35"/>
        <v>0</v>
      </c>
      <c r="Z31" s="119">
        <f t="shared" si="36"/>
        <v>0</v>
      </c>
      <c r="AA31" s="121">
        <f t="shared" si="50"/>
        <v>0</v>
      </c>
      <c r="AB31" s="119">
        <f t="shared" si="37"/>
        <v>0</v>
      </c>
      <c r="AC31" s="120"/>
      <c r="AD31" s="121">
        <f t="shared" si="38"/>
        <v>0</v>
      </c>
      <c r="AE31" s="120"/>
      <c r="AF31" s="120"/>
      <c r="AG31" s="120"/>
      <c r="AH31" s="120"/>
      <c r="AI31" s="154">
        <f t="shared" si="39"/>
        <v>0</v>
      </c>
      <c r="AJ31" s="120"/>
      <c r="AK31" s="122">
        <f t="shared" si="40"/>
        <v>0</v>
      </c>
      <c r="AL31" s="123">
        <f t="shared" si="41"/>
        <v>0</v>
      </c>
      <c r="AM31" s="124"/>
      <c r="AN31" s="125">
        <f t="shared" si="42"/>
        <v>0</v>
      </c>
      <c r="AO31" s="126">
        <f t="shared" si="43"/>
        <v>0</v>
      </c>
      <c r="AP31" s="126">
        <f t="shared" si="44"/>
        <v>0</v>
      </c>
      <c r="AQ31" s="126">
        <f t="shared" si="45"/>
        <v>0</v>
      </c>
      <c r="AR31" s="126">
        <f t="shared" si="46"/>
        <v>0</v>
      </c>
      <c r="AS31" s="126">
        <f t="array" ref="AS31">_xlfn.IFS(S31=0,AL31,S31&lt;0,AL31/-S31,S31&gt;0,AL31/S31)</f>
        <v>0</v>
      </c>
      <c r="AT31" s="121">
        <f t="shared" si="47"/>
        <v>0</v>
      </c>
      <c r="AU31" s="121">
        <f t="shared" si="48"/>
        <v>0</v>
      </c>
      <c r="AV31" s="127"/>
      <c r="AW31" s="122">
        <f t="shared" si="49"/>
        <v>0</v>
      </c>
    </row>
    <row r="32" spans="1:49" hidden="1" outlineLevel="1">
      <c r="A32" s="116"/>
      <c r="B32" s="117"/>
      <c r="C32" s="117"/>
      <c r="D32" s="118"/>
      <c r="E32" s="119">
        <f t="shared" si="29"/>
        <v>0</v>
      </c>
      <c r="F32" s="119"/>
      <c r="G32" s="119"/>
      <c r="H32" s="119"/>
      <c r="I32" s="119"/>
      <c r="J32" s="119">
        <f t="shared" si="30"/>
        <v>0</v>
      </c>
      <c r="K32" s="116"/>
      <c r="L32" s="116"/>
      <c r="M32" s="116"/>
      <c r="N32" s="116"/>
      <c r="O32" s="119">
        <f t="shared" si="31"/>
        <v>0</v>
      </c>
      <c r="P32" s="119">
        <f t="shared" si="32"/>
        <v>0</v>
      </c>
      <c r="Q32" s="120"/>
      <c r="R32" s="120"/>
      <c r="S32" s="119">
        <f t="shared" si="33"/>
        <v>0</v>
      </c>
      <c r="T32" s="119"/>
      <c r="U32" s="119"/>
      <c r="V32" s="119">
        <f t="shared" si="34"/>
        <v>0</v>
      </c>
      <c r="W32" s="120"/>
      <c r="X32" s="120"/>
      <c r="Y32" s="119">
        <f t="shared" si="35"/>
        <v>0</v>
      </c>
      <c r="Z32" s="119">
        <f t="shared" si="36"/>
        <v>0</v>
      </c>
      <c r="AA32" s="121">
        <f t="shared" si="50"/>
        <v>0</v>
      </c>
      <c r="AB32" s="119">
        <f t="shared" si="37"/>
        <v>0</v>
      </c>
      <c r="AC32" s="120"/>
      <c r="AD32" s="121">
        <f t="shared" si="38"/>
        <v>0</v>
      </c>
      <c r="AE32" s="120"/>
      <c r="AF32" s="120"/>
      <c r="AG32" s="120"/>
      <c r="AH32" s="120"/>
      <c r="AI32" s="154">
        <f t="shared" si="39"/>
        <v>0</v>
      </c>
      <c r="AJ32" s="120"/>
      <c r="AK32" s="122">
        <f t="shared" si="40"/>
        <v>0</v>
      </c>
      <c r="AL32" s="123">
        <f t="shared" si="41"/>
        <v>0</v>
      </c>
      <c r="AM32" s="124"/>
      <c r="AN32" s="125">
        <f t="shared" si="42"/>
        <v>0</v>
      </c>
      <c r="AO32" s="126">
        <f t="shared" si="43"/>
        <v>0</v>
      </c>
      <c r="AP32" s="126">
        <f t="shared" si="44"/>
        <v>0</v>
      </c>
      <c r="AQ32" s="126">
        <f t="shared" si="45"/>
        <v>0</v>
      </c>
      <c r="AR32" s="126">
        <f t="shared" si="46"/>
        <v>0</v>
      </c>
      <c r="AS32" s="126">
        <f t="array" ref="AS32">_xlfn.IFS(S32=0,AL32,S32&lt;0,AL32/-S32,S32&gt;0,AL32/S32)</f>
        <v>0</v>
      </c>
      <c r="AT32" s="121">
        <f t="shared" si="47"/>
        <v>0</v>
      </c>
      <c r="AU32" s="121">
        <f t="shared" si="48"/>
        <v>0</v>
      </c>
      <c r="AV32" s="127"/>
      <c r="AW32" s="122">
        <f t="shared" si="49"/>
        <v>0</v>
      </c>
    </row>
    <row r="33" spans="1:49" hidden="1" outlineLevel="1">
      <c r="A33" s="116"/>
      <c r="B33" s="117"/>
      <c r="C33" s="117"/>
      <c r="D33" s="118"/>
      <c r="E33" s="119">
        <f t="shared" si="29"/>
        <v>0</v>
      </c>
      <c r="F33" s="119"/>
      <c r="G33" s="119"/>
      <c r="H33" s="119"/>
      <c r="I33" s="119"/>
      <c r="J33" s="119">
        <f t="shared" si="30"/>
        <v>0</v>
      </c>
      <c r="K33" s="116"/>
      <c r="L33" s="116"/>
      <c r="M33" s="116"/>
      <c r="N33" s="116"/>
      <c r="O33" s="119">
        <f t="shared" si="31"/>
        <v>0</v>
      </c>
      <c r="P33" s="119">
        <f t="shared" si="32"/>
        <v>0</v>
      </c>
      <c r="Q33" s="120"/>
      <c r="R33" s="120"/>
      <c r="S33" s="119">
        <f t="shared" si="33"/>
        <v>0</v>
      </c>
      <c r="T33" s="119"/>
      <c r="U33" s="119"/>
      <c r="V33" s="119">
        <f t="shared" si="34"/>
        <v>0</v>
      </c>
      <c r="W33" s="120"/>
      <c r="X33" s="120"/>
      <c r="Y33" s="119">
        <f t="shared" si="35"/>
        <v>0</v>
      </c>
      <c r="Z33" s="119">
        <f t="shared" si="36"/>
        <v>0</v>
      </c>
      <c r="AA33" s="121">
        <f t="shared" si="50"/>
        <v>0</v>
      </c>
      <c r="AB33" s="119">
        <f t="shared" si="37"/>
        <v>0</v>
      </c>
      <c r="AC33" s="120"/>
      <c r="AD33" s="121">
        <f t="shared" si="38"/>
        <v>0</v>
      </c>
      <c r="AE33" s="120"/>
      <c r="AF33" s="120"/>
      <c r="AG33" s="120"/>
      <c r="AH33" s="120"/>
      <c r="AI33" s="154">
        <f t="shared" si="39"/>
        <v>0</v>
      </c>
      <c r="AJ33" s="120"/>
      <c r="AK33" s="122">
        <f t="shared" si="40"/>
        <v>0</v>
      </c>
      <c r="AL33" s="123">
        <f t="shared" si="41"/>
        <v>0</v>
      </c>
      <c r="AM33" s="124"/>
      <c r="AN33" s="125">
        <f t="shared" si="42"/>
        <v>0</v>
      </c>
      <c r="AO33" s="126">
        <f t="shared" si="43"/>
        <v>0</v>
      </c>
      <c r="AP33" s="126">
        <f t="shared" si="44"/>
        <v>0</v>
      </c>
      <c r="AQ33" s="126">
        <f t="shared" si="45"/>
        <v>0</v>
      </c>
      <c r="AR33" s="126">
        <f t="shared" si="46"/>
        <v>0</v>
      </c>
      <c r="AS33" s="126">
        <f t="array" ref="AS33">_xlfn.IFS(S33=0,AL33,S33&lt;0,AL33/-S33,S33&gt;0,AL33/S33)</f>
        <v>0</v>
      </c>
      <c r="AT33" s="121">
        <f t="shared" si="47"/>
        <v>0</v>
      </c>
      <c r="AU33" s="121">
        <f t="shared" si="48"/>
        <v>0</v>
      </c>
      <c r="AV33" s="127"/>
      <c r="AW33" s="122">
        <f t="shared" si="49"/>
        <v>0</v>
      </c>
    </row>
    <row r="34" spans="1:49" hidden="1" outlineLevel="1">
      <c r="A34" s="116"/>
      <c r="B34" s="117"/>
      <c r="C34" s="117"/>
      <c r="D34" s="118"/>
      <c r="E34" s="119">
        <f t="shared" si="29"/>
        <v>0</v>
      </c>
      <c r="F34" s="119"/>
      <c r="G34" s="119"/>
      <c r="H34" s="119"/>
      <c r="I34" s="119"/>
      <c r="J34" s="119">
        <f t="shared" si="30"/>
        <v>0</v>
      </c>
      <c r="K34" s="116"/>
      <c r="L34" s="116"/>
      <c r="M34" s="116"/>
      <c r="N34" s="116"/>
      <c r="O34" s="119">
        <f t="shared" si="31"/>
        <v>0</v>
      </c>
      <c r="P34" s="119">
        <f t="shared" si="32"/>
        <v>0</v>
      </c>
      <c r="Q34" s="120"/>
      <c r="R34" s="120"/>
      <c r="S34" s="119">
        <f t="shared" si="33"/>
        <v>0</v>
      </c>
      <c r="T34" s="119"/>
      <c r="U34" s="119"/>
      <c r="V34" s="119">
        <f t="shared" si="34"/>
        <v>0</v>
      </c>
      <c r="W34" s="120"/>
      <c r="X34" s="120"/>
      <c r="Y34" s="119">
        <f t="shared" si="35"/>
        <v>0</v>
      </c>
      <c r="Z34" s="119">
        <f t="shared" si="36"/>
        <v>0</v>
      </c>
      <c r="AA34" s="121">
        <f t="shared" si="50"/>
        <v>0</v>
      </c>
      <c r="AB34" s="119">
        <f t="shared" si="37"/>
        <v>0</v>
      </c>
      <c r="AC34" s="120"/>
      <c r="AD34" s="121">
        <f t="shared" si="38"/>
        <v>0</v>
      </c>
      <c r="AE34" s="120"/>
      <c r="AF34" s="120"/>
      <c r="AG34" s="120"/>
      <c r="AH34" s="120"/>
      <c r="AI34" s="154">
        <f t="shared" si="39"/>
        <v>0</v>
      </c>
      <c r="AJ34" s="120"/>
      <c r="AK34" s="122">
        <f t="shared" si="40"/>
        <v>0</v>
      </c>
      <c r="AL34" s="123">
        <f t="shared" si="41"/>
        <v>0</v>
      </c>
      <c r="AM34" s="124"/>
      <c r="AN34" s="125">
        <f t="shared" si="42"/>
        <v>0</v>
      </c>
      <c r="AO34" s="126">
        <f t="shared" si="43"/>
        <v>0</v>
      </c>
      <c r="AP34" s="126">
        <f t="shared" si="44"/>
        <v>0</v>
      </c>
      <c r="AQ34" s="126">
        <f t="shared" si="45"/>
        <v>0</v>
      </c>
      <c r="AR34" s="126">
        <f t="shared" si="46"/>
        <v>0</v>
      </c>
      <c r="AS34" s="126">
        <f t="array" ref="AS34">_xlfn.IFS(S34=0,AL34,S34&lt;0,AL34/-S34,S34&gt;0,AL34/S34)</f>
        <v>0</v>
      </c>
      <c r="AT34" s="121">
        <f t="shared" si="47"/>
        <v>0</v>
      </c>
      <c r="AU34" s="121">
        <f t="shared" si="48"/>
        <v>0</v>
      </c>
      <c r="AV34" s="127"/>
      <c r="AW34" s="122">
        <f t="shared" si="49"/>
        <v>0</v>
      </c>
    </row>
    <row r="35" spans="1:49" hidden="1" outlineLevel="1">
      <c r="A35" s="116"/>
      <c r="B35" s="117"/>
      <c r="C35" s="117"/>
      <c r="D35" s="118"/>
      <c r="E35" s="119">
        <f t="shared" si="29"/>
        <v>0</v>
      </c>
      <c r="F35" s="119"/>
      <c r="G35" s="119"/>
      <c r="H35" s="119"/>
      <c r="I35" s="119"/>
      <c r="J35" s="119">
        <f t="shared" si="30"/>
        <v>0</v>
      </c>
      <c r="K35" s="116"/>
      <c r="L35" s="116"/>
      <c r="M35" s="116"/>
      <c r="N35" s="116"/>
      <c r="O35" s="119">
        <f t="shared" si="31"/>
        <v>0</v>
      </c>
      <c r="P35" s="119">
        <f t="shared" si="32"/>
        <v>0</v>
      </c>
      <c r="Q35" s="120"/>
      <c r="R35" s="120"/>
      <c r="S35" s="119">
        <f t="shared" si="33"/>
        <v>0</v>
      </c>
      <c r="T35" s="119"/>
      <c r="U35" s="119"/>
      <c r="V35" s="119">
        <f t="shared" si="34"/>
        <v>0</v>
      </c>
      <c r="W35" s="120"/>
      <c r="X35" s="120"/>
      <c r="Y35" s="119">
        <f t="shared" si="35"/>
        <v>0</v>
      </c>
      <c r="Z35" s="119">
        <f t="shared" si="36"/>
        <v>0</v>
      </c>
      <c r="AA35" s="121">
        <f t="shared" si="50"/>
        <v>0</v>
      </c>
      <c r="AB35" s="119">
        <f t="shared" si="37"/>
        <v>0</v>
      </c>
      <c r="AC35" s="120"/>
      <c r="AD35" s="121">
        <f t="shared" si="38"/>
        <v>0</v>
      </c>
      <c r="AE35" s="120"/>
      <c r="AF35" s="120"/>
      <c r="AG35" s="120"/>
      <c r="AH35" s="120"/>
      <c r="AI35" s="154">
        <f t="shared" si="39"/>
        <v>0</v>
      </c>
      <c r="AJ35" s="120"/>
      <c r="AK35" s="122">
        <f t="shared" si="40"/>
        <v>0</v>
      </c>
      <c r="AL35" s="123">
        <f t="shared" si="41"/>
        <v>0</v>
      </c>
      <c r="AM35" s="124"/>
      <c r="AN35" s="125">
        <f t="shared" si="42"/>
        <v>0</v>
      </c>
      <c r="AO35" s="126">
        <f t="shared" si="43"/>
        <v>0</v>
      </c>
      <c r="AP35" s="126">
        <f t="shared" si="44"/>
        <v>0</v>
      </c>
      <c r="AQ35" s="126">
        <f t="shared" si="45"/>
        <v>0</v>
      </c>
      <c r="AR35" s="126">
        <f t="shared" si="46"/>
        <v>0</v>
      </c>
      <c r="AS35" s="126">
        <f t="array" ref="AS35">_xlfn.IFS(S35=0,AL35,S35&lt;0,AL35/-S35,S35&gt;0,AL35/S35)</f>
        <v>0</v>
      </c>
      <c r="AT35" s="121">
        <f t="shared" si="47"/>
        <v>0</v>
      </c>
      <c r="AU35" s="121">
        <f t="shared" si="48"/>
        <v>0</v>
      </c>
      <c r="AV35" s="127"/>
      <c r="AW35" s="122">
        <f t="shared" si="49"/>
        <v>0</v>
      </c>
    </row>
    <row r="36" spans="1:49" hidden="1" outlineLevel="1">
      <c r="A36" s="116"/>
      <c r="B36" s="117"/>
      <c r="C36" s="117"/>
      <c r="D36" s="118"/>
      <c r="E36" s="119">
        <f t="shared" si="29"/>
        <v>0</v>
      </c>
      <c r="F36" s="119"/>
      <c r="G36" s="119"/>
      <c r="H36" s="119"/>
      <c r="I36" s="119"/>
      <c r="J36" s="119">
        <f t="shared" si="30"/>
        <v>0</v>
      </c>
      <c r="K36" s="116"/>
      <c r="L36" s="116"/>
      <c r="M36" s="116"/>
      <c r="N36" s="116"/>
      <c r="O36" s="119">
        <f t="shared" si="31"/>
        <v>0</v>
      </c>
      <c r="P36" s="119">
        <f t="shared" si="32"/>
        <v>0</v>
      </c>
      <c r="Q36" s="120"/>
      <c r="R36" s="120"/>
      <c r="S36" s="119">
        <f t="shared" si="33"/>
        <v>0</v>
      </c>
      <c r="T36" s="119"/>
      <c r="U36" s="119"/>
      <c r="V36" s="119">
        <f t="shared" si="34"/>
        <v>0</v>
      </c>
      <c r="W36" s="120"/>
      <c r="X36" s="120"/>
      <c r="Y36" s="119">
        <f t="shared" si="35"/>
        <v>0</v>
      </c>
      <c r="Z36" s="119">
        <f t="shared" si="36"/>
        <v>0</v>
      </c>
      <c r="AA36" s="121">
        <f t="shared" si="50"/>
        <v>0</v>
      </c>
      <c r="AB36" s="119">
        <f t="shared" si="37"/>
        <v>0</v>
      </c>
      <c r="AC36" s="120"/>
      <c r="AD36" s="121">
        <f t="shared" si="38"/>
        <v>0</v>
      </c>
      <c r="AE36" s="120"/>
      <c r="AF36" s="120"/>
      <c r="AG36" s="120"/>
      <c r="AH36" s="120"/>
      <c r="AI36" s="154">
        <f t="shared" si="39"/>
        <v>0</v>
      </c>
      <c r="AJ36" s="120"/>
      <c r="AK36" s="122">
        <f t="shared" si="40"/>
        <v>0</v>
      </c>
      <c r="AL36" s="123">
        <f t="shared" si="41"/>
        <v>0</v>
      </c>
      <c r="AM36" s="124"/>
      <c r="AN36" s="125">
        <f t="shared" si="42"/>
        <v>0</v>
      </c>
      <c r="AO36" s="126">
        <f t="shared" si="43"/>
        <v>0</v>
      </c>
      <c r="AP36" s="126">
        <f t="shared" si="44"/>
        <v>0</v>
      </c>
      <c r="AQ36" s="126">
        <f t="shared" si="45"/>
        <v>0</v>
      </c>
      <c r="AR36" s="126">
        <f t="shared" si="46"/>
        <v>0</v>
      </c>
      <c r="AS36" s="126">
        <f t="array" ref="AS36">_xlfn.IFS(S36=0,AL36,S36&lt;0,AL36/-S36,S36&gt;0,AL36/S36)</f>
        <v>0</v>
      </c>
      <c r="AT36" s="121">
        <f t="shared" si="47"/>
        <v>0</v>
      </c>
      <c r="AU36" s="121">
        <f t="shared" si="48"/>
        <v>0</v>
      </c>
      <c r="AV36" s="127"/>
      <c r="AW36" s="122">
        <f t="shared" si="49"/>
        <v>0</v>
      </c>
    </row>
    <row r="37" spans="1:49" hidden="1" outlineLevel="1">
      <c r="A37" s="116"/>
      <c r="B37" s="117"/>
      <c r="C37" s="117"/>
      <c r="D37" s="118"/>
      <c r="E37" s="119">
        <f t="shared" si="29"/>
        <v>0</v>
      </c>
      <c r="F37" s="119"/>
      <c r="G37" s="119"/>
      <c r="H37" s="119"/>
      <c r="I37" s="119"/>
      <c r="J37" s="119">
        <f t="shared" si="30"/>
        <v>0</v>
      </c>
      <c r="K37" s="116"/>
      <c r="L37" s="116"/>
      <c r="M37" s="116"/>
      <c r="N37" s="116"/>
      <c r="O37" s="119">
        <f t="shared" si="31"/>
        <v>0</v>
      </c>
      <c r="P37" s="119">
        <f t="shared" si="32"/>
        <v>0</v>
      </c>
      <c r="Q37" s="120"/>
      <c r="R37" s="120"/>
      <c r="S37" s="119">
        <f t="shared" si="33"/>
        <v>0</v>
      </c>
      <c r="T37" s="119"/>
      <c r="U37" s="119"/>
      <c r="V37" s="119">
        <f t="shared" si="34"/>
        <v>0</v>
      </c>
      <c r="W37" s="120"/>
      <c r="X37" s="120"/>
      <c r="Y37" s="119">
        <f t="shared" si="35"/>
        <v>0</v>
      </c>
      <c r="Z37" s="119">
        <f t="shared" si="36"/>
        <v>0</v>
      </c>
      <c r="AA37" s="121">
        <f t="shared" si="50"/>
        <v>0</v>
      </c>
      <c r="AB37" s="119">
        <f t="shared" si="37"/>
        <v>0</v>
      </c>
      <c r="AC37" s="120"/>
      <c r="AD37" s="121">
        <f t="shared" si="38"/>
        <v>0</v>
      </c>
      <c r="AE37" s="120"/>
      <c r="AF37" s="120"/>
      <c r="AG37" s="120"/>
      <c r="AH37" s="120"/>
      <c r="AI37" s="154">
        <f t="shared" si="39"/>
        <v>0</v>
      </c>
      <c r="AJ37" s="120"/>
      <c r="AK37" s="122">
        <f t="shared" si="40"/>
        <v>0</v>
      </c>
      <c r="AL37" s="123">
        <f t="shared" si="41"/>
        <v>0</v>
      </c>
      <c r="AM37" s="124"/>
      <c r="AN37" s="125">
        <f t="shared" si="42"/>
        <v>0</v>
      </c>
      <c r="AO37" s="126">
        <f t="shared" si="43"/>
        <v>0</v>
      </c>
      <c r="AP37" s="126">
        <f t="shared" si="44"/>
        <v>0</v>
      </c>
      <c r="AQ37" s="126">
        <f t="shared" si="45"/>
        <v>0</v>
      </c>
      <c r="AR37" s="126">
        <f t="shared" si="46"/>
        <v>0</v>
      </c>
      <c r="AS37" s="126">
        <f t="array" ref="AS37">_xlfn.IFS(S37=0,AL37,S37&lt;0,AL37/-S37,S37&gt;0,AL37/S37)</f>
        <v>0</v>
      </c>
      <c r="AT37" s="121">
        <f t="shared" si="47"/>
        <v>0</v>
      </c>
      <c r="AU37" s="121">
        <f t="shared" si="48"/>
        <v>0</v>
      </c>
      <c r="AV37" s="127"/>
      <c r="AW37" s="122">
        <f t="shared" si="49"/>
        <v>0</v>
      </c>
    </row>
    <row r="38" spans="1:49" hidden="1" outlineLevel="1">
      <c r="A38" s="116"/>
      <c r="B38" s="117"/>
      <c r="C38" s="117"/>
      <c r="D38" s="118"/>
      <c r="E38" s="119">
        <f t="shared" si="29"/>
        <v>0</v>
      </c>
      <c r="F38" s="119"/>
      <c r="G38" s="119"/>
      <c r="H38" s="119"/>
      <c r="I38" s="119"/>
      <c r="J38" s="119">
        <f t="shared" si="30"/>
        <v>0</v>
      </c>
      <c r="K38" s="116"/>
      <c r="L38" s="116"/>
      <c r="M38" s="116"/>
      <c r="N38" s="116"/>
      <c r="O38" s="119">
        <f t="shared" si="31"/>
        <v>0</v>
      </c>
      <c r="P38" s="119">
        <f t="shared" si="32"/>
        <v>0</v>
      </c>
      <c r="Q38" s="120"/>
      <c r="R38" s="120"/>
      <c r="S38" s="119">
        <f t="shared" si="33"/>
        <v>0</v>
      </c>
      <c r="T38" s="119"/>
      <c r="U38" s="119"/>
      <c r="V38" s="119">
        <f t="shared" si="34"/>
        <v>0</v>
      </c>
      <c r="W38" s="120"/>
      <c r="X38" s="120"/>
      <c r="Y38" s="119">
        <f t="shared" si="35"/>
        <v>0</v>
      </c>
      <c r="Z38" s="119">
        <f t="shared" si="36"/>
        <v>0</v>
      </c>
      <c r="AA38" s="121">
        <f t="shared" si="50"/>
        <v>0</v>
      </c>
      <c r="AB38" s="119">
        <f t="shared" si="37"/>
        <v>0</v>
      </c>
      <c r="AC38" s="120"/>
      <c r="AD38" s="121">
        <f t="shared" si="38"/>
        <v>0</v>
      </c>
      <c r="AE38" s="120"/>
      <c r="AF38" s="120"/>
      <c r="AG38" s="120"/>
      <c r="AH38" s="120"/>
      <c r="AI38" s="154">
        <f t="shared" si="39"/>
        <v>0</v>
      </c>
      <c r="AJ38" s="120"/>
      <c r="AK38" s="122">
        <f t="shared" si="40"/>
        <v>0</v>
      </c>
      <c r="AL38" s="123">
        <f t="shared" si="41"/>
        <v>0</v>
      </c>
      <c r="AM38" s="124"/>
      <c r="AN38" s="125">
        <f t="shared" si="42"/>
        <v>0</v>
      </c>
      <c r="AO38" s="126">
        <f t="shared" si="43"/>
        <v>0</v>
      </c>
      <c r="AP38" s="126">
        <f t="shared" si="44"/>
        <v>0</v>
      </c>
      <c r="AQ38" s="126">
        <f t="shared" si="45"/>
        <v>0</v>
      </c>
      <c r="AR38" s="126">
        <f t="shared" si="46"/>
        <v>0</v>
      </c>
      <c r="AS38" s="126">
        <f t="array" ref="AS38">_xlfn.IFS(S38=0,AL38,S38&lt;0,AL38/-S38,S38&gt;0,AL38/S38)</f>
        <v>0</v>
      </c>
      <c r="AT38" s="121">
        <f t="shared" si="47"/>
        <v>0</v>
      </c>
      <c r="AU38" s="121">
        <f t="shared" si="48"/>
        <v>0</v>
      </c>
      <c r="AV38" s="127"/>
      <c r="AW38" s="122">
        <f t="shared" si="49"/>
        <v>0</v>
      </c>
    </row>
    <row r="39" spans="1:49" hidden="1" outlineLevel="1">
      <c r="A39" s="116"/>
      <c r="B39" s="117"/>
      <c r="C39" s="117"/>
      <c r="D39" s="118"/>
      <c r="E39" s="119">
        <f t="shared" si="29"/>
        <v>0</v>
      </c>
      <c r="F39" s="119"/>
      <c r="G39" s="119"/>
      <c r="H39" s="119"/>
      <c r="I39" s="119"/>
      <c r="J39" s="119">
        <f t="shared" si="30"/>
        <v>0</v>
      </c>
      <c r="K39" s="116"/>
      <c r="L39" s="116"/>
      <c r="M39" s="116"/>
      <c r="N39" s="116"/>
      <c r="O39" s="119">
        <f t="shared" si="31"/>
        <v>0</v>
      </c>
      <c r="P39" s="119">
        <f t="shared" si="32"/>
        <v>0</v>
      </c>
      <c r="Q39" s="120"/>
      <c r="R39" s="120"/>
      <c r="S39" s="119">
        <f t="shared" si="33"/>
        <v>0</v>
      </c>
      <c r="T39" s="119"/>
      <c r="U39" s="119"/>
      <c r="V39" s="119">
        <f t="shared" si="34"/>
        <v>0</v>
      </c>
      <c r="W39" s="120"/>
      <c r="X39" s="120"/>
      <c r="Y39" s="119">
        <f t="shared" si="35"/>
        <v>0</v>
      </c>
      <c r="Z39" s="119">
        <f t="shared" si="36"/>
        <v>0</v>
      </c>
      <c r="AA39" s="121">
        <f t="shared" si="50"/>
        <v>0</v>
      </c>
      <c r="AB39" s="119">
        <f t="shared" si="37"/>
        <v>0</v>
      </c>
      <c r="AC39" s="120"/>
      <c r="AD39" s="121">
        <f t="shared" si="38"/>
        <v>0</v>
      </c>
      <c r="AE39" s="120"/>
      <c r="AF39" s="120"/>
      <c r="AG39" s="120"/>
      <c r="AH39" s="120"/>
      <c r="AI39" s="154">
        <f t="shared" si="39"/>
        <v>0</v>
      </c>
      <c r="AJ39" s="120"/>
      <c r="AK39" s="122">
        <f t="shared" si="40"/>
        <v>0</v>
      </c>
      <c r="AL39" s="123">
        <f t="shared" si="41"/>
        <v>0</v>
      </c>
      <c r="AM39" s="124"/>
      <c r="AN39" s="125">
        <f t="shared" si="42"/>
        <v>0</v>
      </c>
      <c r="AO39" s="126">
        <f t="shared" si="43"/>
        <v>0</v>
      </c>
      <c r="AP39" s="126">
        <f t="shared" si="44"/>
        <v>0</v>
      </c>
      <c r="AQ39" s="126">
        <f t="shared" si="45"/>
        <v>0</v>
      </c>
      <c r="AR39" s="126">
        <f t="shared" si="46"/>
        <v>0</v>
      </c>
      <c r="AS39" s="126">
        <f t="array" ref="AS39">_xlfn.IFS(S39=0,AL39,S39&lt;0,AL39/-S39,S39&gt;0,AL39/S39)</f>
        <v>0</v>
      </c>
      <c r="AT39" s="121">
        <f t="shared" si="47"/>
        <v>0</v>
      </c>
      <c r="AU39" s="121">
        <f t="shared" si="48"/>
        <v>0</v>
      </c>
      <c r="AV39" s="127"/>
      <c r="AW39" s="122">
        <f t="shared" si="49"/>
        <v>0</v>
      </c>
    </row>
    <row r="40" spans="1:49" hidden="1" outlineLevel="1">
      <c r="A40" s="116"/>
      <c r="B40" s="117"/>
      <c r="C40" s="117"/>
      <c r="D40" s="118"/>
      <c r="E40" s="119">
        <f t="shared" si="29"/>
        <v>0</v>
      </c>
      <c r="F40" s="119"/>
      <c r="G40" s="119"/>
      <c r="H40" s="119"/>
      <c r="I40" s="119"/>
      <c r="J40" s="119">
        <f t="shared" si="30"/>
        <v>0</v>
      </c>
      <c r="K40" s="116"/>
      <c r="L40" s="116"/>
      <c r="M40" s="116"/>
      <c r="N40" s="116"/>
      <c r="O40" s="119">
        <f t="shared" si="31"/>
        <v>0</v>
      </c>
      <c r="P40" s="119">
        <f t="shared" si="32"/>
        <v>0</v>
      </c>
      <c r="Q40" s="120"/>
      <c r="R40" s="120"/>
      <c r="S40" s="119">
        <f t="shared" si="33"/>
        <v>0</v>
      </c>
      <c r="T40" s="119"/>
      <c r="U40" s="119"/>
      <c r="V40" s="119">
        <f t="shared" si="34"/>
        <v>0</v>
      </c>
      <c r="W40" s="120"/>
      <c r="X40" s="120"/>
      <c r="Y40" s="119">
        <f t="shared" si="35"/>
        <v>0</v>
      </c>
      <c r="Z40" s="119">
        <f t="shared" si="36"/>
        <v>0</v>
      </c>
      <c r="AA40" s="121">
        <f t="shared" si="50"/>
        <v>0</v>
      </c>
      <c r="AB40" s="119">
        <f t="shared" si="37"/>
        <v>0</v>
      </c>
      <c r="AC40" s="120"/>
      <c r="AD40" s="121">
        <f t="shared" si="38"/>
        <v>0</v>
      </c>
      <c r="AE40" s="120"/>
      <c r="AF40" s="120"/>
      <c r="AG40" s="120"/>
      <c r="AH40" s="120"/>
      <c r="AI40" s="154">
        <f t="shared" si="39"/>
        <v>0</v>
      </c>
      <c r="AJ40" s="120"/>
      <c r="AK40" s="122">
        <f t="shared" si="40"/>
        <v>0</v>
      </c>
      <c r="AL40" s="123">
        <f t="shared" si="41"/>
        <v>0</v>
      </c>
      <c r="AM40" s="124"/>
      <c r="AN40" s="125">
        <f t="shared" si="42"/>
        <v>0</v>
      </c>
      <c r="AO40" s="126">
        <f t="shared" si="43"/>
        <v>0</v>
      </c>
      <c r="AP40" s="126">
        <f t="shared" si="44"/>
        <v>0</v>
      </c>
      <c r="AQ40" s="126">
        <f t="shared" si="45"/>
        <v>0</v>
      </c>
      <c r="AR40" s="126">
        <f t="shared" si="46"/>
        <v>0</v>
      </c>
      <c r="AS40" s="126">
        <f t="array" ref="AS40">_xlfn.IFS(S40=0,AL40,S40&lt;0,AL40/-S40,S40&gt;0,AL40/S40)</f>
        <v>0</v>
      </c>
      <c r="AT40" s="121">
        <f t="shared" si="47"/>
        <v>0</v>
      </c>
      <c r="AU40" s="121">
        <f t="shared" si="48"/>
        <v>0</v>
      </c>
      <c r="AV40" s="127"/>
      <c r="AW40" s="122">
        <f t="shared" si="49"/>
        <v>0</v>
      </c>
    </row>
    <row r="41" spans="1:49" hidden="1" outlineLevel="1">
      <c r="A41" s="116"/>
      <c r="B41" s="117"/>
      <c r="C41" s="117"/>
      <c r="D41" s="118"/>
      <c r="E41" s="119">
        <f t="shared" si="29"/>
        <v>0</v>
      </c>
      <c r="F41" s="119"/>
      <c r="G41" s="119"/>
      <c r="H41" s="119"/>
      <c r="I41" s="119"/>
      <c r="J41" s="119">
        <f t="shared" si="30"/>
        <v>0</v>
      </c>
      <c r="K41" s="116"/>
      <c r="L41" s="116"/>
      <c r="M41" s="116"/>
      <c r="N41" s="116"/>
      <c r="O41" s="119">
        <f t="shared" si="31"/>
        <v>0</v>
      </c>
      <c r="P41" s="119">
        <f t="shared" si="32"/>
        <v>0</v>
      </c>
      <c r="Q41" s="120"/>
      <c r="R41" s="120"/>
      <c r="S41" s="119">
        <f t="shared" si="33"/>
        <v>0</v>
      </c>
      <c r="T41" s="119"/>
      <c r="U41" s="119"/>
      <c r="V41" s="119">
        <f t="shared" si="34"/>
        <v>0</v>
      </c>
      <c r="W41" s="120"/>
      <c r="X41" s="120"/>
      <c r="Y41" s="119">
        <f t="shared" si="35"/>
        <v>0</v>
      </c>
      <c r="Z41" s="119">
        <f t="shared" si="36"/>
        <v>0</v>
      </c>
      <c r="AA41" s="121">
        <f t="shared" si="50"/>
        <v>0</v>
      </c>
      <c r="AB41" s="119">
        <f t="shared" si="37"/>
        <v>0</v>
      </c>
      <c r="AC41" s="120"/>
      <c r="AD41" s="121">
        <f t="shared" si="38"/>
        <v>0</v>
      </c>
      <c r="AE41" s="120"/>
      <c r="AF41" s="120"/>
      <c r="AG41" s="120"/>
      <c r="AH41" s="120"/>
      <c r="AI41" s="154">
        <f t="shared" si="39"/>
        <v>0</v>
      </c>
      <c r="AJ41" s="120"/>
      <c r="AK41" s="122">
        <f t="shared" si="40"/>
        <v>0</v>
      </c>
      <c r="AL41" s="123">
        <f t="shared" si="41"/>
        <v>0</v>
      </c>
      <c r="AM41" s="124"/>
      <c r="AN41" s="125">
        <f t="shared" si="42"/>
        <v>0</v>
      </c>
      <c r="AO41" s="126">
        <f t="shared" si="43"/>
        <v>0</v>
      </c>
      <c r="AP41" s="126">
        <f t="shared" si="44"/>
        <v>0</v>
      </c>
      <c r="AQ41" s="126">
        <f t="shared" si="45"/>
        <v>0</v>
      </c>
      <c r="AR41" s="126">
        <f t="shared" si="46"/>
        <v>0</v>
      </c>
      <c r="AS41" s="126">
        <f t="array" ref="AS41">_xlfn.IFS(S41=0,AL41,S41&lt;0,AL41/-S41,S41&gt;0,AL41/S41)</f>
        <v>0</v>
      </c>
      <c r="AT41" s="121">
        <f t="shared" si="47"/>
        <v>0</v>
      </c>
      <c r="AU41" s="121">
        <f t="shared" si="48"/>
        <v>0</v>
      </c>
      <c r="AV41" s="127"/>
      <c r="AW41" s="122">
        <f t="shared" si="49"/>
        <v>0</v>
      </c>
    </row>
    <row r="42" spans="1:49" hidden="1" outlineLevel="1">
      <c r="A42" s="116"/>
      <c r="B42" s="117"/>
      <c r="C42" s="117"/>
      <c r="D42" s="118"/>
      <c r="E42" s="119">
        <f t="shared" si="29"/>
        <v>0</v>
      </c>
      <c r="F42" s="119"/>
      <c r="G42" s="119"/>
      <c r="H42" s="119"/>
      <c r="I42" s="119"/>
      <c r="J42" s="119">
        <f t="shared" si="30"/>
        <v>0</v>
      </c>
      <c r="K42" s="116"/>
      <c r="L42" s="116"/>
      <c r="M42" s="116"/>
      <c r="N42" s="116"/>
      <c r="O42" s="119">
        <f t="shared" si="31"/>
        <v>0</v>
      </c>
      <c r="P42" s="119">
        <f t="shared" si="32"/>
        <v>0</v>
      </c>
      <c r="Q42" s="120"/>
      <c r="R42" s="120"/>
      <c r="S42" s="119">
        <f t="shared" si="33"/>
        <v>0</v>
      </c>
      <c r="T42" s="119"/>
      <c r="U42" s="119"/>
      <c r="V42" s="119">
        <f t="shared" si="34"/>
        <v>0</v>
      </c>
      <c r="W42" s="120"/>
      <c r="X42" s="120"/>
      <c r="Y42" s="119">
        <f t="shared" si="35"/>
        <v>0</v>
      </c>
      <c r="Z42" s="119">
        <f t="shared" si="36"/>
        <v>0</v>
      </c>
      <c r="AA42" s="121">
        <f t="shared" si="50"/>
        <v>0</v>
      </c>
      <c r="AB42" s="119">
        <f t="shared" si="37"/>
        <v>0</v>
      </c>
      <c r="AC42" s="120"/>
      <c r="AD42" s="121">
        <f t="shared" si="38"/>
        <v>0</v>
      </c>
      <c r="AE42" s="120"/>
      <c r="AF42" s="120"/>
      <c r="AG42" s="120"/>
      <c r="AH42" s="120"/>
      <c r="AI42" s="154">
        <f t="shared" si="39"/>
        <v>0</v>
      </c>
      <c r="AJ42" s="120"/>
      <c r="AK42" s="122">
        <f t="shared" si="40"/>
        <v>0</v>
      </c>
      <c r="AL42" s="123">
        <f t="shared" si="41"/>
        <v>0</v>
      </c>
      <c r="AM42" s="124"/>
      <c r="AN42" s="125">
        <f t="shared" si="42"/>
        <v>0</v>
      </c>
      <c r="AO42" s="126">
        <f t="shared" si="43"/>
        <v>0</v>
      </c>
      <c r="AP42" s="126">
        <f t="shared" si="44"/>
        <v>0</v>
      </c>
      <c r="AQ42" s="126">
        <f t="shared" si="45"/>
        <v>0</v>
      </c>
      <c r="AR42" s="126">
        <f t="shared" si="46"/>
        <v>0</v>
      </c>
      <c r="AS42" s="126">
        <f t="array" ref="AS42">_xlfn.IFS(S42=0,AL42,S42&lt;0,AL42/-S42,S42&gt;0,AL42/S42)</f>
        <v>0</v>
      </c>
      <c r="AT42" s="121">
        <f t="shared" si="47"/>
        <v>0</v>
      </c>
      <c r="AU42" s="121">
        <f t="shared" si="48"/>
        <v>0</v>
      </c>
      <c r="AV42" s="127"/>
      <c r="AW42" s="122">
        <f t="shared" si="49"/>
        <v>0</v>
      </c>
    </row>
    <row r="43" spans="1:49" hidden="1" outlineLevel="1">
      <c r="A43" s="116"/>
      <c r="B43" s="117"/>
      <c r="C43" s="117"/>
      <c r="D43" s="118"/>
      <c r="E43" s="119">
        <f t="shared" si="29"/>
        <v>0</v>
      </c>
      <c r="F43" s="119"/>
      <c r="G43" s="119"/>
      <c r="H43" s="119"/>
      <c r="I43" s="119"/>
      <c r="J43" s="119">
        <f t="shared" si="30"/>
        <v>0</v>
      </c>
      <c r="K43" s="116"/>
      <c r="L43" s="116"/>
      <c r="M43" s="116"/>
      <c r="N43" s="116"/>
      <c r="O43" s="119">
        <f t="shared" si="31"/>
        <v>0</v>
      </c>
      <c r="P43" s="119">
        <f t="shared" si="32"/>
        <v>0</v>
      </c>
      <c r="Q43" s="120"/>
      <c r="R43" s="120"/>
      <c r="S43" s="119">
        <f t="shared" si="33"/>
        <v>0</v>
      </c>
      <c r="T43" s="119"/>
      <c r="U43" s="119"/>
      <c r="V43" s="119">
        <f t="shared" si="34"/>
        <v>0</v>
      </c>
      <c r="W43" s="120"/>
      <c r="X43" s="120"/>
      <c r="Y43" s="119">
        <f t="shared" si="35"/>
        <v>0</v>
      </c>
      <c r="Z43" s="119">
        <f t="shared" si="36"/>
        <v>0</v>
      </c>
      <c r="AA43" s="121">
        <f t="shared" si="50"/>
        <v>0</v>
      </c>
      <c r="AB43" s="119">
        <f t="shared" si="37"/>
        <v>0</v>
      </c>
      <c r="AC43" s="120"/>
      <c r="AD43" s="121">
        <f t="shared" si="38"/>
        <v>0</v>
      </c>
      <c r="AE43" s="120"/>
      <c r="AF43" s="120"/>
      <c r="AG43" s="120"/>
      <c r="AH43" s="120"/>
      <c r="AI43" s="154">
        <f t="shared" si="39"/>
        <v>0</v>
      </c>
      <c r="AJ43" s="120"/>
      <c r="AK43" s="122">
        <f t="shared" si="40"/>
        <v>0</v>
      </c>
      <c r="AL43" s="123">
        <f t="shared" si="41"/>
        <v>0</v>
      </c>
      <c r="AM43" s="124"/>
      <c r="AN43" s="125">
        <f t="shared" si="42"/>
        <v>0</v>
      </c>
      <c r="AO43" s="126">
        <f t="shared" si="43"/>
        <v>0</v>
      </c>
      <c r="AP43" s="126">
        <f t="shared" si="44"/>
        <v>0</v>
      </c>
      <c r="AQ43" s="126">
        <f t="shared" si="45"/>
        <v>0</v>
      </c>
      <c r="AR43" s="126">
        <f t="shared" si="46"/>
        <v>0</v>
      </c>
      <c r="AS43" s="126">
        <f t="array" ref="AS43">_xlfn.IFS(S43=0,AL43,S43&lt;0,AL43/-S43,S43&gt;0,AL43/S43)</f>
        <v>0</v>
      </c>
      <c r="AT43" s="121">
        <f t="shared" si="47"/>
        <v>0</v>
      </c>
      <c r="AU43" s="121">
        <f t="shared" si="48"/>
        <v>0</v>
      </c>
      <c r="AV43" s="127"/>
      <c r="AW43" s="122">
        <f t="shared" si="49"/>
        <v>0</v>
      </c>
    </row>
    <row r="44" spans="1:49" hidden="1" outlineLevel="1">
      <c r="A44" s="116"/>
      <c r="B44" s="117"/>
      <c r="C44" s="117"/>
      <c r="D44" s="151"/>
      <c r="E44" s="120">
        <f t="shared" si="29"/>
        <v>0</v>
      </c>
      <c r="F44" s="119"/>
      <c r="G44" s="119"/>
      <c r="H44" s="119"/>
      <c r="I44" s="119"/>
      <c r="J44" s="119">
        <f t="shared" si="30"/>
        <v>0</v>
      </c>
      <c r="K44" s="116"/>
      <c r="L44" s="116"/>
      <c r="M44" s="116"/>
      <c r="N44" s="116"/>
      <c r="O44" s="119">
        <f t="shared" si="31"/>
        <v>0</v>
      </c>
      <c r="P44" s="119">
        <f t="shared" si="32"/>
        <v>0</v>
      </c>
      <c r="Q44" s="120"/>
      <c r="R44" s="120"/>
      <c r="S44" s="119">
        <f t="shared" si="33"/>
        <v>0</v>
      </c>
      <c r="T44" s="119"/>
      <c r="U44" s="119"/>
      <c r="V44" s="119">
        <f t="shared" si="34"/>
        <v>0</v>
      </c>
      <c r="W44" s="120"/>
      <c r="X44" s="120"/>
      <c r="Y44" s="119">
        <f t="shared" si="35"/>
        <v>0</v>
      </c>
      <c r="Z44" s="119">
        <f t="shared" si="36"/>
        <v>0</v>
      </c>
      <c r="AA44" s="121">
        <f t="shared" si="50"/>
        <v>0</v>
      </c>
      <c r="AB44" s="119">
        <f t="shared" si="37"/>
        <v>0</v>
      </c>
      <c r="AC44" s="120"/>
      <c r="AD44" s="121">
        <f t="shared" si="38"/>
        <v>0</v>
      </c>
      <c r="AE44" s="120"/>
      <c r="AF44" s="120"/>
      <c r="AG44" s="120"/>
      <c r="AH44" s="120"/>
      <c r="AI44" s="154">
        <f t="shared" si="39"/>
        <v>0</v>
      </c>
      <c r="AJ44" s="120"/>
      <c r="AK44" s="122">
        <f t="shared" si="40"/>
        <v>0</v>
      </c>
      <c r="AL44" s="123">
        <f t="shared" si="41"/>
        <v>0</v>
      </c>
      <c r="AM44" s="124"/>
      <c r="AN44" s="125">
        <f t="shared" si="42"/>
        <v>0</v>
      </c>
      <c r="AO44" s="126">
        <f t="shared" si="43"/>
        <v>0</v>
      </c>
      <c r="AP44" s="126">
        <f t="shared" si="44"/>
        <v>0</v>
      </c>
      <c r="AQ44" s="126">
        <f t="shared" si="45"/>
        <v>0</v>
      </c>
      <c r="AR44" s="126">
        <f t="shared" si="46"/>
        <v>0</v>
      </c>
      <c r="AS44" s="126">
        <f t="array" ref="AS44">_xlfn.IFS(S44=0,AL44,S44&lt;0,AL44/-S44,S44&gt;0,AL44/S44)</f>
        <v>0</v>
      </c>
      <c r="AT44" s="121">
        <f t="shared" si="47"/>
        <v>0</v>
      </c>
      <c r="AU44" s="121">
        <f t="shared" si="48"/>
        <v>0</v>
      </c>
      <c r="AV44" s="127"/>
      <c r="AW44" s="122">
        <f t="shared" si="49"/>
        <v>0</v>
      </c>
    </row>
    <row r="45" spans="1:49" hidden="1" outlineLevel="1">
      <c r="A45" s="116"/>
      <c r="B45" s="117"/>
      <c r="C45" s="117"/>
      <c r="D45" s="151"/>
      <c r="E45" s="120">
        <f t="shared" si="29"/>
        <v>0</v>
      </c>
      <c r="F45" s="119"/>
      <c r="G45" s="119"/>
      <c r="H45" s="119"/>
      <c r="I45" s="119"/>
      <c r="J45" s="119">
        <f t="shared" si="30"/>
        <v>0</v>
      </c>
      <c r="K45" s="116"/>
      <c r="L45" s="116"/>
      <c r="M45" s="116"/>
      <c r="N45" s="116"/>
      <c r="O45" s="119">
        <f t="shared" si="31"/>
        <v>0</v>
      </c>
      <c r="P45" s="119">
        <f t="shared" si="32"/>
        <v>0</v>
      </c>
      <c r="Q45" s="120"/>
      <c r="R45" s="120"/>
      <c r="S45" s="119">
        <f t="shared" si="33"/>
        <v>0</v>
      </c>
      <c r="T45" s="119"/>
      <c r="U45" s="119"/>
      <c r="V45" s="119">
        <f t="shared" si="34"/>
        <v>0</v>
      </c>
      <c r="W45" s="120"/>
      <c r="X45" s="120"/>
      <c r="Y45" s="119">
        <f t="shared" si="35"/>
        <v>0</v>
      </c>
      <c r="Z45" s="119">
        <f t="shared" si="36"/>
        <v>0</v>
      </c>
      <c r="AA45" s="121">
        <f t="shared" si="50"/>
        <v>0</v>
      </c>
      <c r="AB45" s="119">
        <f t="shared" si="37"/>
        <v>0</v>
      </c>
      <c r="AC45" s="120"/>
      <c r="AD45" s="121">
        <f t="shared" si="38"/>
        <v>0</v>
      </c>
      <c r="AE45" s="120"/>
      <c r="AF45" s="120"/>
      <c r="AG45" s="120"/>
      <c r="AH45" s="120"/>
      <c r="AI45" s="154">
        <f t="shared" si="39"/>
        <v>0</v>
      </c>
      <c r="AJ45" s="120"/>
      <c r="AK45" s="122">
        <f t="shared" si="40"/>
        <v>0</v>
      </c>
      <c r="AL45" s="123">
        <f t="shared" si="41"/>
        <v>0</v>
      </c>
      <c r="AM45" s="124"/>
      <c r="AN45" s="125">
        <f t="shared" si="42"/>
        <v>0</v>
      </c>
      <c r="AO45" s="126">
        <f t="shared" si="43"/>
        <v>0</v>
      </c>
      <c r="AP45" s="126">
        <f t="shared" si="44"/>
        <v>0</v>
      </c>
      <c r="AQ45" s="126">
        <f t="shared" si="45"/>
        <v>0</v>
      </c>
      <c r="AR45" s="126">
        <f t="shared" si="46"/>
        <v>0</v>
      </c>
      <c r="AS45" s="126">
        <f t="array" ref="AS45">_xlfn.IFS(S45=0,AL45,S45&lt;0,AL45/-S45,S45&gt;0,AL45/S45)</f>
        <v>0</v>
      </c>
      <c r="AT45" s="121">
        <f t="shared" si="47"/>
        <v>0</v>
      </c>
      <c r="AU45" s="121">
        <f t="shared" si="48"/>
        <v>0</v>
      </c>
      <c r="AV45" s="127"/>
      <c r="AW45" s="122">
        <f t="shared" si="49"/>
        <v>0</v>
      </c>
    </row>
    <row r="46" spans="1:49" hidden="1" outlineLevel="1">
      <c r="A46" s="116"/>
      <c r="B46" s="117"/>
      <c r="C46" s="117"/>
      <c r="D46" s="151"/>
      <c r="E46" s="120">
        <f t="shared" si="29"/>
        <v>0</v>
      </c>
      <c r="F46" s="119"/>
      <c r="G46" s="119"/>
      <c r="H46" s="119"/>
      <c r="I46" s="119"/>
      <c r="J46" s="119">
        <f t="shared" si="30"/>
        <v>0</v>
      </c>
      <c r="K46" s="116"/>
      <c r="L46" s="116"/>
      <c r="M46" s="116"/>
      <c r="N46" s="116"/>
      <c r="O46" s="119">
        <f t="shared" si="31"/>
        <v>0</v>
      </c>
      <c r="P46" s="119">
        <f t="shared" si="32"/>
        <v>0</v>
      </c>
      <c r="Q46" s="120"/>
      <c r="R46" s="120"/>
      <c r="S46" s="119">
        <f t="shared" si="33"/>
        <v>0</v>
      </c>
      <c r="T46" s="119"/>
      <c r="U46" s="119"/>
      <c r="V46" s="119">
        <f t="shared" si="34"/>
        <v>0</v>
      </c>
      <c r="W46" s="120"/>
      <c r="X46" s="120"/>
      <c r="Y46" s="119">
        <f t="shared" si="35"/>
        <v>0</v>
      </c>
      <c r="Z46" s="119">
        <f t="shared" si="36"/>
        <v>0</v>
      </c>
      <c r="AA46" s="121">
        <f t="shared" si="50"/>
        <v>0</v>
      </c>
      <c r="AB46" s="119">
        <f t="shared" si="37"/>
        <v>0</v>
      </c>
      <c r="AC46" s="120"/>
      <c r="AD46" s="121">
        <f t="shared" si="38"/>
        <v>0</v>
      </c>
      <c r="AE46" s="120"/>
      <c r="AF46" s="120"/>
      <c r="AG46" s="120"/>
      <c r="AH46" s="120"/>
      <c r="AI46" s="154">
        <f t="shared" si="39"/>
        <v>0</v>
      </c>
      <c r="AJ46" s="120"/>
      <c r="AK46" s="122">
        <f t="shared" si="40"/>
        <v>0</v>
      </c>
      <c r="AL46" s="123">
        <f t="shared" si="41"/>
        <v>0</v>
      </c>
      <c r="AM46" s="124"/>
      <c r="AN46" s="125">
        <f t="shared" si="42"/>
        <v>0</v>
      </c>
      <c r="AO46" s="126">
        <f t="shared" si="43"/>
        <v>0</v>
      </c>
      <c r="AP46" s="126">
        <f t="shared" si="44"/>
        <v>0</v>
      </c>
      <c r="AQ46" s="126">
        <f t="shared" si="45"/>
        <v>0</v>
      </c>
      <c r="AR46" s="126">
        <f t="shared" si="46"/>
        <v>0</v>
      </c>
      <c r="AS46" s="126">
        <f t="array" ref="AS46">_xlfn.IFS(S46=0,AL46,S46&lt;0,AL46/-S46,S46&gt;0,AL46/S46)</f>
        <v>0</v>
      </c>
      <c r="AT46" s="121">
        <f t="shared" si="47"/>
        <v>0</v>
      </c>
      <c r="AU46" s="121">
        <f t="shared" si="48"/>
        <v>0</v>
      </c>
      <c r="AV46" s="127"/>
      <c r="AW46" s="122">
        <f t="shared" si="49"/>
        <v>0</v>
      </c>
    </row>
    <row r="47" spans="1:49" hidden="1" outlineLevel="1">
      <c r="A47" s="116"/>
      <c r="B47" s="117"/>
      <c r="C47" s="117"/>
      <c r="D47" s="118"/>
      <c r="E47" s="119">
        <f t="shared" si="29"/>
        <v>0</v>
      </c>
      <c r="F47" s="119"/>
      <c r="G47" s="119"/>
      <c r="H47" s="119"/>
      <c r="I47" s="119"/>
      <c r="J47" s="119">
        <f t="shared" si="30"/>
        <v>0</v>
      </c>
      <c r="K47" s="116"/>
      <c r="L47" s="116"/>
      <c r="M47" s="116"/>
      <c r="N47" s="116"/>
      <c r="O47" s="119">
        <f t="shared" si="31"/>
        <v>0</v>
      </c>
      <c r="P47" s="119">
        <f t="shared" si="32"/>
        <v>0</v>
      </c>
      <c r="Q47" s="120"/>
      <c r="R47" s="120"/>
      <c r="S47" s="119">
        <f t="shared" si="33"/>
        <v>0</v>
      </c>
      <c r="T47" s="119"/>
      <c r="U47" s="119"/>
      <c r="V47" s="119">
        <f t="shared" si="34"/>
        <v>0</v>
      </c>
      <c r="W47" s="120"/>
      <c r="X47" s="120"/>
      <c r="Y47" s="119">
        <f t="shared" si="35"/>
        <v>0</v>
      </c>
      <c r="Z47" s="119">
        <f t="shared" si="36"/>
        <v>0</v>
      </c>
      <c r="AA47" s="121">
        <f t="shared" si="50"/>
        <v>0</v>
      </c>
      <c r="AB47" s="119">
        <f t="shared" si="37"/>
        <v>0</v>
      </c>
      <c r="AC47" s="120"/>
      <c r="AD47" s="121">
        <f t="shared" si="38"/>
        <v>0</v>
      </c>
      <c r="AE47" s="120"/>
      <c r="AF47" s="120"/>
      <c r="AG47" s="120"/>
      <c r="AH47" s="120"/>
      <c r="AI47" s="154">
        <f t="shared" si="39"/>
        <v>0</v>
      </c>
      <c r="AJ47" s="120"/>
      <c r="AK47" s="122">
        <f t="shared" si="40"/>
        <v>0</v>
      </c>
      <c r="AL47" s="123">
        <f t="shared" si="41"/>
        <v>0</v>
      </c>
      <c r="AM47" s="124"/>
      <c r="AN47" s="125">
        <f t="shared" si="42"/>
        <v>0</v>
      </c>
      <c r="AO47" s="126">
        <f t="shared" si="43"/>
        <v>0</v>
      </c>
      <c r="AP47" s="126">
        <f t="shared" si="44"/>
        <v>0</v>
      </c>
      <c r="AQ47" s="126">
        <f t="shared" si="45"/>
        <v>0</v>
      </c>
      <c r="AR47" s="126">
        <f t="shared" si="46"/>
        <v>0</v>
      </c>
      <c r="AS47" s="126">
        <f t="array" ref="AS47">_xlfn.IFS(S47=0,AL47,S47&lt;0,AL47/-S47,S47&gt;0,AL47/S47)</f>
        <v>0</v>
      </c>
      <c r="AT47" s="121">
        <f t="shared" si="47"/>
        <v>0</v>
      </c>
      <c r="AU47" s="121">
        <f t="shared" si="48"/>
        <v>0</v>
      </c>
      <c r="AV47" s="127"/>
      <c r="AW47" s="122">
        <f t="shared" si="49"/>
        <v>0</v>
      </c>
    </row>
    <row r="48" spans="1:49" hidden="1" outlineLevel="1">
      <c r="A48" s="116"/>
      <c r="B48" s="117"/>
      <c r="C48" s="117"/>
      <c r="D48" s="118"/>
      <c r="E48" s="119">
        <f t="shared" si="29"/>
        <v>0</v>
      </c>
      <c r="F48" s="119"/>
      <c r="G48" s="119"/>
      <c r="H48" s="119"/>
      <c r="I48" s="119"/>
      <c r="J48" s="119">
        <f t="shared" si="30"/>
        <v>0</v>
      </c>
      <c r="K48" s="116"/>
      <c r="L48" s="116"/>
      <c r="M48" s="116"/>
      <c r="N48" s="116"/>
      <c r="O48" s="119">
        <f t="shared" si="31"/>
        <v>0</v>
      </c>
      <c r="P48" s="119">
        <f t="shared" si="32"/>
        <v>0</v>
      </c>
      <c r="Q48" s="120"/>
      <c r="R48" s="120"/>
      <c r="S48" s="119">
        <f t="shared" si="33"/>
        <v>0</v>
      </c>
      <c r="T48" s="119"/>
      <c r="U48" s="119"/>
      <c r="V48" s="119">
        <f t="shared" si="34"/>
        <v>0</v>
      </c>
      <c r="W48" s="120"/>
      <c r="X48" s="120"/>
      <c r="Y48" s="119">
        <f t="shared" si="35"/>
        <v>0</v>
      </c>
      <c r="Z48" s="119">
        <f t="shared" si="36"/>
        <v>0</v>
      </c>
      <c r="AA48" s="121">
        <f t="shared" si="50"/>
        <v>0</v>
      </c>
      <c r="AB48" s="119">
        <f t="shared" si="37"/>
        <v>0</v>
      </c>
      <c r="AC48" s="120"/>
      <c r="AD48" s="121">
        <f t="shared" si="38"/>
        <v>0</v>
      </c>
      <c r="AE48" s="120"/>
      <c r="AF48" s="120"/>
      <c r="AG48" s="120"/>
      <c r="AH48" s="120"/>
      <c r="AI48" s="154">
        <f t="shared" si="39"/>
        <v>0</v>
      </c>
      <c r="AJ48" s="120"/>
      <c r="AK48" s="122">
        <f t="shared" si="40"/>
        <v>0</v>
      </c>
      <c r="AL48" s="123">
        <f t="shared" si="41"/>
        <v>0</v>
      </c>
      <c r="AM48" s="124"/>
      <c r="AN48" s="125">
        <f t="shared" si="42"/>
        <v>0</v>
      </c>
      <c r="AO48" s="126">
        <f t="shared" si="43"/>
        <v>0</v>
      </c>
      <c r="AP48" s="126">
        <f t="shared" si="44"/>
        <v>0</v>
      </c>
      <c r="AQ48" s="126">
        <f t="shared" si="45"/>
        <v>0</v>
      </c>
      <c r="AR48" s="126">
        <f t="shared" si="46"/>
        <v>0</v>
      </c>
      <c r="AS48" s="126">
        <f t="array" ref="AS48">_xlfn.IFS(S48=0,AL48,S48&lt;0,AL48/-S48,S48&gt;0,AL48/S48)</f>
        <v>0</v>
      </c>
      <c r="AT48" s="121">
        <f t="shared" si="47"/>
        <v>0</v>
      </c>
      <c r="AU48" s="121">
        <f t="shared" si="48"/>
        <v>0</v>
      </c>
      <c r="AV48" s="127"/>
      <c r="AW48" s="122">
        <f t="shared" si="49"/>
        <v>0</v>
      </c>
    </row>
    <row r="49" spans="1:49" hidden="1" outlineLevel="1">
      <c r="A49" s="116"/>
      <c r="B49" s="117"/>
      <c r="C49" s="117"/>
      <c r="D49" s="118"/>
      <c r="E49" s="119">
        <f t="shared" si="29"/>
        <v>0</v>
      </c>
      <c r="F49" s="119"/>
      <c r="G49" s="119"/>
      <c r="H49" s="119"/>
      <c r="I49" s="119"/>
      <c r="J49" s="119">
        <f t="shared" si="30"/>
        <v>0</v>
      </c>
      <c r="K49" s="116"/>
      <c r="L49" s="116"/>
      <c r="M49" s="116"/>
      <c r="N49" s="116"/>
      <c r="O49" s="119">
        <f t="shared" si="31"/>
        <v>0</v>
      </c>
      <c r="P49" s="119">
        <f t="shared" si="32"/>
        <v>0</v>
      </c>
      <c r="Q49" s="120"/>
      <c r="R49" s="120"/>
      <c r="S49" s="119">
        <f t="shared" si="33"/>
        <v>0</v>
      </c>
      <c r="T49" s="119"/>
      <c r="U49" s="119"/>
      <c r="V49" s="119">
        <f t="shared" si="34"/>
        <v>0</v>
      </c>
      <c r="W49" s="120"/>
      <c r="X49" s="120"/>
      <c r="Y49" s="119">
        <f t="shared" si="35"/>
        <v>0</v>
      </c>
      <c r="Z49" s="119">
        <f t="shared" si="36"/>
        <v>0</v>
      </c>
      <c r="AA49" s="121">
        <f t="shared" si="50"/>
        <v>0</v>
      </c>
      <c r="AB49" s="119">
        <f t="shared" si="37"/>
        <v>0</v>
      </c>
      <c r="AC49" s="120"/>
      <c r="AD49" s="121">
        <f t="shared" si="38"/>
        <v>0</v>
      </c>
      <c r="AE49" s="120"/>
      <c r="AF49" s="120"/>
      <c r="AG49" s="120"/>
      <c r="AH49" s="120"/>
      <c r="AI49" s="154">
        <f t="shared" si="39"/>
        <v>0</v>
      </c>
      <c r="AJ49" s="120"/>
      <c r="AK49" s="122">
        <f t="shared" si="40"/>
        <v>0</v>
      </c>
      <c r="AL49" s="123">
        <f t="shared" si="41"/>
        <v>0</v>
      </c>
      <c r="AM49" s="124"/>
      <c r="AN49" s="125">
        <f t="shared" si="42"/>
        <v>0</v>
      </c>
      <c r="AO49" s="126">
        <f t="shared" si="43"/>
        <v>0</v>
      </c>
      <c r="AP49" s="126">
        <f t="shared" si="44"/>
        <v>0</v>
      </c>
      <c r="AQ49" s="126">
        <f t="shared" si="45"/>
        <v>0</v>
      </c>
      <c r="AR49" s="126">
        <f t="shared" si="46"/>
        <v>0</v>
      </c>
      <c r="AS49" s="126">
        <f t="array" ref="AS49">_xlfn.IFS(S49=0,AL49,S49&lt;0,AL49/-S49,S49&gt;0,AL49/S49)</f>
        <v>0</v>
      </c>
      <c r="AT49" s="121">
        <f t="shared" si="47"/>
        <v>0</v>
      </c>
      <c r="AU49" s="121">
        <f t="shared" si="48"/>
        <v>0</v>
      </c>
      <c r="AV49" s="127"/>
      <c r="AW49" s="122">
        <f t="shared" si="49"/>
        <v>0</v>
      </c>
    </row>
    <row r="50" spans="1:49" hidden="1" outlineLevel="1">
      <c r="A50" s="116"/>
      <c r="B50" s="117"/>
      <c r="C50" s="117"/>
      <c r="D50" s="118"/>
      <c r="E50" s="119">
        <f t="shared" si="29"/>
        <v>0</v>
      </c>
      <c r="F50" s="119"/>
      <c r="G50" s="119"/>
      <c r="H50" s="119"/>
      <c r="I50" s="119"/>
      <c r="J50" s="119">
        <f t="shared" si="30"/>
        <v>0</v>
      </c>
      <c r="K50" s="116"/>
      <c r="L50" s="116"/>
      <c r="M50" s="116"/>
      <c r="N50" s="116"/>
      <c r="O50" s="119">
        <f t="shared" si="31"/>
        <v>0</v>
      </c>
      <c r="P50" s="119">
        <f t="shared" si="32"/>
        <v>0</v>
      </c>
      <c r="Q50" s="120"/>
      <c r="R50" s="120"/>
      <c r="S50" s="119">
        <f t="shared" si="33"/>
        <v>0</v>
      </c>
      <c r="T50" s="119"/>
      <c r="U50" s="119"/>
      <c r="V50" s="119">
        <f t="shared" si="34"/>
        <v>0</v>
      </c>
      <c r="W50" s="120"/>
      <c r="X50" s="120"/>
      <c r="Y50" s="119">
        <f t="shared" si="35"/>
        <v>0</v>
      </c>
      <c r="Z50" s="119">
        <f t="shared" si="36"/>
        <v>0</v>
      </c>
      <c r="AA50" s="121">
        <f t="shared" si="50"/>
        <v>0</v>
      </c>
      <c r="AB50" s="119">
        <f t="shared" si="37"/>
        <v>0</v>
      </c>
      <c r="AC50" s="120"/>
      <c r="AD50" s="121">
        <f t="shared" si="38"/>
        <v>0</v>
      </c>
      <c r="AE50" s="120"/>
      <c r="AF50" s="120"/>
      <c r="AG50" s="120"/>
      <c r="AH50" s="120"/>
      <c r="AI50" s="154">
        <f t="shared" si="39"/>
        <v>0</v>
      </c>
      <c r="AJ50" s="120"/>
      <c r="AK50" s="122">
        <f t="shared" si="40"/>
        <v>0</v>
      </c>
      <c r="AL50" s="123">
        <f t="shared" si="41"/>
        <v>0</v>
      </c>
      <c r="AM50" s="124"/>
      <c r="AN50" s="125">
        <f t="shared" si="42"/>
        <v>0</v>
      </c>
      <c r="AO50" s="126">
        <f t="shared" si="43"/>
        <v>0</v>
      </c>
      <c r="AP50" s="126">
        <f t="shared" si="44"/>
        <v>0</v>
      </c>
      <c r="AQ50" s="126">
        <f t="shared" si="45"/>
        <v>0</v>
      </c>
      <c r="AR50" s="126">
        <f t="shared" si="46"/>
        <v>0</v>
      </c>
      <c r="AS50" s="126">
        <f t="array" ref="AS50">_xlfn.IFS(S50=0,AL50,S50&lt;0,AL50/-S50,S50&gt;0,AL50/S50)</f>
        <v>0</v>
      </c>
      <c r="AT50" s="121">
        <f t="shared" si="47"/>
        <v>0</v>
      </c>
      <c r="AU50" s="121">
        <f t="shared" si="48"/>
        <v>0</v>
      </c>
      <c r="AV50" s="127"/>
      <c r="AW50" s="122">
        <f t="shared" si="49"/>
        <v>0</v>
      </c>
    </row>
    <row r="51" spans="1:49" hidden="1" outlineLevel="1">
      <c r="A51" s="116"/>
      <c r="B51" s="117"/>
      <c r="C51" s="117"/>
      <c r="D51" s="118"/>
      <c r="E51" s="119">
        <f t="shared" ref="E51:E70" si="51">SUM(F51:H51)</f>
        <v>0</v>
      </c>
      <c r="F51" s="119"/>
      <c r="G51" s="119"/>
      <c r="H51" s="119"/>
      <c r="I51" s="119"/>
      <c r="J51" s="119">
        <f t="shared" ref="J51:J70" si="52">E51*I51</f>
        <v>0</v>
      </c>
      <c r="K51" s="116"/>
      <c r="L51" s="116"/>
      <c r="M51" s="116"/>
      <c r="N51" s="116"/>
      <c r="O51" s="119">
        <f t="shared" si="31"/>
        <v>0</v>
      </c>
      <c r="P51" s="119">
        <f t="shared" si="32"/>
        <v>0</v>
      </c>
      <c r="Q51" s="120"/>
      <c r="R51" s="120"/>
      <c r="S51" s="119">
        <f t="shared" si="33"/>
        <v>0</v>
      </c>
      <c r="T51" s="119"/>
      <c r="U51" s="119"/>
      <c r="V51" s="119">
        <f t="shared" si="34"/>
        <v>0</v>
      </c>
      <c r="W51" s="120"/>
      <c r="X51" s="120"/>
      <c r="Y51" s="119">
        <f t="shared" si="35"/>
        <v>0</v>
      </c>
      <c r="Z51" s="119">
        <f t="shared" si="36"/>
        <v>0</v>
      </c>
      <c r="AA51" s="121">
        <f t="shared" si="50"/>
        <v>0</v>
      </c>
      <c r="AB51" s="119">
        <f t="shared" si="37"/>
        <v>0</v>
      </c>
      <c r="AC51" s="120"/>
      <c r="AD51" s="121">
        <f t="shared" si="38"/>
        <v>0</v>
      </c>
      <c r="AE51" s="120"/>
      <c r="AF51" s="120"/>
      <c r="AG51" s="120"/>
      <c r="AH51" s="120"/>
      <c r="AI51" s="154">
        <f t="shared" ref="AI51:AI70" si="53">$AI$74*H51/$H$74</f>
        <v>0</v>
      </c>
      <c r="AJ51" s="120"/>
      <c r="AK51" s="122">
        <f t="shared" si="40"/>
        <v>0</v>
      </c>
      <c r="AL51" s="123">
        <f t="shared" si="41"/>
        <v>0</v>
      </c>
      <c r="AM51" s="124"/>
      <c r="AN51" s="125">
        <f t="shared" si="42"/>
        <v>0</v>
      </c>
      <c r="AO51" s="126">
        <f t="shared" si="43"/>
        <v>0</v>
      </c>
      <c r="AP51" s="126">
        <f t="shared" si="44"/>
        <v>0</v>
      </c>
      <c r="AQ51" s="126">
        <f t="shared" si="45"/>
        <v>0</v>
      </c>
      <c r="AR51" s="126">
        <f t="shared" si="46"/>
        <v>0</v>
      </c>
      <c r="AS51" s="126">
        <f t="array" ref="AS51">_xlfn.IFS(S51=0,AL51,S51&lt;0,AL51/-S51,S51&gt;0,AL51/S51)</f>
        <v>0</v>
      </c>
      <c r="AT51" s="121">
        <f t="shared" si="47"/>
        <v>0</v>
      </c>
      <c r="AU51" s="121">
        <f t="shared" si="48"/>
        <v>0</v>
      </c>
      <c r="AV51" s="127"/>
      <c r="AW51" s="122">
        <f t="shared" ref="AW51:AW70" si="54">AS51*E51</f>
        <v>0</v>
      </c>
    </row>
    <row r="52" spans="1:49" hidden="1" outlineLevel="1">
      <c r="A52" s="116"/>
      <c r="B52" s="117"/>
      <c r="C52" s="117"/>
      <c r="D52" s="118"/>
      <c r="E52" s="119">
        <f t="shared" si="51"/>
        <v>0</v>
      </c>
      <c r="F52" s="119"/>
      <c r="G52" s="119"/>
      <c r="H52" s="119"/>
      <c r="I52" s="119"/>
      <c r="J52" s="119">
        <f t="shared" si="52"/>
        <v>0</v>
      </c>
      <c r="K52" s="116"/>
      <c r="L52" s="116"/>
      <c r="M52" s="116"/>
      <c r="N52" s="116"/>
      <c r="O52" s="119">
        <f t="shared" si="31"/>
        <v>0</v>
      </c>
      <c r="P52" s="119">
        <f t="shared" si="32"/>
        <v>0</v>
      </c>
      <c r="Q52" s="120"/>
      <c r="R52" s="120"/>
      <c r="S52" s="119">
        <f t="shared" si="33"/>
        <v>0</v>
      </c>
      <c r="T52" s="119"/>
      <c r="U52" s="119"/>
      <c r="V52" s="119">
        <f t="shared" si="34"/>
        <v>0</v>
      </c>
      <c r="W52" s="120"/>
      <c r="X52" s="120"/>
      <c r="Y52" s="119">
        <f t="shared" si="35"/>
        <v>0</v>
      </c>
      <c r="Z52" s="119">
        <f t="shared" si="36"/>
        <v>0</v>
      </c>
      <c r="AA52" s="121">
        <f t="shared" si="50"/>
        <v>0</v>
      </c>
      <c r="AB52" s="119">
        <f t="shared" si="37"/>
        <v>0</v>
      </c>
      <c r="AC52" s="120"/>
      <c r="AD52" s="121">
        <f t="shared" si="38"/>
        <v>0</v>
      </c>
      <c r="AE52" s="120"/>
      <c r="AF52" s="120"/>
      <c r="AG52" s="120"/>
      <c r="AH52" s="120"/>
      <c r="AI52" s="154">
        <f t="shared" si="53"/>
        <v>0</v>
      </c>
      <c r="AJ52" s="120"/>
      <c r="AK52" s="122">
        <f t="shared" si="40"/>
        <v>0</v>
      </c>
      <c r="AL52" s="123">
        <f t="shared" si="41"/>
        <v>0</v>
      </c>
      <c r="AM52" s="124"/>
      <c r="AN52" s="125">
        <f t="shared" si="42"/>
        <v>0</v>
      </c>
      <c r="AO52" s="126">
        <f t="shared" si="43"/>
        <v>0</v>
      </c>
      <c r="AP52" s="126">
        <f t="shared" si="44"/>
        <v>0</v>
      </c>
      <c r="AQ52" s="126">
        <f t="shared" si="45"/>
        <v>0</v>
      </c>
      <c r="AR52" s="126">
        <f t="shared" si="46"/>
        <v>0</v>
      </c>
      <c r="AS52" s="126">
        <f t="array" ref="AS52">_xlfn.IFS(S52=0,AL52,S52&lt;0,AL52/-S52,S52&gt;0,AL52/S52)</f>
        <v>0</v>
      </c>
      <c r="AT52" s="121">
        <f t="shared" si="47"/>
        <v>0</v>
      </c>
      <c r="AU52" s="121">
        <f t="shared" si="48"/>
        <v>0</v>
      </c>
      <c r="AV52" s="127"/>
      <c r="AW52" s="122">
        <f t="shared" si="54"/>
        <v>0</v>
      </c>
    </row>
    <row r="53" spans="1:49" hidden="1" outlineLevel="1">
      <c r="A53" s="116"/>
      <c r="B53" s="117"/>
      <c r="C53" s="117"/>
      <c r="D53" s="118"/>
      <c r="E53" s="119">
        <f t="shared" si="51"/>
        <v>0</v>
      </c>
      <c r="F53" s="119"/>
      <c r="G53" s="119"/>
      <c r="H53" s="119"/>
      <c r="I53" s="119"/>
      <c r="J53" s="119">
        <f t="shared" si="52"/>
        <v>0</v>
      </c>
      <c r="K53" s="116"/>
      <c r="L53" s="116"/>
      <c r="M53" s="116"/>
      <c r="N53" s="116"/>
      <c r="O53" s="119">
        <f t="shared" si="31"/>
        <v>0</v>
      </c>
      <c r="P53" s="119">
        <f t="shared" si="32"/>
        <v>0</v>
      </c>
      <c r="Q53" s="120"/>
      <c r="R53" s="120"/>
      <c r="S53" s="119">
        <f t="shared" si="33"/>
        <v>0</v>
      </c>
      <c r="T53" s="119"/>
      <c r="U53" s="119"/>
      <c r="V53" s="119">
        <f t="shared" si="34"/>
        <v>0</v>
      </c>
      <c r="W53" s="120"/>
      <c r="X53" s="120"/>
      <c r="Y53" s="119">
        <f t="shared" si="35"/>
        <v>0</v>
      </c>
      <c r="Z53" s="119">
        <f t="shared" si="36"/>
        <v>0</v>
      </c>
      <c r="AA53" s="121">
        <f t="shared" si="50"/>
        <v>0</v>
      </c>
      <c r="AB53" s="119">
        <f t="shared" si="37"/>
        <v>0</v>
      </c>
      <c r="AC53" s="120"/>
      <c r="AD53" s="121">
        <f t="shared" si="38"/>
        <v>0</v>
      </c>
      <c r="AE53" s="120"/>
      <c r="AF53" s="120"/>
      <c r="AG53" s="120"/>
      <c r="AH53" s="120"/>
      <c r="AI53" s="154">
        <f t="shared" si="53"/>
        <v>0</v>
      </c>
      <c r="AJ53" s="120"/>
      <c r="AK53" s="122">
        <f t="shared" si="40"/>
        <v>0</v>
      </c>
      <c r="AL53" s="123">
        <f t="shared" si="41"/>
        <v>0</v>
      </c>
      <c r="AM53" s="124"/>
      <c r="AN53" s="125">
        <f t="shared" si="42"/>
        <v>0</v>
      </c>
      <c r="AO53" s="126">
        <f t="shared" si="43"/>
        <v>0</v>
      </c>
      <c r="AP53" s="126">
        <f t="shared" si="44"/>
        <v>0</v>
      </c>
      <c r="AQ53" s="126">
        <f t="shared" si="45"/>
        <v>0</v>
      </c>
      <c r="AR53" s="126">
        <f t="shared" si="46"/>
        <v>0</v>
      </c>
      <c r="AS53" s="126">
        <f t="array" ref="AS53">_xlfn.IFS(S53=0,AL53,S53&lt;0,AL53/-S53,S53&gt;0,AL53/S53)</f>
        <v>0</v>
      </c>
      <c r="AT53" s="121">
        <f t="shared" si="47"/>
        <v>0</v>
      </c>
      <c r="AU53" s="121">
        <f t="shared" si="48"/>
        <v>0</v>
      </c>
      <c r="AV53" s="127"/>
      <c r="AW53" s="122">
        <f t="shared" si="54"/>
        <v>0</v>
      </c>
    </row>
    <row r="54" spans="1:49" hidden="1" outlineLevel="1">
      <c r="A54" s="116"/>
      <c r="B54" s="117"/>
      <c r="C54" s="117"/>
      <c r="D54" s="118"/>
      <c r="E54" s="119">
        <f t="shared" si="51"/>
        <v>0</v>
      </c>
      <c r="F54" s="119"/>
      <c r="G54" s="119"/>
      <c r="H54" s="119"/>
      <c r="I54" s="119"/>
      <c r="J54" s="119">
        <f t="shared" si="52"/>
        <v>0</v>
      </c>
      <c r="K54" s="116"/>
      <c r="L54" s="116"/>
      <c r="M54" s="116"/>
      <c r="N54" s="116"/>
      <c r="O54" s="119">
        <f t="shared" si="31"/>
        <v>0</v>
      </c>
      <c r="P54" s="119">
        <f t="shared" si="32"/>
        <v>0</v>
      </c>
      <c r="Q54" s="120"/>
      <c r="R54" s="120"/>
      <c r="S54" s="119">
        <f t="shared" si="33"/>
        <v>0</v>
      </c>
      <c r="T54" s="119"/>
      <c r="U54" s="119"/>
      <c r="V54" s="119">
        <f t="shared" si="34"/>
        <v>0</v>
      </c>
      <c r="W54" s="120"/>
      <c r="X54" s="120"/>
      <c r="Y54" s="119">
        <f t="shared" si="35"/>
        <v>0</v>
      </c>
      <c r="Z54" s="119">
        <f t="shared" si="36"/>
        <v>0</v>
      </c>
      <c r="AA54" s="121">
        <f t="shared" si="50"/>
        <v>0</v>
      </c>
      <c r="AB54" s="119">
        <f t="shared" si="37"/>
        <v>0</v>
      </c>
      <c r="AC54" s="120"/>
      <c r="AD54" s="121">
        <f t="shared" si="38"/>
        <v>0</v>
      </c>
      <c r="AE54" s="120"/>
      <c r="AF54" s="120"/>
      <c r="AG54" s="120"/>
      <c r="AH54" s="120"/>
      <c r="AI54" s="154">
        <f t="shared" si="53"/>
        <v>0</v>
      </c>
      <c r="AJ54" s="120"/>
      <c r="AK54" s="122">
        <f t="shared" si="40"/>
        <v>0</v>
      </c>
      <c r="AL54" s="123">
        <f t="shared" si="41"/>
        <v>0</v>
      </c>
      <c r="AM54" s="124"/>
      <c r="AN54" s="125">
        <f t="shared" si="42"/>
        <v>0</v>
      </c>
      <c r="AO54" s="126">
        <f t="shared" si="43"/>
        <v>0</v>
      </c>
      <c r="AP54" s="126">
        <f t="shared" si="44"/>
        <v>0</v>
      </c>
      <c r="AQ54" s="126">
        <f t="shared" si="45"/>
        <v>0</v>
      </c>
      <c r="AR54" s="126">
        <f t="shared" si="46"/>
        <v>0</v>
      </c>
      <c r="AS54" s="126">
        <f t="array" ref="AS54">_xlfn.IFS(S54=0,AL54,S54&lt;0,AL54/-S54,S54&gt;0,AL54/S54)</f>
        <v>0</v>
      </c>
      <c r="AT54" s="121">
        <f t="shared" si="47"/>
        <v>0</v>
      </c>
      <c r="AU54" s="121">
        <f t="shared" si="48"/>
        <v>0</v>
      </c>
      <c r="AV54" s="127"/>
      <c r="AW54" s="122">
        <f t="shared" si="54"/>
        <v>0</v>
      </c>
    </row>
    <row r="55" spans="1:49" hidden="1" outlineLevel="1">
      <c r="A55" s="116"/>
      <c r="B55" s="117"/>
      <c r="C55" s="117"/>
      <c r="D55" s="118"/>
      <c r="E55" s="119">
        <f t="shared" si="51"/>
        <v>0</v>
      </c>
      <c r="F55" s="119"/>
      <c r="G55" s="119"/>
      <c r="H55" s="119"/>
      <c r="I55" s="119"/>
      <c r="J55" s="119">
        <f t="shared" si="52"/>
        <v>0</v>
      </c>
      <c r="K55" s="116"/>
      <c r="L55" s="116"/>
      <c r="M55" s="116"/>
      <c r="N55" s="116"/>
      <c r="O55" s="119">
        <f t="shared" si="31"/>
        <v>0</v>
      </c>
      <c r="P55" s="119">
        <f t="shared" si="32"/>
        <v>0</v>
      </c>
      <c r="Q55" s="120"/>
      <c r="R55" s="120"/>
      <c r="S55" s="119">
        <f t="shared" si="33"/>
        <v>0</v>
      </c>
      <c r="T55" s="119"/>
      <c r="U55" s="119"/>
      <c r="V55" s="119">
        <f t="shared" si="34"/>
        <v>0</v>
      </c>
      <c r="W55" s="120"/>
      <c r="X55" s="120"/>
      <c r="Y55" s="119">
        <f t="shared" si="35"/>
        <v>0</v>
      </c>
      <c r="Z55" s="119">
        <f t="shared" si="36"/>
        <v>0</v>
      </c>
      <c r="AA55" s="121">
        <f t="shared" si="50"/>
        <v>0</v>
      </c>
      <c r="AB55" s="119">
        <f t="shared" si="37"/>
        <v>0</v>
      </c>
      <c r="AC55" s="120"/>
      <c r="AD55" s="121">
        <f t="shared" si="38"/>
        <v>0</v>
      </c>
      <c r="AE55" s="120"/>
      <c r="AF55" s="120"/>
      <c r="AG55" s="120"/>
      <c r="AH55" s="120"/>
      <c r="AI55" s="154">
        <f t="shared" si="53"/>
        <v>0</v>
      </c>
      <c r="AJ55" s="120"/>
      <c r="AK55" s="122">
        <f t="shared" si="40"/>
        <v>0</v>
      </c>
      <c r="AL55" s="123">
        <f t="shared" si="41"/>
        <v>0</v>
      </c>
      <c r="AM55" s="124"/>
      <c r="AN55" s="125">
        <f t="shared" si="42"/>
        <v>0</v>
      </c>
      <c r="AO55" s="126">
        <f t="shared" si="43"/>
        <v>0</v>
      </c>
      <c r="AP55" s="126">
        <f t="shared" si="44"/>
        <v>0</v>
      </c>
      <c r="AQ55" s="126">
        <f t="shared" si="45"/>
        <v>0</v>
      </c>
      <c r="AR55" s="126">
        <f t="shared" si="46"/>
        <v>0</v>
      </c>
      <c r="AS55" s="126">
        <f t="array" ref="AS55">_xlfn.IFS(S55=0,AL55,S55&lt;0,AL55/-S55,S55&gt;0,AL55/S55)</f>
        <v>0</v>
      </c>
      <c r="AT55" s="121">
        <f t="shared" si="47"/>
        <v>0</v>
      </c>
      <c r="AU55" s="121">
        <f t="shared" si="48"/>
        <v>0</v>
      </c>
      <c r="AV55" s="127"/>
      <c r="AW55" s="122">
        <f t="shared" si="54"/>
        <v>0</v>
      </c>
    </row>
    <row r="56" spans="1:49" hidden="1" outlineLevel="1">
      <c r="A56" s="116"/>
      <c r="B56" s="117"/>
      <c r="C56" s="117"/>
      <c r="D56" s="118"/>
      <c r="E56" s="119">
        <f t="shared" si="51"/>
        <v>0</v>
      </c>
      <c r="F56" s="119"/>
      <c r="G56" s="119"/>
      <c r="H56" s="119"/>
      <c r="I56" s="119"/>
      <c r="J56" s="119">
        <f t="shared" si="52"/>
        <v>0</v>
      </c>
      <c r="K56" s="116"/>
      <c r="L56" s="116"/>
      <c r="M56" s="116"/>
      <c r="N56" s="116"/>
      <c r="O56" s="119">
        <f t="shared" si="31"/>
        <v>0</v>
      </c>
      <c r="P56" s="119">
        <f t="shared" si="32"/>
        <v>0</v>
      </c>
      <c r="Q56" s="120"/>
      <c r="R56" s="120"/>
      <c r="S56" s="119">
        <f t="shared" si="33"/>
        <v>0</v>
      </c>
      <c r="T56" s="119"/>
      <c r="U56" s="119"/>
      <c r="V56" s="119">
        <f t="shared" si="34"/>
        <v>0</v>
      </c>
      <c r="W56" s="120"/>
      <c r="X56" s="120"/>
      <c r="Y56" s="119">
        <f t="shared" si="35"/>
        <v>0</v>
      </c>
      <c r="Z56" s="119">
        <f t="shared" si="36"/>
        <v>0</v>
      </c>
      <c r="AA56" s="121">
        <f t="shared" si="50"/>
        <v>0</v>
      </c>
      <c r="AB56" s="119">
        <f t="shared" si="37"/>
        <v>0</v>
      </c>
      <c r="AC56" s="120"/>
      <c r="AD56" s="121">
        <f t="shared" si="38"/>
        <v>0</v>
      </c>
      <c r="AE56" s="120"/>
      <c r="AF56" s="120"/>
      <c r="AG56" s="120"/>
      <c r="AH56" s="120"/>
      <c r="AI56" s="154">
        <f t="shared" si="53"/>
        <v>0</v>
      </c>
      <c r="AJ56" s="120"/>
      <c r="AK56" s="122">
        <f t="shared" si="40"/>
        <v>0</v>
      </c>
      <c r="AL56" s="123">
        <f t="shared" si="41"/>
        <v>0</v>
      </c>
      <c r="AM56" s="124"/>
      <c r="AN56" s="125">
        <f t="shared" si="42"/>
        <v>0</v>
      </c>
      <c r="AO56" s="126">
        <f t="shared" si="43"/>
        <v>0</v>
      </c>
      <c r="AP56" s="126">
        <f t="shared" si="44"/>
        <v>0</v>
      </c>
      <c r="AQ56" s="126">
        <f t="shared" si="45"/>
        <v>0</v>
      </c>
      <c r="AR56" s="126">
        <f t="shared" si="46"/>
        <v>0</v>
      </c>
      <c r="AS56" s="126">
        <f t="array" ref="AS56">_xlfn.IFS(S56=0,AL56,S56&lt;0,AL56/-S56,S56&gt;0,AL56/S56)</f>
        <v>0</v>
      </c>
      <c r="AT56" s="121">
        <f t="shared" si="47"/>
        <v>0</v>
      </c>
      <c r="AU56" s="121">
        <f t="shared" si="48"/>
        <v>0</v>
      </c>
      <c r="AV56" s="127"/>
      <c r="AW56" s="122">
        <f t="shared" si="54"/>
        <v>0</v>
      </c>
    </row>
    <row r="57" spans="1:49" hidden="1" outlineLevel="1">
      <c r="A57" s="116"/>
      <c r="B57" s="117"/>
      <c r="C57" s="117"/>
      <c r="D57" s="118"/>
      <c r="E57" s="119">
        <f t="shared" si="51"/>
        <v>0</v>
      </c>
      <c r="F57" s="119"/>
      <c r="G57" s="119"/>
      <c r="H57" s="119"/>
      <c r="I57" s="119"/>
      <c r="J57" s="119">
        <f t="shared" si="52"/>
        <v>0</v>
      </c>
      <c r="K57" s="116"/>
      <c r="L57" s="116"/>
      <c r="M57" s="116"/>
      <c r="N57" s="116"/>
      <c r="O57" s="119">
        <f t="shared" si="31"/>
        <v>0</v>
      </c>
      <c r="P57" s="119">
        <f t="shared" si="32"/>
        <v>0</v>
      </c>
      <c r="Q57" s="120"/>
      <c r="R57" s="120"/>
      <c r="S57" s="119">
        <f t="shared" si="33"/>
        <v>0</v>
      </c>
      <c r="T57" s="119"/>
      <c r="U57" s="119"/>
      <c r="V57" s="119">
        <f t="shared" si="34"/>
        <v>0</v>
      </c>
      <c r="W57" s="120"/>
      <c r="X57" s="120"/>
      <c r="Y57" s="119">
        <f t="shared" si="35"/>
        <v>0</v>
      </c>
      <c r="Z57" s="119">
        <f t="shared" si="36"/>
        <v>0</v>
      </c>
      <c r="AA57" s="121">
        <f t="shared" si="50"/>
        <v>0</v>
      </c>
      <c r="AB57" s="119">
        <f t="shared" si="37"/>
        <v>0</v>
      </c>
      <c r="AC57" s="120"/>
      <c r="AD57" s="121">
        <f t="shared" si="38"/>
        <v>0</v>
      </c>
      <c r="AE57" s="120"/>
      <c r="AF57" s="120"/>
      <c r="AG57" s="120"/>
      <c r="AH57" s="120"/>
      <c r="AI57" s="154">
        <f t="shared" si="53"/>
        <v>0</v>
      </c>
      <c r="AJ57" s="120"/>
      <c r="AK57" s="122">
        <f t="shared" si="40"/>
        <v>0</v>
      </c>
      <c r="AL57" s="123">
        <f t="shared" si="41"/>
        <v>0</v>
      </c>
      <c r="AM57" s="124"/>
      <c r="AN57" s="125">
        <f t="shared" si="42"/>
        <v>0</v>
      </c>
      <c r="AO57" s="126">
        <f t="shared" si="43"/>
        <v>0</v>
      </c>
      <c r="AP57" s="126">
        <f t="shared" si="44"/>
        <v>0</v>
      </c>
      <c r="AQ57" s="126">
        <f t="shared" si="45"/>
        <v>0</v>
      </c>
      <c r="AR57" s="126">
        <f t="shared" si="46"/>
        <v>0</v>
      </c>
      <c r="AS57" s="126">
        <f t="array" ref="AS57">_xlfn.IFS(S57=0,AL57,S57&lt;0,AL57/-S57,S57&gt;0,AL57/S57)</f>
        <v>0</v>
      </c>
      <c r="AT57" s="121">
        <f t="shared" si="47"/>
        <v>0</v>
      </c>
      <c r="AU57" s="121">
        <f t="shared" si="48"/>
        <v>0</v>
      </c>
      <c r="AV57" s="127"/>
      <c r="AW57" s="122">
        <f t="shared" si="54"/>
        <v>0</v>
      </c>
    </row>
    <row r="58" spans="1:49" hidden="1" outlineLevel="1">
      <c r="A58" s="116"/>
      <c r="B58" s="117"/>
      <c r="C58" s="117"/>
      <c r="D58" s="118"/>
      <c r="E58" s="119">
        <f t="shared" si="51"/>
        <v>0</v>
      </c>
      <c r="F58" s="119"/>
      <c r="G58" s="119"/>
      <c r="H58" s="119"/>
      <c r="I58" s="119"/>
      <c r="J58" s="119">
        <f t="shared" si="52"/>
        <v>0</v>
      </c>
      <c r="K58" s="116"/>
      <c r="L58" s="116"/>
      <c r="M58" s="116"/>
      <c r="N58" s="116"/>
      <c r="O58" s="119">
        <f t="shared" si="31"/>
        <v>0</v>
      </c>
      <c r="P58" s="119">
        <f t="shared" si="32"/>
        <v>0</v>
      </c>
      <c r="Q58" s="120"/>
      <c r="R58" s="120"/>
      <c r="S58" s="119">
        <f t="shared" si="33"/>
        <v>0</v>
      </c>
      <c r="T58" s="119"/>
      <c r="U58" s="119"/>
      <c r="V58" s="119">
        <f t="shared" si="34"/>
        <v>0</v>
      </c>
      <c r="W58" s="120"/>
      <c r="X58" s="120"/>
      <c r="Y58" s="119">
        <f t="shared" si="35"/>
        <v>0</v>
      </c>
      <c r="Z58" s="119">
        <f t="shared" si="36"/>
        <v>0</v>
      </c>
      <c r="AA58" s="121">
        <f t="shared" si="50"/>
        <v>0</v>
      </c>
      <c r="AB58" s="119">
        <f t="shared" si="37"/>
        <v>0</v>
      </c>
      <c r="AC58" s="120"/>
      <c r="AD58" s="121">
        <f t="shared" si="38"/>
        <v>0</v>
      </c>
      <c r="AE58" s="120"/>
      <c r="AF58" s="120"/>
      <c r="AG58" s="120"/>
      <c r="AH58" s="120"/>
      <c r="AI58" s="154">
        <f t="shared" si="53"/>
        <v>0</v>
      </c>
      <c r="AJ58" s="120"/>
      <c r="AK58" s="122">
        <f t="shared" si="40"/>
        <v>0</v>
      </c>
      <c r="AL58" s="123">
        <f t="shared" si="41"/>
        <v>0</v>
      </c>
      <c r="AM58" s="124"/>
      <c r="AN58" s="125">
        <f t="shared" si="42"/>
        <v>0</v>
      </c>
      <c r="AO58" s="126">
        <f t="shared" si="43"/>
        <v>0</v>
      </c>
      <c r="AP58" s="126">
        <f t="shared" si="44"/>
        <v>0</v>
      </c>
      <c r="AQ58" s="126">
        <f t="shared" si="45"/>
        <v>0</v>
      </c>
      <c r="AR58" s="126">
        <f t="shared" si="46"/>
        <v>0</v>
      </c>
      <c r="AS58" s="126">
        <f t="array" ref="AS58">_xlfn.IFS(S58=0,AL58,S58&lt;0,AL58/-S58,S58&gt;0,AL58/S58)</f>
        <v>0</v>
      </c>
      <c r="AT58" s="121">
        <f t="shared" si="47"/>
        <v>0</v>
      </c>
      <c r="AU58" s="121">
        <f t="shared" si="48"/>
        <v>0</v>
      </c>
      <c r="AV58" s="127"/>
      <c r="AW58" s="122">
        <f t="shared" si="54"/>
        <v>0</v>
      </c>
    </row>
    <row r="59" spans="1:49" hidden="1" outlineLevel="1">
      <c r="A59" s="116"/>
      <c r="B59" s="117"/>
      <c r="C59" s="117"/>
      <c r="D59" s="118"/>
      <c r="E59" s="119">
        <f t="shared" si="51"/>
        <v>0</v>
      </c>
      <c r="F59" s="119"/>
      <c r="G59" s="119"/>
      <c r="H59" s="119"/>
      <c r="I59" s="119"/>
      <c r="J59" s="119">
        <f t="shared" si="52"/>
        <v>0</v>
      </c>
      <c r="K59" s="116"/>
      <c r="L59" s="116"/>
      <c r="M59" s="116"/>
      <c r="N59" s="116"/>
      <c r="O59" s="119">
        <f t="shared" si="31"/>
        <v>0</v>
      </c>
      <c r="P59" s="119">
        <f t="shared" si="32"/>
        <v>0</v>
      </c>
      <c r="Q59" s="120"/>
      <c r="R59" s="120"/>
      <c r="S59" s="119">
        <f t="shared" si="33"/>
        <v>0</v>
      </c>
      <c r="T59" s="119"/>
      <c r="U59" s="119"/>
      <c r="V59" s="119">
        <f t="shared" si="34"/>
        <v>0</v>
      </c>
      <c r="W59" s="120"/>
      <c r="X59" s="120"/>
      <c r="Y59" s="119">
        <f t="shared" si="35"/>
        <v>0</v>
      </c>
      <c r="Z59" s="119">
        <f t="shared" si="36"/>
        <v>0</v>
      </c>
      <c r="AA59" s="121">
        <f t="shared" si="50"/>
        <v>0</v>
      </c>
      <c r="AB59" s="119">
        <f t="shared" si="37"/>
        <v>0</v>
      </c>
      <c r="AC59" s="120"/>
      <c r="AD59" s="121">
        <f t="shared" si="38"/>
        <v>0</v>
      </c>
      <c r="AE59" s="120"/>
      <c r="AF59" s="120"/>
      <c r="AG59" s="120"/>
      <c r="AH59" s="120"/>
      <c r="AI59" s="154">
        <f t="shared" si="53"/>
        <v>0</v>
      </c>
      <c r="AJ59" s="120"/>
      <c r="AK59" s="122">
        <f t="shared" si="40"/>
        <v>0</v>
      </c>
      <c r="AL59" s="123">
        <f t="shared" si="41"/>
        <v>0</v>
      </c>
      <c r="AM59" s="124"/>
      <c r="AN59" s="125">
        <f t="shared" si="42"/>
        <v>0</v>
      </c>
      <c r="AO59" s="126">
        <f t="shared" si="43"/>
        <v>0</v>
      </c>
      <c r="AP59" s="126">
        <f t="shared" si="44"/>
        <v>0</v>
      </c>
      <c r="AQ59" s="126">
        <f t="shared" si="45"/>
        <v>0</v>
      </c>
      <c r="AR59" s="126">
        <f t="shared" si="46"/>
        <v>0</v>
      </c>
      <c r="AS59" s="126">
        <f t="array" ref="AS59">_xlfn.IFS(S59=0,AL59,S59&lt;0,AL59/-S59,S59&gt;0,AL59/S59)</f>
        <v>0</v>
      </c>
      <c r="AT59" s="121">
        <f t="shared" si="47"/>
        <v>0</v>
      </c>
      <c r="AU59" s="121">
        <f t="shared" si="48"/>
        <v>0</v>
      </c>
      <c r="AV59" s="127"/>
      <c r="AW59" s="122">
        <f t="shared" si="54"/>
        <v>0</v>
      </c>
    </row>
    <row r="60" spans="1:49" hidden="1" outlineLevel="1">
      <c r="A60" s="116"/>
      <c r="B60" s="117"/>
      <c r="C60" s="117"/>
      <c r="D60" s="118"/>
      <c r="E60" s="119">
        <f t="shared" si="51"/>
        <v>0</v>
      </c>
      <c r="F60" s="119"/>
      <c r="G60" s="119"/>
      <c r="H60" s="119"/>
      <c r="I60" s="119"/>
      <c r="J60" s="119">
        <f t="shared" si="52"/>
        <v>0</v>
      </c>
      <c r="K60" s="116"/>
      <c r="L60" s="116"/>
      <c r="M60" s="116"/>
      <c r="N60" s="116"/>
      <c r="O60" s="119">
        <f t="shared" si="31"/>
        <v>0</v>
      </c>
      <c r="P60" s="119">
        <f t="shared" si="32"/>
        <v>0</v>
      </c>
      <c r="Q60" s="120"/>
      <c r="R60" s="120"/>
      <c r="S60" s="119">
        <f t="shared" si="33"/>
        <v>0</v>
      </c>
      <c r="T60" s="119"/>
      <c r="U60" s="119"/>
      <c r="V60" s="119">
        <f t="shared" si="34"/>
        <v>0</v>
      </c>
      <c r="W60" s="120"/>
      <c r="X60" s="120"/>
      <c r="Y60" s="119">
        <f t="shared" si="35"/>
        <v>0</v>
      </c>
      <c r="Z60" s="119">
        <f t="shared" si="36"/>
        <v>0</v>
      </c>
      <c r="AA60" s="121">
        <f t="shared" si="50"/>
        <v>0</v>
      </c>
      <c r="AB60" s="119">
        <f t="shared" si="37"/>
        <v>0</v>
      </c>
      <c r="AC60" s="120"/>
      <c r="AD60" s="121">
        <f t="shared" si="38"/>
        <v>0</v>
      </c>
      <c r="AE60" s="120"/>
      <c r="AF60" s="120"/>
      <c r="AG60" s="120"/>
      <c r="AH60" s="120"/>
      <c r="AI60" s="154">
        <f t="shared" si="53"/>
        <v>0</v>
      </c>
      <c r="AJ60" s="120"/>
      <c r="AK60" s="122">
        <f t="shared" si="40"/>
        <v>0</v>
      </c>
      <c r="AL60" s="123">
        <f t="shared" si="41"/>
        <v>0</v>
      </c>
      <c r="AM60" s="124"/>
      <c r="AN60" s="125">
        <f t="shared" si="42"/>
        <v>0</v>
      </c>
      <c r="AO60" s="126">
        <f t="shared" si="43"/>
        <v>0</v>
      </c>
      <c r="AP60" s="126">
        <f t="shared" si="44"/>
        <v>0</v>
      </c>
      <c r="AQ60" s="126">
        <f t="shared" si="45"/>
        <v>0</v>
      </c>
      <c r="AR60" s="126">
        <f t="shared" si="46"/>
        <v>0</v>
      </c>
      <c r="AS60" s="126">
        <f t="array" ref="AS60">_xlfn.IFS(S60=0,AL60,S60&lt;0,AL60/-S60,S60&gt;0,AL60/S60)</f>
        <v>0</v>
      </c>
      <c r="AT60" s="121">
        <f t="shared" si="47"/>
        <v>0</v>
      </c>
      <c r="AU60" s="121">
        <f t="shared" si="48"/>
        <v>0</v>
      </c>
      <c r="AV60" s="127"/>
      <c r="AW60" s="122">
        <f t="shared" si="54"/>
        <v>0</v>
      </c>
    </row>
    <row r="61" spans="1:49" hidden="1" outlineLevel="1">
      <c r="A61" s="116"/>
      <c r="B61" s="117"/>
      <c r="C61" s="117"/>
      <c r="D61" s="118"/>
      <c r="E61" s="119">
        <f t="shared" si="51"/>
        <v>0</v>
      </c>
      <c r="F61" s="119"/>
      <c r="G61" s="119"/>
      <c r="H61" s="119"/>
      <c r="I61" s="119"/>
      <c r="J61" s="119">
        <f t="shared" si="52"/>
        <v>0</v>
      </c>
      <c r="K61" s="116"/>
      <c r="L61" s="116"/>
      <c r="M61" s="116"/>
      <c r="N61" s="116"/>
      <c r="O61" s="119">
        <f t="shared" si="31"/>
        <v>0</v>
      </c>
      <c r="P61" s="119">
        <f t="shared" si="32"/>
        <v>0</v>
      </c>
      <c r="Q61" s="120"/>
      <c r="R61" s="120"/>
      <c r="S61" s="119">
        <f t="shared" si="33"/>
        <v>0</v>
      </c>
      <c r="T61" s="119"/>
      <c r="U61" s="119"/>
      <c r="V61" s="119">
        <f t="shared" si="34"/>
        <v>0</v>
      </c>
      <c r="W61" s="120"/>
      <c r="X61" s="120"/>
      <c r="Y61" s="119">
        <f t="shared" si="35"/>
        <v>0</v>
      </c>
      <c r="Z61" s="119">
        <f t="shared" si="36"/>
        <v>0</v>
      </c>
      <c r="AA61" s="121">
        <f t="shared" si="50"/>
        <v>0</v>
      </c>
      <c r="AB61" s="119">
        <f t="shared" si="37"/>
        <v>0</v>
      </c>
      <c r="AC61" s="120"/>
      <c r="AD61" s="121">
        <f t="shared" si="38"/>
        <v>0</v>
      </c>
      <c r="AE61" s="120"/>
      <c r="AF61" s="120"/>
      <c r="AG61" s="120"/>
      <c r="AH61" s="120"/>
      <c r="AI61" s="154">
        <f t="shared" si="53"/>
        <v>0</v>
      </c>
      <c r="AJ61" s="120"/>
      <c r="AK61" s="122">
        <f t="shared" si="40"/>
        <v>0</v>
      </c>
      <c r="AL61" s="123">
        <f t="shared" si="41"/>
        <v>0</v>
      </c>
      <c r="AM61" s="124"/>
      <c r="AN61" s="125">
        <f t="shared" si="42"/>
        <v>0</v>
      </c>
      <c r="AO61" s="126">
        <f t="shared" si="43"/>
        <v>0</v>
      </c>
      <c r="AP61" s="126">
        <f t="shared" si="44"/>
        <v>0</v>
      </c>
      <c r="AQ61" s="126">
        <f t="shared" si="45"/>
        <v>0</v>
      </c>
      <c r="AR61" s="126">
        <f t="shared" si="46"/>
        <v>0</v>
      </c>
      <c r="AS61" s="126">
        <f t="array" ref="AS61">_xlfn.IFS(S61=0,AL61,S61&lt;0,AL61/-S61,S61&gt;0,AL61/S61)</f>
        <v>0</v>
      </c>
      <c r="AT61" s="121">
        <f t="shared" si="47"/>
        <v>0</v>
      </c>
      <c r="AU61" s="121">
        <f t="shared" si="48"/>
        <v>0</v>
      </c>
      <c r="AV61" s="127"/>
      <c r="AW61" s="122">
        <f t="shared" si="54"/>
        <v>0</v>
      </c>
    </row>
    <row r="62" spans="1:49" hidden="1" outlineLevel="1">
      <c r="A62" s="116"/>
      <c r="B62" s="117"/>
      <c r="C62" s="117"/>
      <c r="D62" s="118"/>
      <c r="E62" s="119">
        <f t="shared" si="51"/>
        <v>0</v>
      </c>
      <c r="F62" s="119"/>
      <c r="G62" s="119"/>
      <c r="H62" s="119"/>
      <c r="I62" s="119"/>
      <c r="J62" s="119">
        <f t="shared" si="52"/>
        <v>0</v>
      </c>
      <c r="K62" s="116"/>
      <c r="L62" s="116"/>
      <c r="M62" s="116"/>
      <c r="N62" s="116"/>
      <c r="O62" s="119">
        <f t="shared" si="31"/>
        <v>0</v>
      </c>
      <c r="P62" s="119">
        <f t="shared" si="32"/>
        <v>0</v>
      </c>
      <c r="Q62" s="120"/>
      <c r="R62" s="120"/>
      <c r="S62" s="119">
        <f t="shared" si="33"/>
        <v>0</v>
      </c>
      <c r="T62" s="119"/>
      <c r="U62" s="119"/>
      <c r="V62" s="119">
        <f t="shared" si="34"/>
        <v>0</v>
      </c>
      <c r="W62" s="120"/>
      <c r="X62" s="120"/>
      <c r="Y62" s="119">
        <f t="shared" si="35"/>
        <v>0</v>
      </c>
      <c r="Z62" s="119">
        <f t="shared" si="36"/>
        <v>0</v>
      </c>
      <c r="AA62" s="121">
        <f t="shared" si="50"/>
        <v>0</v>
      </c>
      <c r="AB62" s="119">
        <f t="shared" si="37"/>
        <v>0</v>
      </c>
      <c r="AC62" s="120"/>
      <c r="AD62" s="121">
        <f t="shared" si="38"/>
        <v>0</v>
      </c>
      <c r="AE62" s="120"/>
      <c r="AF62" s="120"/>
      <c r="AG62" s="120"/>
      <c r="AH62" s="120"/>
      <c r="AI62" s="154">
        <f t="shared" si="53"/>
        <v>0</v>
      </c>
      <c r="AJ62" s="120"/>
      <c r="AK62" s="122">
        <f t="shared" si="40"/>
        <v>0</v>
      </c>
      <c r="AL62" s="123">
        <f t="shared" si="41"/>
        <v>0</v>
      </c>
      <c r="AM62" s="124"/>
      <c r="AN62" s="125">
        <f t="shared" si="42"/>
        <v>0</v>
      </c>
      <c r="AO62" s="126">
        <f t="shared" si="43"/>
        <v>0</v>
      </c>
      <c r="AP62" s="126">
        <f t="shared" si="44"/>
        <v>0</v>
      </c>
      <c r="AQ62" s="126">
        <f t="shared" si="45"/>
        <v>0</v>
      </c>
      <c r="AR62" s="126">
        <f t="shared" si="46"/>
        <v>0</v>
      </c>
      <c r="AS62" s="126">
        <f t="array" ref="AS62">_xlfn.IFS(S62=0,AL62,S62&lt;0,AL62/-S62,S62&gt;0,AL62/S62)</f>
        <v>0</v>
      </c>
      <c r="AT62" s="121">
        <f t="shared" si="47"/>
        <v>0</v>
      </c>
      <c r="AU62" s="121">
        <f t="shared" si="48"/>
        <v>0</v>
      </c>
      <c r="AV62" s="127"/>
      <c r="AW62" s="122">
        <f t="shared" si="54"/>
        <v>0</v>
      </c>
    </row>
    <row r="63" spans="1:49" hidden="1" outlineLevel="1">
      <c r="A63" s="116"/>
      <c r="B63" s="117"/>
      <c r="C63" s="117"/>
      <c r="D63" s="151"/>
      <c r="E63" s="120">
        <f t="shared" si="51"/>
        <v>0</v>
      </c>
      <c r="F63" s="119"/>
      <c r="G63" s="119"/>
      <c r="H63" s="119"/>
      <c r="I63" s="119"/>
      <c r="J63" s="119">
        <f t="shared" si="52"/>
        <v>0</v>
      </c>
      <c r="K63" s="116"/>
      <c r="L63" s="116"/>
      <c r="M63" s="116"/>
      <c r="N63" s="116"/>
      <c r="O63" s="119">
        <f t="shared" si="31"/>
        <v>0</v>
      </c>
      <c r="P63" s="119">
        <f t="shared" si="32"/>
        <v>0</v>
      </c>
      <c r="Q63" s="120"/>
      <c r="R63" s="120"/>
      <c r="S63" s="119">
        <f t="shared" si="33"/>
        <v>0</v>
      </c>
      <c r="T63" s="119"/>
      <c r="U63" s="119"/>
      <c r="V63" s="119">
        <f t="shared" si="34"/>
        <v>0</v>
      </c>
      <c r="W63" s="120"/>
      <c r="X63" s="120"/>
      <c r="Y63" s="119">
        <f t="shared" si="35"/>
        <v>0</v>
      </c>
      <c r="Z63" s="119">
        <f t="shared" si="36"/>
        <v>0</v>
      </c>
      <c r="AA63" s="121">
        <f t="shared" si="50"/>
        <v>0</v>
      </c>
      <c r="AB63" s="119">
        <f t="shared" si="37"/>
        <v>0</v>
      </c>
      <c r="AC63" s="120"/>
      <c r="AD63" s="121">
        <f t="shared" si="38"/>
        <v>0</v>
      </c>
      <c r="AE63" s="120"/>
      <c r="AF63" s="120"/>
      <c r="AG63" s="120"/>
      <c r="AH63" s="120"/>
      <c r="AI63" s="154">
        <f t="shared" si="53"/>
        <v>0</v>
      </c>
      <c r="AJ63" s="120"/>
      <c r="AK63" s="122">
        <f t="shared" si="40"/>
        <v>0</v>
      </c>
      <c r="AL63" s="123">
        <f t="shared" si="41"/>
        <v>0</v>
      </c>
      <c r="AM63" s="124"/>
      <c r="AN63" s="125">
        <f t="shared" si="42"/>
        <v>0</v>
      </c>
      <c r="AO63" s="126">
        <f t="shared" si="43"/>
        <v>0</v>
      </c>
      <c r="AP63" s="126">
        <f t="shared" si="44"/>
        <v>0</v>
      </c>
      <c r="AQ63" s="126">
        <f t="shared" si="45"/>
        <v>0</v>
      </c>
      <c r="AR63" s="126">
        <f t="shared" si="46"/>
        <v>0</v>
      </c>
      <c r="AS63" s="126">
        <f t="array" ref="AS63">_xlfn.IFS(S63=0,AL63,S63&lt;0,AL63/-S63,S63&gt;0,AL63/S63)</f>
        <v>0</v>
      </c>
      <c r="AT63" s="121">
        <f t="shared" si="47"/>
        <v>0</v>
      </c>
      <c r="AU63" s="121">
        <f t="shared" si="48"/>
        <v>0</v>
      </c>
      <c r="AV63" s="127"/>
      <c r="AW63" s="122">
        <f t="shared" si="54"/>
        <v>0</v>
      </c>
    </row>
    <row r="64" spans="1:49" hidden="1" outlineLevel="1">
      <c r="A64" s="116"/>
      <c r="B64" s="117"/>
      <c r="C64" s="117"/>
      <c r="D64" s="151"/>
      <c r="E64" s="120">
        <f t="shared" si="51"/>
        <v>0</v>
      </c>
      <c r="F64" s="119"/>
      <c r="G64" s="119"/>
      <c r="H64" s="119"/>
      <c r="I64" s="119"/>
      <c r="J64" s="119">
        <f t="shared" si="52"/>
        <v>0</v>
      </c>
      <c r="K64" s="116"/>
      <c r="L64" s="116"/>
      <c r="M64" s="116"/>
      <c r="N64" s="116"/>
      <c r="O64" s="119">
        <f t="shared" si="31"/>
        <v>0</v>
      </c>
      <c r="P64" s="119">
        <f t="shared" si="32"/>
        <v>0</v>
      </c>
      <c r="Q64" s="120"/>
      <c r="R64" s="120"/>
      <c r="S64" s="119">
        <f t="shared" si="33"/>
        <v>0</v>
      </c>
      <c r="T64" s="119"/>
      <c r="U64" s="119"/>
      <c r="V64" s="119">
        <f t="shared" si="34"/>
        <v>0</v>
      </c>
      <c r="W64" s="120"/>
      <c r="X64" s="120"/>
      <c r="Y64" s="119">
        <f t="shared" si="35"/>
        <v>0</v>
      </c>
      <c r="Z64" s="119">
        <f t="shared" si="36"/>
        <v>0</v>
      </c>
      <c r="AA64" s="121">
        <f t="shared" si="50"/>
        <v>0</v>
      </c>
      <c r="AB64" s="119">
        <f t="shared" si="37"/>
        <v>0</v>
      </c>
      <c r="AC64" s="120"/>
      <c r="AD64" s="121">
        <f t="shared" si="38"/>
        <v>0</v>
      </c>
      <c r="AE64" s="120"/>
      <c r="AF64" s="120"/>
      <c r="AG64" s="120"/>
      <c r="AH64" s="120"/>
      <c r="AI64" s="154">
        <f t="shared" si="53"/>
        <v>0</v>
      </c>
      <c r="AJ64" s="120"/>
      <c r="AK64" s="122">
        <f t="shared" si="40"/>
        <v>0</v>
      </c>
      <c r="AL64" s="123">
        <f t="shared" si="41"/>
        <v>0</v>
      </c>
      <c r="AM64" s="124"/>
      <c r="AN64" s="125">
        <f t="shared" si="42"/>
        <v>0</v>
      </c>
      <c r="AO64" s="126">
        <f t="shared" si="43"/>
        <v>0</v>
      </c>
      <c r="AP64" s="126">
        <f t="shared" si="44"/>
        <v>0</v>
      </c>
      <c r="AQ64" s="126">
        <f t="shared" si="45"/>
        <v>0</v>
      </c>
      <c r="AR64" s="126">
        <f t="shared" si="46"/>
        <v>0</v>
      </c>
      <c r="AS64" s="126">
        <f t="array" ref="AS64">_xlfn.IFS(S64=0,AL64,S64&lt;0,AL64/-S64,S64&gt;0,AL64/S64)</f>
        <v>0</v>
      </c>
      <c r="AT64" s="121">
        <f t="shared" si="47"/>
        <v>0</v>
      </c>
      <c r="AU64" s="121">
        <f t="shared" si="48"/>
        <v>0</v>
      </c>
      <c r="AV64" s="127"/>
      <c r="AW64" s="122">
        <f t="shared" si="54"/>
        <v>0</v>
      </c>
    </row>
    <row r="65" spans="1:49" hidden="1" outlineLevel="1">
      <c r="A65" s="116"/>
      <c r="B65" s="117"/>
      <c r="C65" s="117"/>
      <c r="D65" s="151"/>
      <c r="E65" s="120">
        <f t="shared" si="51"/>
        <v>0</v>
      </c>
      <c r="F65" s="119"/>
      <c r="G65" s="119"/>
      <c r="H65" s="119"/>
      <c r="I65" s="119"/>
      <c r="J65" s="119">
        <f t="shared" si="52"/>
        <v>0</v>
      </c>
      <c r="K65" s="116"/>
      <c r="L65" s="116"/>
      <c r="M65" s="116"/>
      <c r="N65" s="116"/>
      <c r="O65" s="119">
        <f t="shared" si="31"/>
        <v>0</v>
      </c>
      <c r="P65" s="119">
        <f t="shared" si="32"/>
        <v>0</v>
      </c>
      <c r="Q65" s="120"/>
      <c r="R65" s="120"/>
      <c r="S65" s="119">
        <f t="shared" si="33"/>
        <v>0</v>
      </c>
      <c r="T65" s="119"/>
      <c r="U65" s="119"/>
      <c r="V65" s="119">
        <f t="shared" si="34"/>
        <v>0</v>
      </c>
      <c r="W65" s="120"/>
      <c r="X65" s="120"/>
      <c r="Y65" s="119">
        <f t="shared" si="35"/>
        <v>0</v>
      </c>
      <c r="Z65" s="119">
        <f t="shared" si="36"/>
        <v>0</v>
      </c>
      <c r="AA65" s="121">
        <f t="shared" si="50"/>
        <v>0</v>
      </c>
      <c r="AB65" s="119">
        <f t="shared" si="37"/>
        <v>0</v>
      </c>
      <c r="AC65" s="120"/>
      <c r="AD65" s="121">
        <f t="shared" si="38"/>
        <v>0</v>
      </c>
      <c r="AE65" s="120"/>
      <c r="AF65" s="120"/>
      <c r="AG65" s="120"/>
      <c r="AH65" s="120"/>
      <c r="AI65" s="154">
        <f t="shared" si="53"/>
        <v>0</v>
      </c>
      <c r="AJ65" s="120"/>
      <c r="AK65" s="122">
        <f t="shared" si="40"/>
        <v>0</v>
      </c>
      <c r="AL65" s="123">
        <f t="shared" si="41"/>
        <v>0</v>
      </c>
      <c r="AM65" s="124"/>
      <c r="AN65" s="125">
        <f t="shared" si="42"/>
        <v>0</v>
      </c>
      <c r="AO65" s="126">
        <f t="shared" si="43"/>
        <v>0</v>
      </c>
      <c r="AP65" s="126">
        <f t="shared" si="44"/>
        <v>0</v>
      </c>
      <c r="AQ65" s="126">
        <f t="shared" si="45"/>
        <v>0</v>
      </c>
      <c r="AR65" s="126">
        <f t="shared" si="46"/>
        <v>0</v>
      </c>
      <c r="AS65" s="126">
        <f t="array" ref="AS65">_xlfn.IFS(S65=0,AL65,S65&lt;0,AL65/-S65,S65&gt;0,AL65/S65)</f>
        <v>0</v>
      </c>
      <c r="AT65" s="121">
        <f t="shared" si="47"/>
        <v>0</v>
      </c>
      <c r="AU65" s="121">
        <f t="shared" si="48"/>
        <v>0</v>
      </c>
      <c r="AV65" s="127"/>
      <c r="AW65" s="122">
        <f t="shared" si="54"/>
        <v>0</v>
      </c>
    </row>
    <row r="66" spans="1:49" hidden="1" outlineLevel="1">
      <c r="A66" s="116"/>
      <c r="B66" s="117"/>
      <c r="C66" s="117"/>
      <c r="D66" s="151"/>
      <c r="E66" s="120">
        <f t="shared" si="51"/>
        <v>0</v>
      </c>
      <c r="F66" s="119"/>
      <c r="G66" s="119"/>
      <c r="H66" s="119"/>
      <c r="I66" s="119"/>
      <c r="J66" s="119">
        <f t="shared" si="52"/>
        <v>0</v>
      </c>
      <c r="K66" s="116"/>
      <c r="L66" s="116"/>
      <c r="M66" s="116"/>
      <c r="N66" s="116"/>
      <c r="O66" s="119">
        <f t="shared" si="31"/>
        <v>0</v>
      </c>
      <c r="P66" s="119">
        <f t="shared" si="32"/>
        <v>0</v>
      </c>
      <c r="Q66" s="120"/>
      <c r="R66" s="120"/>
      <c r="S66" s="119">
        <f t="shared" si="33"/>
        <v>0</v>
      </c>
      <c r="T66" s="119"/>
      <c r="U66" s="119"/>
      <c r="V66" s="119">
        <f t="shared" si="34"/>
        <v>0</v>
      </c>
      <c r="W66" s="120"/>
      <c r="X66" s="120"/>
      <c r="Y66" s="119">
        <f t="shared" si="35"/>
        <v>0</v>
      </c>
      <c r="Z66" s="119">
        <f>L66*M66*N66/100</f>
        <v>0</v>
      </c>
      <c r="AA66" s="121">
        <f t="shared" si="50"/>
        <v>0</v>
      </c>
      <c r="AB66" s="119">
        <f t="shared" si="37"/>
        <v>0</v>
      </c>
      <c r="AC66" s="120"/>
      <c r="AD66" s="121">
        <f t="shared" si="38"/>
        <v>0</v>
      </c>
      <c r="AE66" s="120"/>
      <c r="AF66" s="120"/>
      <c r="AG66" s="120"/>
      <c r="AH66" s="120"/>
      <c r="AI66" s="154">
        <f t="shared" si="53"/>
        <v>0</v>
      </c>
      <c r="AJ66" s="120"/>
      <c r="AK66" s="122">
        <f t="shared" si="40"/>
        <v>0</v>
      </c>
      <c r="AL66" s="123">
        <f t="shared" si="41"/>
        <v>0</v>
      </c>
      <c r="AM66" s="124"/>
      <c r="AN66" s="125">
        <f t="shared" si="42"/>
        <v>0</v>
      </c>
      <c r="AO66" s="126">
        <f t="shared" si="43"/>
        <v>0</v>
      </c>
      <c r="AP66" s="126">
        <f t="shared" si="44"/>
        <v>0</v>
      </c>
      <c r="AQ66" s="126">
        <f t="shared" si="45"/>
        <v>0</v>
      </c>
      <c r="AR66" s="126">
        <f t="shared" si="46"/>
        <v>0</v>
      </c>
      <c r="AS66" s="126">
        <f t="array" ref="AS66">_xlfn.IFS(S66=0,AL66,S66&lt;0,AL66/-S66,S66&gt;0,AL66/S66)</f>
        <v>0</v>
      </c>
      <c r="AT66" s="121">
        <f t="shared" si="47"/>
        <v>0</v>
      </c>
      <c r="AU66" s="121">
        <f t="shared" si="48"/>
        <v>0</v>
      </c>
      <c r="AV66" s="127"/>
      <c r="AW66" s="122">
        <f t="shared" si="54"/>
        <v>0</v>
      </c>
    </row>
    <row r="67" spans="1:49" hidden="1" outlineLevel="1">
      <c r="A67" s="116"/>
      <c r="B67" s="117"/>
      <c r="C67" s="117"/>
      <c r="D67" s="151"/>
      <c r="E67" s="120">
        <f t="shared" si="51"/>
        <v>0</v>
      </c>
      <c r="F67" s="119"/>
      <c r="G67" s="119"/>
      <c r="H67" s="119"/>
      <c r="I67" s="119"/>
      <c r="J67" s="119">
        <f t="shared" si="52"/>
        <v>0</v>
      </c>
      <c r="K67" s="116"/>
      <c r="L67" s="116"/>
      <c r="M67" s="116"/>
      <c r="N67" s="116"/>
      <c r="O67" s="119">
        <f t="shared" si="31"/>
        <v>0</v>
      </c>
      <c r="P67" s="119">
        <f t="shared" si="32"/>
        <v>0</v>
      </c>
      <c r="Q67" s="120"/>
      <c r="R67" s="120"/>
      <c r="S67" s="119">
        <f t="shared" si="33"/>
        <v>0</v>
      </c>
      <c r="T67" s="119"/>
      <c r="U67" s="119"/>
      <c r="V67" s="119">
        <f t="shared" si="34"/>
        <v>0</v>
      </c>
      <c r="W67" s="120"/>
      <c r="X67" s="120"/>
      <c r="Y67" s="119">
        <f t="shared" si="35"/>
        <v>0</v>
      </c>
      <c r="Z67" s="119">
        <f t="shared" ref="Z67:Z70" si="55">L67*M67*N67/100</f>
        <v>0</v>
      </c>
      <c r="AA67" s="121">
        <f t="shared" si="50"/>
        <v>0</v>
      </c>
      <c r="AB67" s="119">
        <f t="shared" si="37"/>
        <v>0</v>
      </c>
      <c r="AC67" s="120"/>
      <c r="AD67" s="121">
        <f t="shared" si="38"/>
        <v>0</v>
      </c>
      <c r="AE67" s="120"/>
      <c r="AF67" s="120"/>
      <c r="AG67" s="120"/>
      <c r="AH67" s="120"/>
      <c r="AI67" s="154">
        <f t="shared" si="53"/>
        <v>0</v>
      </c>
      <c r="AJ67" s="120"/>
      <c r="AK67" s="122">
        <f t="shared" si="40"/>
        <v>0</v>
      </c>
      <c r="AL67" s="123">
        <f t="shared" si="41"/>
        <v>0</v>
      </c>
      <c r="AM67" s="124"/>
      <c r="AN67" s="125">
        <f t="shared" si="42"/>
        <v>0</v>
      </c>
      <c r="AO67" s="126">
        <f t="shared" si="43"/>
        <v>0</v>
      </c>
      <c r="AP67" s="126">
        <f t="shared" si="44"/>
        <v>0</v>
      </c>
      <c r="AQ67" s="126">
        <f t="shared" si="45"/>
        <v>0</v>
      </c>
      <c r="AR67" s="126">
        <f t="shared" si="46"/>
        <v>0</v>
      </c>
      <c r="AS67" s="126">
        <f t="array" ref="AS67">_xlfn.IFS(S67=0,AL67,S67&lt;0,AL67/-S67,S67&gt;0,AL67/S67)</f>
        <v>0</v>
      </c>
      <c r="AT67" s="121">
        <f t="shared" si="47"/>
        <v>0</v>
      </c>
      <c r="AU67" s="121">
        <f t="shared" si="48"/>
        <v>0</v>
      </c>
      <c r="AV67" s="127"/>
      <c r="AW67" s="122">
        <f t="shared" si="54"/>
        <v>0</v>
      </c>
    </row>
    <row r="68" spans="1:49" hidden="1" outlineLevel="1">
      <c r="A68" s="116"/>
      <c r="B68" s="117"/>
      <c r="C68" s="117"/>
      <c r="D68" s="118"/>
      <c r="E68" s="119">
        <f t="shared" si="51"/>
        <v>0</v>
      </c>
      <c r="F68" s="119"/>
      <c r="G68" s="119"/>
      <c r="H68" s="119"/>
      <c r="I68" s="119"/>
      <c r="J68" s="119">
        <f t="shared" si="52"/>
        <v>0</v>
      </c>
      <c r="K68" s="116"/>
      <c r="L68" s="116"/>
      <c r="M68" s="116"/>
      <c r="N68" s="116"/>
      <c r="O68" s="119">
        <f t="shared" si="31"/>
        <v>0</v>
      </c>
      <c r="P68" s="119">
        <f t="shared" si="32"/>
        <v>0</v>
      </c>
      <c r="Q68" s="120"/>
      <c r="R68" s="120"/>
      <c r="S68" s="119">
        <f t="shared" si="33"/>
        <v>0</v>
      </c>
      <c r="T68" s="119"/>
      <c r="U68" s="119"/>
      <c r="V68" s="119">
        <f t="shared" si="34"/>
        <v>0</v>
      </c>
      <c r="W68" s="120"/>
      <c r="X68" s="120"/>
      <c r="Y68" s="119">
        <f t="shared" si="35"/>
        <v>0</v>
      </c>
      <c r="Z68" s="119">
        <f t="shared" si="55"/>
        <v>0</v>
      </c>
      <c r="AA68" s="121">
        <f t="shared" si="50"/>
        <v>0</v>
      </c>
      <c r="AB68" s="119">
        <f t="shared" si="37"/>
        <v>0</v>
      </c>
      <c r="AC68" s="120"/>
      <c r="AD68" s="121">
        <f t="shared" si="38"/>
        <v>0</v>
      </c>
      <c r="AE68" s="120"/>
      <c r="AF68" s="120"/>
      <c r="AG68" s="120"/>
      <c r="AH68" s="120"/>
      <c r="AI68" s="154">
        <f t="shared" si="53"/>
        <v>0</v>
      </c>
      <c r="AJ68" s="120"/>
      <c r="AK68" s="122">
        <f t="shared" si="40"/>
        <v>0</v>
      </c>
      <c r="AL68" s="123">
        <f t="shared" si="41"/>
        <v>0</v>
      </c>
      <c r="AM68" s="124"/>
      <c r="AN68" s="125">
        <f t="shared" si="42"/>
        <v>0</v>
      </c>
      <c r="AO68" s="126">
        <f t="shared" si="43"/>
        <v>0</v>
      </c>
      <c r="AP68" s="126">
        <f t="shared" si="44"/>
        <v>0</v>
      </c>
      <c r="AQ68" s="126">
        <f t="shared" si="45"/>
        <v>0</v>
      </c>
      <c r="AR68" s="126">
        <f t="shared" si="46"/>
        <v>0</v>
      </c>
      <c r="AS68" s="126">
        <f t="array" ref="AS68">_xlfn.IFS(S68=0,AL68,S68&lt;0,AL68/-S68,S68&gt;0,AL68/S68)</f>
        <v>0</v>
      </c>
      <c r="AT68" s="121">
        <f t="shared" si="47"/>
        <v>0</v>
      </c>
      <c r="AU68" s="121">
        <f t="shared" si="48"/>
        <v>0</v>
      </c>
      <c r="AV68" s="127"/>
      <c r="AW68" s="122">
        <f t="shared" si="54"/>
        <v>0</v>
      </c>
    </row>
    <row r="69" spans="1:49" hidden="1" outlineLevel="1">
      <c r="A69" s="116"/>
      <c r="B69" s="117"/>
      <c r="C69" s="117"/>
      <c r="D69" s="118"/>
      <c r="E69" s="119">
        <f t="shared" si="51"/>
        <v>0</v>
      </c>
      <c r="F69" s="119"/>
      <c r="G69" s="119"/>
      <c r="H69" s="119"/>
      <c r="I69" s="119"/>
      <c r="J69" s="119">
        <f t="shared" si="52"/>
        <v>0</v>
      </c>
      <c r="K69" s="116"/>
      <c r="L69" s="116"/>
      <c r="M69" s="116"/>
      <c r="N69" s="116"/>
      <c r="O69" s="119">
        <f t="shared" si="31"/>
        <v>0</v>
      </c>
      <c r="P69" s="119">
        <f t="shared" si="32"/>
        <v>0</v>
      </c>
      <c r="Q69" s="120"/>
      <c r="R69" s="120"/>
      <c r="S69" s="119">
        <f t="shared" si="33"/>
        <v>0</v>
      </c>
      <c r="T69" s="119"/>
      <c r="U69" s="119"/>
      <c r="V69" s="119">
        <f t="shared" si="34"/>
        <v>0</v>
      </c>
      <c r="W69" s="120"/>
      <c r="X69" s="120"/>
      <c r="Y69" s="119">
        <f t="shared" si="35"/>
        <v>0</v>
      </c>
      <c r="Z69" s="119">
        <f t="shared" si="55"/>
        <v>0</v>
      </c>
      <c r="AA69" s="121">
        <f t="shared" si="50"/>
        <v>0</v>
      </c>
      <c r="AB69" s="119">
        <f t="shared" si="37"/>
        <v>0</v>
      </c>
      <c r="AC69" s="120"/>
      <c r="AD69" s="121">
        <f t="shared" si="38"/>
        <v>0</v>
      </c>
      <c r="AE69" s="120"/>
      <c r="AF69" s="120"/>
      <c r="AG69" s="120"/>
      <c r="AH69" s="120"/>
      <c r="AI69" s="154">
        <f t="shared" si="53"/>
        <v>0</v>
      </c>
      <c r="AJ69" s="120"/>
      <c r="AK69" s="122">
        <f t="shared" si="40"/>
        <v>0</v>
      </c>
      <c r="AL69" s="123">
        <f t="shared" si="41"/>
        <v>0</v>
      </c>
      <c r="AM69" s="124"/>
      <c r="AN69" s="125">
        <f t="shared" si="42"/>
        <v>0</v>
      </c>
      <c r="AO69" s="126">
        <f t="shared" si="43"/>
        <v>0</v>
      </c>
      <c r="AP69" s="126">
        <f t="shared" si="44"/>
        <v>0</v>
      </c>
      <c r="AQ69" s="126">
        <f t="shared" si="45"/>
        <v>0</v>
      </c>
      <c r="AR69" s="126">
        <f t="shared" si="46"/>
        <v>0</v>
      </c>
      <c r="AS69" s="126">
        <f t="array" ref="AS69">_xlfn.IFS(S69=0,AL69,S69&lt;0,AL69/-S69,S69&gt;0,AL69/S69)</f>
        <v>0</v>
      </c>
      <c r="AT69" s="121">
        <f t="shared" si="47"/>
        <v>0</v>
      </c>
      <c r="AU69" s="121">
        <f t="shared" si="48"/>
        <v>0</v>
      </c>
      <c r="AV69" s="127"/>
      <c r="AW69" s="122">
        <f t="shared" si="54"/>
        <v>0</v>
      </c>
    </row>
    <row r="70" spans="1:49" hidden="1" outlineLevel="1">
      <c r="A70" s="116"/>
      <c r="B70" s="117"/>
      <c r="C70" s="117"/>
      <c r="D70" s="118"/>
      <c r="E70" s="119">
        <f t="shared" si="51"/>
        <v>0</v>
      </c>
      <c r="F70" s="119"/>
      <c r="G70" s="119"/>
      <c r="H70" s="119"/>
      <c r="I70" s="119"/>
      <c r="J70" s="119">
        <f t="shared" si="52"/>
        <v>0</v>
      </c>
      <c r="K70" s="116"/>
      <c r="L70" s="116"/>
      <c r="M70" s="116"/>
      <c r="N70" s="116"/>
      <c r="O70" s="119">
        <f t="shared" si="31"/>
        <v>0</v>
      </c>
      <c r="P70" s="119">
        <f t="shared" si="32"/>
        <v>0</v>
      </c>
      <c r="Q70" s="120"/>
      <c r="R70" s="120"/>
      <c r="S70" s="119">
        <f t="shared" si="33"/>
        <v>0</v>
      </c>
      <c r="T70" s="119"/>
      <c r="U70" s="119"/>
      <c r="V70" s="119">
        <f t="shared" si="34"/>
        <v>0</v>
      </c>
      <c r="W70" s="120"/>
      <c r="X70" s="120"/>
      <c r="Y70" s="119">
        <f t="shared" si="35"/>
        <v>0</v>
      </c>
      <c r="Z70" s="119">
        <f t="shared" si="55"/>
        <v>0</v>
      </c>
      <c r="AA70" s="121">
        <f t="shared" si="50"/>
        <v>0</v>
      </c>
      <c r="AB70" s="119">
        <f t="shared" si="37"/>
        <v>0</v>
      </c>
      <c r="AC70" s="120"/>
      <c r="AD70" s="121">
        <f t="shared" si="38"/>
        <v>0</v>
      </c>
      <c r="AE70" s="120"/>
      <c r="AF70" s="120"/>
      <c r="AG70" s="120"/>
      <c r="AH70" s="120"/>
      <c r="AI70" s="154">
        <f t="shared" si="53"/>
        <v>0</v>
      </c>
      <c r="AJ70" s="120"/>
      <c r="AK70" s="122">
        <f t="shared" si="40"/>
        <v>0</v>
      </c>
      <c r="AL70" s="123">
        <f t="shared" si="41"/>
        <v>0</v>
      </c>
      <c r="AM70" s="124"/>
      <c r="AN70" s="125">
        <f t="shared" si="42"/>
        <v>0</v>
      </c>
      <c r="AO70" s="126">
        <f t="shared" si="43"/>
        <v>0</v>
      </c>
      <c r="AP70" s="126">
        <f t="shared" si="44"/>
        <v>0</v>
      </c>
      <c r="AQ70" s="126">
        <f t="shared" si="45"/>
        <v>0</v>
      </c>
      <c r="AR70" s="126">
        <f t="shared" si="46"/>
        <v>0</v>
      </c>
      <c r="AS70" s="126">
        <f t="array" ref="AS70">_xlfn.IFS(S70=0,AL70,S70&lt;0,AL70/-S70,S70&gt;0,AL70/S70)</f>
        <v>0</v>
      </c>
      <c r="AT70" s="121">
        <f t="shared" si="47"/>
        <v>0</v>
      </c>
      <c r="AU70" s="121">
        <f t="shared" si="48"/>
        <v>0</v>
      </c>
      <c r="AV70" s="127"/>
      <c r="AW70" s="122">
        <f t="shared" si="54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6">AVERAGE(AO19:AO70)</f>
        <v>0</v>
      </c>
      <c r="AP71" s="163">
        <f t="shared" si="56"/>
        <v>0</v>
      </c>
      <c r="AQ71" s="163">
        <f t="shared" si="56"/>
        <v>0</v>
      </c>
      <c r="AR71" s="163">
        <f t="shared" si="56"/>
        <v>0</v>
      </c>
      <c r="AS71" s="163">
        <f t="shared" si="56"/>
        <v>0</v>
      </c>
      <c r="AT71" s="164">
        <f t="shared" si="56"/>
        <v>0</v>
      </c>
      <c r="AU71" s="164">
        <f t="shared" si="56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7">SUM(Q19:Q70)</f>
        <v>0</v>
      </c>
      <c r="R72" s="167">
        <f t="shared" si="57"/>
        <v>0</v>
      </c>
      <c r="S72" s="167">
        <f t="shared" si="57"/>
        <v>0</v>
      </c>
      <c r="T72" s="167">
        <f t="shared" si="57"/>
        <v>0</v>
      </c>
      <c r="U72" s="167">
        <f t="shared" si="57"/>
        <v>0</v>
      </c>
      <c r="V72" s="167">
        <f t="shared" si="57"/>
        <v>0</v>
      </c>
      <c r="W72" s="167">
        <f t="shared" si="57"/>
        <v>0</v>
      </c>
      <c r="X72" s="167">
        <f t="shared" si="57"/>
        <v>0</v>
      </c>
      <c r="Y72" s="167">
        <f t="shared" si="57"/>
        <v>0</v>
      </c>
      <c r="Z72" s="167">
        <f t="shared" si="57"/>
        <v>0</v>
      </c>
      <c r="AA72" s="168">
        <f t="shared" si="57"/>
        <v>0</v>
      </c>
      <c r="AB72" s="169">
        <f t="shared" si="57"/>
        <v>0</v>
      </c>
      <c r="AC72" s="167">
        <f t="shared" si="57"/>
        <v>0</v>
      </c>
      <c r="AD72" s="168" t="e">
        <f>AC72/Y72</f>
        <v>#DIV/0!</v>
      </c>
      <c r="AE72" s="167">
        <f t="shared" ref="AE72:AK72" si="58">SUM(AE19:AE70)</f>
        <v>0</v>
      </c>
      <c r="AF72" s="167">
        <f t="shared" si="58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8"/>
        <v>0</v>
      </c>
      <c r="AK72" s="167">
        <f t="shared" si="58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183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9">E17+E72</f>
        <v>2312</v>
      </c>
      <c r="F74" s="190">
        <f t="shared" si="59"/>
        <v>52</v>
      </c>
      <c r="G74" s="190">
        <f t="shared" si="59"/>
        <v>10</v>
      </c>
      <c r="H74" s="190">
        <f t="shared" si="59"/>
        <v>2250</v>
      </c>
      <c r="I74" s="190">
        <f t="shared" si="59"/>
        <v>0</v>
      </c>
      <c r="J74" s="190">
        <f t="shared" si="59"/>
        <v>315658.11</v>
      </c>
      <c r="K74" s="190">
        <f t="shared" si="59"/>
        <v>0</v>
      </c>
      <c r="L74" s="190">
        <f t="shared" si="59"/>
        <v>86</v>
      </c>
      <c r="M74" s="190">
        <f t="shared" si="59"/>
        <v>0</v>
      </c>
      <c r="N74" s="190">
        <f t="shared" si="59"/>
        <v>0</v>
      </c>
      <c r="O74" s="190">
        <f t="shared" si="59"/>
        <v>0</v>
      </c>
      <c r="P74" s="190">
        <f t="shared" si="59"/>
        <v>0</v>
      </c>
      <c r="Q74" s="190">
        <f t="shared" si="59"/>
        <v>49</v>
      </c>
      <c r="R74" s="190">
        <f t="shared" si="59"/>
        <v>-2</v>
      </c>
      <c r="S74" s="190">
        <f t="shared" si="59"/>
        <v>47</v>
      </c>
      <c r="T74" s="190">
        <f t="shared" si="59"/>
        <v>44338.880000000005</v>
      </c>
      <c r="U74" s="190">
        <f t="shared" si="59"/>
        <v>-1888</v>
      </c>
      <c r="V74" s="190">
        <f t="shared" si="59"/>
        <v>42450.880000000005</v>
      </c>
      <c r="W74" s="190">
        <f t="shared" si="59"/>
        <v>59321.67</v>
      </c>
      <c r="X74" s="190">
        <f t="shared" si="59"/>
        <v>-2412</v>
      </c>
      <c r="Y74" s="190">
        <f t="shared" si="59"/>
        <v>56909.67</v>
      </c>
      <c r="Z74" s="190">
        <f t="shared" si="59"/>
        <v>69091.199999999997</v>
      </c>
      <c r="AA74" s="191">
        <f t="shared" si="59"/>
        <v>0.99999999999999989</v>
      </c>
      <c r="AB74" s="192">
        <f t="shared" si="59"/>
        <v>6764.5200000000013</v>
      </c>
      <c r="AC74" s="190">
        <f t="shared" si="59"/>
        <v>20543.919999999998</v>
      </c>
      <c r="AD74" s="191">
        <f>AC74/Y74</f>
        <v>0.36099172601071133</v>
      </c>
      <c r="AE74" s="192">
        <f>AE17+AE72</f>
        <v>6115.35</v>
      </c>
      <c r="AF74" s="193">
        <f>AF17+AF72</f>
        <v>5916</v>
      </c>
      <c r="AG74" s="193">
        <f>AG17+AG72</f>
        <v>2033</v>
      </c>
      <c r="AH74" s="193">
        <f>AH17+AH72</f>
        <v>0</v>
      </c>
      <c r="AI74" s="194">
        <v>1438.99</v>
      </c>
      <c r="AJ74" s="190">
        <f>AJ17+AJ72</f>
        <v>0</v>
      </c>
      <c r="AK74" s="190">
        <f>AK17+AK72</f>
        <v>424.50880000000001</v>
      </c>
      <c r="AL74" s="190">
        <f>AL17+AL72</f>
        <v>13673.3812</v>
      </c>
      <c r="AM74" s="190"/>
      <c r="AN74" s="190"/>
      <c r="AO74" s="190"/>
      <c r="AP74" s="190"/>
      <c r="AQ74" s="190"/>
      <c r="AR74" s="190">
        <f>(AF74+AG74)/Q74</f>
        <v>162.22448979591837</v>
      </c>
      <c r="AS74" s="190"/>
      <c r="AT74" s="190"/>
      <c r="AU74" s="190"/>
      <c r="AV74" s="195"/>
      <c r="AW74" s="190">
        <f>AW17+AW72</f>
        <v>39419.539397037079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>
        <f>AF18+AF73</f>
        <v>0</v>
      </c>
      <c r="AG75" s="299"/>
      <c r="AH75" s="183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F1:AG1"/>
    <mergeCell ref="AN1:AU1"/>
    <mergeCell ref="AF18:AG18"/>
    <mergeCell ref="AF73:AG73"/>
    <mergeCell ref="AF75:AG75"/>
    <mergeCell ref="F1:H1"/>
    <mergeCell ref="L1:N1"/>
    <mergeCell ref="Q1:R1"/>
    <mergeCell ref="T1:U1"/>
    <mergeCell ref="W1:X1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108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 t="shared" ref="E3:E15" si="0">SUM(F3:H3)</f>
        <v>430</v>
      </c>
      <c r="F3" s="119">
        <v>19</v>
      </c>
      <c r="G3" s="119">
        <v>2</v>
      </c>
      <c r="H3" s="119">
        <v>409</v>
      </c>
      <c r="I3" s="119">
        <v>142.97999999999999</v>
      </c>
      <c r="J3" s="119">
        <f t="shared" ref="J3:J15" si="1">E3*I3</f>
        <v>61481.399999999994</v>
      </c>
      <c r="K3" s="116">
        <v>262</v>
      </c>
      <c r="L3" s="116">
        <v>21</v>
      </c>
      <c r="M3" s="116">
        <v>1238</v>
      </c>
      <c r="N3" s="116">
        <v>80</v>
      </c>
      <c r="O3" s="215">
        <f t="shared" ref="O3:O15" si="2">L3/7</f>
        <v>3</v>
      </c>
      <c r="P3" s="119">
        <f t="shared" ref="P3" si="3">S3/7</f>
        <v>1.4285714285714286</v>
      </c>
      <c r="Q3" s="120">
        <v>10</v>
      </c>
      <c r="R3" s="120">
        <v>0</v>
      </c>
      <c r="S3" s="119">
        <f>Q3+R3</f>
        <v>10</v>
      </c>
      <c r="T3" s="120">
        <v>10062.049999999999</v>
      </c>
      <c r="U3" s="120">
        <v>0</v>
      </c>
      <c r="V3" s="119">
        <f>T3+U3</f>
        <v>10062.049999999999</v>
      </c>
      <c r="W3" s="120">
        <v>12442.27</v>
      </c>
      <c r="X3" s="120">
        <v>0</v>
      </c>
      <c r="Y3" s="119">
        <f t="shared" ref="Y3:Y15" si="4">W3+X3</f>
        <v>12442.27</v>
      </c>
      <c r="Z3" s="119">
        <f>L3*M3*N3/100</f>
        <v>20798.400000000001</v>
      </c>
      <c r="AA3" s="121">
        <f t="shared" ref="AA3:AA15" si="5">Y3/$Y$74</f>
        <v>0.22319678597862364</v>
      </c>
      <c r="AB3" s="119">
        <f>S3*I3</f>
        <v>1429.8</v>
      </c>
      <c r="AC3" s="120">
        <v>4457.0200000000013</v>
      </c>
      <c r="AD3" s="121">
        <f t="shared" ref="AD3:AD15" si="6">IF(Y3=0,0,AC3/Y3)</f>
        <v>0.35821598470375593</v>
      </c>
      <c r="AE3" s="120">
        <v>1259.1499999999999</v>
      </c>
      <c r="AF3" s="120">
        <v>1000</v>
      </c>
      <c r="AG3" s="120">
        <v>1196</v>
      </c>
      <c r="AH3" s="120"/>
      <c r="AI3" s="154">
        <f t="shared" ref="AI3:AI15" si="7">IFERROR($AI$74*H3/$H$74,0)</f>
        <v>242.77555361813427</v>
      </c>
      <c r="AJ3" s="120">
        <v>0</v>
      </c>
      <c r="AK3" s="122">
        <f>V3*1%</f>
        <v>100.62049999999999</v>
      </c>
      <c r="AL3" s="123">
        <f>Y3-AB3-AC3-AE3-AF3-AG3-AH3-AI3-AK3-AJ3</f>
        <v>2756.9039463818658</v>
      </c>
      <c r="AM3" s="124"/>
      <c r="AN3" s="125">
        <f t="shared" ref="AN3:AN15" si="8">IF(S3=0,0,Y3/S3)</f>
        <v>1244.2270000000001</v>
      </c>
      <c r="AO3" s="126">
        <f t="shared" ref="AO3:AO15" si="9">I3</f>
        <v>142.97999999999999</v>
      </c>
      <c r="AP3" s="126">
        <f t="shared" ref="AP3:AP15" si="10">IF(S3=0,0,AC3/S3)</f>
        <v>445.70200000000011</v>
      </c>
      <c r="AQ3" s="126">
        <f>IF(Q3=0,AE3/1,AE3/Q3)</f>
        <v>125.91499999999999</v>
      </c>
      <c r="AR3" s="126">
        <f>IF(Q3=0,0,(AF3+AG3)/Q3)</f>
        <v>219.6</v>
      </c>
      <c r="AS3" s="126">
        <f>_xlfn.IFS(S3=0,AL3,S3&lt;0,AL3/-S3,S3&gt;0,AL3/S3)</f>
        <v>275.6903946381866</v>
      </c>
      <c r="AT3" s="121">
        <f t="shared" ref="AT3" si="11">IF(AN3=0,0,AS3/AN3)</f>
        <v>0.22157564064932411</v>
      </c>
      <c r="AU3" s="121">
        <f t="shared" ref="AU3" si="12">IF(AO3=0,0,AS3/AO3)</f>
        <v>1.9281745323694686</v>
      </c>
      <c r="AV3" s="127"/>
      <c r="AW3" s="122">
        <f t="shared" ref="AW3:AW15" si="13">AS3*E3</f>
        <v>118546.86969442024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 t="shared" si="0"/>
        <v>289</v>
      </c>
      <c r="F4" s="119" t="s">
        <v>145</v>
      </c>
      <c r="G4" s="119">
        <v>2</v>
      </c>
      <c r="H4" s="119">
        <v>287</v>
      </c>
      <c r="I4" s="119">
        <v>123.09</v>
      </c>
      <c r="J4" s="119">
        <f t="shared" si="1"/>
        <v>35573.01</v>
      </c>
      <c r="K4" s="116">
        <v>999</v>
      </c>
      <c r="L4" s="116">
        <v>0</v>
      </c>
      <c r="M4" s="116">
        <v>0</v>
      </c>
      <c r="N4" s="116">
        <v>0</v>
      </c>
      <c r="O4" s="215">
        <f t="shared" si="2"/>
        <v>0</v>
      </c>
      <c r="P4" s="119">
        <f>S4/7</f>
        <v>0</v>
      </c>
      <c r="Q4" s="120">
        <v>0</v>
      </c>
      <c r="R4" s="120">
        <v>0</v>
      </c>
      <c r="S4" s="119">
        <f t="shared" ref="S4:S15" si="14">Q4+R4</f>
        <v>0</v>
      </c>
      <c r="T4" s="120">
        <v>0</v>
      </c>
      <c r="U4" s="120">
        <v>0</v>
      </c>
      <c r="V4" s="119">
        <f t="shared" ref="V4:V15" si="15">T4+U4</f>
        <v>0</v>
      </c>
      <c r="W4" s="120">
        <v>0</v>
      </c>
      <c r="X4" s="120">
        <v>0</v>
      </c>
      <c r="Y4" s="119">
        <f t="shared" si="4"/>
        <v>0</v>
      </c>
      <c r="Z4" s="119">
        <f t="shared" ref="Z4:Z15" si="16">L4*M4*N4/100</f>
        <v>0</v>
      </c>
      <c r="AA4" s="121">
        <f t="shared" si="5"/>
        <v>0</v>
      </c>
      <c r="AB4" s="119">
        <f t="shared" ref="AB4:AB15" si="17">S4*I4</f>
        <v>0</v>
      </c>
      <c r="AC4" s="120">
        <v>0</v>
      </c>
      <c r="AD4" s="121">
        <f t="shared" si="6"/>
        <v>0</v>
      </c>
      <c r="AE4" s="120">
        <v>0</v>
      </c>
      <c r="AF4" s="120"/>
      <c r="AG4" s="120"/>
      <c r="AH4" s="120"/>
      <c r="AI4" s="154">
        <f t="shared" si="7"/>
        <v>170.35839581517001</v>
      </c>
      <c r="AJ4" s="120">
        <v>0</v>
      </c>
      <c r="AK4" s="122">
        <f t="shared" ref="AK4:AK15" si="18">V4*1%</f>
        <v>0</v>
      </c>
      <c r="AL4" s="123">
        <f t="shared" ref="AL4:AL15" si="19">Y4-AB4-AC4-AE4-AF4-AG4-AH4-AI4-AK4-AJ4</f>
        <v>-170.35839581517001</v>
      </c>
      <c r="AM4" s="124"/>
      <c r="AN4" s="125">
        <f t="shared" si="8"/>
        <v>0</v>
      </c>
      <c r="AO4" s="126">
        <f t="shared" si="9"/>
        <v>123.09</v>
      </c>
      <c r="AP4" s="126">
        <f t="shared" si="10"/>
        <v>0</v>
      </c>
      <c r="AQ4" s="126">
        <f t="shared" ref="AQ4:AQ15" si="20">IF(Q4=0,AE4/1,AE4/Q4)</f>
        <v>0</v>
      </c>
      <c r="AR4" s="126">
        <f t="shared" ref="AR4:AR15" si="21">IF(Q4=0,0,(AF4+AG4)/Q4)</f>
        <v>0</v>
      </c>
      <c r="AS4" s="126">
        <f t="array" ref="AS4">_xlfn.IFS(S4=0,AL4,S4&lt;0,AL4/-S4,S4&gt;0,AL4/S4)</f>
        <v>-170.35839581517001</v>
      </c>
      <c r="AT4" s="121">
        <f>IF(AN4=0,0,AS4/AN4)</f>
        <v>0</v>
      </c>
      <c r="AU4" s="121">
        <f>IF(AO4=0,0,AS4/AO4)</f>
        <v>-1.3840149144135998</v>
      </c>
      <c r="AV4" s="127"/>
      <c r="AW4" s="122">
        <f t="shared" si="13"/>
        <v>-49233.57639058413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 t="shared" si="0"/>
        <v>378</v>
      </c>
      <c r="F5" s="119" t="s">
        <v>145</v>
      </c>
      <c r="G5" s="119" t="s">
        <v>145</v>
      </c>
      <c r="H5" s="119">
        <v>378</v>
      </c>
      <c r="I5" s="119">
        <v>123.09</v>
      </c>
      <c r="J5" s="119">
        <f t="shared" si="1"/>
        <v>46528.020000000004</v>
      </c>
      <c r="K5" s="116">
        <v>999</v>
      </c>
      <c r="L5" s="116">
        <v>0</v>
      </c>
      <c r="M5" s="116">
        <v>0</v>
      </c>
      <c r="N5" s="116">
        <v>0</v>
      </c>
      <c r="O5" s="215">
        <f t="shared" si="2"/>
        <v>0</v>
      </c>
      <c r="P5" s="119">
        <f>S5/7</f>
        <v>0.14285714285714285</v>
      </c>
      <c r="Q5" s="120">
        <v>1</v>
      </c>
      <c r="R5" s="120">
        <v>0</v>
      </c>
      <c r="S5" s="119">
        <f t="shared" si="14"/>
        <v>1</v>
      </c>
      <c r="T5" s="120">
        <v>0</v>
      </c>
      <c r="U5" s="120">
        <v>0</v>
      </c>
      <c r="V5" s="119">
        <f t="shared" si="15"/>
        <v>0</v>
      </c>
      <c r="W5" s="120">
        <v>0</v>
      </c>
      <c r="X5" s="120">
        <v>0</v>
      </c>
      <c r="Y5" s="119">
        <f t="shared" si="4"/>
        <v>0</v>
      </c>
      <c r="Z5" s="119">
        <f t="shared" si="16"/>
        <v>0</v>
      </c>
      <c r="AA5" s="121">
        <f t="shared" si="5"/>
        <v>0</v>
      </c>
      <c r="AB5" s="119">
        <f t="shared" si="17"/>
        <v>123.09</v>
      </c>
      <c r="AC5" s="120">
        <v>-817.91</v>
      </c>
      <c r="AD5" s="121">
        <f t="shared" si="6"/>
        <v>0</v>
      </c>
      <c r="AE5" s="120">
        <v>0</v>
      </c>
      <c r="AF5" s="120"/>
      <c r="AG5" s="120"/>
      <c r="AH5" s="120"/>
      <c r="AI5" s="154">
        <f t="shared" si="7"/>
        <v>224.37447253705321</v>
      </c>
      <c r="AJ5" s="120">
        <v>0</v>
      </c>
      <c r="AK5" s="122">
        <f t="shared" si="18"/>
        <v>0</v>
      </c>
      <c r="AL5" s="123">
        <f t="shared" si="19"/>
        <v>470.44552746294676</v>
      </c>
      <c r="AM5" s="124"/>
      <c r="AN5" s="125">
        <f t="shared" si="8"/>
        <v>0</v>
      </c>
      <c r="AO5" s="126">
        <f t="shared" si="9"/>
        <v>123.09</v>
      </c>
      <c r="AP5" s="126">
        <f t="shared" si="10"/>
        <v>-817.91</v>
      </c>
      <c r="AQ5" s="126">
        <f t="shared" si="20"/>
        <v>0</v>
      </c>
      <c r="AR5" s="126">
        <f t="shared" si="21"/>
        <v>0</v>
      </c>
      <c r="AS5" s="126">
        <f t="array" ref="AS5">_xlfn.IFS(S5=0,AL5,S5&lt;0,AL5/-S5,S5&gt;0,AL5/S5)</f>
        <v>470.44552746294676</v>
      </c>
      <c r="AT5" s="121">
        <f>IF(AN5=0,0,AS5/AN5)</f>
        <v>0</v>
      </c>
      <c r="AU5" s="121">
        <f>IF(AO5=0,0,AS5/AO5)</f>
        <v>3.8219638269798257</v>
      </c>
      <c r="AV5" s="127"/>
      <c r="AW5" s="122">
        <f t="shared" si="13"/>
        <v>177828.40938099386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 t="shared" si="0"/>
        <v>355</v>
      </c>
      <c r="F6" s="119">
        <v>4</v>
      </c>
      <c r="G6" s="119">
        <v>2</v>
      </c>
      <c r="H6" s="119">
        <v>349</v>
      </c>
      <c r="I6" s="119">
        <v>123.09</v>
      </c>
      <c r="J6" s="119">
        <f t="shared" si="1"/>
        <v>43696.950000000004</v>
      </c>
      <c r="K6" s="116">
        <v>564</v>
      </c>
      <c r="L6" s="116">
        <v>4</v>
      </c>
      <c r="M6" s="116">
        <v>1114</v>
      </c>
      <c r="N6" s="116">
        <v>100</v>
      </c>
      <c r="O6" s="215">
        <f t="shared" si="2"/>
        <v>0.5714285714285714</v>
      </c>
      <c r="P6" s="119">
        <f t="shared" ref="P6:P15" si="22">S6/7</f>
        <v>0.8571428571428571</v>
      </c>
      <c r="Q6" s="120">
        <v>6</v>
      </c>
      <c r="R6" s="120">
        <v>0</v>
      </c>
      <c r="S6" s="119">
        <f t="shared" si="14"/>
        <v>6</v>
      </c>
      <c r="T6" s="120">
        <v>5408</v>
      </c>
      <c r="U6" s="120">
        <v>0</v>
      </c>
      <c r="V6" s="119">
        <f t="shared" si="15"/>
        <v>5408</v>
      </c>
      <c r="W6" s="120">
        <v>6746</v>
      </c>
      <c r="X6" s="120">
        <v>0</v>
      </c>
      <c r="Y6" s="119">
        <f t="shared" si="4"/>
        <v>6746</v>
      </c>
      <c r="Z6" s="119">
        <f t="shared" si="16"/>
        <v>4456</v>
      </c>
      <c r="AA6" s="121">
        <f t="shared" si="5"/>
        <v>0.12101373127345694</v>
      </c>
      <c r="AB6" s="119">
        <f t="shared" si="17"/>
        <v>738.54</v>
      </c>
      <c r="AC6" s="120">
        <v>2452.4499999999998</v>
      </c>
      <c r="AD6" s="121">
        <f t="shared" si="6"/>
        <v>0.36354135784168395</v>
      </c>
      <c r="AE6" s="120">
        <v>654.6</v>
      </c>
      <c r="AF6" s="120">
        <v>409</v>
      </c>
      <c r="AG6" s="120">
        <v>411</v>
      </c>
      <c r="AH6" s="120"/>
      <c r="AI6" s="154">
        <f t="shared" si="7"/>
        <v>207.16055797733216</v>
      </c>
      <c r="AJ6" s="120">
        <v>0</v>
      </c>
      <c r="AK6" s="122">
        <f t="shared" si="18"/>
        <v>54.08</v>
      </c>
      <c r="AL6" s="123">
        <f t="shared" si="19"/>
        <v>1819.1694420226681</v>
      </c>
      <c r="AM6" s="124"/>
      <c r="AN6" s="125">
        <f t="shared" si="8"/>
        <v>1124.3333333333333</v>
      </c>
      <c r="AO6" s="126">
        <f t="shared" si="9"/>
        <v>123.09</v>
      </c>
      <c r="AP6" s="126">
        <f t="shared" si="10"/>
        <v>408.74166666666662</v>
      </c>
      <c r="AQ6" s="126">
        <f t="shared" si="20"/>
        <v>109.10000000000001</v>
      </c>
      <c r="AR6" s="126">
        <f t="shared" si="21"/>
        <v>136.66666666666666</v>
      </c>
      <c r="AS6" s="126">
        <f t="array" ref="AS6">_xlfn.IFS(S6=0,AL6,S6&lt;0,AL6/-S6,S6&gt;0,AL6/S6)</f>
        <v>303.19490700377804</v>
      </c>
      <c r="AT6" s="121">
        <f t="shared" ref="AT6:AT15" si="23">IF(AN6=0,0,AS6/AN6)</f>
        <v>0.26966638630635464</v>
      </c>
      <c r="AU6" s="121">
        <f t="shared" ref="AU6:AU15" si="24">IF(AO6=0,0,AS6/AO6)</f>
        <v>2.4631969047345685</v>
      </c>
      <c r="AV6" s="127"/>
      <c r="AW6" s="122">
        <f t="shared" si="13"/>
        <v>107634.1919863412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 t="shared" si="0"/>
        <v>285</v>
      </c>
      <c r="F7" s="119">
        <v>1</v>
      </c>
      <c r="G7" s="119">
        <v>1</v>
      </c>
      <c r="H7" s="119">
        <v>283</v>
      </c>
      <c r="I7" s="119">
        <v>123.09</v>
      </c>
      <c r="J7" s="119">
        <f t="shared" si="1"/>
        <v>35080.65</v>
      </c>
      <c r="K7" s="116">
        <v>999</v>
      </c>
      <c r="L7" s="116">
        <v>2</v>
      </c>
      <c r="M7" s="116">
        <v>1079</v>
      </c>
      <c r="N7" s="116">
        <v>0</v>
      </c>
      <c r="O7" s="215">
        <f t="shared" si="2"/>
        <v>0.2857142857142857</v>
      </c>
      <c r="P7" s="119">
        <f t="shared" si="22"/>
        <v>0</v>
      </c>
      <c r="Q7" s="120">
        <v>0</v>
      </c>
      <c r="R7" s="120">
        <v>0</v>
      </c>
      <c r="S7" s="119">
        <f t="shared" si="14"/>
        <v>0</v>
      </c>
      <c r="T7" s="120">
        <v>0</v>
      </c>
      <c r="U7" s="120">
        <v>0</v>
      </c>
      <c r="V7" s="119">
        <f t="shared" si="15"/>
        <v>0</v>
      </c>
      <c r="W7" s="120">
        <v>0</v>
      </c>
      <c r="X7" s="120">
        <v>0</v>
      </c>
      <c r="Y7" s="119">
        <f t="shared" si="4"/>
        <v>0</v>
      </c>
      <c r="Z7" s="119">
        <f t="shared" si="16"/>
        <v>0</v>
      </c>
      <c r="AA7" s="121">
        <f t="shared" si="5"/>
        <v>0</v>
      </c>
      <c r="AB7" s="119">
        <f t="shared" si="17"/>
        <v>0</v>
      </c>
      <c r="AC7" s="120">
        <v>0</v>
      </c>
      <c r="AD7" s="121">
        <f t="shared" si="6"/>
        <v>0</v>
      </c>
      <c r="AE7" s="120">
        <v>96.4</v>
      </c>
      <c r="AF7" s="120"/>
      <c r="AG7" s="120">
        <v>29</v>
      </c>
      <c r="AH7" s="120"/>
      <c r="AI7" s="154">
        <f t="shared" si="7"/>
        <v>167.98406277244987</v>
      </c>
      <c r="AJ7" s="120">
        <v>0</v>
      </c>
      <c r="AK7" s="122">
        <f t="shared" si="18"/>
        <v>0</v>
      </c>
      <c r="AL7" s="123">
        <f t="shared" si="19"/>
        <v>-293.38406277244985</v>
      </c>
      <c r="AM7" s="124"/>
      <c r="AN7" s="125">
        <f t="shared" si="8"/>
        <v>0</v>
      </c>
      <c r="AO7" s="126">
        <f t="shared" si="9"/>
        <v>123.09</v>
      </c>
      <c r="AP7" s="126">
        <f t="shared" si="10"/>
        <v>0</v>
      </c>
      <c r="AQ7" s="126">
        <f t="shared" si="20"/>
        <v>96.4</v>
      </c>
      <c r="AR7" s="126">
        <f t="shared" si="21"/>
        <v>0</v>
      </c>
      <c r="AS7" s="126">
        <f t="array" ref="AS7">_xlfn.IFS(S7=0,AL7,S7&lt;0,AL7/-S7,S7&gt;0,AL7/S7)</f>
        <v>-293.38406277244985</v>
      </c>
      <c r="AT7" s="121">
        <f t="shared" si="23"/>
        <v>0</v>
      </c>
      <c r="AU7" s="121">
        <f t="shared" si="24"/>
        <v>-2.3834922639731078</v>
      </c>
      <c r="AV7" s="127"/>
      <c r="AW7" s="122">
        <f t="shared" si="13"/>
        <v>-83614.457890148202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 t="shared" si="0"/>
        <v>123</v>
      </c>
      <c r="F8" s="119">
        <v>10</v>
      </c>
      <c r="G8" s="119">
        <v>4</v>
      </c>
      <c r="H8" s="119">
        <v>109</v>
      </c>
      <c r="I8" s="119">
        <v>123.09</v>
      </c>
      <c r="J8" s="119">
        <f t="shared" si="1"/>
        <v>15140.07</v>
      </c>
      <c r="K8" s="116">
        <v>37</v>
      </c>
      <c r="L8" s="116">
        <v>16</v>
      </c>
      <c r="M8" s="116">
        <v>1191</v>
      </c>
      <c r="N8" s="116">
        <v>88</v>
      </c>
      <c r="O8" s="215">
        <f t="shared" si="2"/>
        <v>2.2857142857142856</v>
      </c>
      <c r="P8" s="119">
        <f t="shared" si="22"/>
        <v>3.1428571428571428</v>
      </c>
      <c r="Q8" s="120">
        <v>22</v>
      </c>
      <c r="R8" s="120">
        <v>0</v>
      </c>
      <c r="S8" s="119">
        <f t="shared" si="14"/>
        <v>22</v>
      </c>
      <c r="T8" s="120">
        <v>21017.42</v>
      </c>
      <c r="U8" s="120">
        <v>0</v>
      </c>
      <c r="V8" s="119">
        <f t="shared" si="15"/>
        <v>21017.42</v>
      </c>
      <c r="W8" s="120">
        <v>26020.47</v>
      </c>
      <c r="X8" s="120">
        <v>0</v>
      </c>
      <c r="Y8" s="119">
        <f t="shared" si="4"/>
        <v>26020.47</v>
      </c>
      <c r="Z8" s="119">
        <f t="shared" si="16"/>
        <v>16769.28</v>
      </c>
      <c r="AA8" s="121">
        <f t="shared" si="5"/>
        <v>0.46677055502357667</v>
      </c>
      <c r="AB8" s="119">
        <f t="shared" si="17"/>
        <v>2707.98</v>
      </c>
      <c r="AC8" s="120">
        <v>9396.6700000000019</v>
      </c>
      <c r="AD8" s="121">
        <f t="shared" si="6"/>
        <v>0.36112606728471858</v>
      </c>
      <c r="AE8" s="120">
        <v>2224.1999999999998</v>
      </c>
      <c r="AF8" s="120">
        <v>1362</v>
      </c>
      <c r="AG8" s="120">
        <v>638</v>
      </c>
      <c r="AH8" s="120"/>
      <c r="AI8" s="154">
        <f t="shared" si="7"/>
        <v>64.700575414123804</v>
      </c>
      <c r="AJ8" s="120">
        <v>0</v>
      </c>
      <c r="AK8" s="122">
        <f t="shared" si="18"/>
        <v>210.17419999999998</v>
      </c>
      <c r="AL8" s="123">
        <f t="shared" si="19"/>
        <v>9416.7452245858749</v>
      </c>
      <c r="AM8" s="124"/>
      <c r="AN8" s="125">
        <f t="shared" si="8"/>
        <v>1182.7486363636365</v>
      </c>
      <c r="AO8" s="126">
        <f t="shared" si="9"/>
        <v>123.09</v>
      </c>
      <c r="AP8" s="126">
        <f t="shared" si="10"/>
        <v>427.1213636363637</v>
      </c>
      <c r="AQ8" s="126">
        <f t="shared" si="20"/>
        <v>101.1</v>
      </c>
      <c r="AR8" s="126">
        <f t="shared" si="21"/>
        <v>90.909090909090907</v>
      </c>
      <c r="AS8" s="126">
        <f t="array" ref="AS8">_xlfn.IFS(S8=0,AL8,S8&lt;0,AL8/-S8,S8&gt;0,AL8/S8)</f>
        <v>428.03387384481249</v>
      </c>
      <c r="AT8" s="121">
        <f t="shared" si="23"/>
        <v>0.361897583886297</v>
      </c>
      <c r="AU8" s="121">
        <f t="shared" si="24"/>
        <v>3.4774057506280971</v>
      </c>
      <c r="AV8" s="127"/>
      <c r="AW8" s="122">
        <f t="shared" si="13"/>
        <v>52648.166482911933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 t="shared" si="0"/>
        <v>268</v>
      </c>
      <c r="F9" s="119">
        <v>7</v>
      </c>
      <c r="G9" s="119">
        <v>1</v>
      </c>
      <c r="H9" s="119">
        <v>260</v>
      </c>
      <c r="I9" s="119">
        <v>169.89</v>
      </c>
      <c r="J9" s="119">
        <f t="shared" si="1"/>
        <v>45530.52</v>
      </c>
      <c r="K9" s="116">
        <v>569</v>
      </c>
      <c r="L9" s="116">
        <v>6</v>
      </c>
      <c r="M9" s="116">
        <v>1183</v>
      </c>
      <c r="N9" s="116">
        <v>100</v>
      </c>
      <c r="O9" s="215">
        <f t="shared" si="2"/>
        <v>0.8571428571428571</v>
      </c>
      <c r="P9" s="119">
        <f t="shared" si="22"/>
        <v>0.42857142857142855</v>
      </c>
      <c r="Q9" s="120">
        <v>4</v>
      </c>
      <c r="R9" s="120">
        <v>-1</v>
      </c>
      <c r="S9" s="119">
        <f t="shared" si="14"/>
        <v>3</v>
      </c>
      <c r="T9" s="120">
        <v>3752</v>
      </c>
      <c r="U9" s="120">
        <v>-948</v>
      </c>
      <c r="V9" s="119">
        <f t="shared" si="15"/>
        <v>2804</v>
      </c>
      <c r="W9" s="120">
        <v>4696</v>
      </c>
      <c r="X9" s="120">
        <v>-1174</v>
      </c>
      <c r="Y9" s="119">
        <f t="shared" si="4"/>
        <v>3522</v>
      </c>
      <c r="Z9" s="119">
        <f t="shared" si="16"/>
        <v>7098</v>
      </c>
      <c r="AA9" s="121">
        <f t="shared" si="5"/>
        <v>6.3179715615937646E-2</v>
      </c>
      <c r="AB9" s="119">
        <f t="shared" si="17"/>
        <v>509.66999999999996</v>
      </c>
      <c r="AC9" s="120">
        <v>1275.3899999999999</v>
      </c>
      <c r="AD9" s="121">
        <f t="shared" si="6"/>
        <v>0.3621209540034071</v>
      </c>
      <c r="AE9" s="120">
        <v>779.95</v>
      </c>
      <c r="AF9" s="120">
        <v>151</v>
      </c>
      <c r="AG9" s="120">
        <v>1190</v>
      </c>
      <c r="AH9" s="120"/>
      <c r="AI9" s="154">
        <f t="shared" si="7"/>
        <v>154.33164777680906</v>
      </c>
      <c r="AJ9" s="120">
        <v>0</v>
      </c>
      <c r="AK9" s="122">
        <f t="shared" si="18"/>
        <v>28.04</v>
      </c>
      <c r="AL9" s="123">
        <f t="shared" si="19"/>
        <v>-566.38164777680902</v>
      </c>
      <c r="AM9" s="124"/>
      <c r="AN9" s="125">
        <f t="shared" si="8"/>
        <v>1174</v>
      </c>
      <c r="AO9" s="126">
        <f t="shared" si="9"/>
        <v>169.89</v>
      </c>
      <c r="AP9" s="126">
        <f t="shared" si="10"/>
        <v>425.12999999999994</v>
      </c>
      <c r="AQ9" s="126">
        <f t="shared" si="20"/>
        <v>194.98750000000001</v>
      </c>
      <c r="AR9" s="126">
        <f t="shared" si="21"/>
        <v>335.25</v>
      </c>
      <c r="AS9" s="126">
        <f t="array" ref="AS9">_xlfn.IFS(S9=0,AL9,S9&lt;0,AL9/-S9,S9&gt;0,AL9/S9)</f>
        <v>-188.79388259226968</v>
      </c>
      <c r="AT9" s="121">
        <f t="shared" si="23"/>
        <v>-0.16081250646700995</v>
      </c>
      <c r="AU9" s="121">
        <f t="shared" si="24"/>
        <v>-1.1112713084482295</v>
      </c>
      <c r="AV9" s="127"/>
      <c r="AW9" s="122">
        <f t="shared" si="13"/>
        <v>-50596.760534728273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 t="shared" si="0"/>
        <v>40</v>
      </c>
      <c r="F10" s="119">
        <v>2</v>
      </c>
      <c r="G10" s="119">
        <v>1</v>
      </c>
      <c r="H10" s="119">
        <v>37</v>
      </c>
      <c r="I10" s="119">
        <v>169.89</v>
      </c>
      <c r="J10" s="119">
        <f t="shared" si="1"/>
        <v>6795.5999999999995</v>
      </c>
      <c r="K10" s="116">
        <v>414</v>
      </c>
      <c r="L10" s="116">
        <v>2</v>
      </c>
      <c r="M10" s="116">
        <v>1172</v>
      </c>
      <c r="N10" s="116">
        <v>100</v>
      </c>
      <c r="O10" s="215">
        <f t="shared" si="2"/>
        <v>0.2857142857142857</v>
      </c>
      <c r="P10" s="119">
        <f t="shared" si="22"/>
        <v>0.14285714285714285</v>
      </c>
      <c r="Q10" s="120">
        <v>1</v>
      </c>
      <c r="R10" s="120">
        <v>0</v>
      </c>
      <c r="S10" s="119">
        <f t="shared" si="14"/>
        <v>1</v>
      </c>
      <c r="T10" s="120">
        <v>919</v>
      </c>
      <c r="U10" s="120">
        <v>0</v>
      </c>
      <c r="V10" s="119">
        <f t="shared" si="15"/>
        <v>919</v>
      </c>
      <c r="W10" s="120">
        <v>1145</v>
      </c>
      <c r="X10" s="120">
        <v>0</v>
      </c>
      <c r="Y10" s="119">
        <f t="shared" si="4"/>
        <v>1145</v>
      </c>
      <c r="Z10" s="119">
        <f t="shared" si="16"/>
        <v>2344</v>
      </c>
      <c r="AA10" s="121">
        <f t="shared" si="5"/>
        <v>2.0539686081842305E-2</v>
      </c>
      <c r="AB10" s="119">
        <f t="shared" si="17"/>
        <v>169.89</v>
      </c>
      <c r="AC10" s="120">
        <v>419.12</v>
      </c>
      <c r="AD10" s="121">
        <f t="shared" si="6"/>
        <v>0.36604366812227074</v>
      </c>
      <c r="AE10" s="120">
        <v>152.94999999999999</v>
      </c>
      <c r="AF10" s="120"/>
      <c r="AG10" s="120"/>
      <c r="AH10" s="120"/>
      <c r="AI10" s="154">
        <f t="shared" si="7"/>
        <v>21.962580645161292</v>
      </c>
      <c r="AJ10" s="120">
        <v>0</v>
      </c>
      <c r="AK10" s="122">
        <f t="shared" si="18"/>
        <v>9.19</v>
      </c>
      <c r="AL10" s="123">
        <f t="shared" si="19"/>
        <v>371.88741935483876</v>
      </c>
      <c r="AM10" s="124"/>
      <c r="AN10" s="125">
        <f t="shared" si="8"/>
        <v>1145</v>
      </c>
      <c r="AO10" s="126">
        <f t="shared" si="9"/>
        <v>169.89</v>
      </c>
      <c r="AP10" s="126">
        <f t="shared" si="10"/>
        <v>419.12</v>
      </c>
      <c r="AQ10" s="126">
        <f t="shared" si="20"/>
        <v>152.94999999999999</v>
      </c>
      <c r="AR10" s="126">
        <f t="shared" si="21"/>
        <v>0</v>
      </c>
      <c r="AS10" s="126">
        <f t="array" ref="AS10">_xlfn.IFS(S10=0,AL10,S10&lt;0,AL10/-S10,S10&gt;0,AL10/S10)</f>
        <v>371.88741935483876</v>
      </c>
      <c r="AT10" s="121">
        <f t="shared" si="23"/>
        <v>0.32479250598675874</v>
      </c>
      <c r="AU10" s="121">
        <f t="shared" si="24"/>
        <v>2.1889894599731519</v>
      </c>
      <c r="AV10" s="127"/>
      <c r="AW10" s="122">
        <f t="shared" si="13"/>
        <v>14875.496774193551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 t="shared" si="0"/>
        <v>41</v>
      </c>
      <c r="F11" s="119">
        <v>1</v>
      </c>
      <c r="G11" s="119" t="s">
        <v>145</v>
      </c>
      <c r="H11" s="119">
        <v>40</v>
      </c>
      <c r="I11" s="119">
        <v>169.89</v>
      </c>
      <c r="J11" s="119">
        <f t="shared" si="1"/>
        <v>6965.49</v>
      </c>
      <c r="K11" s="116">
        <v>614</v>
      </c>
      <c r="L11" s="116">
        <v>1</v>
      </c>
      <c r="M11" s="116">
        <v>1090</v>
      </c>
      <c r="N11" s="116">
        <v>0</v>
      </c>
      <c r="O11" s="215">
        <f t="shared" si="2"/>
        <v>0.14285714285714285</v>
      </c>
      <c r="P11" s="119">
        <f t="shared" si="22"/>
        <v>0</v>
      </c>
      <c r="Q11" s="120">
        <v>0</v>
      </c>
      <c r="R11" s="120">
        <v>0</v>
      </c>
      <c r="S11" s="119">
        <f t="shared" si="14"/>
        <v>0</v>
      </c>
      <c r="T11" s="120">
        <v>0</v>
      </c>
      <c r="U11" s="120">
        <v>0</v>
      </c>
      <c r="V11" s="119">
        <f t="shared" si="15"/>
        <v>0</v>
      </c>
      <c r="W11" s="120">
        <v>0</v>
      </c>
      <c r="X11" s="120">
        <v>0</v>
      </c>
      <c r="Y11" s="119">
        <f t="shared" si="4"/>
        <v>0</v>
      </c>
      <c r="Z11" s="119">
        <f t="shared" si="16"/>
        <v>0</v>
      </c>
      <c r="AA11" s="121">
        <f t="shared" si="5"/>
        <v>0</v>
      </c>
      <c r="AB11" s="119">
        <f t="shared" si="17"/>
        <v>0</v>
      </c>
      <c r="AC11" s="120">
        <v>0</v>
      </c>
      <c r="AD11" s="121">
        <f t="shared" si="6"/>
        <v>0</v>
      </c>
      <c r="AE11" s="120">
        <v>106.55</v>
      </c>
      <c r="AF11" s="120"/>
      <c r="AG11" s="120"/>
      <c r="AH11" s="120"/>
      <c r="AI11" s="154">
        <f t="shared" si="7"/>
        <v>23.743330427201396</v>
      </c>
      <c r="AJ11" s="120">
        <v>0</v>
      </c>
      <c r="AK11" s="122">
        <f t="shared" si="18"/>
        <v>0</v>
      </c>
      <c r="AL11" s="123">
        <f t="shared" si="19"/>
        <v>-130.2933304272014</v>
      </c>
      <c r="AM11" s="124"/>
      <c r="AN11" s="125">
        <f t="shared" si="8"/>
        <v>0</v>
      </c>
      <c r="AO11" s="126">
        <f t="shared" si="9"/>
        <v>169.89</v>
      </c>
      <c r="AP11" s="126">
        <f t="shared" si="10"/>
        <v>0</v>
      </c>
      <c r="AQ11" s="126">
        <f t="shared" si="20"/>
        <v>106.55</v>
      </c>
      <c r="AR11" s="126">
        <f t="shared" si="21"/>
        <v>0</v>
      </c>
      <c r="AS11" s="126">
        <f t="array" ref="AS11">_xlfn.IFS(S11=0,AL11,S11&lt;0,AL11/-S11,S11&gt;0,AL11/S11)</f>
        <v>-130.2933304272014</v>
      </c>
      <c r="AT11" s="121">
        <f t="shared" si="23"/>
        <v>0</v>
      </c>
      <c r="AU11" s="121">
        <f t="shared" si="24"/>
        <v>-0.76692760272647831</v>
      </c>
      <c r="AV11" s="127"/>
      <c r="AW11" s="122">
        <f t="shared" si="13"/>
        <v>-5342.0265475152573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 t="shared" si="0"/>
        <v>47</v>
      </c>
      <c r="F12" s="119">
        <v>3</v>
      </c>
      <c r="G12" s="119">
        <v>2</v>
      </c>
      <c r="H12" s="119">
        <v>42</v>
      </c>
      <c r="I12" s="119">
        <v>169.89</v>
      </c>
      <c r="J12" s="119">
        <f t="shared" si="1"/>
        <v>7984.829999999999</v>
      </c>
      <c r="K12" s="116">
        <v>343</v>
      </c>
      <c r="L12" s="116">
        <v>4</v>
      </c>
      <c r="M12" s="116">
        <v>1166</v>
      </c>
      <c r="N12" s="116">
        <v>0</v>
      </c>
      <c r="O12" s="215">
        <f t="shared" si="2"/>
        <v>0.5714285714285714</v>
      </c>
      <c r="P12" s="119">
        <f t="shared" si="22"/>
        <v>0</v>
      </c>
      <c r="Q12" s="120">
        <v>0</v>
      </c>
      <c r="R12" s="120">
        <v>0</v>
      </c>
      <c r="S12" s="119">
        <f t="shared" si="14"/>
        <v>0</v>
      </c>
      <c r="T12" s="120">
        <v>0</v>
      </c>
      <c r="U12" s="120">
        <v>0</v>
      </c>
      <c r="V12" s="119">
        <f t="shared" si="15"/>
        <v>0</v>
      </c>
      <c r="W12" s="120">
        <v>0</v>
      </c>
      <c r="X12" s="120">
        <v>0</v>
      </c>
      <c r="Y12" s="119">
        <f t="shared" si="4"/>
        <v>0</v>
      </c>
      <c r="Z12" s="119">
        <f t="shared" si="16"/>
        <v>0</v>
      </c>
      <c r="AA12" s="121">
        <f t="shared" si="5"/>
        <v>0</v>
      </c>
      <c r="AB12" s="119">
        <f t="shared" si="17"/>
        <v>0</v>
      </c>
      <c r="AC12" s="120">
        <v>0</v>
      </c>
      <c r="AD12" s="121">
        <f t="shared" si="6"/>
        <v>0</v>
      </c>
      <c r="AE12" s="120">
        <v>211.65</v>
      </c>
      <c r="AF12" s="120"/>
      <c r="AG12" s="120"/>
      <c r="AH12" s="120"/>
      <c r="AI12" s="154">
        <f t="shared" si="7"/>
        <v>24.930496948561466</v>
      </c>
      <c r="AJ12" s="120">
        <v>0</v>
      </c>
      <c r="AK12" s="122">
        <f t="shared" si="18"/>
        <v>0</v>
      </c>
      <c r="AL12" s="123">
        <f t="shared" si="19"/>
        <v>-236.58049694856146</v>
      </c>
      <c r="AM12" s="124"/>
      <c r="AN12" s="125">
        <f t="shared" si="8"/>
        <v>0</v>
      </c>
      <c r="AO12" s="126">
        <f t="shared" si="9"/>
        <v>169.89</v>
      </c>
      <c r="AP12" s="126">
        <f t="shared" si="10"/>
        <v>0</v>
      </c>
      <c r="AQ12" s="126">
        <f t="shared" si="20"/>
        <v>211.65</v>
      </c>
      <c r="AR12" s="126">
        <f t="shared" si="21"/>
        <v>0</v>
      </c>
      <c r="AS12" s="126">
        <f t="array" ref="AS12">_xlfn.IFS(S12=0,AL12,S12&lt;0,AL12/-S12,S12&gt;0,AL12/S12)</f>
        <v>-236.58049694856146</v>
      </c>
      <c r="AT12" s="121">
        <f t="shared" si="23"/>
        <v>0</v>
      </c>
      <c r="AU12" s="121">
        <f t="shared" si="24"/>
        <v>-1.3925510444909146</v>
      </c>
      <c r="AV12" s="127"/>
      <c r="AW12" s="122">
        <f t="shared" si="13"/>
        <v>-11119.283356582389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 t="shared" si="0"/>
        <v>10</v>
      </c>
      <c r="F13" s="119">
        <v>2</v>
      </c>
      <c r="G13" s="119" t="s">
        <v>145</v>
      </c>
      <c r="H13" s="119">
        <v>8</v>
      </c>
      <c r="I13" s="119">
        <v>169.89</v>
      </c>
      <c r="J13" s="119">
        <f t="shared" si="1"/>
        <v>1698.8999999999999</v>
      </c>
      <c r="K13" s="116">
        <v>80</v>
      </c>
      <c r="L13" s="116">
        <v>2</v>
      </c>
      <c r="M13" s="116">
        <v>1166</v>
      </c>
      <c r="N13" s="116">
        <v>0</v>
      </c>
      <c r="O13" s="215">
        <f t="shared" si="2"/>
        <v>0.2857142857142857</v>
      </c>
      <c r="P13" s="119">
        <f t="shared" si="22"/>
        <v>0.14285714285714285</v>
      </c>
      <c r="Q13" s="120">
        <v>1</v>
      </c>
      <c r="R13" s="120">
        <v>0</v>
      </c>
      <c r="S13" s="119">
        <f t="shared" si="14"/>
        <v>1</v>
      </c>
      <c r="T13" s="120">
        <v>1028</v>
      </c>
      <c r="U13" s="120">
        <v>0</v>
      </c>
      <c r="V13" s="119">
        <f t="shared" si="15"/>
        <v>1028</v>
      </c>
      <c r="W13" s="120">
        <v>1166</v>
      </c>
      <c r="X13" s="120">
        <v>0</v>
      </c>
      <c r="Y13" s="119">
        <f t="shared" si="4"/>
        <v>1166</v>
      </c>
      <c r="Z13" s="119">
        <f t="shared" si="16"/>
        <v>0</v>
      </c>
      <c r="AA13" s="121">
        <f t="shared" si="5"/>
        <v>2.0916396481596617E-2</v>
      </c>
      <c r="AB13" s="119">
        <f t="shared" si="17"/>
        <v>169.89</v>
      </c>
      <c r="AC13" s="120">
        <v>424.38</v>
      </c>
      <c r="AD13" s="121">
        <f t="shared" si="6"/>
        <v>0.3639622641509434</v>
      </c>
      <c r="AE13" s="120">
        <v>56.55</v>
      </c>
      <c r="AF13" s="120"/>
      <c r="AG13" s="120"/>
      <c r="AH13" s="120"/>
      <c r="AI13" s="154">
        <f t="shared" si="7"/>
        <v>4.7486660854402789</v>
      </c>
      <c r="AJ13" s="120">
        <v>0</v>
      </c>
      <c r="AK13" s="122">
        <f t="shared" si="18"/>
        <v>10.28</v>
      </c>
      <c r="AL13" s="123">
        <f t="shared" si="19"/>
        <v>500.15133391455981</v>
      </c>
      <c r="AM13" s="124"/>
      <c r="AN13" s="125">
        <f t="shared" si="8"/>
        <v>1166</v>
      </c>
      <c r="AO13" s="126">
        <f t="shared" si="9"/>
        <v>169.89</v>
      </c>
      <c r="AP13" s="126">
        <f t="shared" si="10"/>
        <v>424.38</v>
      </c>
      <c r="AQ13" s="126">
        <f t="shared" si="20"/>
        <v>56.55</v>
      </c>
      <c r="AR13" s="126">
        <f t="shared" si="21"/>
        <v>0</v>
      </c>
      <c r="AS13" s="126">
        <f t="array" ref="AS13">_xlfn.IFS(S13=0,AL13,S13&lt;0,AL13/-S13,S13&gt;0,AL13/S13)</f>
        <v>500.15133391455981</v>
      </c>
      <c r="AT13" s="121">
        <f t="shared" si="23"/>
        <v>0.42894625550133775</v>
      </c>
      <c r="AU13" s="121">
        <f t="shared" si="24"/>
        <v>2.9439715928810397</v>
      </c>
      <c r="AV13" s="127"/>
      <c r="AW13" s="122">
        <f t="shared" si="13"/>
        <v>5001.5133391455984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 t="shared" si="0"/>
        <v>61</v>
      </c>
      <c r="F14" s="119">
        <v>1</v>
      </c>
      <c r="G14" s="119">
        <v>2</v>
      </c>
      <c r="H14" s="119">
        <v>58</v>
      </c>
      <c r="I14" s="119">
        <v>169.89</v>
      </c>
      <c r="J14" s="119">
        <f t="shared" si="1"/>
        <v>10363.289999999999</v>
      </c>
      <c r="K14" s="116">
        <v>317</v>
      </c>
      <c r="L14" s="116">
        <v>2</v>
      </c>
      <c r="M14" s="116">
        <v>1176</v>
      </c>
      <c r="N14" s="116">
        <v>100</v>
      </c>
      <c r="O14" s="215">
        <f t="shared" si="2"/>
        <v>0.2857142857142857</v>
      </c>
      <c r="P14" s="119">
        <f t="shared" si="22"/>
        <v>0.42857142857142855</v>
      </c>
      <c r="Q14" s="120">
        <v>3</v>
      </c>
      <c r="R14" s="120">
        <v>0</v>
      </c>
      <c r="S14" s="119">
        <f t="shared" si="14"/>
        <v>3</v>
      </c>
      <c r="T14" s="120">
        <v>2672</v>
      </c>
      <c r="U14" s="120">
        <v>0</v>
      </c>
      <c r="V14" s="119">
        <f t="shared" si="15"/>
        <v>2672</v>
      </c>
      <c r="W14" s="120">
        <v>3528</v>
      </c>
      <c r="X14" s="120">
        <v>0</v>
      </c>
      <c r="Y14" s="119">
        <f t="shared" si="4"/>
        <v>3528</v>
      </c>
      <c r="Z14" s="119">
        <f t="shared" si="16"/>
        <v>2352</v>
      </c>
      <c r="AA14" s="121">
        <f t="shared" si="5"/>
        <v>6.3287347158724583E-2</v>
      </c>
      <c r="AB14" s="119">
        <f t="shared" si="17"/>
        <v>509.66999999999996</v>
      </c>
      <c r="AC14" s="120">
        <v>1274.0900000000001</v>
      </c>
      <c r="AD14" s="121">
        <f t="shared" si="6"/>
        <v>0.36113662131519281</v>
      </c>
      <c r="AE14" s="120">
        <v>456.7</v>
      </c>
      <c r="AF14" s="120"/>
      <c r="AG14" s="120"/>
      <c r="AH14" s="120"/>
      <c r="AI14" s="154">
        <f t="shared" si="7"/>
        <v>34.427829119442023</v>
      </c>
      <c r="AJ14" s="120">
        <v>0</v>
      </c>
      <c r="AK14" s="122">
        <f t="shared" si="18"/>
        <v>26.72</v>
      </c>
      <c r="AL14" s="123">
        <f t="shared" si="19"/>
        <v>1226.3921708805576</v>
      </c>
      <c r="AM14" s="124"/>
      <c r="AN14" s="125">
        <f t="shared" si="8"/>
        <v>1176</v>
      </c>
      <c r="AO14" s="126">
        <f t="shared" si="9"/>
        <v>169.89</v>
      </c>
      <c r="AP14" s="126">
        <f t="shared" si="10"/>
        <v>424.69666666666672</v>
      </c>
      <c r="AQ14" s="126">
        <f t="shared" si="20"/>
        <v>152.23333333333332</v>
      </c>
      <c r="AR14" s="126">
        <f t="shared" si="21"/>
        <v>0</v>
      </c>
      <c r="AS14" s="126">
        <f t="array" ref="AS14">_xlfn.IFS(S14=0,AL14,S14&lt;0,AL14/-S14,S14&gt;0,AL14/S14)</f>
        <v>408.79739029351919</v>
      </c>
      <c r="AT14" s="121">
        <f t="shared" si="23"/>
        <v>0.34761682848088366</v>
      </c>
      <c r="AU14" s="121">
        <f t="shared" si="24"/>
        <v>2.4062475148244111</v>
      </c>
      <c r="AV14" s="127"/>
      <c r="AW14" s="122">
        <f t="shared" si="13"/>
        <v>24936.640807904671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 t="shared" si="0"/>
        <v>35</v>
      </c>
      <c r="F15" s="119">
        <v>1</v>
      </c>
      <c r="G15" s="119" t="s">
        <v>145</v>
      </c>
      <c r="H15" s="119">
        <v>34</v>
      </c>
      <c r="I15" s="119">
        <v>169.89</v>
      </c>
      <c r="J15" s="119">
        <f t="shared" si="1"/>
        <v>5946.15</v>
      </c>
      <c r="K15" s="116">
        <v>360</v>
      </c>
      <c r="L15" s="116">
        <v>2</v>
      </c>
      <c r="M15" s="116">
        <v>1204</v>
      </c>
      <c r="N15" s="116">
        <v>100</v>
      </c>
      <c r="O15" s="215">
        <f t="shared" si="2"/>
        <v>0.2857142857142857</v>
      </c>
      <c r="P15" s="119">
        <f t="shared" si="22"/>
        <v>0.14285714285714285</v>
      </c>
      <c r="Q15" s="120">
        <v>1</v>
      </c>
      <c r="R15" s="120">
        <v>0</v>
      </c>
      <c r="S15" s="119">
        <f t="shared" si="14"/>
        <v>1</v>
      </c>
      <c r="T15" s="120">
        <v>927</v>
      </c>
      <c r="U15" s="120">
        <v>0</v>
      </c>
      <c r="V15" s="119">
        <f t="shared" si="15"/>
        <v>927</v>
      </c>
      <c r="W15" s="120">
        <v>1176</v>
      </c>
      <c r="X15" s="120">
        <v>0</v>
      </c>
      <c r="Y15" s="119">
        <f t="shared" si="4"/>
        <v>1176</v>
      </c>
      <c r="Z15" s="119">
        <f t="shared" si="16"/>
        <v>2408</v>
      </c>
      <c r="AA15" s="121">
        <f t="shared" si="5"/>
        <v>2.1095782386241529E-2</v>
      </c>
      <c r="AB15" s="119">
        <f t="shared" si="17"/>
        <v>169.89</v>
      </c>
      <c r="AC15" s="120">
        <v>425.65</v>
      </c>
      <c r="AD15" s="121">
        <f t="shared" si="6"/>
        <v>0.36194727891156458</v>
      </c>
      <c r="AE15" s="120">
        <v>56.55</v>
      </c>
      <c r="AF15" s="120"/>
      <c r="AG15" s="120"/>
      <c r="AH15" s="120"/>
      <c r="AI15" s="154">
        <f t="shared" si="7"/>
        <v>20.181830863121188</v>
      </c>
      <c r="AJ15" s="120">
        <v>0</v>
      </c>
      <c r="AK15" s="122">
        <f t="shared" si="18"/>
        <v>9.27</v>
      </c>
      <c r="AL15" s="123">
        <f t="shared" si="19"/>
        <v>494.45816913687889</v>
      </c>
      <c r="AM15" s="124"/>
      <c r="AN15" s="125">
        <f t="shared" si="8"/>
        <v>1176</v>
      </c>
      <c r="AO15" s="126">
        <f t="shared" si="9"/>
        <v>169.89</v>
      </c>
      <c r="AP15" s="126">
        <f t="shared" si="10"/>
        <v>425.65</v>
      </c>
      <c r="AQ15" s="126">
        <f t="shared" si="20"/>
        <v>56.55</v>
      </c>
      <c r="AR15" s="126">
        <f t="shared" si="21"/>
        <v>0</v>
      </c>
      <c r="AS15" s="126">
        <f t="array" ref="AS15">_xlfn.IFS(S15=0,AL15,S15&lt;0,AL15/-S15,S15&gt;0,AL15/S15)</f>
        <v>494.45816913687889</v>
      </c>
      <c r="AT15" s="121">
        <f t="shared" si="23"/>
        <v>0.42045762681707388</v>
      </c>
      <c r="AU15" s="121">
        <f t="shared" si="24"/>
        <v>2.9104607047906228</v>
      </c>
      <c r="AV15" s="127"/>
      <c r="AW15" s="122">
        <f t="shared" si="13"/>
        <v>17306.03591979076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5">AVERAGE(AN3:AN6)</f>
        <v>592.14008333333334</v>
      </c>
      <c r="AO16" s="140">
        <f t="shared" si="25"/>
        <v>128.0625</v>
      </c>
      <c r="AP16" s="140">
        <f t="shared" si="25"/>
        <v>9.1334166666666903</v>
      </c>
      <c r="AQ16" s="140">
        <f t="shared" si="25"/>
        <v>58.753749999999997</v>
      </c>
      <c r="AR16" s="140">
        <f t="shared" si="25"/>
        <v>89.066666666666663</v>
      </c>
      <c r="AS16" s="140">
        <f t="shared" si="25"/>
        <v>219.74310832243538</v>
      </c>
      <c r="AT16" s="141">
        <f t="shared" si="25"/>
        <v>0.12281050673891969</v>
      </c>
      <c r="AU16" s="140">
        <f t="shared" si="25"/>
        <v>1.7073300874175659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6">SUM(E3:E15)</f>
        <v>2362</v>
      </c>
      <c r="F17" s="145">
        <f t="shared" si="26"/>
        <v>51</v>
      </c>
      <c r="G17" s="145">
        <f t="shared" si="26"/>
        <v>17</v>
      </c>
      <c r="H17" s="145">
        <f>SUM(H3:H15)</f>
        <v>2294</v>
      </c>
      <c r="I17" s="145"/>
      <c r="J17" s="145">
        <f>SUM(J3:J15)</f>
        <v>322784.88</v>
      </c>
      <c r="K17" s="145"/>
      <c r="L17" s="145">
        <f>SUM(L3:L15)</f>
        <v>62</v>
      </c>
      <c r="M17" s="145"/>
      <c r="N17" s="145"/>
      <c r="O17" s="145"/>
      <c r="P17" s="145"/>
      <c r="Q17" s="145">
        <f>SUM(Q3:Q15)</f>
        <v>49</v>
      </c>
      <c r="R17" s="145">
        <f t="shared" ref="R17:Z17" si="27">SUM(R3:R15)</f>
        <v>-1</v>
      </c>
      <c r="S17" s="145">
        <f t="shared" si="27"/>
        <v>48</v>
      </c>
      <c r="T17" s="145">
        <f t="shared" si="27"/>
        <v>45785.47</v>
      </c>
      <c r="U17" s="145">
        <f t="shared" si="27"/>
        <v>-948</v>
      </c>
      <c r="V17" s="145">
        <f t="shared" si="27"/>
        <v>44837.47</v>
      </c>
      <c r="W17" s="145">
        <f t="shared" si="27"/>
        <v>56919.740000000005</v>
      </c>
      <c r="X17" s="145">
        <f t="shared" si="27"/>
        <v>-1174</v>
      </c>
      <c r="Y17" s="145">
        <f t="shared" si="27"/>
        <v>55745.740000000005</v>
      </c>
      <c r="Z17" s="145">
        <f t="shared" si="27"/>
        <v>56225.68</v>
      </c>
      <c r="AA17" s="146">
        <f>SUM(AA3:AA15)</f>
        <v>0.99999999999999989</v>
      </c>
      <c r="AB17" s="147">
        <f>SUM(AB3:AB15)</f>
        <v>6528.420000000001</v>
      </c>
      <c r="AC17" s="147">
        <f>SUM(AC3:AC15)</f>
        <v>19306.860000000004</v>
      </c>
      <c r="AD17" s="146">
        <f>AC17/Y17</f>
        <v>0.34633785469526462</v>
      </c>
      <c r="AE17" s="145">
        <f>SUM(AE3:AE15)</f>
        <v>6055.25</v>
      </c>
      <c r="AF17" s="145">
        <f t="shared" ref="AF17:AL17" si="28">SUM(AF3:AF15)</f>
        <v>2922</v>
      </c>
      <c r="AG17" s="145">
        <f t="shared" si="28"/>
        <v>3464</v>
      </c>
      <c r="AH17" s="145">
        <f t="shared" si="28"/>
        <v>0</v>
      </c>
      <c r="AI17" s="145">
        <f>SUM(AI3:AI15)</f>
        <v>1361.6800000000003</v>
      </c>
      <c r="AJ17" s="145">
        <f>SUM(AJ3:AJ15)</f>
        <v>0</v>
      </c>
      <c r="AK17" s="145">
        <f t="shared" si="28"/>
        <v>448.37469999999996</v>
      </c>
      <c r="AL17" s="145">
        <f t="shared" si="28"/>
        <v>15659.155299999999</v>
      </c>
      <c r="AM17" s="148"/>
      <c r="AN17" s="145"/>
      <c r="AO17" s="145"/>
      <c r="AP17" s="145"/>
      <c r="AQ17" s="145"/>
      <c r="AR17" s="145">
        <f>(AF17+AG17)/Q17</f>
        <v>130.32653061224491</v>
      </c>
      <c r="AS17" s="145"/>
      <c r="AT17" s="145"/>
      <c r="AU17" s="145"/>
      <c r="AV17" s="149"/>
      <c r="AW17" s="145">
        <f>SUM(AW3:AW6)</f>
        <v>354775.89467117121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16"/>
      <c r="AG18" s="216"/>
      <c r="AH18" s="153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9">SUM(F19:H19)</f>
        <v>0</v>
      </c>
      <c r="F19" s="119"/>
      <c r="G19" s="119"/>
      <c r="H19" s="119"/>
      <c r="I19" s="119"/>
      <c r="J19" s="119">
        <f t="shared" ref="J19:J50" si="30">E19*I19</f>
        <v>0</v>
      </c>
      <c r="K19" s="116"/>
      <c r="L19" s="116"/>
      <c r="M19" s="116"/>
      <c r="N19" s="116"/>
      <c r="O19" s="119">
        <f t="shared" ref="O19:O70" si="31">L19/7</f>
        <v>0</v>
      </c>
      <c r="P19" s="119">
        <f t="shared" ref="P19:P70" si="32">S19/7</f>
        <v>0</v>
      </c>
      <c r="Q19" s="120"/>
      <c r="R19" s="120"/>
      <c r="S19" s="119">
        <f t="shared" ref="S19:S70" si="33">Q19+R19</f>
        <v>0</v>
      </c>
      <c r="T19" s="119"/>
      <c r="U19" s="119"/>
      <c r="V19" s="119">
        <f t="shared" ref="V19:V70" si="34">T19+U19</f>
        <v>0</v>
      </c>
      <c r="W19" s="120"/>
      <c r="X19" s="120"/>
      <c r="Y19" s="119">
        <f t="shared" ref="Y19:Y70" si="35">W19+X19</f>
        <v>0</v>
      </c>
      <c r="Z19" s="119">
        <f t="shared" ref="Z19:Z65" si="36">L19*M19*N19/100</f>
        <v>0</v>
      </c>
      <c r="AA19" s="121">
        <f>Y19/$Y$74</f>
        <v>0</v>
      </c>
      <c r="AB19" s="119">
        <f t="shared" ref="AB19:AB70" si="37">S19*I19</f>
        <v>0</v>
      </c>
      <c r="AC19" s="120"/>
      <c r="AD19" s="121">
        <f t="shared" ref="AD19:AD70" si="38">IF(Y19=0,0,AC19/Y19)</f>
        <v>0</v>
      </c>
      <c r="AE19" s="120"/>
      <c r="AF19" s="120"/>
      <c r="AG19" s="120"/>
      <c r="AH19" s="120"/>
      <c r="AI19" s="154">
        <f t="shared" ref="AI19:AI50" si="39">$AI$74*H19/$H$74</f>
        <v>0</v>
      </c>
      <c r="AJ19" s="120"/>
      <c r="AK19" s="122">
        <f t="shared" ref="AK19:AK70" si="40">V19*1%</f>
        <v>0</v>
      </c>
      <c r="AL19" s="123">
        <f t="shared" ref="AL19:AL70" si="41">Y19-AB19-AC19-AE19-AF19-AG19-AH19-AI19-AK19-AJ19</f>
        <v>0</v>
      </c>
      <c r="AM19" s="124"/>
      <c r="AN19" s="125">
        <f t="shared" ref="AN19:AN70" si="42">IF(S19=0,0,Y19/S19)</f>
        <v>0</v>
      </c>
      <c r="AO19" s="126">
        <f t="shared" ref="AO19:AO70" si="43">I19</f>
        <v>0</v>
      </c>
      <c r="AP19" s="126">
        <f t="shared" ref="AP19:AP70" si="44">IF(S19=0,0,AC19/S19)</f>
        <v>0</v>
      </c>
      <c r="AQ19" s="126">
        <f t="shared" ref="AQ19:AQ70" si="45">IF(Q19=0,AE19/1,AE19/Q19)</f>
        <v>0</v>
      </c>
      <c r="AR19" s="126">
        <f t="shared" ref="AR19:AR70" si="46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7">IF(AN19=0,0,AS19/AN19)</f>
        <v>0</v>
      </c>
      <c r="AU19" s="121">
        <f t="shared" ref="AU19:AU70" si="48">IF(AO19=0,0,AS19/AO19)</f>
        <v>0</v>
      </c>
      <c r="AV19" s="127"/>
      <c r="AW19" s="122">
        <f t="shared" ref="AW19:AW50" si="49">AS19*E19</f>
        <v>0</v>
      </c>
    </row>
    <row r="20" spans="1:49" hidden="1" outlineLevel="1">
      <c r="A20" s="116"/>
      <c r="B20" s="117"/>
      <c r="C20" s="117"/>
      <c r="D20" s="118"/>
      <c r="E20" s="119">
        <f t="shared" si="29"/>
        <v>0</v>
      </c>
      <c r="F20" s="119"/>
      <c r="G20" s="119"/>
      <c r="H20" s="119"/>
      <c r="I20" s="119"/>
      <c r="J20" s="119">
        <f t="shared" si="30"/>
        <v>0</v>
      </c>
      <c r="K20" s="116"/>
      <c r="L20" s="116"/>
      <c r="M20" s="116"/>
      <c r="N20" s="116"/>
      <c r="O20" s="119">
        <f t="shared" si="31"/>
        <v>0</v>
      </c>
      <c r="P20" s="119">
        <f t="shared" si="32"/>
        <v>0</v>
      </c>
      <c r="Q20" s="120"/>
      <c r="R20" s="120"/>
      <c r="S20" s="119">
        <f t="shared" si="33"/>
        <v>0</v>
      </c>
      <c r="T20" s="119"/>
      <c r="U20" s="119"/>
      <c r="V20" s="119">
        <f t="shared" si="34"/>
        <v>0</v>
      </c>
      <c r="W20" s="120"/>
      <c r="X20" s="120"/>
      <c r="Y20" s="119">
        <f t="shared" si="35"/>
        <v>0</v>
      </c>
      <c r="Z20" s="119">
        <f t="shared" si="36"/>
        <v>0</v>
      </c>
      <c r="AA20" s="121">
        <f t="shared" ref="AA20:AA70" si="50">Y20/$Y$74</f>
        <v>0</v>
      </c>
      <c r="AB20" s="119">
        <f t="shared" si="37"/>
        <v>0</v>
      </c>
      <c r="AC20" s="120"/>
      <c r="AD20" s="121">
        <f t="shared" si="38"/>
        <v>0</v>
      </c>
      <c r="AE20" s="120"/>
      <c r="AF20" s="120"/>
      <c r="AG20" s="120"/>
      <c r="AH20" s="120"/>
      <c r="AI20" s="154">
        <f t="shared" si="39"/>
        <v>0</v>
      </c>
      <c r="AJ20" s="120"/>
      <c r="AK20" s="122">
        <f t="shared" si="40"/>
        <v>0</v>
      </c>
      <c r="AL20" s="123">
        <f t="shared" si="41"/>
        <v>0</v>
      </c>
      <c r="AM20" s="124"/>
      <c r="AN20" s="125">
        <f t="shared" si="42"/>
        <v>0</v>
      </c>
      <c r="AO20" s="126">
        <f t="shared" si="43"/>
        <v>0</v>
      </c>
      <c r="AP20" s="126">
        <f t="shared" si="44"/>
        <v>0</v>
      </c>
      <c r="AQ20" s="126">
        <f t="shared" si="45"/>
        <v>0</v>
      </c>
      <c r="AR20" s="126">
        <f t="shared" si="46"/>
        <v>0</v>
      </c>
      <c r="AS20" s="126">
        <f t="array" ref="AS20">_xlfn.IFS(S20=0,AL20,S20&lt;0,AL20/-S20,S20&gt;0,AL20/S20)</f>
        <v>0</v>
      </c>
      <c r="AT20" s="121">
        <f t="shared" si="47"/>
        <v>0</v>
      </c>
      <c r="AU20" s="121">
        <f t="shared" si="48"/>
        <v>0</v>
      </c>
      <c r="AV20" s="127"/>
      <c r="AW20" s="122">
        <f t="shared" si="49"/>
        <v>0</v>
      </c>
    </row>
    <row r="21" spans="1:49" hidden="1" outlineLevel="1">
      <c r="A21" s="116"/>
      <c r="B21" s="117"/>
      <c r="C21" s="117"/>
      <c r="D21" s="118"/>
      <c r="E21" s="119">
        <f t="shared" si="29"/>
        <v>0</v>
      </c>
      <c r="F21" s="119"/>
      <c r="G21" s="119"/>
      <c r="H21" s="119"/>
      <c r="I21" s="119"/>
      <c r="J21" s="119">
        <f t="shared" si="30"/>
        <v>0</v>
      </c>
      <c r="K21" s="116"/>
      <c r="L21" s="116"/>
      <c r="M21" s="116"/>
      <c r="N21" s="116"/>
      <c r="O21" s="119">
        <f t="shared" si="31"/>
        <v>0</v>
      </c>
      <c r="P21" s="119">
        <f t="shared" si="32"/>
        <v>0</v>
      </c>
      <c r="Q21" s="120"/>
      <c r="R21" s="120"/>
      <c r="S21" s="119">
        <f t="shared" si="33"/>
        <v>0</v>
      </c>
      <c r="T21" s="119"/>
      <c r="U21" s="119"/>
      <c r="V21" s="119">
        <f t="shared" si="34"/>
        <v>0</v>
      </c>
      <c r="W21" s="120"/>
      <c r="X21" s="120"/>
      <c r="Y21" s="119">
        <f t="shared" si="35"/>
        <v>0</v>
      </c>
      <c r="Z21" s="119">
        <f t="shared" si="36"/>
        <v>0</v>
      </c>
      <c r="AA21" s="121">
        <f t="shared" si="50"/>
        <v>0</v>
      </c>
      <c r="AB21" s="119">
        <f t="shared" si="37"/>
        <v>0</v>
      </c>
      <c r="AC21" s="120"/>
      <c r="AD21" s="121">
        <f t="shared" si="38"/>
        <v>0</v>
      </c>
      <c r="AE21" s="120"/>
      <c r="AF21" s="120"/>
      <c r="AG21" s="120"/>
      <c r="AH21" s="120"/>
      <c r="AI21" s="154">
        <f t="shared" si="39"/>
        <v>0</v>
      </c>
      <c r="AJ21" s="120"/>
      <c r="AK21" s="122">
        <f t="shared" si="40"/>
        <v>0</v>
      </c>
      <c r="AL21" s="123">
        <f t="shared" si="41"/>
        <v>0</v>
      </c>
      <c r="AM21" s="124"/>
      <c r="AN21" s="125">
        <f t="shared" si="42"/>
        <v>0</v>
      </c>
      <c r="AO21" s="126">
        <f t="shared" si="43"/>
        <v>0</v>
      </c>
      <c r="AP21" s="126">
        <f t="shared" si="44"/>
        <v>0</v>
      </c>
      <c r="AQ21" s="126">
        <f t="shared" si="45"/>
        <v>0</v>
      </c>
      <c r="AR21" s="126">
        <f t="shared" si="46"/>
        <v>0</v>
      </c>
      <c r="AS21" s="126">
        <f t="array" ref="AS21">_xlfn.IFS(S21=0,AL21,S21&lt;0,AL21/-S21,S21&gt;0,AL21/S21)</f>
        <v>0</v>
      </c>
      <c r="AT21" s="121">
        <f t="shared" si="47"/>
        <v>0</v>
      </c>
      <c r="AU21" s="121">
        <f t="shared" si="48"/>
        <v>0</v>
      </c>
      <c r="AV21" s="127"/>
      <c r="AW21" s="122">
        <f t="shared" si="49"/>
        <v>0</v>
      </c>
    </row>
    <row r="22" spans="1:49" hidden="1" outlineLevel="1">
      <c r="A22" s="116"/>
      <c r="B22" s="117"/>
      <c r="C22" s="117"/>
      <c r="D22" s="118"/>
      <c r="E22" s="119">
        <f t="shared" si="29"/>
        <v>0</v>
      </c>
      <c r="F22" s="119"/>
      <c r="G22" s="119"/>
      <c r="H22" s="119"/>
      <c r="I22" s="119"/>
      <c r="J22" s="119">
        <f t="shared" si="30"/>
        <v>0</v>
      </c>
      <c r="K22" s="116"/>
      <c r="L22" s="116"/>
      <c r="M22" s="116"/>
      <c r="N22" s="116"/>
      <c r="O22" s="119">
        <f t="shared" si="31"/>
        <v>0</v>
      </c>
      <c r="P22" s="119">
        <f t="shared" si="32"/>
        <v>0</v>
      </c>
      <c r="Q22" s="120"/>
      <c r="R22" s="120"/>
      <c r="S22" s="119">
        <f t="shared" si="33"/>
        <v>0</v>
      </c>
      <c r="T22" s="119"/>
      <c r="U22" s="119"/>
      <c r="V22" s="119">
        <f t="shared" si="34"/>
        <v>0</v>
      </c>
      <c r="W22" s="120"/>
      <c r="X22" s="120"/>
      <c r="Y22" s="119">
        <f t="shared" si="35"/>
        <v>0</v>
      </c>
      <c r="Z22" s="119">
        <f t="shared" si="36"/>
        <v>0</v>
      </c>
      <c r="AA22" s="121">
        <f t="shared" si="50"/>
        <v>0</v>
      </c>
      <c r="AB22" s="119">
        <f t="shared" si="37"/>
        <v>0</v>
      </c>
      <c r="AC22" s="120"/>
      <c r="AD22" s="121">
        <f t="shared" si="38"/>
        <v>0</v>
      </c>
      <c r="AE22" s="120"/>
      <c r="AF22" s="120"/>
      <c r="AG22" s="120"/>
      <c r="AH22" s="120"/>
      <c r="AI22" s="154">
        <f t="shared" si="39"/>
        <v>0</v>
      </c>
      <c r="AJ22" s="120"/>
      <c r="AK22" s="122">
        <f t="shared" si="40"/>
        <v>0</v>
      </c>
      <c r="AL22" s="123">
        <f t="shared" si="41"/>
        <v>0</v>
      </c>
      <c r="AM22" s="124"/>
      <c r="AN22" s="125">
        <f t="shared" si="42"/>
        <v>0</v>
      </c>
      <c r="AO22" s="126">
        <f t="shared" si="43"/>
        <v>0</v>
      </c>
      <c r="AP22" s="126">
        <f t="shared" si="44"/>
        <v>0</v>
      </c>
      <c r="AQ22" s="126">
        <f t="shared" si="45"/>
        <v>0</v>
      </c>
      <c r="AR22" s="126">
        <f t="shared" si="46"/>
        <v>0</v>
      </c>
      <c r="AS22" s="126">
        <f t="array" ref="AS22">_xlfn.IFS(S22=0,AL22,S22&lt;0,AL22/-S22,S22&gt;0,AL22/S22)</f>
        <v>0</v>
      </c>
      <c r="AT22" s="121">
        <f t="shared" si="47"/>
        <v>0</v>
      </c>
      <c r="AU22" s="121">
        <f t="shared" si="48"/>
        <v>0</v>
      </c>
      <c r="AV22" s="127"/>
      <c r="AW22" s="122">
        <f t="shared" si="49"/>
        <v>0</v>
      </c>
    </row>
    <row r="23" spans="1:49" hidden="1" outlineLevel="1">
      <c r="A23" s="116"/>
      <c r="B23" s="117"/>
      <c r="C23" s="117"/>
      <c r="D23" s="118"/>
      <c r="E23" s="119">
        <f t="shared" si="29"/>
        <v>0</v>
      </c>
      <c r="F23" s="119"/>
      <c r="G23" s="119"/>
      <c r="H23" s="119"/>
      <c r="I23" s="119"/>
      <c r="J23" s="119">
        <f t="shared" si="30"/>
        <v>0</v>
      </c>
      <c r="K23" s="116"/>
      <c r="L23" s="116"/>
      <c r="M23" s="116"/>
      <c r="N23" s="116"/>
      <c r="O23" s="119">
        <f t="shared" si="31"/>
        <v>0</v>
      </c>
      <c r="P23" s="119">
        <f t="shared" si="32"/>
        <v>0</v>
      </c>
      <c r="Q23" s="120"/>
      <c r="R23" s="120"/>
      <c r="S23" s="119">
        <f t="shared" si="33"/>
        <v>0</v>
      </c>
      <c r="T23" s="119"/>
      <c r="U23" s="119"/>
      <c r="V23" s="119">
        <f t="shared" si="34"/>
        <v>0</v>
      </c>
      <c r="W23" s="120"/>
      <c r="X23" s="120"/>
      <c r="Y23" s="119">
        <f t="shared" si="35"/>
        <v>0</v>
      </c>
      <c r="Z23" s="119">
        <f t="shared" si="36"/>
        <v>0</v>
      </c>
      <c r="AA23" s="121">
        <f t="shared" si="50"/>
        <v>0</v>
      </c>
      <c r="AB23" s="119">
        <f t="shared" si="37"/>
        <v>0</v>
      </c>
      <c r="AC23" s="120"/>
      <c r="AD23" s="121">
        <f t="shared" si="38"/>
        <v>0</v>
      </c>
      <c r="AE23" s="120"/>
      <c r="AF23" s="120"/>
      <c r="AG23" s="120"/>
      <c r="AH23" s="120"/>
      <c r="AI23" s="154">
        <f t="shared" si="39"/>
        <v>0</v>
      </c>
      <c r="AJ23" s="120"/>
      <c r="AK23" s="122">
        <f t="shared" si="40"/>
        <v>0</v>
      </c>
      <c r="AL23" s="123">
        <f t="shared" si="41"/>
        <v>0</v>
      </c>
      <c r="AM23" s="124"/>
      <c r="AN23" s="125">
        <f t="shared" si="42"/>
        <v>0</v>
      </c>
      <c r="AO23" s="126">
        <f t="shared" si="43"/>
        <v>0</v>
      </c>
      <c r="AP23" s="126">
        <f t="shared" si="44"/>
        <v>0</v>
      </c>
      <c r="AQ23" s="126">
        <f t="shared" si="45"/>
        <v>0</v>
      </c>
      <c r="AR23" s="126">
        <f t="shared" si="46"/>
        <v>0</v>
      </c>
      <c r="AS23" s="126">
        <f t="array" ref="AS23">_xlfn.IFS(S23=0,AL23,S23&lt;0,AL23/-S23,S23&gt;0,AL23/S23)</f>
        <v>0</v>
      </c>
      <c r="AT23" s="121">
        <f t="shared" si="47"/>
        <v>0</v>
      </c>
      <c r="AU23" s="121">
        <f t="shared" si="48"/>
        <v>0</v>
      </c>
      <c r="AV23" s="127"/>
      <c r="AW23" s="122">
        <f t="shared" si="49"/>
        <v>0</v>
      </c>
    </row>
    <row r="24" spans="1:49" hidden="1" outlineLevel="1">
      <c r="A24" s="116"/>
      <c r="B24" s="117"/>
      <c r="C24" s="117"/>
      <c r="D24" s="118"/>
      <c r="E24" s="119">
        <f t="shared" si="29"/>
        <v>0</v>
      </c>
      <c r="F24" s="119"/>
      <c r="G24" s="119"/>
      <c r="H24" s="119"/>
      <c r="I24" s="119"/>
      <c r="J24" s="119">
        <f t="shared" si="30"/>
        <v>0</v>
      </c>
      <c r="K24" s="116"/>
      <c r="L24" s="116"/>
      <c r="M24" s="116"/>
      <c r="N24" s="116"/>
      <c r="O24" s="119">
        <f t="shared" si="31"/>
        <v>0</v>
      </c>
      <c r="P24" s="119">
        <f t="shared" si="32"/>
        <v>0</v>
      </c>
      <c r="Q24" s="120"/>
      <c r="R24" s="120"/>
      <c r="S24" s="119">
        <f t="shared" si="33"/>
        <v>0</v>
      </c>
      <c r="T24" s="119"/>
      <c r="U24" s="119"/>
      <c r="V24" s="119">
        <f t="shared" si="34"/>
        <v>0</v>
      </c>
      <c r="W24" s="120"/>
      <c r="X24" s="120"/>
      <c r="Y24" s="119">
        <f t="shared" si="35"/>
        <v>0</v>
      </c>
      <c r="Z24" s="119">
        <f t="shared" si="36"/>
        <v>0</v>
      </c>
      <c r="AA24" s="121">
        <f t="shared" si="50"/>
        <v>0</v>
      </c>
      <c r="AB24" s="119">
        <f t="shared" si="37"/>
        <v>0</v>
      </c>
      <c r="AC24" s="120"/>
      <c r="AD24" s="121">
        <f t="shared" si="38"/>
        <v>0</v>
      </c>
      <c r="AE24" s="120"/>
      <c r="AF24" s="120"/>
      <c r="AG24" s="120"/>
      <c r="AH24" s="120"/>
      <c r="AI24" s="154">
        <f t="shared" si="39"/>
        <v>0</v>
      </c>
      <c r="AJ24" s="120"/>
      <c r="AK24" s="122">
        <f t="shared" si="40"/>
        <v>0</v>
      </c>
      <c r="AL24" s="123">
        <f t="shared" si="41"/>
        <v>0</v>
      </c>
      <c r="AM24" s="124"/>
      <c r="AN24" s="125">
        <f t="shared" si="42"/>
        <v>0</v>
      </c>
      <c r="AO24" s="126">
        <f t="shared" si="43"/>
        <v>0</v>
      </c>
      <c r="AP24" s="126">
        <f t="shared" si="44"/>
        <v>0</v>
      </c>
      <c r="AQ24" s="126">
        <f t="shared" si="45"/>
        <v>0</v>
      </c>
      <c r="AR24" s="126">
        <f t="shared" si="46"/>
        <v>0</v>
      </c>
      <c r="AS24" s="126">
        <f t="array" ref="AS24">_xlfn.IFS(S24=0,AL24,S24&lt;0,AL24/-S24,S24&gt;0,AL24/S24)</f>
        <v>0</v>
      </c>
      <c r="AT24" s="121">
        <f t="shared" si="47"/>
        <v>0</v>
      </c>
      <c r="AU24" s="121">
        <f t="shared" si="48"/>
        <v>0</v>
      </c>
      <c r="AV24" s="127"/>
      <c r="AW24" s="122">
        <f t="shared" si="49"/>
        <v>0</v>
      </c>
    </row>
    <row r="25" spans="1:49" hidden="1" outlineLevel="1">
      <c r="A25" s="116"/>
      <c r="B25" s="117"/>
      <c r="C25" s="117"/>
      <c r="D25" s="118"/>
      <c r="E25" s="119">
        <f t="shared" si="29"/>
        <v>0</v>
      </c>
      <c r="F25" s="119"/>
      <c r="G25" s="119"/>
      <c r="H25" s="119"/>
      <c r="I25" s="119"/>
      <c r="J25" s="119">
        <f t="shared" si="30"/>
        <v>0</v>
      </c>
      <c r="K25" s="116"/>
      <c r="L25" s="116"/>
      <c r="M25" s="116"/>
      <c r="N25" s="116"/>
      <c r="O25" s="119">
        <f t="shared" si="31"/>
        <v>0</v>
      </c>
      <c r="P25" s="119">
        <f t="shared" si="32"/>
        <v>0</v>
      </c>
      <c r="Q25" s="120"/>
      <c r="R25" s="120"/>
      <c r="S25" s="119">
        <f t="shared" si="33"/>
        <v>0</v>
      </c>
      <c r="T25" s="119"/>
      <c r="U25" s="119"/>
      <c r="V25" s="119">
        <f t="shared" si="34"/>
        <v>0</v>
      </c>
      <c r="W25" s="120"/>
      <c r="X25" s="120"/>
      <c r="Y25" s="119">
        <f t="shared" si="35"/>
        <v>0</v>
      </c>
      <c r="Z25" s="119">
        <f t="shared" si="36"/>
        <v>0</v>
      </c>
      <c r="AA25" s="121">
        <f t="shared" si="50"/>
        <v>0</v>
      </c>
      <c r="AB25" s="119">
        <f t="shared" si="37"/>
        <v>0</v>
      </c>
      <c r="AC25" s="120"/>
      <c r="AD25" s="121">
        <f t="shared" si="38"/>
        <v>0</v>
      </c>
      <c r="AE25" s="120"/>
      <c r="AF25" s="120"/>
      <c r="AG25" s="120"/>
      <c r="AH25" s="120"/>
      <c r="AI25" s="154">
        <f t="shared" si="39"/>
        <v>0</v>
      </c>
      <c r="AJ25" s="120"/>
      <c r="AK25" s="122">
        <f t="shared" si="40"/>
        <v>0</v>
      </c>
      <c r="AL25" s="123">
        <f t="shared" si="41"/>
        <v>0</v>
      </c>
      <c r="AM25" s="124"/>
      <c r="AN25" s="125">
        <f t="shared" si="42"/>
        <v>0</v>
      </c>
      <c r="AO25" s="126">
        <f t="shared" si="43"/>
        <v>0</v>
      </c>
      <c r="AP25" s="126">
        <f t="shared" si="44"/>
        <v>0</v>
      </c>
      <c r="AQ25" s="126">
        <f t="shared" si="45"/>
        <v>0</v>
      </c>
      <c r="AR25" s="126">
        <f t="shared" si="46"/>
        <v>0</v>
      </c>
      <c r="AS25" s="126">
        <f t="array" ref="AS25">_xlfn.IFS(S25=0,AL25,S25&lt;0,AL25/-S25,S25&gt;0,AL25/S25)</f>
        <v>0</v>
      </c>
      <c r="AT25" s="121">
        <f t="shared" si="47"/>
        <v>0</v>
      </c>
      <c r="AU25" s="121">
        <f t="shared" si="48"/>
        <v>0</v>
      </c>
      <c r="AV25" s="127"/>
      <c r="AW25" s="122">
        <f t="shared" si="49"/>
        <v>0</v>
      </c>
    </row>
    <row r="26" spans="1:49" hidden="1" outlineLevel="1">
      <c r="A26" s="116"/>
      <c r="B26" s="117"/>
      <c r="C26" s="117"/>
      <c r="D26" s="118"/>
      <c r="E26" s="119">
        <f t="shared" si="29"/>
        <v>0</v>
      </c>
      <c r="F26" s="119"/>
      <c r="G26" s="119"/>
      <c r="H26" s="119"/>
      <c r="I26" s="119"/>
      <c r="J26" s="119">
        <f t="shared" si="30"/>
        <v>0</v>
      </c>
      <c r="K26" s="116"/>
      <c r="L26" s="116"/>
      <c r="M26" s="116"/>
      <c r="N26" s="116"/>
      <c r="O26" s="119">
        <f t="shared" si="31"/>
        <v>0</v>
      </c>
      <c r="P26" s="119">
        <f t="shared" si="32"/>
        <v>0</v>
      </c>
      <c r="Q26" s="120"/>
      <c r="R26" s="120"/>
      <c r="S26" s="119">
        <f t="shared" si="33"/>
        <v>0</v>
      </c>
      <c r="T26" s="119"/>
      <c r="U26" s="119"/>
      <c r="V26" s="119">
        <f t="shared" si="34"/>
        <v>0</v>
      </c>
      <c r="W26" s="120"/>
      <c r="X26" s="120"/>
      <c r="Y26" s="119">
        <f t="shared" si="35"/>
        <v>0</v>
      </c>
      <c r="Z26" s="119">
        <f t="shared" si="36"/>
        <v>0</v>
      </c>
      <c r="AA26" s="121">
        <f t="shared" si="50"/>
        <v>0</v>
      </c>
      <c r="AB26" s="119">
        <f t="shared" si="37"/>
        <v>0</v>
      </c>
      <c r="AC26" s="120"/>
      <c r="AD26" s="121">
        <f t="shared" si="38"/>
        <v>0</v>
      </c>
      <c r="AE26" s="120"/>
      <c r="AF26" s="120"/>
      <c r="AG26" s="120"/>
      <c r="AH26" s="120"/>
      <c r="AI26" s="154">
        <f t="shared" si="39"/>
        <v>0</v>
      </c>
      <c r="AJ26" s="120"/>
      <c r="AK26" s="122">
        <f t="shared" si="40"/>
        <v>0</v>
      </c>
      <c r="AL26" s="123">
        <f t="shared" si="41"/>
        <v>0</v>
      </c>
      <c r="AM26" s="124"/>
      <c r="AN26" s="125">
        <f t="shared" si="42"/>
        <v>0</v>
      </c>
      <c r="AO26" s="126">
        <f t="shared" si="43"/>
        <v>0</v>
      </c>
      <c r="AP26" s="126">
        <f t="shared" si="44"/>
        <v>0</v>
      </c>
      <c r="AQ26" s="126">
        <f t="shared" si="45"/>
        <v>0</v>
      </c>
      <c r="AR26" s="126">
        <f t="shared" si="46"/>
        <v>0</v>
      </c>
      <c r="AS26" s="126">
        <f t="array" ref="AS26">_xlfn.IFS(S26=0,AL26,S26&lt;0,AL26/-S26,S26&gt;0,AL26/S26)</f>
        <v>0</v>
      </c>
      <c r="AT26" s="121">
        <f t="shared" si="47"/>
        <v>0</v>
      </c>
      <c r="AU26" s="121">
        <f t="shared" si="48"/>
        <v>0</v>
      </c>
      <c r="AV26" s="127"/>
      <c r="AW26" s="122">
        <f t="shared" si="49"/>
        <v>0</v>
      </c>
    </row>
    <row r="27" spans="1:49" hidden="1" outlineLevel="1">
      <c r="A27" s="116"/>
      <c r="B27" s="117"/>
      <c r="C27" s="117"/>
      <c r="D27" s="118"/>
      <c r="E27" s="119">
        <f t="shared" si="29"/>
        <v>0</v>
      </c>
      <c r="F27" s="119"/>
      <c r="G27" s="119"/>
      <c r="H27" s="119"/>
      <c r="I27" s="119"/>
      <c r="J27" s="119">
        <f t="shared" si="30"/>
        <v>0</v>
      </c>
      <c r="K27" s="116"/>
      <c r="L27" s="116"/>
      <c r="M27" s="116"/>
      <c r="N27" s="116"/>
      <c r="O27" s="119">
        <f t="shared" si="31"/>
        <v>0</v>
      </c>
      <c r="P27" s="119">
        <f t="shared" si="32"/>
        <v>0</v>
      </c>
      <c r="Q27" s="120"/>
      <c r="R27" s="120"/>
      <c r="S27" s="119">
        <f t="shared" si="33"/>
        <v>0</v>
      </c>
      <c r="T27" s="119"/>
      <c r="U27" s="119"/>
      <c r="V27" s="119">
        <f t="shared" si="34"/>
        <v>0</v>
      </c>
      <c r="W27" s="120"/>
      <c r="X27" s="120"/>
      <c r="Y27" s="119">
        <f t="shared" si="35"/>
        <v>0</v>
      </c>
      <c r="Z27" s="119">
        <f t="shared" si="36"/>
        <v>0</v>
      </c>
      <c r="AA27" s="121">
        <f t="shared" si="50"/>
        <v>0</v>
      </c>
      <c r="AB27" s="119">
        <f t="shared" si="37"/>
        <v>0</v>
      </c>
      <c r="AC27" s="120"/>
      <c r="AD27" s="121">
        <f t="shared" si="38"/>
        <v>0</v>
      </c>
      <c r="AE27" s="120"/>
      <c r="AF27" s="120"/>
      <c r="AG27" s="120"/>
      <c r="AH27" s="120"/>
      <c r="AI27" s="154">
        <f t="shared" si="39"/>
        <v>0</v>
      </c>
      <c r="AJ27" s="120"/>
      <c r="AK27" s="122">
        <f t="shared" si="40"/>
        <v>0</v>
      </c>
      <c r="AL27" s="123">
        <f t="shared" si="41"/>
        <v>0</v>
      </c>
      <c r="AM27" s="124"/>
      <c r="AN27" s="125">
        <f t="shared" si="42"/>
        <v>0</v>
      </c>
      <c r="AO27" s="126">
        <f t="shared" si="43"/>
        <v>0</v>
      </c>
      <c r="AP27" s="126">
        <f t="shared" si="44"/>
        <v>0</v>
      </c>
      <c r="AQ27" s="126">
        <f t="shared" si="45"/>
        <v>0</v>
      </c>
      <c r="AR27" s="126">
        <f t="shared" si="46"/>
        <v>0</v>
      </c>
      <c r="AS27" s="126">
        <f t="array" ref="AS27">_xlfn.IFS(S27=0,AL27,S27&lt;0,AL27/-S27,S27&gt;0,AL27/S27)</f>
        <v>0</v>
      </c>
      <c r="AT27" s="121">
        <f t="shared" si="47"/>
        <v>0</v>
      </c>
      <c r="AU27" s="121">
        <f t="shared" si="48"/>
        <v>0</v>
      </c>
      <c r="AV27" s="127"/>
      <c r="AW27" s="122">
        <f t="shared" si="49"/>
        <v>0</v>
      </c>
    </row>
    <row r="28" spans="1:49" hidden="1" outlineLevel="1">
      <c r="A28" s="116"/>
      <c r="B28" s="117"/>
      <c r="C28" s="117"/>
      <c r="D28" s="118"/>
      <c r="E28" s="119">
        <f t="shared" si="29"/>
        <v>0</v>
      </c>
      <c r="F28" s="119"/>
      <c r="G28" s="119"/>
      <c r="H28" s="119"/>
      <c r="I28" s="119"/>
      <c r="J28" s="119">
        <f t="shared" si="30"/>
        <v>0</v>
      </c>
      <c r="K28" s="116"/>
      <c r="L28" s="116"/>
      <c r="M28" s="116"/>
      <c r="N28" s="116"/>
      <c r="O28" s="119">
        <f t="shared" si="31"/>
        <v>0</v>
      </c>
      <c r="P28" s="119">
        <f t="shared" si="32"/>
        <v>0</v>
      </c>
      <c r="Q28" s="120"/>
      <c r="R28" s="120"/>
      <c r="S28" s="119">
        <f t="shared" si="33"/>
        <v>0</v>
      </c>
      <c r="T28" s="119"/>
      <c r="U28" s="119"/>
      <c r="V28" s="119">
        <f t="shared" si="34"/>
        <v>0</v>
      </c>
      <c r="W28" s="120"/>
      <c r="X28" s="120"/>
      <c r="Y28" s="119">
        <f t="shared" si="35"/>
        <v>0</v>
      </c>
      <c r="Z28" s="119">
        <f t="shared" si="36"/>
        <v>0</v>
      </c>
      <c r="AA28" s="121">
        <f t="shared" si="50"/>
        <v>0</v>
      </c>
      <c r="AB28" s="119">
        <f t="shared" si="37"/>
        <v>0</v>
      </c>
      <c r="AC28" s="120"/>
      <c r="AD28" s="121">
        <f t="shared" si="38"/>
        <v>0</v>
      </c>
      <c r="AE28" s="120"/>
      <c r="AF28" s="120"/>
      <c r="AG28" s="120"/>
      <c r="AH28" s="120"/>
      <c r="AI28" s="154">
        <f t="shared" si="39"/>
        <v>0</v>
      </c>
      <c r="AJ28" s="120"/>
      <c r="AK28" s="122">
        <f t="shared" si="40"/>
        <v>0</v>
      </c>
      <c r="AL28" s="123">
        <f t="shared" si="41"/>
        <v>0</v>
      </c>
      <c r="AM28" s="124"/>
      <c r="AN28" s="125">
        <f t="shared" si="42"/>
        <v>0</v>
      </c>
      <c r="AO28" s="126">
        <f t="shared" si="43"/>
        <v>0</v>
      </c>
      <c r="AP28" s="126">
        <f t="shared" si="44"/>
        <v>0</v>
      </c>
      <c r="AQ28" s="126">
        <f t="shared" si="45"/>
        <v>0</v>
      </c>
      <c r="AR28" s="126">
        <f t="shared" si="46"/>
        <v>0</v>
      </c>
      <c r="AS28" s="126">
        <f t="array" ref="AS28">_xlfn.IFS(S28=0,AL28,S28&lt;0,AL28/-S28,S28&gt;0,AL28/S28)</f>
        <v>0</v>
      </c>
      <c r="AT28" s="121">
        <f t="shared" si="47"/>
        <v>0</v>
      </c>
      <c r="AU28" s="121">
        <f t="shared" si="48"/>
        <v>0</v>
      </c>
      <c r="AV28" s="127"/>
      <c r="AW28" s="122">
        <f t="shared" si="49"/>
        <v>0</v>
      </c>
    </row>
    <row r="29" spans="1:49" hidden="1" outlineLevel="1">
      <c r="A29" s="116"/>
      <c r="B29" s="117"/>
      <c r="C29" s="117"/>
      <c r="D29" s="118"/>
      <c r="E29" s="119">
        <f t="shared" si="29"/>
        <v>0</v>
      </c>
      <c r="F29" s="119"/>
      <c r="G29" s="119"/>
      <c r="H29" s="119"/>
      <c r="I29" s="119"/>
      <c r="J29" s="119">
        <f t="shared" si="30"/>
        <v>0</v>
      </c>
      <c r="K29" s="116"/>
      <c r="L29" s="116"/>
      <c r="M29" s="116"/>
      <c r="N29" s="116"/>
      <c r="O29" s="119">
        <f t="shared" si="31"/>
        <v>0</v>
      </c>
      <c r="P29" s="119">
        <f t="shared" si="32"/>
        <v>0</v>
      </c>
      <c r="Q29" s="120"/>
      <c r="R29" s="120"/>
      <c r="S29" s="119">
        <f t="shared" si="33"/>
        <v>0</v>
      </c>
      <c r="T29" s="119"/>
      <c r="U29" s="119"/>
      <c r="V29" s="119">
        <f t="shared" si="34"/>
        <v>0</v>
      </c>
      <c r="W29" s="120"/>
      <c r="X29" s="120"/>
      <c r="Y29" s="119">
        <f t="shared" si="35"/>
        <v>0</v>
      </c>
      <c r="Z29" s="119">
        <f t="shared" si="36"/>
        <v>0</v>
      </c>
      <c r="AA29" s="121">
        <f t="shared" si="50"/>
        <v>0</v>
      </c>
      <c r="AB29" s="119">
        <f t="shared" si="37"/>
        <v>0</v>
      </c>
      <c r="AC29" s="120"/>
      <c r="AD29" s="121">
        <f t="shared" si="38"/>
        <v>0</v>
      </c>
      <c r="AE29" s="120"/>
      <c r="AF29" s="120"/>
      <c r="AG29" s="120"/>
      <c r="AH29" s="120"/>
      <c r="AI29" s="154">
        <f t="shared" si="39"/>
        <v>0</v>
      </c>
      <c r="AJ29" s="120"/>
      <c r="AK29" s="122">
        <f t="shared" si="40"/>
        <v>0</v>
      </c>
      <c r="AL29" s="123">
        <f t="shared" si="41"/>
        <v>0</v>
      </c>
      <c r="AM29" s="124"/>
      <c r="AN29" s="125">
        <f t="shared" si="42"/>
        <v>0</v>
      </c>
      <c r="AO29" s="126">
        <f t="shared" si="43"/>
        <v>0</v>
      </c>
      <c r="AP29" s="126">
        <f t="shared" si="44"/>
        <v>0</v>
      </c>
      <c r="AQ29" s="126">
        <f t="shared" si="45"/>
        <v>0</v>
      </c>
      <c r="AR29" s="126">
        <f t="shared" si="46"/>
        <v>0</v>
      </c>
      <c r="AS29" s="126">
        <f t="array" ref="AS29">_xlfn.IFS(S29=0,AL29,S29&lt;0,AL29/-S29,S29&gt;0,AL29/S29)</f>
        <v>0</v>
      </c>
      <c r="AT29" s="121">
        <f t="shared" si="47"/>
        <v>0</v>
      </c>
      <c r="AU29" s="121">
        <f t="shared" si="48"/>
        <v>0</v>
      </c>
      <c r="AV29" s="127"/>
      <c r="AW29" s="122">
        <f t="shared" si="49"/>
        <v>0</v>
      </c>
    </row>
    <row r="30" spans="1:49" hidden="1" outlineLevel="1">
      <c r="A30" s="116"/>
      <c r="B30" s="117"/>
      <c r="C30" s="117"/>
      <c r="D30" s="118"/>
      <c r="E30" s="119">
        <f t="shared" si="29"/>
        <v>0</v>
      </c>
      <c r="F30" s="119"/>
      <c r="G30" s="119"/>
      <c r="H30" s="119"/>
      <c r="I30" s="119"/>
      <c r="J30" s="119">
        <f t="shared" si="30"/>
        <v>0</v>
      </c>
      <c r="K30" s="116"/>
      <c r="L30" s="116"/>
      <c r="M30" s="116"/>
      <c r="N30" s="116"/>
      <c r="O30" s="119">
        <f t="shared" si="31"/>
        <v>0</v>
      </c>
      <c r="P30" s="119">
        <f t="shared" si="32"/>
        <v>0</v>
      </c>
      <c r="Q30" s="120"/>
      <c r="R30" s="120"/>
      <c r="S30" s="119">
        <f t="shared" si="33"/>
        <v>0</v>
      </c>
      <c r="T30" s="119"/>
      <c r="U30" s="119"/>
      <c r="V30" s="119">
        <f t="shared" si="34"/>
        <v>0</v>
      </c>
      <c r="W30" s="120"/>
      <c r="X30" s="120"/>
      <c r="Y30" s="119">
        <f t="shared" si="35"/>
        <v>0</v>
      </c>
      <c r="Z30" s="119">
        <f t="shared" si="36"/>
        <v>0</v>
      </c>
      <c r="AA30" s="121">
        <f t="shared" si="50"/>
        <v>0</v>
      </c>
      <c r="AB30" s="119">
        <f t="shared" si="37"/>
        <v>0</v>
      </c>
      <c r="AC30" s="120"/>
      <c r="AD30" s="121">
        <f t="shared" si="38"/>
        <v>0</v>
      </c>
      <c r="AE30" s="120"/>
      <c r="AF30" s="120"/>
      <c r="AG30" s="120"/>
      <c r="AH30" s="120"/>
      <c r="AI30" s="154">
        <f t="shared" si="39"/>
        <v>0</v>
      </c>
      <c r="AJ30" s="120"/>
      <c r="AK30" s="122">
        <f t="shared" si="40"/>
        <v>0</v>
      </c>
      <c r="AL30" s="123">
        <f t="shared" si="41"/>
        <v>0</v>
      </c>
      <c r="AM30" s="124"/>
      <c r="AN30" s="125">
        <f t="shared" si="42"/>
        <v>0</v>
      </c>
      <c r="AO30" s="126">
        <f t="shared" si="43"/>
        <v>0</v>
      </c>
      <c r="AP30" s="126">
        <f t="shared" si="44"/>
        <v>0</v>
      </c>
      <c r="AQ30" s="126">
        <f t="shared" si="45"/>
        <v>0</v>
      </c>
      <c r="AR30" s="126">
        <f t="shared" si="46"/>
        <v>0</v>
      </c>
      <c r="AS30" s="126">
        <f t="array" ref="AS30">_xlfn.IFS(S30=0,AL30,S30&lt;0,AL30/-S30,S30&gt;0,AL30/S30)</f>
        <v>0</v>
      </c>
      <c r="AT30" s="121">
        <f t="shared" si="47"/>
        <v>0</v>
      </c>
      <c r="AU30" s="121">
        <f t="shared" si="48"/>
        <v>0</v>
      </c>
      <c r="AV30" s="127"/>
      <c r="AW30" s="122">
        <f t="shared" si="49"/>
        <v>0</v>
      </c>
    </row>
    <row r="31" spans="1:49" hidden="1" outlineLevel="1">
      <c r="A31" s="116"/>
      <c r="B31" s="117"/>
      <c r="C31" s="117"/>
      <c r="D31" s="118"/>
      <c r="E31" s="119">
        <f t="shared" si="29"/>
        <v>0</v>
      </c>
      <c r="F31" s="119"/>
      <c r="G31" s="119"/>
      <c r="H31" s="119"/>
      <c r="I31" s="119"/>
      <c r="J31" s="119">
        <f t="shared" si="30"/>
        <v>0</v>
      </c>
      <c r="K31" s="116"/>
      <c r="L31" s="116"/>
      <c r="M31" s="116"/>
      <c r="N31" s="116"/>
      <c r="O31" s="119">
        <f t="shared" si="31"/>
        <v>0</v>
      </c>
      <c r="P31" s="119">
        <f t="shared" si="32"/>
        <v>0</v>
      </c>
      <c r="Q31" s="120"/>
      <c r="R31" s="120"/>
      <c r="S31" s="119">
        <f t="shared" si="33"/>
        <v>0</v>
      </c>
      <c r="T31" s="119"/>
      <c r="U31" s="119"/>
      <c r="V31" s="119">
        <f t="shared" si="34"/>
        <v>0</v>
      </c>
      <c r="W31" s="120"/>
      <c r="X31" s="120"/>
      <c r="Y31" s="119">
        <f t="shared" si="35"/>
        <v>0</v>
      </c>
      <c r="Z31" s="119">
        <f t="shared" si="36"/>
        <v>0</v>
      </c>
      <c r="AA31" s="121">
        <f t="shared" si="50"/>
        <v>0</v>
      </c>
      <c r="AB31" s="119">
        <f t="shared" si="37"/>
        <v>0</v>
      </c>
      <c r="AC31" s="120"/>
      <c r="AD31" s="121">
        <f t="shared" si="38"/>
        <v>0</v>
      </c>
      <c r="AE31" s="120"/>
      <c r="AF31" s="120"/>
      <c r="AG31" s="120"/>
      <c r="AH31" s="120"/>
      <c r="AI31" s="154">
        <f t="shared" si="39"/>
        <v>0</v>
      </c>
      <c r="AJ31" s="120"/>
      <c r="AK31" s="122">
        <f t="shared" si="40"/>
        <v>0</v>
      </c>
      <c r="AL31" s="123">
        <f t="shared" si="41"/>
        <v>0</v>
      </c>
      <c r="AM31" s="124"/>
      <c r="AN31" s="125">
        <f t="shared" si="42"/>
        <v>0</v>
      </c>
      <c r="AO31" s="126">
        <f t="shared" si="43"/>
        <v>0</v>
      </c>
      <c r="AP31" s="126">
        <f t="shared" si="44"/>
        <v>0</v>
      </c>
      <c r="AQ31" s="126">
        <f t="shared" si="45"/>
        <v>0</v>
      </c>
      <c r="AR31" s="126">
        <f t="shared" si="46"/>
        <v>0</v>
      </c>
      <c r="AS31" s="126">
        <f t="array" ref="AS31">_xlfn.IFS(S31=0,AL31,S31&lt;0,AL31/-S31,S31&gt;0,AL31/S31)</f>
        <v>0</v>
      </c>
      <c r="AT31" s="121">
        <f t="shared" si="47"/>
        <v>0</v>
      </c>
      <c r="AU31" s="121">
        <f t="shared" si="48"/>
        <v>0</v>
      </c>
      <c r="AV31" s="127"/>
      <c r="AW31" s="122">
        <f t="shared" si="49"/>
        <v>0</v>
      </c>
    </row>
    <row r="32" spans="1:49" hidden="1" outlineLevel="1">
      <c r="A32" s="116"/>
      <c r="B32" s="117"/>
      <c r="C32" s="117"/>
      <c r="D32" s="118"/>
      <c r="E32" s="119">
        <f t="shared" si="29"/>
        <v>0</v>
      </c>
      <c r="F32" s="119"/>
      <c r="G32" s="119"/>
      <c r="H32" s="119"/>
      <c r="I32" s="119"/>
      <c r="J32" s="119">
        <f t="shared" si="30"/>
        <v>0</v>
      </c>
      <c r="K32" s="116"/>
      <c r="L32" s="116"/>
      <c r="M32" s="116"/>
      <c r="N32" s="116"/>
      <c r="O32" s="119">
        <f t="shared" si="31"/>
        <v>0</v>
      </c>
      <c r="P32" s="119">
        <f t="shared" si="32"/>
        <v>0</v>
      </c>
      <c r="Q32" s="120"/>
      <c r="R32" s="120"/>
      <c r="S32" s="119">
        <f t="shared" si="33"/>
        <v>0</v>
      </c>
      <c r="T32" s="119"/>
      <c r="U32" s="119"/>
      <c r="V32" s="119">
        <f t="shared" si="34"/>
        <v>0</v>
      </c>
      <c r="W32" s="120"/>
      <c r="X32" s="120"/>
      <c r="Y32" s="119">
        <f t="shared" si="35"/>
        <v>0</v>
      </c>
      <c r="Z32" s="119">
        <f t="shared" si="36"/>
        <v>0</v>
      </c>
      <c r="AA32" s="121">
        <f t="shared" si="50"/>
        <v>0</v>
      </c>
      <c r="AB32" s="119">
        <f t="shared" si="37"/>
        <v>0</v>
      </c>
      <c r="AC32" s="120"/>
      <c r="AD32" s="121">
        <f t="shared" si="38"/>
        <v>0</v>
      </c>
      <c r="AE32" s="120"/>
      <c r="AF32" s="120"/>
      <c r="AG32" s="120"/>
      <c r="AH32" s="120"/>
      <c r="AI32" s="154">
        <f t="shared" si="39"/>
        <v>0</v>
      </c>
      <c r="AJ32" s="120"/>
      <c r="AK32" s="122">
        <f t="shared" si="40"/>
        <v>0</v>
      </c>
      <c r="AL32" s="123">
        <f t="shared" si="41"/>
        <v>0</v>
      </c>
      <c r="AM32" s="124"/>
      <c r="AN32" s="125">
        <f t="shared" si="42"/>
        <v>0</v>
      </c>
      <c r="AO32" s="126">
        <f t="shared" si="43"/>
        <v>0</v>
      </c>
      <c r="AP32" s="126">
        <f t="shared" si="44"/>
        <v>0</v>
      </c>
      <c r="AQ32" s="126">
        <f t="shared" si="45"/>
        <v>0</v>
      </c>
      <c r="AR32" s="126">
        <f t="shared" si="46"/>
        <v>0</v>
      </c>
      <c r="AS32" s="126">
        <f t="array" ref="AS32">_xlfn.IFS(S32=0,AL32,S32&lt;0,AL32/-S32,S32&gt;0,AL32/S32)</f>
        <v>0</v>
      </c>
      <c r="AT32" s="121">
        <f t="shared" si="47"/>
        <v>0</v>
      </c>
      <c r="AU32" s="121">
        <f t="shared" si="48"/>
        <v>0</v>
      </c>
      <c r="AV32" s="127"/>
      <c r="AW32" s="122">
        <f t="shared" si="49"/>
        <v>0</v>
      </c>
    </row>
    <row r="33" spans="1:49" hidden="1" outlineLevel="1">
      <c r="A33" s="116"/>
      <c r="B33" s="117"/>
      <c r="C33" s="117"/>
      <c r="D33" s="118"/>
      <c r="E33" s="119">
        <f t="shared" si="29"/>
        <v>0</v>
      </c>
      <c r="F33" s="119"/>
      <c r="G33" s="119"/>
      <c r="H33" s="119"/>
      <c r="I33" s="119"/>
      <c r="J33" s="119">
        <f t="shared" si="30"/>
        <v>0</v>
      </c>
      <c r="K33" s="116"/>
      <c r="L33" s="116"/>
      <c r="M33" s="116"/>
      <c r="N33" s="116"/>
      <c r="O33" s="119">
        <f t="shared" si="31"/>
        <v>0</v>
      </c>
      <c r="P33" s="119">
        <f t="shared" si="32"/>
        <v>0</v>
      </c>
      <c r="Q33" s="120"/>
      <c r="R33" s="120"/>
      <c r="S33" s="119">
        <f t="shared" si="33"/>
        <v>0</v>
      </c>
      <c r="T33" s="119"/>
      <c r="U33" s="119"/>
      <c r="V33" s="119">
        <f t="shared" si="34"/>
        <v>0</v>
      </c>
      <c r="W33" s="120"/>
      <c r="X33" s="120"/>
      <c r="Y33" s="119">
        <f t="shared" si="35"/>
        <v>0</v>
      </c>
      <c r="Z33" s="119">
        <f t="shared" si="36"/>
        <v>0</v>
      </c>
      <c r="AA33" s="121">
        <f t="shared" si="50"/>
        <v>0</v>
      </c>
      <c r="AB33" s="119">
        <f t="shared" si="37"/>
        <v>0</v>
      </c>
      <c r="AC33" s="120"/>
      <c r="AD33" s="121">
        <f t="shared" si="38"/>
        <v>0</v>
      </c>
      <c r="AE33" s="120"/>
      <c r="AF33" s="120"/>
      <c r="AG33" s="120"/>
      <c r="AH33" s="120"/>
      <c r="AI33" s="154">
        <f t="shared" si="39"/>
        <v>0</v>
      </c>
      <c r="AJ33" s="120"/>
      <c r="AK33" s="122">
        <f t="shared" si="40"/>
        <v>0</v>
      </c>
      <c r="AL33" s="123">
        <f t="shared" si="41"/>
        <v>0</v>
      </c>
      <c r="AM33" s="124"/>
      <c r="AN33" s="125">
        <f t="shared" si="42"/>
        <v>0</v>
      </c>
      <c r="AO33" s="126">
        <f t="shared" si="43"/>
        <v>0</v>
      </c>
      <c r="AP33" s="126">
        <f t="shared" si="44"/>
        <v>0</v>
      </c>
      <c r="AQ33" s="126">
        <f t="shared" si="45"/>
        <v>0</v>
      </c>
      <c r="AR33" s="126">
        <f t="shared" si="46"/>
        <v>0</v>
      </c>
      <c r="AS33" s="126">
        <f t="array" ref="AS33">_xlfn.IFS(S33=0,AL33,S33&lt;0,AL33/-S33,S33&gt;0,AL33/S33)</f>
        <v>0</v>
      </c>
      <c r="AT33" s="121">
        <f t="shared" si="47"/>
        <v>0</v>
      </c>
      <c r="AU33" s="121">
        <f t="shared" si="48"/>
        <v>0</v>
      </c>
      <c r="AV33" s="127"/>
      <c r="AW33" s="122">
        <f t="shared" si="49"/>
        <v>0</v>
      </c>
    </row>
    <row r="34" spans="1:49" hidden="1" outlineLevel="1">
      <c r="A34" s="116"/>
      <c r="B34" s="117"/>
      <c r="C34" s="117"/>
      <c r="D34" s="118"/>
      <c r="E34" s="119">
        <f t="shared" si="29"/>
        <v>0</v>
      </c>
      <c r="F34" s="119"/>
      <c r="G34" s="119"/>
      <c r="H34" s="119"/>
      <c r="I34" s="119"/>
      <c r="J34" s="119">
        <f t="shared" si="30"/>
        <v>0</v>
      </c>
      <c r="K34" s="116"/>
      <c r="L34" s="116"/>
      <c r="M34" s="116"/>
      <c r="N34" s="116"/>
      <c r="O34" s="119">
        <f t="shared" si="31"/>
        <v>0</v>
      </c>
      <c r="P34" s="119">
        <f t="shared" si="32"/>
        <v>0</v>
      </c>
      <c r="Q34" s="120"/>
      <c r="R34" s="120"/>
      <c r="S34" s="119">
        <f t="shared" si="33"/>
        <v>0</v>
      </c>
      <c r="T34" s="119"/>
      <c r="U34" s="119"/>
      <c r="V34" s="119">
        <f t="shared" si="34"/>
        <v>0</v>
      </c>
      <c r="W34" s="120"/>
      <c r="X34" s="120"/>
      <c r="Y34" s="119">
        <f t="shared" si="35"/>
        <v>0</v>
      </c>
      <c r="Z34" s="119">
        <f t="shared" si="36"/>
        <v>0</v>
      </c>
      <c r="AA34" s="121">
        <f t="shared" si="50"/>
        <v>0</v>
      </c>
      <c r="AB34" s="119">
        <f t="shared" si="37"/>
        <v>0</v>
      </c>
      <c r="AC34" s="120"/>
      <c r="AD34" s="121">
        <f t="shared" si="38"/>
        <v>0</v>
      </c>
      <c r="AE34" s="120"/>
      <c r="AF34" s="120"/>
      <c r="AG34" s="120"/>
      <c r="AH34" s="120"/>
      <c r="AI34" s="154">
        <f t="shared" si="39"/>
        <v>0</v>
      </c>
      <c r="AJ34" s="120"/>
      <c r="AK34" s="122">
        <f t="shared" si="40"/>
        <v>0</v>
      </c>
      <c r="AL34" s="123">
        <f t="shared" si="41"/>
        <v>0</v>
      </c>
      <c r="AM34" s="124"/>
      <c r="AN34" s="125">
        <f t="shared" si="42"/>
        <v>0</v>
      </c>
      <c r="AO34" s="126">
        <f t="shared" si="43"/>
        <v>0</v>
      </c>
      <c r="AP34" s="126">
        <f t="shared" si="44"/>
        <v>0</v>
      </c>
      <c r="AQ34" s="126">
        <f t="shared" si="45"/>
        <v>0</v>
      </c>
      <c r="AR34" s="126">
        <f t="shared" si="46"/>
        <v>0</v>
      </c>
      <c r="AS34" s="126">
        <f t="array" ref="AS34">_xlfn.IFS(S34=0,AL34,S34&lt;0,AL34/-S34,S34&gt;0,AL34/S34)</f>
        <v>0</v>
      </c>
      <c r="AT34" s="121">
        <f t="shared" si="47"/>
        <v>0</v>
      </c>
      <c r="AU34" s="121">
        <f t="shared" si="48"/>
        <v>0</v>
      </c>
      <c r="AV34" s="127"/>
      <c r="AW34" s="122">
        <f t="shared" si="49"/>
        <v>0</v>
      </c>
    </row>
    <row r="35" spans="1:49" hidden="1" outlineLevel="1">
      <c r="A35" s="116"/>
      <c r="B35" s="117"/>
      <c r="C35" s="117"/>
      <c r="D35" s="118"/>
      <c r="E35" s="119">
        <f t="shared" si="29"/>
        <v>0</v>
      </c>
      <c r="F35" s="119"/>
      <c r="G35" s="119"/>
      <c r="H35" s="119"/>
      <c r="I35" s="119"/>
      <c r="J35" s="119">
        <f t="shared" si="30"/>
        <v>0</v>
      </c>
      <c r="K35" s="116"/>
      <c r="L35" s="116"/>
      <c r="M35" s="116"/>
      <c r="N35" s="116"/>
      <c r="O35" s="119">
        <f t="shared" si="31"/>
        <v>0</v>
      </c>
      <c r="P35" s="119">
        <f t="shared" si="32"/>
        <v>0</v>
      </c>
      <c r="Q35" s="120"/>
      <c r="R35" s="120"/>
      <c r="S35" s="119">
        <f t="shared" si="33"/>
        <v>0</v>
      </c>
      <c r="T35" s="119"/>
      <c r="U35" s="119"/>
      <c r="V35" s="119">
        <f t="shared" si="34"/>
        <v>0</v>
      </c>
      <c r="W35" s="120"/>
      <c r="X35" s="120"/>
      <c r="Y35" s="119">
        <f t="shared" si="35"/>
        <v>0</v>
      </c>
      <c r="Z35" s="119">
        <f t="shared" si="36"/>
        <v>0</v>
      </c>
      <c r="AA35" s="121">
        <f t="shared" si="50"/>
        <v>0</v>
      </c>
      <c r="AB35" s="119">
        <f t="shared" si="37"/>
        <v>0</v>
      </c>
      <c r="AC35" s="120"/>
      <c r="AD35" s="121">
        <f t="shared" si="38"/>
        <v>0</v>
      </c>
      <c r="AE35" s="120"/>
      <c r="AF35" s="120"/>
      <c r="AG35" s="120"/>
      <c r="AH35" s="120"/>
      <c r="AI35" s="154">
        <f t="shared" si="39"/>
        <v>0</v>
      </c>
      <c r="AJ35" s="120"/>
      <c r="AK35" s="122">
        <f t="shared" si="40"/>
        <v>0</v>
      </c>
      <c r="AL35" s="123">
        <f t="shared" si="41"/>
        <v>0</v>
      </c>
      <c r="AM35" s="124"/>
      <c r="AN35" s="125">
        <f t="shared" si="42"/>
        <v>0</v>
      </c>
      <c r="AO35" s="126">
        <f t="shared" si="43"/>
        <v>0</v>
      </c>
      <c r="AP35" s="126">
        <f t="shared" si="44"/>
        <v>0</v>
      </c>
      <c r="AQ35" s="126">
        <f t="shared" si="45"/>
        <v>0</v>
      </c>
      <c r="AR35" s="126">
        <f t="shared" si="46"/>
        <v>0</v>
      </c>
      <c r="AS35" s="126">
        <f t="array" ref="AS35">_xlfn.IFS(S35=0,AL35,S35&lt;0,AL35/-S35,S35&gt;0,AL35/S35)</f>
        <v>0</v>
      </c>
      <c r="AT35" s="121">
        <f t="shared" si="47"/>
        <v>0</v>
      </c>
      <c r="AU35" s="121">
        <f t="shared" si="48"/>
        <v>0</v>
      </c>
      <c r="AV35" s="127"/>
      <c r="AW35" s="122">
        <f t="shared" si="49"/>
        <v>0</v>
      </c>
    </row>
    <row r="36" spans="1:49" hidden="1" outlineLevel="1">
      <c r="A36" s="116"/>
      <c r="B36" s="117"/>
      <c r="C36" s="117"/>
      <c r="D36" s="118"/>
      <c r="E36" s="119">
        <f t="shared" si="29"/>
        <v>0</v>
      </c>
      <c r="F36" s="119"/>
      <c r="G36" s="119"/>
      <c r="H36" s="119"/>
      <c r="I36" s="119"/>
      <c r="J36" s="119">
        <f t="shared" si="30"/>
        <v>0</v>
      </c>
      <c r="K36" s="116"/>
      <c r="L36" s="116"/>
      <c r="M36" s="116"/>
      <c r="N36" s="116"/>
      <c r="O36" s="119">
        <f t="shared" si="31"/>
        <v>0</v>
      </c>
      <c r="P36" s="119">
        <f t="shared" si="32"/>
        <v>0</v>
      </c>
      <c r="Q36" s="120"/>
      <c r="R36" s="120"/>
      <c r="S36" s="119">
        <f t="shared" si="33"/>
        <v>0</v>
      </c>
      <c r="T36" s="119"/>
      <c r="U36" s="119"/>
      <c r="V36" s="119">
        <f t="shared" si="34"/>
        <v>0</v>
      </c>
      <c r="W36" s="120"/>
      <c r="X36" s="120"/>
      <c r="Y36" s="119">
        <f t="shared" si="35"/>
        <v>0</v>
      </c>
      <c r="Z36" s="119">
        <f t="shared" si="36"/>
        <v>0</v>
      </c>
      <c r="AA36" s="121">
        <f t="shared" si="50"/>
        <v>0</v>
      </c>
      <c r="AB36" s="119">
        <f t="shared" si="37"/>
        <v>0</v>
      </c>
      <c r="AC36" s="120"/>
      <c r="AD36" s="121">
        <f t="shared" si="38"/>
        <v>0</v>
      </c>
      <c r="AE36" s="120"/>
      <c r="AF36" s="120"/>
      <c r="AG36" s="120"/>
      <c r="AH36" s="120"/>
      <c r="AI36" s="154">
        <f t="shared" si="39"/>
        <v>0</v>
      </c>
      <c r="AJ36" s="120"/>
      <c r="AK36" s="122">
        <f t="shared" si="40"/>
        <v>0</v>
      </c>
      <c r="AL36" s="123">
        <f t="shared" si="41"/>
        <v>0</v>
      </c>
      <c r="AM36" s="124"/>
      <c r="AN36" s="125">
        <f t="shared" si="42"/>
        <v>0</v>
      </c>
      <c r="AO36" s="126">
        <f t="shared" si="43"/>
        <v>0</v>
      </c>
      <c r="AP36" s="126">
        <f t="shared" si="44"/>
        <v>0</v>
      </c>
      <c r="AQ36" s="126">
        <f t="shared" si="45"/>
        <v>0</v>
      </c>
      <c r="AR36" s="126">
        <f t="shared" si="46"/>
        <v>0</v>
      </c>
      <c r="AS36" s="126">
        <f t="array" ref="AS36">_xlfn.IFS(S36=0,AL36,S36&lt;0,AL36/-S36,S36&gt;0,AL36/S36)</f>
        <v>0</v>
      </c>
      <c r="AT36" s="121">
        <f t="shared" si="47"/>
        <v>0</v>
      </c>
      <c r="AU36" s="121">
        <f t="shared" si="48"/>
        <v>0</v>
      </c>
      <c r="AV36" s="127"/>
      <c r="AW36" s="122">
        <f t="shared" si="49"/>
        <v>0</v>
      </c>
    </row>
    <row r="37" spans="1:49" hidden="1" outlineLevel="1">
      <c r="A37" s="116"/>
      <c r="B37" s="117"/>
      <c r="C37" s="117"/>
      <c r="D37" s="118"/>
      <c r="E37" s="119">
        <f t="shared" si="29"/>
        <v>0</v>
      </c>
      <c r="F37" s="119"/>
      <c r="G37" s="119"/>
      <c r="H37" s="119"/>
      <c r="I37" s="119"/>
      <c r="J37" s="119">
        <f t="shared" si="30"/>
        <v>0</v>
      </c>
      <c r="K37" s="116"/>
      <c r="L37" s="116"/>
      <c r="M37" s="116"/>
      <c r="N37" s="116"/>
      <c r="O37" s="119">
        <f t="shared" si="31"/>
        <v>0</v>
      </c>
      <c r="P37" s="119">
        <f t="shared" si="32"/>
        <v>0</v>
      </c>
      <c r="Q37" s="120"/>
      <c r="R37" s="120"/>
      <c r="S37" s="119">
        <f t="shared" si="33"/>
        <v>0</v>
      </c>
      <c r="T37" s="119"/>
      <c r="U37" s="119"/>
      <c r="V37" s="119">
        <f t="shared" si="34"/>
        <v>0</v>
      </c>
      <c r="W37" s="120"/>
      <c r="X37" s="120"/>
      <c r="Y37" s="119">
        <f t="shared" si="35"/>
        <v>0</v>
      </c>
      <c r="Z37" s="119">
        <f t="shared" si="36"/>
        <v>0</v>
      </c>
      <c r="AA37" s="121">
        <f t="shared" si="50"/>
        <v>0</v>
      </c>
      <c r="AB37" s="119">
        <f t="shared" si="37"/>
        <v>0</v>
      </c>
      <c r="AC37" s="120"/>
      <c r="AD37" s="121">
        <f t="shared" si="38"/>
        <v>0</v>
      </c>
      <c r="AE37" s="120"/>
      <c r="AF37" s="120"/>
      <c r="AG37" s="120"/>
      <c r="AH37" s="120"/>
      <c r="AI37" s="154">
        <f t="shared" si="39"/>
        <v>0</v>
      </c>
      <c r="AJ37" s="120"/>
      <c r="AK37" s="122">
        <f t="shared" si="40"/>
        <v>0</v>
      </c>
      <c r="AL37" s="123">
        <f t="shared" si="41"/>
        <v>0</v>
      </c>
      <c r="AM37" s="124"/>
      <c r="AN37" s="125">
        <f t="shared" si="42"/>
        <v>0</v>
      </c>
      <c r="AO37" s="126">
        <f t="shared" si="43"/>
        <v>0</v>
      </c>
      <c r="AP37" s="126">
        <f t="shared" si="44"/>
        <v>0</v>
      </c>
      <c r="AQ37" s="126">
        <f t="shared" si="45"/>
        <v>0</v>
      </c>
      <c r="AR37" s="126">
        <f t="shared" si="46"/>
        <v>0</v>
      </c>
      <c r="AS37" s="126">
        <f t="array" ref="AS37">_xlfn.IFS(S37=0,AL37,S37&lt;0,AL37/-S37,S37&gt;0,AL37/S37)</f>
        <v>0</v>
      </c>
      <c r="AT37" s="121">
        <f t="shared" si="47"/>
        <v>0</v>
      </c>
      <c r="AU37" s="121">
        <f t="shared" si="48"/>
        <v>0</v>
      </c>
      <c r="AV37" s="127"/>
      <c r="AW37" s="122">
        <f t="shared" si="49"/>
        <v>0</v>
      </c>
    </row>
    <row r="38" spans="1:49" hidden="1" outlineLevel="1">
      <c r="A38" s="116"/>
      <c r="B38" s="117"/>
      <c r="C38" s="117"/>
      <c r="D38" s="118"/>
      <c r="E38" s="119">
        <f t="shared" si="29"/>
        <v>0</v>
      </c>
      <c r="F38" s="119"/>
      <c r="G38" s="119"/>
      <c r="H38" s="119"/>
      <c r="I38" s="119"/>
      <c r="J38" s="119">
        <f t="shared" si="30"/>
        <v>0</v>
      </c>
      <c r="K38" s="116"/>
      <c r="L38" s="116"/>
      <c r="M38" s="116"/>
      <c r="N38" s="116"/>
      <c r="O38" s="119">
        <f t="shared" si="31"/>
        <v>0</v>
      </c>
      <c r="P38" s="119">
        <f t="shared" si="32"/>
        <v>0</v>
      </c>
      <c r="Q38" s="120"/>
      <c r="R38" s="120"/>
      <c r="S38" s="119">
        <f t="shared" si="33"/>
        <v>0</v>
      </c>
      <c r="T38" s="119"/>
      <c r="U38" s="119"/>
      <c r="V38" s="119">
        <f t="shared" si="34"/>
        <v>0</v>
      </c>
      <c r="W38" s="120"/>
      <c r="X38" s="120"/>
      <c r="Y38" s="119">
        <f t="shared" si="35"/>
        <v>0</v>
      </c>
      <c r="Z38" s="119">
        <f t="shared" si="36"/>
        <v>0</v>
      </c>
      <c r="AA38" s="121">
        <f t="shared" si="50"/>
        <v>0</v>
      </c>
      <c r="AB38" s="119">
        <f t="shared" si="37"/>
        <v>0</v>
      </c>
      <c r="AC38" s="120"/>
      <c r="AD38" s="121">
        <f t="shared" si="38"/>
        <v>0</v>
      </c>
      <c r="AE38" s="120"/>
      <c r="AF38" s="120"/>
      <c r="AG38" s="120"/>
      <c r="AH38" s="120"/>
      <c r="AI38" s="154">
        <f t="shared" si="39"/>
        <v>0</v>
      </c>
      <c r="AJ38" s="120"/>
      <c r="AK38" s="122">
        <f t="shared" si="40"/>
        <v>0</v>
      </c>
      <c r="AL38" s="123">
        <f t="shared" si="41"/>
        <v>0</v>
      </c>
      <c r="AM38" s="124"/>
      <c r="AN38" s="125">
        <f t="shared" si="42"/>
        <v>0</v>
      </c>
      <c r="AO38" s="126">
        <f t="shared" si="43"/>
        <v>0</v>
      </c>
      <c r="AP38" s="126">
        <f t="shared" si="44"/>
        <v>0</v>
      </c>
      <c r="AQ38" s="126">
        <f t="shared" si="45"/>
        <v>0</v>
      </c>
      <c r="AR38" s="126">
        <f t="shared" si="46"/>
        <v>0</v>
      </c>
      <c r="AS38" s="126">
        <f t="array" ref="AS38">_xlfn.IFS(S38=0,AL38,S38&lt;0,AL38/-S38,S38&gt;0,AL38/S38)</f>
        <v>0</v>
      </c>
      <c r="AT38" s="121">
        <f t="shared" si="47"/>
        <v>0</v>
      </c>
      <c r="AU38" s="121">
        <f t="shared" si="48"/>
        <v>0</v>
      </c>
      <c r="AV38" s="127"/>
      <c r="AW38" s="122">
        <f t="shared" si="49"/>
        <v>0</v>
      </c>
    </row>
    <row r="39" spans="1:49" hidden="1" outlineLevel="1">
      <c r="A39" s="116"/>
      <c r="B39" s="117"/>
      <c r="C39" s="117"/>
      <c r="D39" s="118"/>
      <c r="E39" s="119">
        <f t="shared" si="29"/>
        <v>0</v>
      </c>
      <c r="F39" s="119"/>
      <c r="G39" s="119"/>
      <c r="H39" s="119"/>
      <c r="I39" s="119"/>
      <c r="J39" s="119">
        <f t="shared" si="30"/>
        <v>0</v>
      </c>
      <c r="K39" s="116"/>
      <c r="L39" s="116"/>
      <c r="M39" s="116"/>
      <c r="N39" s="116"/>
      <c r="O39" s="119">
        <f t="shared" si="31"/>
        <v>0</v>
      </c>
      <c r="P39" s="119">
        <f t="shared" si="32"/>
        <v>0</v>
      </c>
      <c r="Q39" s="120"/>
      <c r="R39" s="120"/>
      <c r="S39" s="119">
        <f t="shared" si="33"/>
        <v>0</v>
      </c>
      <c r="T39" s="119"/>
      <c r="U39" s="119"/>
      <c r="V39" s="119">
        <f t="shared" si="34"/>
        <v>0</v>
      </c>
      <c r="W39" s="120"/>
      <c r="X39" s="120"/>
      <c r="Y39" s="119">
        <f t="shared" si="35"/>
        <v>0</v>
      </c>
      <c r="Z39" s="119">
        <f t="shared" si="36"/>
        <v>0</v>
      </c>
      <c r="AA39" s="121">
        <f t="shared" si="50"/>
        <v>0</v>
      </c>
      <c r="AB39" s="119">
        <f t="shared" si="37"/>
        <v>0</v>
      </c>
      <c r="AC39" s="120"/>
      <c r="AD39" s="121">
        <f t="shared" si="38"/>
        <v>0</v>
      </c>
      <c r="AE39" s="120"/>
      <c r="AF39" s="120"/>
      <c r="AG39" s="120"/>
      <c r="AH39" s="120"/>
      <c r="AI39" s="154">
        <f t="shared" si="39"/>
        <v>0</v>
      </c>
      <c r="AJ39" s="120"/>
      <c r="AK39" s="122">
        <f t="shared" si="40"/>
        <v>0</v>
      </c>
      <c r="AL39" s="123">
        <f t="shared" si="41"/>
        <v>0</v>
      </c>
      <c r="AM39" s="124"/>
      <c r="AN39" s="125">
        <f t="shared" si="42"/>
        <v>0</v>
      </c>
      <c r="AO39" s="126">
        <f t="shared" si="43"/>
        <v>0</v>
      </c>
      <c r="AP39" s="126">
        <f t="shared" si="44"/>
        <v>0</v>
      </c>
      <c r="AQ39" s="126">
        <f t="shared" si="45"/>
        <v>0</v>
      </c>
      <c r="AR39" s="126">
        <f t="shared" si="46"/>
        <v>0</v>
      </c>
      <c r="AS39" s="126">
        <f t="array" ref="AS39">_xlfn.IFS(S39=0,AL39,S39&lt;0,AL39/-S39,S39&gt;0,AL39/S39)</f>
        <v>0</v>
      </c>
      <c r="AT39" s="121">
        <f t="shared" si="47"/>
        <v>0</v>
      </c>
      <c r="AU39" s="121">
        <f t="shared" si="48"/>
        <v>0</v>
      </c>
      <c r="AV39" s="127"/>
      <c r="AW39" s="122">
        <f t="shared" si="49"/>
        <v>0</v>
      </c>
    </row>
    <row r="40" spans="1:49" hidden="1" outlineLevel="1">
      <c r="A40" s="116"/>
      <c r="B40" s="117"/>
      <c r="C40" s="117"/>
      <c r="D40" s="118"/>
      <c r="E40" s="119">
        <f t="shared" si="29"/>
        <v>0</v>
      </c>
      <c r="F40" s="119"/>
      <c r="G40" s="119"/>
      <c r="H40" s="119"/>
      <c r="I40" s="119"/>
      <c r="J40" s="119">
        <f t="shared" si="30"/>
        <v>0</v>
      </c>
      <c r="K40" s="116"/>
      <c r="L40" s="116"/>
      <c r="M40" s="116"/>
      <c r="N40" s="116"/>
      <c r="O40" s="119">
        <f t="shared" si="31"/>
        <v>0</v>
      </c>
      <c r="P40" s="119">
        <f t="shared" si="32"/>
        <v>0</v>
      </c>
      <c r="Q40" s="120"/>
      <c r="R40" s="120"/>
      <c r="S40" s="119">
        <f t="shared" si="33"/>
        <v>0</v>
      </c>
      <c r="T40" s="119"/>
      <c r="U40" s="119"/>
      <c r="V40" s="119">
        <f t="shared" si="34"/>
        <v>0</v>
      </c>
      <c r="W40" s="120"/>
      <c r="X40" s="120"/>
      <c r="Y40" s="119">
        <f t="shared" si="35"/>
        <v>0</v>
      </c>
      <c r="Z40" s="119">
        <f t="shared" si="36"/>
        <v>0</v>
      </c>
      <c r="AA40" s="121">
        <f t="shared" si="50"/>
        <v>0</v>
      </c>
      <c r="AB40" s="119">
        <f t="shared" si="37"/>
        <v>0</v>
      </c>
      <c r="AC40" s="120"/>
      <c r="AD40" s="121">
        <f t="shared" si="38"/>
        <v>0</v>
      </c>
      <c r="AE40" s="120"/>
      <c r="AF40" s="120"/>
      <c r="AG40" s="120"/>
      <c r="AH40" s="120"/>
      <c r="AI40" s="154">
        <f t="shared" si="39"/>
        <v>0</v>
      </c>
      <c r="AJ40" s="120"/>
      <c r="AK40" s="122">
        <f t="shared" si="40"/>
        <v>0</v>
      </c>
      <c r="AL40" s="123">
        <f t="shared" si="41"/>
        <v>0</v>
      </c>
      <c r="AM40" s="124"/>
      <c r="AN40" s="125">
        <f t="shared" si="42"/>
        <v>0</v>
      </c>
      <c r="AO40" s="126">
        <f t="shared" si="43"/>
        <v>0</v>
      </c>
      <c r="AP40" s="126">
        <f t="shared" si="44"/>
        <v>0</v>
      </c>
      <c r="AQ40" s="126">
        <f t="shared" si="45"/>
        <v>0</v>
      </c>
      <c r="AR40" s="126">
        <f t="shared" si="46"/>
        <v>0</v>
      </c>
      <c r="AS40" s="126">
        <f t="array" ref="AS40">_xlfn.IFS(S40=0,AL40,S40&lt;0,AL40/-S40,S40&gt;0,AL40/S40)</f>
        <v>0</v>
      </c>
      <c r="AT40" s="121">
        <f t="shared" si="47"/>
        <v>0</v>
      </c>
      <c r="AU40" s="121">
        <f t="shared" si="48"/>
        <v>0</v>
      </c>
      <c r="AV40" s="127"/>
      <c r="AW40" s="122">
        <f t="shared" si="49"/>
        <v>0</v>
      </c>
    </row>
    <row r="41" spans="1:49" hidden="1" outlineLevel="1">
      <c r="A41" s="116"/>
      <c r="B41" s="117"/>
      <c r="C41" s="117"/>
      <c r="D41" s="118"/>
      <c r="E41" s="119">
        <f t="shared" si="29"/>
        <v>0</v>
      </c>
      <c r="F41" s="119"/>
      <c r="G41" s="119"/>
      <c r="H41" s="119"/>
      <c r="I41" s="119"/>
      <c r="J41" s="119">
        <f t="shared" si="30"/>
        <v>0</v>
      </c>
      <c r="K41" s="116"/>
      <c r="L41" s="116"/>
      <c r="M41" s="116"/>
      <c r="N41" s="116"/>
      <c r="O41" s="119">
        <f t="shared" si="31"/>
        <v>0</v>
      </c>
      <c r="P41" s="119">
        <f t="shared" si="32"/>
        <v>0</v>
      </c>
      <c r="Q41" s="120"/>
      <c r="R41" s="120"/>
      <c r="S41" s="119">
        <f t="shared" si="33"/>
        <v>0</v>
      </c>
      <c r="T41" s="119"/>
      <c r="U41" s="119"/>
      <c r="V41" s="119">
        <f t="shared" si="34"/>
        <v>0</v>
      </c>
      <c r="W41" s="120"/>
      <c r="X41" s="120"/>
      <c r="Y41" s="119">
        <f t="shared" si="35"/>
        <v>0</v>
      </c>
      <c r="Z41" s="119">
        <f t="shared" si="36"/>
        <v>0</v>
      </c>
      <c r="AA41" s="121">
        <f t="shared" si="50"/>
        <v>0</v>
      </c>
      <c r="AB41" s="119">
        <f t="shared" si="37"/>
        <v>0</v>
      </c>
      <c r="AC41" s="120"/>
      <c r="AD41" s="121">
        <f t="shared" si="38"/>
        <v>0</v>
      </c>
      <c r="AE41" s="120"/>
      <c r="AF41" s="120"/>
      <c r="AG41" s="120"/>
      <c r="AH41" s="120"/>
      <c r="AI41" s="154">
        <f t="shared" si="39"/>
        <v>0</v>
      </c>
      <c r="AJ41" s="120"/>
      <c r="AK41" s="122">
        <f t="shared" si="40"/>
        <v>0</v>
      </c>
      <c r="AL41" s="123">
        <f t="shared" si="41"/>
        <v>0</v>
      </c>
      <c r="AM41" s="124"/>
      <c r="AN41" s="125">
        <f t="shared" si="42"/>
        <v>0</v>
      </c>
      <c r="AO41" s="126">
        <f t="shared" si="43"/>
        <v>0</v>
      </c>
      <c r="AP41" s="126">
        <f t="shared" si="44"/>
        <v>0</v>
      </c>
      <c r="AQ41" s="126">
        <f t="shared" si="45"/>
        <v>0</v>
      </c>
      <c r="AR41" s="126">
        <f t="shared" si="46"/>
        <v>0</v>
      </c>
      <c r="AS41" s="126">
        <f t="array" ref="AS41">_xlfn.IFS(S41=0,AL41,S41&lt;0,AL41/-S41,S41&gt;0,AL41/S41)</f>
        <v>0</v>
      </c>
      <c r="AT41" s="121">
        <f t="shared" si="47"/>
        <v>0</v>
      </c>
      <c r="AU41" s="121">
        <f t="shared" si="48"/>
        <v>0</v>
      </c>
      <c r="AV41" s="127"/>
      <c r="AW41" s="122">
        <f t="shared" si="49"/>
        <v>0</v>
      </c>
    </row>
    <row r="42" spans="1:49" hidden="1" outlineLevel="1">
      <c r="A42" s="116"/>
      <c r="B42" s="117"/>
      <c r="C42" s="117"/>
      <c r="D42" s="118"/>
      <c r="E42" s="119">
        <f t="shared" si="29"/>
        <v>0</v>
      </c>
      <c r="F42" s="119"/>
      <c r="G42" s="119"/>
      <c r="H42" s="119"/>
      <c r="I42" s="119"/>
      <c r="J42" s="119">
        <f t="shared" si="30"/>
        <v>0</v>
      </c>
      <c r="K42" s="116"/>
      <c r="L42" s="116"/>
      <c r="M42" s="116"/>
      <c r="N42" s="116"/>
      <c r="O42" s="119">
        <f t="shared" si="31"/>
        <v>0</v>
      </c>
      <c r="P42" s="119">
        <f t="shared" si="32"/>
        <v>0</v>
      </c>
      <c r="Q42" s="120"/>
      <c r="R42" s="120"/>
      <c r="S42" s="119">
        <f t="shared" si="33"/>
        <v>0</v>
      </c>
      <c r="T42" s="119"/>
      <c r="U42" s="119"/>
      <c r="V42" s="119">
        <f t="shared" si="34"/>
        <v>0</v>
      </c>
      <c r="W42" s="120"/>
      <c r="X42" s="120"/>
      <c r="Y42" s="119">
        <f t="shared" si="35"/>
        <v>0</v>
      </c>
      <c r="Z42" s="119">
        <f t="shared" si="36"/>
        <v>0</v>
      </c>
      <c r="AA42" s="121">
        <f t="shared" si="50"/>
        <v>0</v>
      </c>
      <c r="AB42" s="119">
        <f t="shared" si="37"/>
        <v>0</v>
      </c>
      <c r="AC42" s="120"/>
      <c r="AD42" s="121">
        <f t="shared" si="38"/>
        <v>0</v>
      </c>
      <c r="AE42" s="120"/>
      <c r="AF42" s="120"/>
      <c r="AG42" s="120"/>
      <c r="AH42" s="120"/>
      <c r="AI42" s="154">
        <f t="shared" si="39"/>
        <v>0</v>
      </c>
      <c r="AJ42" s="120"/>
      <c r="AK42" s="122">
        <f t="shared" si="40"/>
        <v>0</v>
      </c>
      <c r="AL42" s="123">
        <f t="shared" si="41"/>
        <v>0</v>
      </c>
      <c r="AM42" s="124"/>
      <c r="AN42" s="125">
        <f t="shared" si="42"/>
        <v>0</v>
      </c>
      <c r="AO42" s="126">
        <f t="shared" si="43"/>
        <v>0</v>
      </c>
      <c r="AP42" s="126">
        <f t="shared" si="44"/>
        <v>0</v>
      </c>
      <c r="AQ42" s="126">
        <f t="shared" si="45"/>
        <v>0</v>
      </c>
      <c r="AR42" s="126">
        <f t="shared" si="46"/>
        <v>0</v>
      </c>
      <c r="AS42" s="126">
        <f t="array" ref="AS42">_xlfn.IFS(S42=0,AL42,S42&lt;0,AL42/-S42,S42&gt;0,AL42/S42)</f>
        <v>0</v>
      </c>
      <c r="AT42" s="121">
        <f t="shared" si="47"/>
        <v>0</v>
      </c>
      <c r="AU42" s="121">
        <f t="shared" si="48"/>
        <v>0</v>
      </c>
      <c r="AV42" s="127"/>
      <c r="AW42" s="122">
        <f t="shared" si="49"/>
        <v>0</v>
      </c>
    </row>
    <row r="43" spans="1:49" hidden="1" outlineLevel="1">
      <c r="A43" s="116"/>
      <c r="B43" s="117"/>
      <c r="C43" s="117"/>
      <c r="D43" s="118"/>
      <c r="E43" s="119">
        <f t="shared" si="29"/>
        <v>0</v>
      </c>
      <c r="F43" s="119"/>
      <c r="G43" s="119"/>
      <c r="H43" s="119"/>
      <c r="I43" s="119"/>
      <c r="J43" s="119">
        <f t="shared" si="30"/>
        <v>0</v>
      </c>
      <c r="K43" s="116"/>
      <c r="L43" s="116"/>
      <c r="M43" s="116"/>
      <c r="N43" s="116"/>
      <c r="O43" s="119">
        <f t="shared" si="31"/>
        <v>0</v>
      </c>
      <c r="P43" s="119">
        <f t="shared" si="32"/>
        <v>0</v>
      </c>
      <c r="Q43" s="120"/>
      <c r="R43" s="120"/>
      <c r="S43" s="119">
        <f t="shared" si="33"/>
        <v>0</v>
      </c>
      <c r="T43" s="119"/>
      <c r="U43" s="119"/>
      <c r="V43" s="119">
        <f t="shared" si="34"/>
        <v>0</v>
      </c>
      <c r="W43" s="120"/>
      <c r="X43" s="120"/>
      <c r="Y43" s="119">
        <f t="shared" si="35"/>
        <v>0</v>
      </c>
      <c r="Z43" s="119">
        <f t="shared" si="36"/>
        <v>0</v>
      </c>
      <c r="AA43" s="121">
        <f t="shared" si="50"/>
        <v>0</v>
      </c>
      <c r="AB43" s="119">
        <f t="shared" si="37"/>
        <v>0</v>
      </c>
      <c r="AC43" s="120"/>
      <c r="AD43" s="121">
        <f t="shared" si="38"/>
        <v>0</v>
      </c>
      <c r="AE43" s="120"/>
      <c r="AF43" s="120"/>
      <c r="AG43" s="120"/>
      <c r="AH43" s="120"/>
      <c r="AI43" s="154">
        <f t="shared" si="39"/>
        <v>0</v>
      </c>
      <c r="AJ43" s="120"/>
      <c r="AK43" s="122">
        <f t="shared" si="40"/>
        <v>0</v>
      </c>
      <c r="AL43" s="123">
        <f t="shared" si="41"/>
        <v>0</v>
      </c>
      <c r="AM43" s="124"/>
      <c r="AN43" s="125">
        <f t="shared" si="42"/>
        <v>0</v>
      </c>
      <c r="AO43" s="126">
        <f t="shared" si="43"/>
        <v>0</v>
      </c>
      <c r="AP43" s="126">
        <f t="shared" si="44"/>
        <v>0</v>
      </c>
      <c r="AQ43" s="126">
        <f t="shared" si="45"/>
        <v>0</v>
      </c>
      <c r="AR43" s="126">
        <f t="shared" si="46"/>
        <v>0</v>
      </c>
      <c r="AS43" s="126">
        <f t="array" ref="AS43">_xlfn.IFS(S43=0,AL43,S43&lt;0,AL43/-S43,S43&gt;0,AL43/S43)</f>
        <v>0</v>
      </c>
      <c r="AT43" s="121">
        <f t="shared" si="47"/>
        <v>0</v>
      </c>
      <c r="AU43" s="121">
        <f t="shared" si="48"/>
        <v>0</v>
      </c>
      <c r="AV43" s="127"/>
      <c r="AW43" s="122">
        <f t="shared" si="49"/>
        <v>0</v>
      </c>
    </row>
    <row r="44" spans="1:49" hidden="1" outlineLevel="1">
      <c r="A44" s="116"/>
      <c r="B44" s="117"/>
      <c r="C44" s="117"/>
      <c r="D44" s="151"/>
      <c r="E44" s="120">
        <f t="shared" si="29"/>
        <v>0</v>
      </c>
      <c r="F44" s="119"/>
      <c r="G44" s="119"/>
      <c r="H44" s="119"/>
      <c r="I44" s="119"/>
      <c r="J44" s="119">
        <f t="shared" si="30"/>
        <v>0</v>
      </c>
      <c r="K44" s="116"/>
      <c r="L44" s="116"/>
      <c r="M44" s="116"/>
      <c r="N44" s="116"/>
      <c r="O44" s="119">
        <f t="shared" si="31"/>
        <v>0</v>
      </c>
      <c r="P44" s="119">
        <f t="shared" si="32"/>
        <v>0</v>
      </c>
      <c r="Q44" s="120"/>
      <c r="R44" s="120"/>
      <c r="S44" s="119">
        <f t="shared" si="33"/>
        <v>0</v>
      </c>
      <c r="T44" s="119"/>
      <c r="U44" s="119"/>
      <c r="V44" s="119">
        <f t="shared" si="34"/>
        <v>0</v>
      </c>
      <c r="W44" s="120"/>
      <c r="X44" s="120"/>
      <c r="Y44" s="119">
        <f t="shared" si="35"/>
        <v>0</v>
      </c>
      <c r="Z44" s="119">
        <f t="shared" si="36"/>
        <v>0</v>
      </c>
      <c r="AA44" s="121">
        <f t="shared" si="50"/>
        <v>0</v>
      </c>
      <c r="AB44" s="119">
        <f t="shared" si="37"/>
        <v>0</v>
      </c>
      <c r="AC44" s="120"/>
      <c r="AD44" s="121">
        <f t="shared" si="38"/>
        <v>0</v>
      </c>
      <c r="AE44" s="120"/>
      <c r="AF44" s="120"/>
      <c r="AG44" s="120"/>
      <c r="AH44" s="120"/>
      <c r="AI44" s="154">
        <f t="shared" si="39"/>
        <v>0</v>
      </c>
      <c r="AJ44" s="120"/>
      <c r="AK44" s="122">
        <f t="shared" si="40"/>
        <v>0</v>
      </c>
      <c r="AL44" s="123">
        <f t="shared" si="41"/>
        <v>0</v>
      </c>
      <c r="AM44" s="124"/>
      <c r="AN44" s="125">
        <f t="shared" si="42"/>
        <v>0</v>
      </c>
      <c r="AO44" s="126">
        <f t="shared" si="43"/>
        <v>0</v>
      </c>
      <c r="AP44" s="126">
        <f t="shared" si="44"/>
        <v>0</v>
      </c>
      <c r="AQ44" s="126">
        <f t="shared" si="45"/>
        <v>0</v>
      </c>
      <c r="AR44" s="126">
        <f t="shared" si="46"/>
        <v>0</v>
      </c>
      <c r="AS44" s="126">
        <f t="array" ref="AS44">_xlfn.IFS(S44=0,AL44,S44&lt;0,AL44/-S44,S44&gt;0,AL44/S44)</f>
        <v>0</v>
      </c>
      <c r="AT44" s="121">
        <f t="shared" si="47"/>
        <v>0</v>
      </c>
      <c r="AU44" s="121">
        <f t="shared" si="48"/>
        <v>0</v>
      </c>
      <c r="AV44" s="127"/>
      <c r="AW44" s="122">
        <f t="shared" si="49"/>
        <v>0</v>
      </c>
    </row>
    <row r="45" spans="1:49" hidden="1" outlineLevel="1">
      <c r="A45" s="116"/>
      <c r="B45" s="117"/>
      <c r="C45" s="117"/>
      <c r="D45" s="151"/>
      <c r="E45" s="120">
        <f t="shared" si="29"/>
        <v>0</v>
      </c>
      <c r="F45" s="119"/>
      <c r="G45" s="119"/>
      <c r="H45" s="119"/>
      <c r="I45" s="119"/>
      <c r="J45" s="119">
        <f t="shared" si="30"/>
        <v>0</v>
      </c>
      <c r="K45" s="116"/>
      <c r="L45" s="116"/>
      <c r="M45" s="116"/>
      <c r="N45" s="116"/>
      <c r="O45" s="119">
        <f t="shared" si="31"/>
        <v>0</v>
      </c>
      <c r="P45" s="119">
        <f t="shared" si="32"/>
        <v>0</v>
      </c>
      <c r="Q45" s="120"/>
      <c r="R45" s="120"/>
      <c r="S45" s="119">
        <f t="shared" si="33"/>
        <v>0</v>
      </c>
      <c r="T45" s="119"/>
      <c r="U45" s="119"/>
      <c r="V45" s="119">
        <f t="shared" si="34"/>
        <v>0</v>
      </c>
      <c r="W45" s="120"/>
      <c r="X45" s="120"/>
      <c r="Y45" s="119">
        <f t="shared" si="35"/>
        <v>0</v>
      </c>
      <c r="Z45" s="119">
        <f t="shared" si="36"/>
        <v>0</v>
      </c>
      <c r="AA45" s="121">
        <f t="shared" si="50"/>
        <v>0</v>
      </c>
      <c r="AB45" s="119">
        <f t="shared" si="37"/>
        <v>0</v>
      </c>
      <c r="AC45" s="120"/>
      <c r="AD45" s="121">
        <f t="shared" si="38"/>
        <v>0</v>
      </c>
      <c r="AE45" s="120"/>
      <c r="AF45" s="120"/>
      <c r="AG45" s="120"/>
      <c r="AH45" s="120"/>
      <c r="AI45" s="154">
        <f t="shared" si="39"/>
        <v>0</v>
      </c>
      <c r="AJ45" s="120"/>
      <c r="AK45" s="122">
        <f t="shared" si="40"/>
        <v>0</v>
      </c>
      <c r="AL45" s="123">
        <f t="shared" si="41"/>
        <v>0</v>
      </c>
      <c r="AM45" s="124"/>
      <c r="AN45" s="125">
        <f t="shared" si="42"/>
        <v>0</v>
      </c>
      <c r="AO45" s="126">
        <f t="shared" si="43"/>
        <v>0</v>
      </c>
      <c r="AP45" s="126">
        <f t="shared" si="44"/>
        <v>0</v>
      </c>
      <c r="AQ45" s="126">
        <f t="shared" si="45"/>
        <v>0</v>
      </c>
      <c r="AR45" s="126">
        <f t="shared" si="46"/>
        <v>0</v>
      </c>
      <c r="AS45" s="126">
        <f t="array" ref="AS45">_xlfn.IFS(S45=0,AL45,S45&lt;0,AL45/-S45,S45&gt;0,AL45/S45)</f>
        <v>0</v>
      </c>
      <c r="AT45" s="121">
        <f t="shared" si="47"/>
        <v>0</v>
      </c>
      <c r="AU45" s="121">
        <f t="shared" si="48"/>
        <v>0</v>
      </c>
      <c r="AV45" s="127"/>
      <c r="AW45" s="122">
        <f t="shared" si="49"/>
        <v>0</v>
      </c>
    </row>
    <row r="46" spans="1:49" hidden="1" outlineLevel="1">
      <c r="A46" s="116"/>
      <c r="B46" s="117"/>
      <c r="C46" s="117"/>
      <c r="D46" s="151"/>
      <c r="E46" s="120">
        <f t="shared" si="29"/>
        <v>0</v>
      </c>
      <c r="F46" s="119"/>
      <c r="G46" s="119"/>
      <c r="H46" s="119"/>
      <c r="I46" s="119"/>
      <c r="J46" s="119">
        <f t="shared" si="30"/>
        <v>0</v>
      </c>
      <c r="K46" s="116"/>
      <c r="L46" s="116"/>
      <c r="M46" s="116"/>
      <c r="N46" s="116"/>
      <c r="O46" s="119">
        <f t="shared" si="31"/>
        <v>0</v>
      </c>
      <c r="P46" s="119">
        <f t="shared" si="32"/>
        <v>0</v>
      </c>
      <c r="Q46" s="120"/>
      <c r="R46" s="120"/>
      <c r="S46" s="119">
        <f t="shared" si="33"/>
        <v>0</v>
      </c>
      <c r="T46" s="119"/>
      <c r="U46" s="119"/>
      <c r="V46" s="119">
        <f t="shared" si="34"/>
        <v>0</v>
      </c>
      <c r="W46" s="120"/>
      <c r="X46" s="120"/>
      <c r="Y46" s="119">
        <f t="shared" si="35"/>
        <v>0</v>
      </c>
      <c r="Z46" s="119">
        <f t="shared" si="36"/>
        <v>0</v>
      </c>
      <c r="AA46" s="121">
        <f t="shared" si="50"/>
        <v>0</v>
      </c>
      <c r="AB46" s="119">
        <f t="shared" si="37"/>
        <v>0</v>
      </c>
      <c r="AC46" s="120"/>
      <c r="AD46" s="121">
        <f t="shared" si="38"/>
        <v>0</v>
      </c>
      <c r="AE46" s="120"/>
      <c r="AF46" s="120"/>
      <c r="AG46" s="120"/>
      <c r="AH46" s="120"/>
      <c r="AI46" s="154">
        <f t="shared" si="39"/>
        <v>0</v>
      </c>
      <c r="AJ46" s="120"/>
      <c r="AK46" s="122">
        <f t="shared" si="40"/>
        <v>0</v>
      </c>
      <c r="AL46" s="123">
        <f t="shared" si="41"/>
        <v>0</v>
      </c>
      <c r="AM46" s="124"/>
      <c r="AN46" s="125">
        <f t="shared" si="42"/>
        <v>0</v>
      </c>
      <c r="AO46" s="126">
        <f t="shared" si="43"/>
        <v>0</v>
      </c>
      <c r="AP46" s="126">
        <f t="shared" si="44"/>
        <v>0</v>
      </c>
      <c r="AQ46" s="126">
        <f t="shared" si="45"/>
        <v>0</v>
      </c>
      <c r="AR46" s="126">
        <f t="shared" si="46"/>
        <v>0</v>
      </c>
      <c r="AS46" s="126">
        <f t="array" ref="AS46">_xlfn.IFS(S46=0,AL46,S46&lt;0,AL46/-S46,S46&gt;0,AL46/S46)</f>
        <v>0</v>
      </c>
      <c r="AT46" s="121">
        <f t="shared" si="47"/>
        <v>0</v>
      </c>
      <c r="AU46" s="121">
        <f t="shared" si="48"/>
        <v>0</v>
      </c>
      <c r="AV46" s="127"/>
      <c r="AW46" s="122">
        <f t="shared" si="49"/>
        <v>0</v>
      </c>
    </row>
    <row r="47" spans="1:49" hidden="1" outlineLevel="1">
      <c r="A47" s="116"/>
      <c r="B47" s="117"/>
      <c r="C47" s="117"/>
      <c r="D47" s="118"/>
      <c r="E47" s="119">
        <f t="shared" si="29"/>
        <v>0</v>
      </c>
      <c r="F47" s="119"/>
      <c r="G47" s="119"/>
      <c r="H47" s="119"/>
      <c r="I47" s="119"/>
      <c r="J47" s="119">
        <f t="shared" si="30"/>
        <v>0</v>
      </c>
      <c r="K47" s="116"/>
      <c r="L47" s="116"/>
      <c r="M47" s="116"/>
      <c r="N47" s="116"/>
      <c r="O47" s="119">
        <f t="shared" si="31"/>
        <v>0</v>
      </c>
      <c r="P47" s="119">
        <f t="shared" si="32"/>
        <v>0</v>
      </c>
      <c r="Q47" s="120"/>
      <c r="R47" s="120"/>
      <c r="S47" s="119">
        <f t="shared" si="33"/>
        <v>0</v>
      </c>
      <c r="T47" s="119"/>
      <c r="U47" s="119"/>
      <c r="V47" s="119">
        <f t="shared" si="34"/>
        <v>0</v>
      </c>
      <c r="W47" s="120"/>
      <c r="X47" s="120"/>
      <c r="Y47" s="119">
        <f t="shared" si="35"/>
        <v>0</v>
      </c>
      <c r="Z47" s="119">
        <f t="shared" si="36"/>
        <v>0</v>
      </c>
      <c r="AA47" s="121">
        <f t="shared" si="50"/>
        <v>0</v>
      </c>
      <c r="AB47" s="119">
        <f t="shared" si="37"/>
        <v>0</v>
      </c>
      <c r="AC47" s="120"/>
      <c r="AD47" s="121">
        <f t="shared" si="38"/>
        <v>0</v>
      </c>
      <c r="AE47" s="120"/>
      <c r="AF47" s="120"/>
      <c r="AG47" s="120"/>
      <c r="AH47" s="120"/>
      <c r="AI47" s="154">
        <f t="shared" si="39"/>
        <v>0</v>
      </c>
      <c r="AJ47" s="120"/>
      <c r="AK47" s="122">
        <f t="shared" si="40"/>
        <v>0</v>
      </c>
      <c r="AL47" s="123">
        <f t="shared" si="41"/>
        <v>0</v>
      </c>
      <c r="AM47" s="124"/>
      <c r="AN47" s="125">
        <f t="shared" si="42"/>
        <v>0</v>
      </c>
      <c r="AO47" s="126">
        <f t="shared" si="43"/>
        <v>0</v>
      </c>
      <c r="AP47" s="126">
        <f t="shared" si="44"/>
        <v>0</v>
      </c>
      <c r="AQ47" s="126">
        <f t="shared" si="45"/>
        <v>0</v>
      </c>
      <c r="AR47" s="126">
        <f t="shared" si="46"/>
        <v>0</v>
      </c>
      <c r="AS47" s="126">
        <f t="array" ref="AS47">_xlfn.IFS(S47=0,AL47,S47&lt;0,AL47/-S47,S47&gt;0,AL47/S47)</f>
        <v>0</v>
      </c>
      <c r="AT47" s="121">
        <f t="shared" si="47"/>
        <v>0</v>
      </c>
      <c r="AU47" s="121">
        <f t="shared" si="48"/>
        <v>0</v>
      </c>
      <c r="AV47" s="127"/>
      <c r="AW47" s="122">
        <f t="shared" si="49"/>
        <v>0</v>
      </c>
    </row>
    <row r="48" spans="1:49" hidden="1" outlineLevel="1">
      <c r="A48" s="116"/>
      <c r="B48" s="117"/>
      <c r="C48" s="117"/>
      <c r="D48" s="118"/>
      <c r="E48" s="119">
        <f t="shared" si="29"/>
        <v>0</v>
      </c>
      <c r="F48" s="119"/>
      <c r="G48" s="119"/>
      <c r="H48" s="119"/>
      <c r="I48" s="119"/>
      <c r="J48" s="119">
        <f t="shared" si="30"/>
        <v>0</v>
      </c>
      <c r="K48" s="116"/>
      <c r="L48" s="116"/>
      <c r="M48" s="116"/>
      <c r="N48" s="116"/>
      <c r="O48" s="119">
        <f t="shared" si="31"/>
        <v>0</v>
      </c>
      <c r="P48" s="119">
        <f t="shared" si="32"/>
        <v>0</v>
      </c>
      <c r="Q48" s="120"/>
      <c r="R48" s="120"/>
      <c r="S48" s="119">
        <f t="shared" si="33"/>
        <v>0</v>
      </c>
      <c r="T48" s="119"/>
      <c r="U48" s="119"/>
      <c r="V48" s="119">
        <f t="shared" si="34"/>
        <v>0</v>
      </c>
      <c r="W48" s="120"/>
      <c r="X48" s="120"/>
      <c r="Y48" s="119">
        <f t="shared" si="35"/>
        <v>0</v>
      </c>
      <c r="Z48" s="119">
        <f t="shared" si="36"/>
        <v>0</v>
      </c>
      <c r="AA48" s="121">
        <f t="shared" si="50"/>
        <v>0</v>
      </c>
      <c r="AB48" s="119">
        <f t="shared" si="37"/>
        <v>0</v>
      </c>
      <c r="AC48" s="120"/>
      <c r="AD48" s="121">
        <f t="shared" si="38"/>
        <v>0</v>
      </c>
      <c r="AE48" s="120"/>
      <c r="AF48" s="120"/>
      <c r="AG48" s="120"/>
      <c r="AH48" s="120"/>
      <c r="AI48" s="154">
        <f t="shared" si="39"/>
        <v>0</v>
      </c>
      <c r="AJ48" s="120"/>
      <c r="AK48" s="122">
        <f t="shared" si="40"/>
        <v>0</v>
      </c>
      <c r="AL48" s="123">
        <f t="shared" si="41"/>
        <v>0</v>
      </c>
      <c r="AM48" s="124"/>
      <c r="AN48" s="125">
        <f t="shared" si="42"/>
        <v>0</v>
      </c>
      <c r="AO48" s="126">
        <f t="shared" si="43"/>
        <v>0</v>
      </c>
      <c r="AP48" s="126">
        <f t="shared" si="44"/>
        <v>0</v>
      </c>
      <c r="AQ48" s="126">
        <f t="shared" si="45"/>
        <v>0</v>
      </c>
      <c r="AR48" s="126">
        <f t="shared" si="46"/>
        <v>0</v>
      </c>
      <c r="AS48" s="126">
        <f t="array" ref="AS48">_xlfn.IFS(S48=0,AL48,S48&lt;0,AL48/-S48,S48&gt;0,AL48/S48)</f>
        <v>0</v>
      </c>
      <c r="AT48" s="121">
        <f t="shared" si="47"/>
        <v>0</v>
      </c>
      <c r="AU48" s="121">
        <f t="shared" si="48"/>
        <v>0</v>
      </c>
      <c r="AV48" s="127"/>
      <c r="AW48" s="122">
        <f t="shared" si="49"/>
        <v>0</v>
      </c>
    </row>
    <row r="49" spans="1:49" hidden="1" outlineLevel="1">
      <c r="A49" s="116"/>
      <c r="B49" s="117"/>
      <c r="C49" s="117"/>
      <c r="D49" s="118"/>
      <c r="E49" s="119">
        <f t="shared" si="29"/>
        <v>0</v>
      </c>
      <c r="F49" s="119"/>
      <c r="G49" s="119"/>
      <c r="H49" s="119"/>
      <c r="I49" s="119"/>
      <c r="J49" s="119">
        <f t="shared" si="30"/>
        <v>0</v>
      </c>
      <c r="K49" s="116"/>
      <c r="L49" s="116"/>
      <c r="M49" s="116"/>
      <c r="N49" s="116"/>
      <c r="O49" s="119">
        <f t="shared" si="31"/>
        <v>0</v>
      </c>
      <c r="P49" s="119">
        <f t="shared" si="32"/>
        <v>0</v>
      </c>
      <c r="Q49" s="120"/>
      <c r="R49" s="120"/>
      <c r="S49" s="119">
        <f t="shared" si="33"/>
        <v>0</v>
      </c>
      <c r="T49" s="119"/>
      <c r="U49" s="119"/>
      <c r="V49" s="119">
        <f t="shared" si="34"/>
        <v>0</v>
      </c>
      <c r="W49" s="120"/>
      <c r="X49" s="120"/>
      <c r="Y49" s="119">
        <f t="shared" si="35"/>
        <v>0</v>
      </c>
      <c r="Z49" s="119">
        <f t="shared" si="36"/>
        <v>0</v>
      </c>
      <c r="AA49" s="121">
        <f t="shared" si="50"/>
        <v>0</v>
      </c>
      <c r="AB49" s="119">
        <f t="shared" si="37"/>
        <v>0</v>
      </c>
      <c r="AC49" s="120"/>
      <c r="AD49" s="121">
        <f t="shared" si="38"/>
        <v>0</v>
      </c>
      <c r="AE49" s="120"/>
      <c r="AF49" s="120"/>
      <c r="AG49" s="120"/>
      <c r="AH49" s="120"/>
      <c r="AI49" s="154">
        <f t="shared" si="39"/>
        <v>0</v>
      </c>
      <c r="AJ49" s="120"/>
      <c r="AK49" s="122">
        <f t="shared" si="40"/>
        <v>0</v>
      </c>
      <c r="AL49" s="123">
        <f t="shared" si="41"/>
        <v>0</v>
      </c>
      <c r="AM49" s="124"/>
      <c r="AN49" s="125">
        <f t="shared" si="42"/>
        <v>0</v>
      </c>
      <c r="AO49" s="126">
        <f t="shared" si="43"/>
        <v>0</v>
      </c>
      <c r="AP49" s="126">
        <f t="shared" si="44"/>
        <v>0</v>
      </c>
      <c r="AQ49" s="126">
        <f t="shared" si="45"/>
        <v>0</v>
      </c>
      <c r="AR49" s="126">
        <f t="shared" si="46"/>
        <v>0</v>
      </c>
      <c r="AS49" s="126">
        <f t="array" ref="AS49">_xlfn.IFS(S49=0,AL49,S49&lt;0,AL49/-S49,S49&gt;0,AL49/S49)</f>
        <v>0</v>
      </c>
      <c r="AT49" s="121">
        <f t="shared" si="47"/>
        <v>0</v>
      </c>
      <c r="AU49" s="121">
        <f t="shared" si="48"/>
        <v>0</v>
      </c>
      <c r="AV49" s="127"/>
      <c r="AW49" s="122">
        <f t="shared" si="49"/>
        <v>0</v>
      </c>
    </row>
    <row r="50" spans="1:49" hidden="1" outlineLevel="1">
      <c r="A50" s="116"/>
      <c r="B50" s="117"/>
      <c r="C50" s="117"/>
      <c r="D50" s="118"/>
      <c r="E50" s="119">
        <f t="shared" si="29"/>
        <v>0</v>
      </c>
      <c r="F50" s="119"/>
      <c r="G50" s="119"/>
      <c r="H50" s="119"/>
      <c r="I50" s="119"/>
      <c r="J50" s="119">
        <f t="shared" si="30"/>
        <v>0</v>
      </c>
      <c r="K50" s="116"/>
      <c r="L50" s="116"/>
      <c r="M50" s="116"/>
      <c r="N50" s="116"/>
      <c r="O50" s="119">
        <f t="shared" si="31"/>
        <v>0</v>
      </c>
      <c r="P50" s="119">
        <f t="shared" si="32"/>
        <v>0</v>
      </c>
      <c r="Q50" s="120"/>
      <c r="R50" s="120"/>
      <c r="S50" s="119">
        <f t="shared" si="33"/>
        <v>0</v>
      </c>
      <c r="T50" s="119"/>
      <c r="U50" s="119"/>
      <c r="V50" s="119">
        <f t="shared" si="34"/>
        <v>0</v>
      </c>
      <c r="W50" s="120"/>
      <c r="X50" s="120"/>
      <c r="Y50" s="119">
        <f t="shared" si="35"/>
        <v>0</v>
      </c>
      <c r="Z50" s="119">
        <f t="shared" si="36"/>
        <v>0</v>
      </c>
      <c r="AA50" s="121">
        <f t="shared" si="50"/>
        <v>0</v>
      </c>
      <c r="AB50" s="119">
        <f t="shared" si="37"/>
        <v>0</v>
      </c>
      <c r="AC50" s="120"/>
      <c r="AD50" s="121">
        <f t="shared" si="38"/>
        <v>0</v>
      </c>
      <c r="AE50" s="120"/>
      <c r="AF50" s="120"/>
      <c r="AG50" s="120"/>
      <c r="AH50" s="120"/>
      <c r="AI50" s="154">
        <f t="shared" si="39"/>
        <v>0</v>
      </c>
      <c r="AJ50" s="120"/>
      <c r="AK50" s="122">
        <f t="shared" si="40"/>
        <v>0</v>
      </c>
      <c r="AL50" s="123">
        <f t="shared" si="41"/>
        <v>0</v>
      </c>
      <c r="AM50" s="124"/>
      <c r="AN50" s="125">
        <f t="shared" si="42"/>
        <v>0</v>
      </c>
      <c r="AO50" s="126">
        <f t="shared" si="43"/>
        <v>0</v>
      </c>
      <c r="AP50" s="126">
        <f t="shared" si="44"/>
        <v>0</v>
      </c>
      <c r="AQ50" s="126">
        <f t="shared" si="45"/>
        <v>0</v>
      </c>
      <c r="AR50" s="126">
        <f t="shared" si="46"/>
        <v>0</v>
      </c>
      <c r="AS50" s="126">
        <f t="array" ref="AS50">_xlfn.IFS(S50=0,AL50,S50&lt;0,AL50/-S50,S50&gt;0,AL50/S50)</f>
        <v>0</v>
      </c>
      <c r="AT50" s="121">
        <f t="shared" si="47"/>
        <v>0</v>
      </c>
      <c r="AU50" s="121">
        <f t="shared" si="48"/>
        <v>0</v>
      </c>
      <c r="AV50" s="127"/>
      <c r="AW50" s="122">
        <f t="shared" si="49"/>
        <v>0</v>
      </c>
    </row>
    <row r="51" spans="1:49" hidden="1" outlineLevel="1">
      <c r="A51" s="116"/>
      <c r="B51" s="117"/>
      <c r="C51" s="117"/>
      <c r="D51" s="118"/>
      <c r="E51" s="119">
        <f t="shared" ref="E51:E70" si="51">SUM(F51:H51)</f>
        <v>0</v>
      </c>
      <c r="F51" s="119"/>
      <c r="G51" s="119"/>
      <c r="H51" s="119"/>
      <c r="I51" s="119"/>
      <c r="J51" s="119">
        <f t="shared" ref="J51:J70" si="52">E51*I51</f>
        <v>0</v>
      </c>
      <c r="K51" s="116"/>
      <c r="L51" s="116"/>
      <c r="M51" s="116"/>
      <c r="N51" s="116"/>
      <c r="O51" s="119">
        <f t="shared" si="31"/>
        <v>0</v>
      </c>
      <c r="P51" s="119">
        <f t="shared" si="32"/>
        <v>0</v>
      </c>
      <c r="Q51" s="120"/>
      <c r="R51" s="120"/>
      <c r="S51" s="119">
        <f t="shared" si="33"/>
        <v>0</v>
      </c>
      <c r="T51" s="119"/>
      <c r="U51" s="119"/>
      <c r="V51" s="119">
        <f t="shared" si="34"/>
        <v>0</v>
      </c>
      <c r="W51" s="120"/>
      <c r="X51" s="120"/>
      <c r="Y51" s="119">
        <f t="shared" si="35"/>
        <v>0</v>
      </c>
      <c r="Z51" s="119">
        <f t="shared" si="36"/>
        <v>0</v>
      </c>
      <c r="AA51" s="121">
        <f t="shared" si="50"/>
        <v>0</v>
      </c>
      <c r="AB51" s="119">
        <f t="shared" si="37"/>
        <v>0</v>
      </c>
      <c r="AC51" s="120"/>
      <c r="AD51" s="121">
        <f t="shared" si="38"/>
        <v>0</v>
      </c>
      <c r="AE51" s="120"/>
      <c r="AF51" s="120"/>
      <c r="AG51" s="120"/>
      <c r="AH51" s="120"/>
      <c r="AI51" s="154">
        <f t="shared" ref="AI51:AI70" si="53">$AI$74*H51/$H$74</f>
        <v>0</v>
      </c>
      <c r="AJ51" s="120"/>
      <c r="AK51" s="122">
        <f t="shared" si="40"/>
        <v>0</v>
      </c>
      <c r="AL51" s="123">
        <f t="shared" si="41"/>
        <v>0</v>
      </c>
      <c r="AM51" s="124"/>
      <c r="AN51" s="125">
        <f t="shared" si="42"/>
        <v>0</v>
      </c>
      <c r="AO51" s="126">
        <f t="shared" si="43"/>
        <v>0</v>
      </c>
      <c r="AP51" s="126">
        <f t="shared" si="44"/>
        <v>0</v>
      </c>
      <c r="AQ51" s="126">
        <f t="shared" si="45"/>
        <v>0</v>
      </c>
      <c r="AR51" s="126">
        <f t="shared" si="46"/>
        <v>0</v>
      </c>
      <c r="AS51" s="126">
        <f t="array" ref="AS51">_xlfn.IFS(S51=0,AL51,S51&lt;0,AL51/-S51,S51&gt;0,AL51/S51)</f>
        <v>0</v>
      </c>
      <c r="AT51" s="121">
        <f t="shared" si="47"/>
        <v>0</v>
      </c>
      <c r="AU51" s="121">
        <f t="shared" si="48"/>
        <v>0</v>
      </c>
      <c r="AV51" s="127"/>
      <c r="AW51" s="122">
        <f t="shared" ref="AW51:AW70" si="54">AS51*E51</f>
        <v>0</v>
      </c>
    </row>
    <row r="52" spans="1:49" hidden="1" outlineLevel="1">
      <c r="A52" s="116"/>
      <c r="B52" s="117"/>
      <c r="C52" s="117"/>
      <c r="D52" s="118"/>
      <c r="E52" s="119">
        <f t="shared" si="51"/>
        <v>0</v>
      </c>
      <c r="F52" s="119"/>
      <c r="G52" s="119"/>
      <c r="H52" s="119"/>
      <c r="I52" s="119"/>
      <c r="J52" s="119">
        <f t="shared" si="52"/>
        <v>0</v>
      </c>
      <c r="K52" s="116"/>
      <c r="L52" s="116"/>
      <c r="M52" s="116"/>
      <c r="N52" s="116"/>
      <c r="O52" s="119">
        <f t="shared" si="31"/>
        <v>0</v>
      </c>
      <c r="P52" s="119">
        <f t="shared" si="32"/>
        <v>0</v>
      </c>
      <c r="Q52" s="120"/>
      <c r="R52" s="120"/>
      <c r="S52" s="119">
        <f t="shared" si="33"/>
        <v>0</v>
      </c>
      <c r="T52" s="119"/>
      <c r="U52" s="119"/>
      <c r="V52" s="119">
        <f t="shared" si="34"/>
        <v>0</v>
      </c>
      <c r="W52" s="120"/>
      <c r="X52" s="120"/>
      <c r="Y52" s="119">
        <f t="shared" si="35"/>
        <v>0</v>
      </c>
      <c r="Z52" s="119">
        <f t="shared" si="36"/>
        <v>0</v>
      </c>
      <c r="AA52" s="121">
        <f t="shared" si="50"/>
        <v>0</v>
      </c>
      <c r="AB52" s="119">
        <f t="shared" si="37"/>
        <v>0</v>
      </c>
      <c r="AC52" s="120"/>
      <c r="AD52" s="121">
        <f t="shared" si="38"/>
        <v>0</v>
      </c>
      <c r="AE52" s="120"/>
      <c r="AF52" s="120"/>
      <c r="AG52" s="120"/>
      <c r="AH52" s="120"/>
      <c r="AI52" s="154">
        <f t="shared" si="53"/>
        <v>0</v>
      </c>
      <c r="AJ52" s="120"/>
      <c r="AK52" s="122">
        <f t="shared" si="40"/>
        <v>0</v>
      </c>
      <c r="AL52" s="123">
        <f t="shared" si="41"/>
        <v>0</v>
      </c>
      <c r="AM52" s="124"/>
      <c r="AN52" s="125">
        <f t="shared" si="42"/>
        <v>0</v>
      </c>
      <c r="AO52" s="126">
        <f t="shared" si="43"/>
        <v>0</v>
      </c>
      <c r="AP52" s="126">
        <f t="shared" si="44"/>
        <v>0</v>
      </c>
      <c r="AQ52" s="126">
        <f t="shared" si="45"/>
        <v>0</v>
      </c>
      <c r="AR52" s="126">
        <f t="shared" si="46"/>
        <v>0</v>
      </c>
      <c r="AS52" s="126">
        <f t="array" ref="AS52">_xlfn.IFS(S52=0,AL52,S52&lt;0,AL52/-S52,S52&gt;0,AL52/S52)</f>
        <v>0</v>
      </c>
      <c r="AT52" s="121">
        <f t="shared" si="47"/>
        <v>0</v>
      </c>
      <c r="AU52" s="121">
        <f t="shared" si="48"/>
        <v>0</v>
      </c>
      <c r="AV52" s="127"/>
      <c r="AW52" s="122">
        <f t="shared" si="54"/>
        <v>0</v>
      </c>
    </row>
    <row r="53" spans="1:49" hidden="1" outlineLevel="1">
      <c r="A53" s="116"/>
      <c r="B53" s="117"/>
      <c r="C53" s="117"/>
      <c r="D53" s="118"/>
      <c r="E53" s="119">
        <f t="shared" si="51"/>
        <v>0</v>
      </c>
      <c r="F53" s="119"/>
      <c r="G53" s="119"/>
      <c r="H53" s="119"/>
      <c r="I53" s="119"/>
      <c r="J53" s="119">
        <f t="shared" si="52"/>
        <v>0</v>
      </c>
      <c r="K53" s="116"/>
      <c r="L53" s="116"/>
      <c r="M53" s="116"/>
      <c r="N53" s="116"/>
      <c r="O53" s="119">
        <f t="shared" si="31"/>
        <v>0</v>
      </c>
      <c r="P53" s="119">
        <f t="shared" si="32"/>
        <v>0</v>
      </c>
      <c r="Q53" s="120"/>
      <c r="R53" s="120"/>
      <c r="S53" s="119">
        <f t="shared" si="33"/>
        <v>0</v>
      </c>
      <c r="T53" s="119"/>
      <c r="U53" s="119"/>
      <c r="V53" s="119">
        <f t="shared" si="34"/>
        <v>0</v>
      </c>
      <c r="W53" s="120"/>
      <c r="X53" s="120"/>
      <c r="Y53" s="119">
        <f t="shared" si="35"/>
        <v>0</v>
      </c>
      <c r="Z53" s="119">
        <f t="shared" si="36"/>
        <v>0</v>
      </c>
      <c r="AA53" s="121">
        <f t="shared" si="50"/>
        <v>0</v>
      </c>
      <c r="AB53" s="119">
        <f t="shared" si="37"/>
        <v>0</v>
      </c>
      <c r="AC53" s="120"/>
      <c r="AD53" s="121">
        <f t="shared" si="38"/>
        <v>0</v>
      </c>
      <c r="AE53" s="120"/>
      <c r="AF53" s="120"/>
      <c r="AG53" s="120"/>
      <c r="AH53" s="120"/>
      <c r="AI53" s="154">
        <f t="shared" si="53"/>
        <v>0</v>
      </c>
      <c r="AJ53" s="120"/>
      <c r="AK53" s="122">
        <f t="shared" si="40"/>
        <v>0</v>
      </c>
      <c r="AL53" s="123">
        <f t="shared" si="41"/>
        <v>0</v>
      </c>
      <c r="AM53" s="124"/>
      <c r="AN53" s="125">
        <f t="shared" si="42"/>
        <v>0</v>
      </c>
      <c r="AO53" s="126">
        <f t="shared" si="43"/>
        <v>0</v>
      </c>
      <c r="AP53" s="126">
        <f t="shared" si="44"/>
        <v>0</v>
      </c>
      <c r="AQ53" s="126">
        <f t="shared" si="45"/>
        <v>0</v>
      </c>
      <c r="AR53" s="126">
        <f t="shared" si="46"/>
        <v>0</v>
      </c>
      <c r="AS53" s="126">
        <f t="array" ref="AS53">_xlfn.IFS(S53=0,AL53,S53&lt;0,AL53/-S53,S53&gt;0,AL53/S53)</f>
        <v>0</v>
      </c>
      <c r="AT53" s="121">
        <f t="shared" si="47"/>
        <v>0</v>
      </c>
      <c r="AU53" s="121">
        <f t="shared" si="48"/>
        <v>0</v>
      </c>
      <c r="AV53" s="127"/>
      <c r="AW53" s="122">
        <f t="shared" si="54"/>
        <v>0</v>
      </c>
    </row>
    <row r="54" spans="1:49" hidden="1" outlineLevel="1">
      <c r="A54" s="116"/>
      <c r="B54" s="117"/>
      <c r="C54" s="117"/>
      <c r="D54" s="118"/>
      <c r="E54" s="119">
        <f t="shared" si="51"/>
        <v>0</v>
      </c>
      <c r="F54" s="119"/>
      <c r="G54" s="119"/>
      <c r="H54" s="119"/>
      <c r="I54" s="119"/>
      <c r="J54" s="119">
        <f t="shared" si="52"/>
        <v>0</v>
      </c>
      <c r="K54" s="116"/>
      <c r="L54" s="116"/>
      <c r="M54" s="116"/>
      <c r="N54" s="116"/>
      <c r="O54" s="119">
        <f t="shared" si="31"/>
        <v>0</v>
      </c>
      <c r="P54" s="119">
        <f t="shared" si="32"/>
        <v>0</v>
      </c>
      <c r="Q54" s="120"/>
      <c r="R54" s="120"/>
      <c r="S54" s="119">
        <f t="shared" si="33"/>
        <v>0</v>
      </c>
      <c r="T54" s="119"/>
      <c r="U54" s="119"/>
      <c r="V54" s="119">
        <f t="shared" si="34"/>
        <v>0</v>
      </c>
      <c r="W54" s="120"/>
      <c r="X54" s="120"/>
      <c r="Y54" s="119">
        <f t="shared" si="35"/>
        <v>0</v>
      </c>
      <c r="Z54" s="119">
        <f t="shared" si="36"/>
        <v>0</v>
      </c>
      <c r="AA54" s="121">
        <f t="shared" si="50"/>
        <v>0</v>
      </c>
      <c r="AB54" s="119">
        <f t="shared" si="37"/>
        <v>0</v>
      </c>
      <c r="AC54" s="120"/>
      <c r="AD54" s="121">
        <f t="shared" si="38"/>
        <v>0</v>
      </c>
      <c r="AE54" s="120"/>
      <c r="AF54" s="120"/>
      <c r="AG54" s="120"/>
      <c r="AH54" s="120"/>
      <c r="AI54" s="154">
        <f t="shared" si="53"/>
        <v>0</v>
      </c>
      <c r="AJ54" s="120"/>
      <c r="AK54" s="122">
        <f t="shared" si="40"/>
        <v>0</v>
      </c>
      <c r="AL54" s="123">
        <f t="shared" si="41"/>
        <v>0</v>
      </c>
      <c r="AM54" s="124"/>
      <c r="AN54" s="125">
        <f t="shared" si="42"/>
        <v>0</v>
      </c>
      <c r="AO54" s="126">
        <f t="shared" si="43"/>
        <v>0</v>
      </c>
      <c r="AP54" s="126">
        <f t="shared" si="44"/>
        <v>0</v>
      </c>
      <c r="AQ54" s="126">
        <f t="shared" si="45"/>
        <v>0</v>
      </c>
      <c r="AR54" s="126">
        <f t="shared" si="46"/>
        <v>0</v>
      </c>
      <c r="AS54" s="126">
        <f t="array" ref="AS54">_xlfn.IFS(S54=0,AL54,S54&lt;0,AL54/-S54,S54&gt;0,AL54/S54)</f>
        <v>0</v>
      </c>
      <c r="AT54" s="121">
        <f t="shared" si="47"/>
        <v>0</v>
      </c>
      <c r="AU54" s="121">
        <f t="shared" si="48"/>
        <v>0</v>
      </c>
      <c r="AV54" s="127"/>
      <c r="AW54" s="122">
        <f t="shared" si="54"/>
        <v>0</v>
      </c>
    </row>
    <row r="55" spans="1:49" hidden="1" outlineLevel="1">
      <c r="A55" s="116"/>
      <c r="B55" s="117"/>
      <c r="C55" s="117"/>
      <c r="D55" s="118"/>
      <c r="E55" s="119">
        <f t="shared" si="51"/>
        <v>0</v>
      </c>
      <c r="F55" s="119"/>
      <c r="G55" s="119"/>
      <c r="H55" s="119"/>
      <c r="I55" s="119"/>
      <c r="J55" s="119">
        <f t="shared" si="52"/>
        <v>0</v>
      </c>
      <c r="K55" s="116"/>
      <c r="L55" s="116"/>
      <c r="M55" s="116"/>
      <c r="N55" s="116"/>
      <c r="O55" s="119">
        <f t="shared" si="31"/>
        <v>0</v>
      </c>
      <c r="P55" s="119">
        <f t="shared" si="32"/>
        <v>0</v>
      </c>
      <c r="Q55" s="120"/>
      <c r="R55" s="120"/>
      <c r="S55" s="119">
        <f t="shared" si="33"/>
        <v>0</v>
      </c>
      <c r="T55" s="119"/>
      <c r="U55" s="119"/>
      <c r="V55" s="119">
        <f t="shared" si="34"/>
        <v>0</v>
      </c>
      <c r="W55" s="120"/>
      <c r="X55" s="120"/>
      <c r="Y55" s="119">
        <f t="shared" si="35"/>
        <v>0</v>
      </c>
      <c r="Z55" s="119">
        <f t="shared" si="36"/>
        <v>0</v>
      </c>
      <c r="AA55" s="121">
        <f t="shared" si="50"/>
        <v>0</v>
      </c>
      <c r="AB55" s="119">
        <f t="shared" si="37"/>
        <v>0</v>
      </c>
      <c r="AC55" s="120"/>
      <c r="AD55" s="121">
        <f t="shared" si="38"/>
        <v>0</v>
      </c>
      <c r="AE55" s="120"/>
      <c r="AF55" s="120"/>
      <c r="AG55" s="120"/>
      <c r="AH55" s="120"/>
      <c r="AI55" s="154">
        <f t="shared" si="53"/>
        <v>0</v>
      </c>
      <c r="AJ55" s="120"/>
      <c r="AK55" s="122">
        <f t="shared" si="40"/>
        <v>0</v>
      </c>
      <c r="AL55" s="123">
        <f t="shared" si="41"/>
        <v>0</v>
      </c>
      <c r="AM55" s="124"/>
      <c r="AN55" s="125">
        <f t="shared" si="42"/>
        <v>0</v>
      </c>
      <c r="AO55" s="126">
        <f t="shared" si="43"/>
        <v>0</v>
      </c>
      <c r="AP55" s="126">
        <f t="shared" si="44"/>
        <v>0</v>
      </c>
      <c r="AQ55" s="126">
        <f t="shared" si="45"/>
        <v>0</v>
      </c>
      <c r="AR55" s="126">
        <f t="shared" si="46"/>
        <v>0</v>
      </c>
      <c r="AS55" s="126">
        <f t="array" ref="AS55">_xlfn.IFS(S55=0,AL55,S55&lt;0,AL55/-S55,S55&gt;0,AL55/S55)</f>
        <v>0</v>
      </c>
      <c r="AT55" s="121">
        <f t="shared" si="47"/>
        <v>0</v>
      </c>
      <c r="AU55" s="121">
        <f t="shared" si="48"/>
        <v>0</v>
      </c>
      <c r="AV55" s="127"/>
      <c r="AW55" s="122">
        <f t="shared" si="54"/>
        <v>0</v>
      </c>
    </row>
    <row r="56" spans="1:49" hidden="1" outlineLevel="1">
      <c r="A56" s="116"/>
      <c r="B56" s="117"/>
      <c r="C56" s="117"/>
      <c r="D56" s="118"/>
      <c r="E56" s="119">
        <f t="shared" si="51"/>
        <v>0</v>
      </c>
      <c r="F56" s="119"/>
      <c r="G56" s="119"/>
      <c r="H56" s="119"/>
      <c r="I56" s="119"/>
      <c r="J56" s="119">
        <f t="shared" si="52"/>
        <v>0</v>
      </c>
      <c r="K56" s="116"/>
      <c r="L56" s="116"/>
      <c r="M56" s="116"/>
      <c r="N56" s="116"/>
      <c r="O56" s="119">
        <f t="shared" si="31"/>
        <v>0</v>
      </c>
      <c r="P56" s="119">
        <f t="shared" si="32"/>
        <v>0</v>
      </c>
      <c r="Q56" s="120"/>
      <c r="R56" s="120"/>
      <c r="S56" s="119">
        <f t="shared" si="33"/>
        <v>0</v>
      </c>
      <c r="T56" s="119"/>
      <c r="U56" s="119"/>
      <c r="V56" s="119">
        <f t="shared" si="34"/>
        <v>0</v>
      </c>
      <c r="W56" s="120"/>
      <c r="X56" s="120"/>
      <c r="Y56" s="119">
        <f t="shared" si="35"/>
        <v>0</v>
      </c>
      <c r="Z56" s="119">
        <f t="shared" si="36"/>
        <v>0</v>
      </c>
      <c r="AA56" s="121">
        <f t="shared" si="50"/>
        <v>0</v>
      </c>
      <c r="AB56" s="119">
        <f t="shared" si="37"/>
        <v>0</v>
      </c>
      <c r="AC56" s="120"/>
      <c r="AD56" s="121">
        <f t="shared" si="38"/>
        <v>0</v>
      </c>
      <c r="AE56" s="120"/>
      <c r="AF56" s="120"/>
      <c r="AG56" s="120"/>
      <c r="AH56" s="120"/>
      <c r="AI56" s="154">
        <f t="shared" si="53"/>
        <v>0</v>
      </c>
      <c r="AJ56" s="120"/>
      <c r="AK56" s="122">
        <f t="shared" si="40"/>
        <v>0</v>
      </c>
      <c r="AL56" s="123">
        <f t="shared" si="41"/>
        <v>0</v>
      </c>
      <c r="AM56" s="124"/>
      <c r="AN56" s="125">
        <f t="shared" si="42"/>
        <v>0</v>
      </c>
      <c r="AO56" s="126">
        <f t="shared" si="43"/>
        <v>0</v>
      </c>
      <c r="AP56" s="126">
        <f t="shared" si="44"/>
        <v>0</v>
      </c>
      <c r="AQ56" s="126">
        <f t="shared" si="45"/>
        <v>0</v>
      </c>
      <c r="AR56" s="126">
        <f t="shared" si="46"/>
        <v>0</v>
      </c>
      <c r="AS56" s="126">
        <f t="array" ref="AS56">_xlfn.IFS(S56=0,AL56,S56&lt;0,AL56/-S56,S56&gt;0,AL56/S56)</f>
        <v>0</v>
      </c>
      <c r="AT56" s="121">
        <f t="shared" si="47"/>
        <v>0</v>
      </c>
      <c r="AU56" s="121">
        <f t="shared" si="48"/>
        <v>0</v>
      </c>
      <c r="AV56" s="127"/>
      <c r="AW56" s="122">
        <f t="shared" si="54"/>
        <v>0</v>
      </c>
    </row>
    <row r="57" spans="1:49" hidden="1" outlineLevel="1">
      <c r="A57" s="116"/>
      <c r="B57" s="117"/>
      <c r="C57" s="117"/>
      <c r="D57" s="118"/>
      <c r="E57" s="119">
        <f t="shared" si="51"/>
        <v>0</v>
      </c>
      <c r="F57" s="119"/>
      <c r="G57" s="119"/>
      <c r="H57" s="119"/>
      <c r="I57" s="119"/>
      <c r="J57" s="119">
        <f t="shared" si="52"/>
        <v>0</v>
      </c>
      <c r="K57" s="116"/>
      <c r="L57" s="116"/>
      <c r="M57" s="116"/>
      <c r="N57" s="116"/>
      <c r="O57" s="119">
        <f t="shared" si="31"/>
        <v>0</v>
      </c>
      <c r="P57" s="119">
        <f t="shared" si="32"/>
        <v>0</v>
      </c>
      <c r="Q57" s="120"/>
      <c r="R57" s="120"/>
      <c r="S57" s="119">
        <f t="shared" si="33"/>
        <v>0</v>
      </c>
      <c r="T57" s="119"/>
      <c r="U57" s="119"/>
      <c r="V57" s="119">
        <f t="shared" si="34"/>
        <v>0</v>
      </c>
      <c r="W57" s="120"/>
      <c r="X57" s="120"/>
      <c r="Y57" s="119">
        <f t="shared" si="35"/>
        <v>0</v>
      </c>
      <c r="Z57" s="119">
        <f t="shared" si="36"/>
        <v>0</v>
      </c>
      <c r="AA57" s="121">
        <f t="shared" si="50"/>
        <v>0</v>
      </c>
      <c r="AB57" s="119">
        <f t="shared" si="37"/>
        <v>0</v>
      </c>
      <c r="AC57" s="120"/>
      <c r="AD57" s="121">
        <f t="shared" si="38"/>
        <v>0</v>
      </c>
      <c r="AE57" s="120"/>
      <c r="AF57" s="120"/>
      <c r="AG57" s="120"/>
      <c r="AH57" s="120"/>
      <c r="AI57" s="154">
        <f t="shared" si="53"/>
        <v>0</v>
      </c>
      <c r="AJ57" s="120"/>
      <c r="AK57" s="122">
        <f t="shared" si="40"/>
        <v>0</v>
      </c>
      <c r="AL57" s="123">
        <f t="shared" si="41"/>
        <v>0</v>
      </c>
      <c r="AM57" s="124"/>
      <c r="AN57" s="125">
        <f t="shared" si="42"/>
        <v>0</v>
      </c>
      <c r="AO57" s="126">
        <f t="shared" si="43"/>
        <v>0</v>
      </c>
      <c r="AP57" s="126">
        <f t="shared" si="44"/>
        <v>0</v>
      </c>
      <c r="AQ57" s="126">
        <f t="shared" si="45"/>
        <v>0</v>
      </c>
      <c r="AR57" s="126">
        <f t="shared" si="46"/>
        <v>0</v>
      </c>
      <c r="AS57" s="126">
        <f t="array" ref="AS57">_xlfn.IFS(S57=0,AL57,S57&lt;0,AL57/-S57,S57&gt;0,AL57/S57)</f>
        <v>0</v>
      </c>
      <c r="AT57" s="121">
        <f t="shared" si="47"/>
        <v>0</v>
      </c>
      <c r="AU57" s="121">
        <f t="shared" si="48"/>
        <v>0</v>
      </c>
      <c r="AV57" s="127"/>
      <c r="AW57" s="122">
        <f t="shared" si="54"/>
        <v>0</v>
      </c>
    </row>
    <row r="58" spans="1:49" hidden="1" outlineLevel="1">
      <c r="A58" s="116"/>
      <c r="B58" s="117"/>
      <c r="C58" s="117"/>
      <c r="D58" s="118"/>
      <c r="E58" s="119">
        <f t="shared" si="51"/>
        <v>0</v>
      </c>
      <c r="F58" s="119"/>
      <c r="G58" s="119"/>
      <c r="H58" s="119"/>
      <c r="I58" s="119"/>
      <c r="J58" s="119">
        <f t="shared" si="52"/>
        <v>0</v>
      </c>
      <c r="K58" s="116"/>
      <c r="L58" s="116"/>
      <c r="M58" s="116"/>
      <c r="N58" s="116"/>
      <c r="O58" s="119">
        <f t="shared" si="31"/>
        <v>0</v>
      </c>
      <c r="P58" s="119">
        <f t="shared" si="32"/>
        <v>0</v>
      </c>
      <c r="Q58" s="120"/>
      <c r="R58" s="120"/>
      <c r="S58" s="119">
        <f t="shared" si="33"/>
        <v>0</v>
      </c>
      <c r="T58" s="119"/>
      <c r="U58" s="119"/>
      <c r="V58" s="119">
        <f t="shared" si="34"/>
        <v>0</v>
      </c>
      <c r="W58" s="120"/>
      <c r="X58" s="120"/>
      <c r="Y58" s="119">
        <f t="shared" si="35"/>
        <v>0</v>
      </c>
      <c r="Z58" s="119">
        <f t="shared" si="36"/>
        <v>0</v>
      </c>
      <c r="AA58" s="121">
        <f t="shared" si="50"/>
        <v>0</v>
      </c>
      <c r="AB58" s="119">
        <f t="shared" si="37"/>
        <v>0</v>
      </c>
      <c r="AC58" s="120"/>
      <c r="AD58" s="121">
        <f t="shared" si="38"/>
        <v>0</v>
      </c>
      <c r="AE58" s="120"/>
      <c r="AF58" s="120"/>
      <c r="AG58" s="120"/>
      <c r="AH58" s="120"/>
      <c r="AI58" s="154">
        <f t="shared" si="53"/>
        <v>0</v>
      </c>
      <c r="AJ58" s="120"/>
      <c r="AK58" s="122">
        <f t="shared" si="40"/>
        <v>0</v>
      </c>
      <c r="AL58" s="123">
        <f t="shared" si="41"/>
        <v>0</v>
      </c>
      <c r="AM58" s="124"/>
      <c r="AN58" s="125">
        <f t="shared" si="42"/>
        <v>0</v>
      </c>
      <c r="AO58" s="126">
        <f t="shared" si="43"/>
        <v>0</v>
      </c>
      <c r="AP58" s="126">
        <f t="shared" si="44"/>
        <v>0</v>
      </c>
      <c r="AQ58" s="126">
        <f t="shared" si="45"/>
        <v>0</v>
      </c>
      <c r="AR58" s="126">
        <f t="shared" si="46"/>
        <v>0</v>
      </c>
      <c r="AS58" s="126">
        <f t="array" ref="AS58">_xlfn.IFS(S58=0,AL58,S58&lt;0,AL58/-S58,S58&gt;0,AL58/S58)</f>
        <v>0</v>
      </c>
      <c r="AT58" s="121">
        <f t="shared" si="47"/>
        <v>0</v>
      </c>
      <c r="AU58" s="121">
        <f t="shared" si="48"/>
        <v>0</v>
      </c>
      <c r="AV58" s="127"/>
      <c r="AW58" s="122">
        <f t="shared" si="54"/>
        <v>0</v>
      </c>
    </row>
    <row r="59" spans="1:49" hidden="1" outlineLevel="1">
      <c r="A59" s="116"/>
      <c r="B59" s="117"/>
      <c r="C59" s="117"/>
      <c r="D59" s="118"/>
      <c r="E59" s="119">
        <f t="shared" si="51"/>
        <v>0</v>
      </c>
      <c r="F59" s="119"/>
      <c r="G59" s="119"/>
      <c r="H59" s="119"/>
      <c r="I59" s="119"/>
      <c r="J59" s="119">
        <f t="shared" si="52"/>
        <v>0</v>
      </c>
      <c r="K59" s="116"/>
      <c r="L59" s="116"/>
      <c r="M59" s="116"/>
      <c r="N59" s="116"/>
      <c r="O59" s="119">
        <f t="shared" si="31"/>
        <v>0</v>
      </c>
      <c r="P59" s="119">
        <f t="shared" si="32"/>
        <v>0</v>
      </c>
      <c r="Q59" s="120"/>
      <c r="R59" s="120"/>
      <c r="S59" s="119">
        <f t="shared" si="33"/>
        <v>0</v>
      </c>
      <c r="T59" s="119"/>
      <c r="U59" s="119"/>
      <c r="V59" s="119">
        <f t="shared" si="34"/>
        <v>0</v>
      </c>
      <c r="W59" s="120"/>
      <c r="X59" s="120"/>
      <c r="Y59" s="119">
        <f t="shared" si="35"/>
        <v>0</v>
      </c>
      <c r="Z59" s="119">
        <f t="shared" si="36"/>
        <v>0</v>
      </c>
      <c r="AA59" s="121">
        <f t="shared" si="50"/>
        <v>0</v>
      </c>
      <c r="AB59" s="119">
        <f t="shared" si="37"/>
        <v>0</v>
      </c>
      <c r="AC59" s="120"/>
      <c r="AD59" s="121">
        <f t="shared" si="38"/>
        <v>0</v>
      </c>
      <c r="AE59" s="120"/>
      <c r="AF59" s="120"/>
      <c r="AG59" s="120"/>
      <c r="AH59" s="120"/>
      <c r="AI59" s="154">
        <f t="shared" si="53"/>
        <v>0</v>
      </c>
      <c r="AJ59" s="120"/>
      <c r="AK59" s="122">
        <f t="shared" si="40"/>
        <v>0</v>
      </c>
      <c r="AL59" s="123">
        <f t="shared" si="41"/>
        <v>0</v>
      </c>
      <c r="AM59" s="124"/>
      <c r="AN59" s="125">
        <f t="shared" si="42"/>
        <v>0</v>
      </c>
      <c r="AO59" s="126">
        <f t="shared" si="43"/>
        <v>0</v>
      </c>
      <c r="AP59" s="126">
        <f t="shared" si="44"/>
        <v>0</v>
      </c>
      <c r="AQ59" s="126">
        <f t="shared" si="45"/>
        <v>0</v>
      </c>
      <c r="AR59" s="126">
        <f t="shared" si="46"/>
        <v>0</v>
      </c>
      <c r="AS59" s="126">
        <f t="array" ref="AS59">_xlfn.IFS(S59=0,AL59,S59&lt;0,AL59/-S59,S59&gt;0,AL59/S59)</f>
        <v>0</v>
      </c>
      <c r="AT59" s="121">
        <f t="shared" si="47"/>
        <v>0</v>
      </c>
      <c r="AU59" s="121">
        <f t="shared" si="48"/>
        <v>0</v>
      </c>
      <c r="AV59" s="127"/>
      <c r="AW59" s="122">
        <f t="shared" si="54"/>
        <v>0</v>
      </c>
    </row>
    <row r="60" spans="1:49" hidden="1" outlineLevel="1">
      <c r="A60" s="116"/>
      <c r="B60" s="117"/>
      <c r="C60" s="117"/>
      <c r="D60" s="118"/>
      <c r="E60" s="119">
        <f t="shared" si="51"/>
        <v>0</v>
      </c>
      <c r="F60" s="119"/>
      <c r="G60" s="119"/>
      <c r="H60" s="119"/>
      <c r="I60" s="119"/>
      <c r="J60" s="119">
        <f t="shared" si="52"/>
        <v>0</v>
      </c>
      <c r="K60" s="116"/>
      <c r="L60" s="116"/>
      <c r="M60" s="116"/>
      <c r="N60" s="116"/>
      <c r="O60" s="119">
        <f t="shared" si="31"/>
        <v>0</v>
      </c>
      <c r="P60" s="119">
        <f t="shared" si="32"/>
        <v>0</v>
      </c>
      <c r="Q60" s="120"/>
      <c r="R60" s="120"/>
      <c r="S60" s="119">
        <f t="shared" si="33"/>
        <v>0</v>
      </c>
      <c r="T60" s="119"/>
      <c r="U60" s="119"/>
      <c r="V60" s="119">
        <f t="shared" si="34"/>
        <v>0</v>
      </c>
      <c r="W60" s="120"/>
      <c r="X60" s="120"/>
      <c r="Y60" s="119">
        <f t="shared" si="35"/>
        <v>0</v>
      </c>
      <c r="Z60" s="119">
        <f t="shared" si="36"/>
        <v>0</v>
      </c>
      <c r="AA60" s="121">
        <f t="shared" si="50"/>
        <v>0</v>
      </c>
      <c r="AB60" s="119">
        <f t="shared" si="37"/>
        <v>0</v>
      </c>
      <c r="AC60" s="120"/>
      <c r="AD60" s="121">
        <f t="shared" si="38"/>
        <v>0</v>
      </c>
      <c r="AE60" s="120"/>
      <c r="AF60" s="120"/>
      <c r="AG60" s="120"/>
      <c r="AH60" s="120"/>
      <c r="AI60" s="154">
        <f t="shared" si="53"/>
        <v>0</v>
      </c>
      <c r="AJ60" s="120"/>
      <c r="AK60" s="122">
        <f t="shared" si="40"/>
        <v>0</v>
      </c>
      <c r="AL60" s="123">
        <f t="shared" si="41"/>
        <v>0</v>
      </c>
      <c r="AM60" s="124"/>
      <c r="AN60" s="125">
        <f t="shared" si="42"/>
        <v>0</v>
      </c>
      <c r="AO60" s="126">
        <f t="shared" si="43"/>
        <v>0</v>
      </c>
      <c r="AP60" s="126">
        <f t="shared" si="44"/>
        <v>0</v>
      </c>
      <c r="AQ60" s="126">
        <f t="shared" si="45"/>
        <v>0</v>
      </c>
      <c r="AR60" s="126">
        <f t="shared" si="46"/>
        <v>0</v>
      </c>
      <c r="AS60" s="126">
        <f t="array" ref="AS60">_xlfn.IFS(S60=0,AL60,S60&lt;0,AL60/-S60,S60&gt;0,AL60/S60)</f>
        <v>0</v>
      </c>
      <c r="AT60" s="121">
        <f t="shared" si="47"/>
        <v>0</v>
      </c>
      <c r="AU60" s="121">
        <f t="shared" si="48"/>
        <v>0</v>
      </c>
      <c r="AV60" s="127"/>
      <c r="AW60" s="122">
        <f t="shared" si="54"/>
        <v>0</v>
      </c>
    </row>
    <row r="61" spans="1:49" hidden="1" outlineLevel="1">
      <c r="A61" s="116"/>
      <c r="B61" s="117"/>
      <c r="C61" s="117"/>
      <c r="D61" s="118"/>
      <c r="E61" s="119">
        <f t="shared" si="51"/>
        <v>0</v>
      </c>
      <c r="F61" s="119"/>
      <c r="G61" s="119"/>
      <c r="H61" s="119"/>
      <c r="I61" s="119"/>
      <c r="J61" s="119">
        <f t="shared" si="52"/>
        <v>0</v>
      </c>
      <c r="K61" s="116"/>
      <c r="L61" s="116"/>
      <c r="M61" s="116"/>
      <c r="N61" s="116"/>
      <c r="O61" s="119">
        <f t="shared" si="31"/>
        <v>0</v>
      </c>
      <c r="P61" s="119">
        <f t="shared" si="32"/>
        <v>0</v>
      </c>
      <c r="Q61" s="120"/>
      <c r="R61" s="120"/>
      <c r="S61" s="119">
        <f t="shared" si="33"/>
        <v>0</v>
      </c>
      <c r="T61" s="119"/>
      <c r="U61" s="119"/>
      <c r="V61" s="119">
        <f t="shared" si="34"/>
        <v>0</v>
      </c>
      <c r="W61" s="120"/>
      <c r="X61" s="120"/>
      <c r="Y61" s="119">
        <f t="shared" si="35"/>
        <v>0</v>
      </c>
      <c r="Z61" s="119">
        <f t="shared" si="36"/>
        <v>0</v>
      </c>
      <c r="AA61" s="121">
        <f t="shared" si="50"/>
        <v>0</v>
      </c>
      <c r="AB61" s="119">
        <f t="shared" si="37"/>
        <v>0</v>
      </c>
      <c r="AC61" s="120"/>
      <c r="AD61" s="121">
        <f t="shared" si="38"/>
        <v>0</v>
      </c>
      <c r="AE61" s="120"/>
      <c r="AF61" s="120"/>
      <c r="AG61" s="120"/>
      <c r="AH61" s="120"/>
      <c r="AI61" s="154">
        <f t="shared" si="53"/>
        <v>0</v>
      </c>
      <c r="AJ61" s="120"/>
      <c r="AK61" s="122">
        <f t="shared" si="40"/>
        <v>0</v>
      </c>
      <c r="AL61" s="123">
        <f t="shared" si="41"/>
        <v>0</v>
      </c>
      <c r="AM61" s="124"/>
      <c r="AN61" s="125">
        <f t="shared" si="42"/>
        <v>0</v>
      </c>
      <c r="AO61" s="126">
        <f t="shared" si="43"/>
        <v>0</v>
      </c>
      <c r="AP61" s="126">
        <f t="shared" si="44"/>
        <v>0</v>
      </c>
      <c r="AQ61" s="126">
        <f t="shared" si="45"/>
        <v>0</v>
      </c>
      <c r="AR61" s="126">
        <f t="shared" si="46"/>
        <v>0</v>
      </c>
      <c r="AS61" s="126">
        <f t="array" ref="AS61">_xlfn.IFS(S61=0,AL61,S61&lt;0,AL61/-S61,S61&gt;0,AL61/S61)</f>
        <v>0</v>
      </c>
      <c r="AT61" s="121">
        <f t="shared" si="47"/>
        <v>0</v>
      </c>
      <c r="AU61" s="121">
        <f t="shared" si="48"/>
        <v>0</v>
      </c>
      <c r="AV61" s="127"/>
      <c r="AW61" s="122">
        <f t="shared" si="54"/>
        <v>0</v>
      </c>
    </row>
    <row r="62" spans="1:49" hidden="1" outlineLevel="1">
      <c r="A62" s="116"/>
      <c r="B62" s="117"/>
      <c r="C62" s="117"/>
      <c r="D62" s="118"/>
      <c r="E62" s="119">
        <f t="shared" si="51"/>
        <v>0</v>
      </c>
      <c r="F62" s="119"/>
      <c r="G62" s="119"/>
      <c r="H62" s="119"/>
      <c r="I62" s="119"/>
      <c r="J62" s="119">
        <f t="shared" si="52"/>
        <v>0</v>
      </c>
      <c r="K62" s="116"/>
      <c r="L62" s="116"/>
      <c r="M62" s="116"/>
      <c r="N62" s="116"/>
      <c r="O62" s="119">
        <f t="shared" si="31"/>
        <v>0</v>
      </c>
      <c r="P62" s="119">
        <f t="shared" si="32"/>
        <v>0</v>
      </c>
      <c r="Q62" s="120"/>
      <c r="R62" s="120"/>
      <c r="S62" s="119">
        <f t="shared" si="33"/>
        <v>0</v>
      </c>
      <c r="T62" s="119"/>
      <c r="U62" s="119"/>
      <c r="V62" s="119">
        <f t="shared" si="34"/>
        <v>0</v>
      </c>
      <c r="W62" s="120"/>
      <c r="X62" s="120"/>
      <c r="Y62" s="119">
        <f t="shared" si="35"/>
        <v>0</v>
      </c>
      <c r="Z62" s="119">
        <f t="shared" si="36"/>
        <v>0</v>
      </c>
      <c r="AA62" s="121">
        <f t="shared" si="50"/>
        <v>0</v>
      </c>
      <c r="AB62" s="119">
        <f t="shared" si="37"/>
        <v>0</v>
      </c>
      <c r="AC62" s="120"/>
      <c r="AD62" s="121">
        <f t="shared" si="38"/>
        <v>0</v>
      </c>
      <c r="AE62" s="120"/>
      <c r="AF62" s="120"/>
      <c r="AG62" s="120"/>
      <c r="AH62" s="120"/>
      <c r="AI62" s="154">
        <f t="shared" si="53"/>
        <v>0</v>
      </c>
      <c r="AJ62" s="120"/>
      <c r="AK62" s="122">
        <f t="shared" si="40"/>
        <v>0</v>
      </c>
      <c r="AL62" s="123">
        <f t="shared" si="41"/>
        <v>0</v>
      </c>
      <c r="AM62" s="124"/>
      <c r="AN62" s="125">
        <f t="shared" si="42"/>
        <v>0</v>
      </c>
      <c r="AO62" s="126">
        <f t="shared" si="43"/>
        <v>0</v>
      </c>
      <c r="AP62" s="126">
        <f t="shared" si="44"/>
        <v>0</v>
      </c>
      <c r="AQ62" s="126">
        <f t="shared" si="45"/>
        <v>0</v>
      </c>
      <c r="AR62" s="126">
        <f t="shared" si="46"/>
        <v>0</v>
      </c>
      <c r="AS62" s="126">
        <f t="array" ref="AS62">_xlfn.IFS(S62=0,AL62,S62&lt;0,AL62/-S62,S62&gt;0,AL62/S62)</f>
        <v>0</v>
      </c>
      <c r="AT62" s="121">
        <f t="shared" si="47"/>
        <v>0</v>
      </c>
      <c r="AU62" s="121">
        <f t="shared" si="48"/>
        <v>0</v>
      </c>
      <c r="AV62" s="127"/>
      <c r="AW62" s="122">
        <f t="shared" si="54"/>
        <v>0</v>
      </c>
    </row>
    <row r="63" spans="1:49" hidden="1" outlineLevel="1">
      <c r="A63" s="116"/>
      <c r="B63" s="117"/>
      <c r="C63" s="117"/>
      <c r="D63" s="151"/>
      <c r="E63" s="120">
        <f t="shared" si="51"/>
        <v>0</v>
      </c>
      <c r="F63" s="119"/>
      <c r="G63" s="119"/>
      <c r="H63" s="119"/>
      <c r="I63" s="119"/>
      <c r="J63" s="119">
        <f t="shared" si="52"/>
        <v>0</v>
      </c>
      <c r="K63" s="116"/>
      <c r="L63" s="116"/>
      <c r="M63" s="116"/>
      <c r="N63" s="116"/>
      <c r="O63" s="119">
        <f t="shared" si="31"/>
        <v>0</v>
      </c>
      <c r="P63" s="119">
        <f t="shared" si="32"/>
        <v>0</v>
      </c>
      <c r="Q63" s="120"/>
      <c r="R63" s="120"/>
      <c r="S63" s="119">
        <f t="shared" si="33"/>
        <v>0</v>
      </c>
      <c r="T63" s="119"/>
      <c r="U63" s="119"/>
      <c r="V63" s="119">
        <f t="shared" si="34"/>
        <v>0</v>
      </c>
      <c r="W63" s="120"/>
      <c r="X63" s="120"/>
      <c r="Y63" s="119">
        <f t="shared" si="35"/>
        <v>0</v>
      </c>
      <c r="Z63" s="119">
        <f t="shared" si="36"/>
        <v>0</v>
      </c>
      <c r="AA63" s="121">
        <f t="shared" si="50"/>
        <v>0</v>
      </c>
      <c r="AB63" s="119">
        <f t="shared" si="37"/>
        <v>0</v>
      </c>
      <c r="AC63" s="120"/>
      <c r="AD63" s="121">
        <f t="shared" si="38"/>
        <v>0</v>
      </c>
      <c r="AE63" s="120"/>
      <c r="AF63" s="120"/>
      <c r="AG63" s="120"/>
      <c r="AH63" s="120"/>
      <c r="AI63" s="154">
        <f t="shared" si="53"/>
        <v>0</v>
      </c>
      <c r="AJ63" s="120"/>
      <c r="AK63" s="122">
        <f t="shared" si="40"/>
        <v>0</v>
      </c>
      <c r="AL63" s="123">
        <f t="shared" si="41"/>
        <v>0</v>
      </c>
      <c r="AM63" s="124"/>
      <c r="AN63" s="125">
        <f t="shared" si="42"/>
        <v>0</v>
      </c>
      <c r="AO63" s="126">
        <f t="shared" si="43"/>
        <v>0</v>
      </c>
      <c r="AP63" s="126">
        <f t="shared" si="44"/>
        <v>0</v>
      </c>
      <c r="AQ63" s="126">
        <f t="shared" si="45"/>
        <v>0</v>
      </c>
      <c r="AR63" s="126">
        <f t="shared" si="46"/>
        <v>0</v>
      </c>
      <c r="AS63" s="126">
        <f t="array" ref="AS63">_xlfn.IFS(S63=0,AL63,S63&lt;0,AL63/-S63,S63&gt;0,AL63/S63)</f>
        <v>0</v>
      </c>
      <c r="AT63" s="121">
        <f t="shared" si="47"/>
        <v>0</v>
      </c>
      <c r="AU63" s="121">
        <f t="shared" si="48"/>
        <v>0</v>
      </c>
      <c r="AV63" s="127"/>
      <c r="AW63" s="122">
        <f t="shared" si="54"/>
        <v>0</v>
      </c>
    </row>
    <row r="64" spans="1:49" hidden="1" outlineLevel="1">
      <c r="A64" s="116"/>
      <c r="B64" s="117"/>
      <c r="C64" s="117"/>
      <c r="D64" s="151"/>
      <c r="E64" s="120">
        <f t="shared" si="51"/>
        <v>0</v>
      </c>
      <c r="F64" s="119"/>
      <c r="G64" s="119"/>
      <c r="H64" s="119"/>
      <c r="I64" s="119"/>
      <c r="J64" s="119">
        <f t="shared" si="52"/>
        <v>0</v>
      </c>
      <c r="K64" s="116"/>
      <c r="L64" s="116"/>
      <c r="M64" s="116"/>
      <c r="N64" s="116"/>
      <c r="O64" s="119">
        <f t="shared" si="31"/>
        <v>0</v>
      </c>
      <c r="P64" s="119">
        <f t="shared" si="32"/>
        <v>0</v>
      </c>
      <c r="Q64" s="120"/>
      <c r="R64" s="120"/>
      <c r="S64" s="119">
        <f t="shared" si="33"/>
        <v>0</v>
      </c>
      <c r="T64" s="119"/>
      <c r="U64" s="119"/>
      <c r="V64" s="119">
        <f t="shared" si="34"/>
        <v>0</v>
      </c>
      <c r="W64" s="120"/>
      <c r="X64" s="120"/>
      <c r="Y64" s="119">
        <f t="shared" si="35"/>
        <v>0</v>
      </c>
      <c r="Z64" s="119">
        <f t="shared" si="36"/>
        <v>0</v>
      </c>
      <c r="AA64" s="121">
        <f t="shared" si="50"/>
        <v>0</v>
      </c>
      <c r="AB64" s="119">
        <f t="shared" si="37"/>
        <v>0</v>
      </c>
      <c r="AC64" s="120"/>
      <c r="AD64" s="121">
        <f t="shared" si="38"/>
        <v>0</v>
      </c>
      <c r="AE64" s="120"/>
      <c r="AF64" s="120"/>
      <c r="AG64" s="120"/>
      <c r="AH64" s="120"/>
      <c r="AI64" s="154">
        <f t="shared" si="53"/>
        <v>0</v>
      </c>
      <c r="AJ64" s="120"/>
      <c r="AK64" s="122">
        <f t="shared" si="40"/>
        <v>0</v>
      </c>
      <c r="AL64" s="123">
        <f t="shared" si="41"/>
        <v>0</v>
      </c>
      <c r="AM64" s="124"/>
      <c r="AN64" s="125">
        <f t="shared" si="42"/>
        <v>0</v>
      </c>
      <c r="AO64" s="126">
        <f t="shared" si="43"/>
        <v>0</v>
      </c>
      <c r="AP64" s="126">
        <f t="shared" si="44"/>
        <v>0</v>
      </c>
      <c r="AQ64" s="126">
        <f t="shared" si="45"/>
        <v>0</v>
      </c>
      <c r="AR64" s="126">
        <f t="shared" si="46"/>
        <v>0</v>
      </c>
      <c r="AS64" s="126">
        <f t="array" ref="AS64">_xlfn.IFS(S64=0,AL64,S64&lt;0,AL64/-S64,S64&gt;0,AL64/S64)</f>
        <v>0</v>
      </c>
      <c r="AT64" s="121">
        <f t="shared" si="47"/>
        <v>0</v>
      </c>
      <c r="AU64" s="121">
        <f t="shared" si="48"/>
        <v>0</v>
      </c>
      <c r="AV64" s="127"/>
      <c r="AW64" s="122">
        <f t="shared" si="54"/>
        <v>0</v>
      </c>
    </row>
    <row r="65" spans="1:49" hidden="1" outlineLevel="1">
      <c r="A65" s="116"/>
      <c r="B65" s="117"/>
      <c r="C65" s="117"/>
      <c r="D65" s="151"/>
      <c r="E65" s="120">
        <f t="shared" si="51"/>
        <v>0</v>
      </c>
      <c r="F65" s="119"/>
      <c r="G65" s="119"/>
      <c r="H65" s="119"/>
      <c r="I65" s="119"/>
      <c r="J65" s="119">
        <f t="shared" si="52"/>
        <v>0</v>
      </c>
      <c r="K65" s="116"/>
      <c r="L65" s="116"/>
      <c r="M65" s="116"/>
      <c r="N65" s="116"/>
      <c r="O65" s="119">
        <f t="shared" si="31"/>
        <v>0</v>
      </c>
      <c r="P65" s="119">
        <f t="shared" si="32"/>
        <v>0</v>
      </c>
      <c r="Q65" s="120"/>
      <c r="R65" s="120"/>
      <c r="S65" s="119">
        <f t="shared" si="33"/>
        <v>0</v>
      </c>
      <c r="T65" s="119"/>
      <c r="U65" s="119"/>
      <c r="V65" s="119">
        <f t="shared" si="34"/>
        <v>0</v>
      </c>
      <c r="W65" s="120"/>
      <c r="X65" s="120"/>
      <c r="Y65" s="119">
        <f t="shared" si="35"/>
        <v>0</v>
      </c>
      <c r="Z65" s="119">
        <f t="shared" si="36"/>
        <v>0</v>
      </c>
      <c r="AA65" s="121">
        <f t="shared" si="50"/>
        <v>0</v>
      </c>
      <c r="AB65" s="119">
        <f t="shared" si="37"/>
        <v>0</v>
      </c>
      <c r="AC65" s="120"/>
      <c r="AD65" s="121">
        <f t="shared" si="38"/>
        <v>0</v>
      </c>
      <c r="AE65" s="120"/>
      <c r="AF65" s="120"/>
      <c r="AG65" s="120"/>
      <c r="AH65" s="120"/>
      <c r="AI65" s="154">
        <f t="shared" si="53"/>
        <v>0</v>
      </c>
      <c r="AJ65" s="120"/>
      <c r="AK65" s="122">
        <f t="shared" si="40"/>
        <v>0</v>
      </c>
      <c r="AL65" s="123">
        <f t="shared" si="41"/>
        <v>0</v>
      </c>
      <c r="AM65" s="124"/>
      <c r="AN65" s="125">
        <f t="shared" si="42"/>
        <v>0</v>
      </c>
      <c r="AO65" s="126">
        <f t="shared" si="43"/>
        <v>0</v>
      </c>
      <c r="AP65" s="126">
        <f t="shared" si="44"/>
        <v>0</v>
      </c>
      <c r="AQ65" s="126">
        <f t="shared" si="45"/>
        <v>0</v>
      </c>
      <c r="AR65" s="126">
        <f t="shared" si="46"/>
        <v>0</v>
      </c>
      <c r="AS65" s="126">
        <f t="array" ref="AS65">_xlfn.IFS(S65=0,AL65,S65&lt;0,AL65/-S65,S65&gt;0,AL65/S65)</f>
        <v>0</v>
      </c>
      <c r="AT65" s="121">
        <f t="shared" si="47"/>
        <v>0</v>
      </c>
      <c r="AU65" s="121">
        <f t="shared" si="48"/>
        <v>0</v>
      </c>
      <c r="AV65" s="127"/>
      <c r="AW65" s="122">
        <f t="shared" si="54"/>
        <v>0</v>
      </c>
    </row>
    <row r="66" spans="1:49" hidden="1" outlineLevel="1">
      <c r="A66" s="116"/>
      <c r="B66" s="117"/>
      <c r="C66" s="117"/>
      <c r="D66" s="151"/>
      <c r="E66" s="120">
        <f t="shared" si="51"/>
        <v>0</v>
      </c>
      <c r="F66" s="119"/>
      <c r="G66" s="119"/>
      <c r="H66" s="119"/>
      <c r="I66" s="119"/>
      <c r="J66" s="119">
        <f t="shared" si="52"/>
        <v>0</v>
      </c>
      <c r="K66" s="116"/>
      <c r="L66" s="116"/>
      <c r="M66" s="116"/>
      <c r="N66" s="116"/>
      <c r="O66" s="119">
        <f t="shared" si="31"/>
        <v>0</v>
      </c>
      <c r="P66" s="119">
        <f t="shared" si="32"/>
        <v>0</v>
      </c>
      <c r="Q66" s="120"/>
      <c r="R66" s="120"/>
      <c r="S66" s="119">
        <f t="shared" si="33"/>
        <v>0</v>
      </c>
      <c r="T66" s="119"/>
      <c r="U66" s="119"/>
      <c r="V66" s="119">
        <f t="shared" si="34"/>
        <v>0</v>
      </c>
      <c r="W66" s="120"/>
      <c r="X66" s="120"/>
      <c r="Y66" s="119">
        <f t="shared" si="35"/>
        <v>0</v>
      </c>
      <c r="Z66" s="119">
        <f>L66*M66*N66/100</f>
        <v>0</v>
      </c>
      <c r="AA66" s="121">
        <f t="shared" si="50"/>
        <v>0</v>
      </c>
      <c r="AB66" s="119">
        <f t="shared" si="37"/>
        <v>0</v>
      </c>
      <c r="AC66" s="120"/>
      <c r="AD66" s="121">
        <f t="shared" si="38"/>
        <v>0</v>
      </c>
      <c r="AE66" s="120"/>
      <c r="AF66" s="120"/>
      <c r="AG66" s="120"/>
      <c r="AH66" s="120"/>
      <c r="AI66" s="154">
        <f t="shared" si="53"/>
        <v>0</v>
      </c>
      <c r="AJ66" s="120"/>
      <c r="AK66" s="122">
        <f t="shared" si="40"/>
        <v>0</v>
      </c>
      <c r="AL66" s="123">
        <f t="shared" si="41"/>
        <v>0</v>
      </c>
      <c r="AM66" s="124"/>
      <c r="AN66" s="125">
        <f t="shared" si="42"/>
        <v>0</v>
      </c>
      <c r="AO66" s="126">
        <f t="shared" si="43"/>
        <v>0</v>
      </c>
      <c r="AP66" s="126">
        <f t="shared" si="44"/>
        <v>0</v>
      </c>
      <c r="AQ66" s="126">
        <f t="shared" si="45"/>
        <v>0</v>
      </c>
      <c r="AR66" s="126">
        <f t="shared" si="46"/>
        <v>0</v>
      </c>
      <c r="AS66" s="126">
        <f t="array" ref="AS66">_xlfn.IFS(S66=0,AL66,S66&lt;0,AL66/-S66,S66&gt;0,AL66/S66)</f>
        <v>0</v>
      </c>
      <c r="AT66" s="121">
        <f t="shared" si="47"/>
        <v>0</v>
      </c>
      <c r="AU66" s="121">
        <f t="shared" si="48"/>
        <v>0</v>
      </c>
      <c r="AV66" s="127"/>
      <c r="AW66" s="122">
        <f t="shared" si="54"/>
        <v>0</v>
      </c>
    </row>
    <row r="67" spans="1:49" hidden="1" outlineLevel="1">
      <c r="A67" s="116"/>
      <c r="B67" s="117"/>
      <c r="C67" s="117"/>
      <c r="D67" s="151"/>
      <c r="E67" s="120">
        <f t="shared" si="51"/>
        <v>0</v>
      </c>
      <c r="F67" s="119"/>
      <c r="G67" s="119"/>
      <c r="H67" s="119"/>
      <c r="I67" s="119"/>
      <c r="J67" s="119">
        <f t="shared" si="52"/>
        <v>0</v>
      </c>
      <c r="K67" s="116"/>
      <c r="L67" s="116"/>
      <c r="M67" s="116"/>
      <c r="N67" s="116"/>
      <c r="O67" s="119">
        <f t="shared" si="31"/>
        <v>0</v>
      </c>
      <c r="P67" s="119">
        <f t="shared" si="32"/>
        <v>0</v>
      </c>
      <c r="Q67" s="120"/>
      <c r="R67" s="120"/>
      <c r="S67" s="119">
        <f t="shared" si="33"/>
        <v>0</v>
      </c>
      <c r="T67" s="119"/>
      <c r="U67" s="119"/>
      <c r="V67" s="119">
        <f t="shared" si="34"/>
        <v>0</v>
      </c>
      <c r="W67" s="120"/>
      <c r="X67" s="120"/>
      <c r="Y67" s="119">
        <f t="shared" si="35"/>
        <v>0</v>
      </c>
      <c r="Z67" s="119">
        <f t="shared" ref="Z67:Z70" si="55">L67*M67*N67/100</f>
        <v>0</v>
      </c>
      <c r="AA67" s="121">
        <f t="shared" si="50"/>
        <v>0</v>
      </c>
      <c r="AB67" s="119">
        <f t="shared" si="37"/>
        <v>0</v>
      </c>
      <c r="AC67" s="120"/>
      <c r="AD67" s="121">
        <f t="shared" si="38"/>
        <v>0</v>
      </c>
      <c r="AE67" s="120"/>
      <c r="AF67" s="120"/>
      <c r="AG67" s="120"/>
      <c r="AH67" s="120"/>
      <c r="AI67" s="154">
        <f t="shared" si="53"/>
        <v>0</v>
      </c>
      <c r="AJ67" s="120"/>
      <c r="AK67" s="122">
        <f t="shared" si="40"/>
        <v>0</v>
      </c>
      <c r="AL67" s="123">
        <f t="shared" si="41"/>
        <v>0</v>
      </c>
      <c r="AM67" s="124"/>
      <c r="AN67" s="125">
        <f t="shared" si="42"/>
        <v>0</v>
      </c>
      <c r="AO67" s="126">
        <f t="shared" si="43"/>
        <v>0</v>
      </c>
      <c r="AP67" s="126">
        <f t="shared" si="44"/>
        <v>0</v>
      </c>
      <c r="AQ67" s="126">
        <f t="shared" si="45"/>
        <v>0</v>
      </c>
      <c r="AR67" s="126">
        <f t="shared" si="46"/>
        <v>0</v>
      </c>
      <c r="AS67" s="126">
        <f t="array" ref="AS67">_xlfn.IFS(S67=0,AL67,S67&lt;0,AL67/-S67,S67&gt;0,AL67/S67)</f>
        <v>0</v>
      </c>
      <c r="AT67" s="121">
        <f t="shared" si="47"/>
        <v>0</v>
      </c>
      <c r="AU67" s="121">
        <f t="shared" si="48"/>
        <v>0</v>
      </c>
      <c r="AV67" s="127"/>
      <c r="AW67" s="122">
        <f t="shared" si="54"/>
        <v>0</v>
      </c>
    </row>
    <row r="68" spans="1:49" hidden="1" outlineLevel="1">
      <c r="A68" s="116"/>
      <c r="B68" s="117"/>
      <c r="C68" s="117"/>
      <c r="D68" s="118"/>
      <c r="E68" s="119">
        <f t="shared" si="51"/>
        <v>0</v>
      </c>
      <c r="F68" s="119"/>
      <c r="G68" s="119"/>
      <c r="H68" s="119"/>
      <c r="I68" s="119"/>
      <c r="J68" s="119">
        <f t="shared" si="52"/>
        <v>0</v>
      </c>
      <c r="K68" s="116"/>
      <c r="L68" s="116"/>
      <c r="M68" s="116"/>
      <c r="N68" s="116"/>
      <c r="O68" s="119">
        <f t="shared" si="31"/>
        <v>0</v>
      </c>
      <c r="P68" s="119">
        <f t="shared" si="32"/>
        <v>0</v>
      </c>
      <c r="Q68" s="120"/>
      <c r="R68" s="120"/>
      <c r="S68" s="119">
        <f t="shared" si="33"/>
        <v>0</v>
      </c>
      <c r="T68" s="119"/>
      <c r="U68" s="119"/>
      <c r="V68" s="119">
        <f t="shared" si="34"/>
        <v>0</v>
      </c>
      <c r="W68" s="120"/>
      <c r="X68" s="120"/>
      <c r="Y68" s="119">
        <f t="shared" si="35"/>
        <v>0</v>
      </c>
      <c r="Z68" s="119">
        <f t="shared" si="55"/>
        <v>0</v>
      </c>
      <c r="AA68" s="121">
        <f t="shared" si="50"/>
        <v>0</v>
      </c>
      <c r="AB68" s="119">
        <f t="shared" si="37"/>
        <v>0</v>
      </c>
      <c r="AC68" s="120"/>
      <c r="AD68" s="121">
        <f t="shared" si="38"/>
        <v>0</v>
      </c>
      <c r="AE68" s="120"/>
      <c r="AF68" s="120"/>
      <c r="AG68" s="120"/>
      <c r="AH68" s="120"/>
      <c r="AI68" s="154">
        <f t="shared" si="53"/>
        <v>0</v>
      </c>
      <c r="AJ68" s="120"/>
      <c r="AK68" s="122">
        <f t="shared" si="40"/>
        <v>0</v>
      </c>
      <c r="AL68" s="123">
        <f t="shared" si="41"/>
        <v>0</v>
      </c>
      <c r="AM68" s="124"/>
      <c r="AN68" s="125">
        <f t="shared" si="42"/>
        <v>0</v>
      </c>
      <c r="AO68" s="126">
        <f t="shared" si="43"/>
        <v>0</v>
      </c>
      <c r="AP68" s="126">
        <f t="shared" si="44"/>
        <v>0</v>
      </c>
      <c r="AQ68" s="126">
        <f t="shared" si="45"/>
        <v>0</v>
      </c>
      <c r="AR68" s="126">
        <f t="shared" si="46"/>
        <v>0</v>
      </c>
      <c r="AS68" s="126">
        <f t="array" ref="AS68">_xlfn.IFS(S68=0,AL68,S68&lt;0,AL68/-S68,S68&gt;0,AL68/S68)</f>
        <v>0</v>
      </c>
      <c r="AT68" s="121">
        <f t="shared" si="47"/>
        <v>0</v>
      </c>
      <c r="AU68" s="121">
        <f t="shared" si="48"/>
        <v>0</v>
      </c>
      <c r="AV68" s="127"/>
      <c r="AW68" s="122">
        <f t="shared" si="54"/>
        <v>0</v>
      </c>
    </row>
    <row r="69" spans="1:49" hidden="1" outlineLevel="1">
      <c r="A69" s="116"/>
      <c r="B69" s="117"/>
      <c r="C69" s="117"/>
      <c r="D69" s="118"/>
      <c r="E69" s="119">
        <f t="shared" si="51"/>
        <v>0</v>
      </c>
      <c r="F69" s="119"/>
      <c r="G69" s="119"/>
      <c r="H69" s="119"/>
      <c r="I69" s="119"/>
      <c r="J69" s="119">
        <f t="shared" si="52"/>
        <v>0</v>
      </c>
      <c r="K69" s="116"/>
      <c r="L69" s="116"/>
      <c r="M69" s="116"/>
      <c r="N69" s="116"/>
      <c r="O69" s="119">
        <f t="shared" si="31"/>
        <v>0</v>
      </c>
      <c r="P69" s="119">
        <f t="shared" si="32"/>
        <v>0</v>
      </c>
      <c r="Q69" s="120"/>
      <c r="R69" s="120"/>
      <c r="S69" s="119">
        <f t="shared" si="33"/>
        <v>0</v>
      </c>
      <c r="T69" s="119"/>
      <c r="U69" s="119"/>
      <c r="V69" s="119">
        <f t="shared" si="34"/>
        <v>0</v>
      </c>
      <c r="W69" s="120"/>
      <c r="X69" s="120"/>
      <c r="Y69" s="119">
        <f t="shared" si="35"/>
        <v>0</v>
      </c>
      <c r="Z69" s="119">
        <f t="shared" si="55"/>
        <v>0</v>
      </c>
      <c r="AA69" s="121">
        <f t="shared" si="50"/>
        <v>0</v>
      </c>
      <c r="AB69" s="119">
        <f t="shared" si="37"/>
        <v>0</v>
      </c>
      <c r="AC69" s="120"/>
      <c r="AD69" s="121">
        <f t="shared" si="38"/>
        <v>0</v>
      </c>
      <c r="AE69" s="120"/>
      <c r="AF69" s="120"/>
      <c r="AG69" s="120"/>
      <c r="AH69" s="120"/>
      <c r="AI69" s="154">
        <f t="shared" si="53"/>
        <v>0</v>
      </c>
      <c r="AJ69" s="120"/>
      <c r="AK69" s="122">
        <f t="shared" si="40"/>
        <v>0</v>
      </c>
      <c r="AL69" s="123">
        <f t="shared" si="41"/>
        <v>0</v>
      </c>
      <c r="AM69" s="124"/>
      <c r="AN69" s="125">
        <f t="shared" si="42"/>
        <v>0</v>
      </c>
      <c r="AO69" s="126">
        <f t="shared" si="43"/>
        <v>0</v>
      </c>
      <c r="AP69" s="126">
        <f t="shared" si="44"/>
        <v>0</v>
      </c>
      <c r="AQ69" s="126">
        <f t="shared" si="45"/>
        <v>0</v>
      </c>
      <c r="AR69" s="126">
        <f t="shared" si="46"/>
        <v>0</v>
      </c>
      <c r="AS69" s="126">
        <f t="array" ref="AS69">_xlfn.IFS(S69=0,AL69,S69&lt;0,AL69/-S69,S69&gt;0,AL69/S69)</f>
        <v>0</v>
      </c>
      <c r="AT69" s="121">
        <f t="shared" si="47"/>
        <v>0</v>
      </c>
      <c r="AU69" s="121">
        <f t="shared" si="48"/>
        <v>0</v>
      </c>
      <c r="AV69" s="127"/>
      <c r="AW69" s="122">
        <f t="shared" si="54"/>
        <v>0</v>
      </c>
    </row>
    <row r="70" spans="1:49" hidden="1" outlineLevel="1">
      <c r="A70" s="116"/>
      <c r="B70" s="117"/>
      <c r="C70" s="117"/>
      <c r="D70" s="118"/>
      <c r="E70" s="119">
        <f t="shared" si="51"/>
        <v>0</v>
      </c>
      <c r="F70" s="119"/>
      <c r="G70" s="119"/>
      <c r="H70" s="119"/>
      <c r="I70" s="119"/>
      <c r="J70" s="119">
        <f t="shared" si="52"/>
        <v>0</v>
      </c>
      <c r="K70" s="116"/>
      <c r="L70" s="116"/>
      <c r="M70" s="116"/>
      <c r="N70" s="116"/>
      <c r="O70" s="119">
        <f t="shared" si="31"/>
        <v>0</v>
      </c>
      <c r="P70" s="119">
        <f t="shared" si="32"/>
        <v>0</v>
      </c>
      <c r="Q70" s="120"/>
      <c r="R70" s="120"/>
      <c r="S70" s="119">
        <f t="shared" si="33"/>
        <v>0</v>
      </c>
      <c r="T70" s="119"/>
      <c r="U70" s="119"/>
      <c r="V70" s="119">
        <f t="shared" si="34"/>
        <v>0</v>
      </c>
      <c r="W70" s="120"/>
      <c r="X70" s="120"/>
      <c r="Y70" s="119">
        <f t="shared" si="35"/>
        <v>0</v>
      </c>
      <c r="Z70" s="119">
        <f t="shared" si="55"/>
        <v>0</v>
      </c>
      <c r="AA70" s="121">
        <f t="shared" si="50"/>
        <v>0</v>
      </c>
      <c r="AB70" s="119">
        <f t="shared" si="37"/>
        <v>0</v>
      </c>
      <c r="AC70" s="120"/>
      <c r="AD70" s="121">
        <f t="shared" si="38"/>
        <v>0</v>
      </c>
      <c r="AE70" s="120"/>
      <c r="AF70" s="120"/>
      <c r="AG70" s="120"/>
      <c r="AH70" s="120"/>
      <c r="AI70" s="154">
        <f t="shared" si="53"/>
        <v>0</v>
      </c>
      <c r="AJ70" s="120"/>
      <c r="AK70" s="122">
        <f t="shared" si="40"/>
        <v>0</v>
      </c>
      <c r="AL70" s="123">
        <f t="shared" si="41"/>
        <v>0</v>
      </c>
      <c r="AM70" s="124"/>
      <c r="AN70" s="125">
        <f t="shared" si="42"/>
        <v>0</v>
      </c>
      <c r="AO70" s="126">
        <f t="shared" si="43"/>
        <v>0</v>
      </c>
      <c r="AP70" s="126">
        <f t="shared" si="44"/>
        <v>0</v>
      </c>
      <c r="AQ70" s="126">
        <f t="shared" si="45"/>
        <v>0</v>
      </c>
      <c r="AR70" s="126">
        <f t="shared" si="46"/>
        <v>0</v>
      </c>
      <c r="AS70" s="126">
        <f t="array" ref="AS70">_xlfn.IFS(S70=0,AL70,S70&lt;0,AL70/-S70,S70&gt;0,AL70/S70)</f>
        <v>0</v>
      </c>
      <c r="AT70" s="121">
        <f t="shared" si="47"/>
        <v>0</v>
      </c>
      <c r="AU70" s="121">
        <f t="shared" si="48"/>
        <v>0</v>
      </c>
      <c r="AV70" s="127"/>
      <c r="AW70" s="122">
        <f t="shared" si="54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6">AVERAGE(AO19:AO70)</f>
        <v>0</v>
      </c>
      <c r="AP71" s="163">
        <f t="shared" si="56"/>
        <v>0</v>
      </c>
      <c r="AQ71" s="163">
        <f t="shared" si="56"/>
        <v>0</v>
      </c>
      <c r="AR71" s="163">
        <f t="shared" si="56"/>
        <v>0</v>
      </c>
      <c r="AS71" s="163">
        <f t="shared" si="56"/>
        <v>0</v>
      </c>
      <c r="AT71" s="164">
        <f t="shared" si="56"/>
        <v>0</v>
      </c>
      <c r="AU71" s="164">
        <f t="shared" si="56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7">SUM(Q19:Q70)</f>
        <v>0</v>
      </c>
      <c r="R72" s="167">
        <f t="shared" si="57"/>
        <v>0</v>
      </c>
      <c r="S72" s="167">
        <f t="shared" si="57"/>
        <v>0</v>
      </c>
      <c r="T72" s="167">
        <f t="shared" si="57"/>
        <v>0</v>
      </c>
      <c r="U72" s="167">
        <f t="shared" si="57"/>
        <v>0</v>
      </c>
      <c r="V72" s="167">
        <f t="shared" si="57"/>
        <v>0</v>
      </c>
      <c r="W72" s="167">
        <f t="shared" si="57"/>
        <v>0</v>
      </c>
      <c r="X72" s="167">
        <f t="shared" si="57"/>
        <v>0</v>
      </c>
      <c r="Y72" s="167">
        <f t="shared" si="57"/>
        <v>0</v>
      </c>
      <c r="Z72" s="167">
        <f t="shared" si="57"/>
        <v>0</v>
      </c>
      <c r="AA72" s="168">
        <f t="shared" si="57"/>
        <v>0</v>
      </c>
      <c r="AB72" s="169">
        <f t="shared" si="57"/>
        <v>0</v>
      </c>
      <c r="AC72" s="167">
        <f t="shared" si="57"/>
        <v>0</v>
      </c>
      <c r="AD72" s="168" t="e">
        <f>AC72/Y72</f>
        <v>#DIV/0!</v>
      </c>
      <c r="AE72" s="167">
        <f t="shared" ref="AE72:AK72" si="58">SUM(AE19:AE70)</f>
        <v>0</v>
      </c>
      <c r="AF72" s="167">
        <f t="shared" si="58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8"/>
        <v>0</v>
      </c>
      <c r="AK72" s="167">
        <f t="shared" si="58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17"/>
      <c r="AG73" s="217"/>
      <c r="AH73" s="183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9">E17+E72</f>
        <v>2362</v>
      </c>
      <c r="F74" s="190">
        <f t="shared" si="59"/>
        <v>51</v>
      </c>
      <c r="G74" s="190">
        <f t="shared" si="59"/>
        <v>17</v>
      </c>
      <c r="H74" s="190">
        <f t="shared" si="59"/>
        <v>2294</v>
      </c>
      <c r="I74" s="190">
        <f t="shared" si="59"/>
        <v>0</v>
      </c>
      <c r="J74" s="190">
        <f t="shared" si="59"/>
        <v>322784.88</v>
      </c>
      <c r="K74" s="190">
        <f t="shared" si="59"/>
        <v>0</v>
      </c>
      <c r="L74" s="190">
        <f t="shared" si="59"/>
        <v>62</v>
      </c>
      <c r="M74" s="190">
        <f t="shared" si="59"/>
        <v>0</v>
      </c>
      <c r="N74" s="190">
        <f t="shared" si="59"/>
        <v>0</v>
      </c>
      <c r="O74" s="190">
        <f t="shared" si="59"/>
        <v>0</v>
      </c>
      <c r="P74" s="190">
        <f t="shared" si="59"/>
        <v>0</v>
      </c>
      <c r="Q74" s="190">
        <f t="shared" si="59"/>
        <v>49</v>
      </c>
      <c r="R74" s="190">
        <f t="shared" si="59"/>
        <v>-1</v>
      </c>
      <c r="S74" s="190">
        <f t="shared" si="59"/>
        <v>48</v>
      </c>
      <c r="T74" s="190">
        <f t="shared" si="59"/>
        <v>45785.47</v>
      </c>
      <c r="U74" s="190">
        <f t="shared" si="59"/>
        <v>-948</v>
      </c>
      <c r="V74" s="190">
        <f t="shared" si="59"/>
        <v>44837.47</v>
      </c>
      <c r="W74" s="190">
        <f t="shared" si="59"/>
        <v>56919.740000000005</v>
      </c>
      <c r="X74" s="190">
        <f t="shared" si="59"/>
        <v>-1174</v>
      </c>
      <c r="Y74" s="190">
        <f t="shared" si="59"/>
        <v>55745.740000000005</v>
      </c>
      <c r="Z74" s="190">
        <f t="shared" si="59"/>
        <v>56225.68</v>
      </c>
      <c r="AA74" s="191">
        <f t="shared" si="59"/>
        <v>0.99999999999999989</v>
      </c>
      <c r="AB74" s="192">
        <f t="shared" si="59"/>
        <v>6528.420000000001</v>
      </c>
      <c r="AC74" s="190">
        <f t="shared" si="59"/>
        <v>19306.860000000004</v>
      </c>
      <c r="AD74" s="191">
        <f>AC74/Y74</f>
        <v>0.34633785469526462</v>
      </c>
      <c r="AE74" s="192">
        <f>AE17+AE72</f>
        <v>6055.25</v>
      </c>
      <c r="AF74" s="193">
        <f>AF17+AF72</f>
        <v>2922</v>
      </c>
      <c r="AG74" s="193">
        <f>AG17+AG72</f>
        <v>3464</v>
      </c>
      <c r="AH74" s="193">
        <f>AH17+AH72</f>
        <v>0</v>
      </c>
      <c r="AI74" s="194">
        <v>1361.68</v>
      </c>
      <c r="AJ74" s="190">
        <f>AJ17+AJ72</f>
        <v>0</v>
      </c>
      <c r="AK74" s="190">
        <f>AK17+AK72</f>
        <v>448.37469999999996</v>
      </c>
      <c r="AL74" s="190">
        <f>AL17+AL72</f>
        <v>15659.155299999999</v>
      </c>
      <c r="AM74" s="190"/>
      <c r="AN74" s="190"/>
      <c r="AO74" s="190"/>
      <c r="AP74" s="190"/>
      <c r="AQ74" s="190"/>
      <c r="AR74" s="190">
        <f>(AF74+AG74)/Q74</f>
        <v>130.32653061224491</v>
      </c>
      <c r="AS74" s="190"/>
      <c r="AT74" s="190"/>
      <c r="AU74" s="190"/>
      <c r="AV74" s="195"/>
      <c r="AW74" s="190">
        <f>AW17+AW72</f>
        <v>354775.89467117121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17"/>
      <c r="AG75" s="217"/>
      <c r="AH75" s="183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134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/>
      <c r="F3" s="119"/>
      <c r="G3" s="119"/>
      <c r="H3" s="240">
        <v>449</v>
      </c>
      <c r="I3" s="119">
        <v>142.97999999999999</v>
      </c>
      <c r="J3" s="119">
        <f t="shared" ref="J3:J15" si="0">E3*I3</f>
        <v>0</v>
      </c>
      <c r="K3" s="116"/>
      <c r="L3" s="116">
        <v>23</v>
      </c>
      <c r="M3" s="116">
        <v>1254</v>
      </c>
      <c r="N3" s="116">
        <v>57</v>
      </c>
      <c r="O3" s="215">
        <f t="shared" ref="O3:O15" si="1">L3/7</f>
        <v>3.2857142857142856</v>
      </c>
      <c r="P3" s="119">
        <f t="shared" ref="P3" si="2">S3/7</f>
        <v>1.1428571428571428</v>
      </c>
      <c r="Q3" s="120">
        <v>8</v>
      </c>
      <c r="R3" s="120">
        <v>0</v>
      </c>
      <c r="S3" s="119">
        <f>Q3+R3</f>
        <v>8</v>
      </c>
      <c r="T3" s="120">
        <v>8429</v>
      </c>
      <c r="U3" s="120">
        <v>0</v>
      </c>
      <c r="V3" s="119">
        <f>T3+U3</f>
        <v>8429</v>
      </c>
      <c r="W3" s="120">
        <v>10152</v>
      </c>
      <c r="X3" s="120">
        <v>0</v>
      </c>
      <c r="Y3" s="119">
        <f t="shared" ref="Y3:Y15" si="3">W3+X3</f>
        <v>10152</v>
      </c>
      <c r="Z3" s="119">
        <f>L3*M3*N3/100</f>
        <v>16439.939999999999</v>
      </c>
      <c r="AA3" s="121">
        <f t="shared" ref="AA3:AA15" si="4">Y3/$Y$74</f>
        <v>0.19906327317904754</v>
      </c>
      <c r="AB3" s="119">
        <f>S3*I3</f>
        <v>1143.8399999999999</v>
      </c>
      <c r="AC3" s="120">
        <v>3685.3399999999992</v>
      </c>
      <c r="AD3" s="121">
        <f t="shared" ref="AD3:AD15" si="5">IF(Y3=0,0,AC3/Y3)</f>
        <v>0.3630161544523246</v>
      </c>
      <c r="AE3" s="120">
        <v>1020.6499999999999</v>
      </c>
      <c r="AF3" s="120"/>
      <c r="AG3" s="120">
        <v>1436</v>
      </c>
      <c r="AH3" s="120">
        <v>0</v>
      </c>
      <c r="AI3" s="154">
        <f t="shared" ref="AI3:AI15" si="6">IFERROR($AI$74*H3/$H$74,0)</f>
        <v>194.52655599999997</v>
      </c>
      <c r="AJ3" s="120">
        <v>0</v>
      </c>
      <c r="AK3" s="122">
        <f>V3*1%</f>
        <v>84.29</v>
      </c>
      <c r="AL3" s="123">
        <f>Y3-AB3-AC3-AE3-AF3-AG3-AH3-AI3-AK3-AJ3</f>
        <v>2587.3534440000012</v>
      </c>
      <c r="AM3" s="124"/>
      <c r="AN3" s="125">
        <f t="shared" ref="AN3:AN15" si="7">IF(S3=0,0,Y3/S3)</f>
        <v>1269</v>
      </c>
      <c r="AO3" s="126">
        <f t="shared" ref="AO3:AO15" si="8">I3</f>
        <v>142.97999999999999</v>
      </c>
      <c r="AP3" s="126">
        <f t="shared" ref="AP3:AP15" si="9">IF(S3=0,0,AC3/S3)</f>
        <v>460.6674999999999</v>
      </c>
      <c r="AQ3" s="126">
        <f>IF(Q3=0,AE3/1,AE3/Q3)</f>
        <v>127.58124999999998</v>
      </c>
      <c r="AR3" s="126">
        <f>IF(Q3=0,0,(AF3+AG3)/Q3)</f>
        <v>179.5</v>
      </c>
      <c r="AS3" s="126">
        <f>_xlfn.IFS(S3=0,AL3,S3&lt;0,AL3/-S3,S3&gt;0,AL3/S3)</f>
        <v>323.41918050000015</v>
      </c>
      <c r="AT3" s="121">
        <f t="shared" ref="AT3" si="10">IF(AN3=0,0,AS3/AN3)</f>
        <v>0.25486145035461005</v>
      </c>
      <c r="AU3" s="121">
        <f t="shared" ref="AU3" si="11">IF(AO3=0,0,AS3/AO3)</f>
        <v>2.2619889530004209</v>
      </c>
      <c r="AV3" s="127"/>
      <c r="AW3" s="122">
        <f t="shared" ref="AW3:AW15" si="12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/>
      <c r="F4" s="119"/>
      <c r="G4" s="119"/>
      <c r="H4" s="240">
        <v>284</v>
      </c>
      <c r="I4" s="119">
        <v>123.09</v>
      </c>
      <c r="J4" s="119">
        <f t="shared" si="0"/>
        <v>0</v>
      </c>
      <c r="K4" s="116"/>
      <c r="L4" s="116">
        <v>1</v>
      </c>
      <c r="M4" s="116">
        <v>1052</v>
      </c>
      <c r="N4" s="116">
        <v>0</v>
      </c>
      <c r="O4" s="215">
        <f t="shared" si="1"/>
        <v>0.14285714285714285</v>
      </c>
      <c r="P4" s="119">
        <f>S4/7</f>
        <v>0</v>
      </c>
      <c r="Q4" s="120">
        <v>0</v>
      </c>
      <c r="R4" s="120">
        <v>0</v>
      </c>
      <c r="S4" s="119">
        <f t="shared" ref="S4:S15" si="13">Q4+R4</f>
        <v>0</v>
      </c>
      <c r="T4" s="120">
        <v>0</v>
      </c>
      <c r="U4" s="120">
        <v>0</v>
      </c>
      <c r="V4" s="119">
        <f t="shared" ref="V4:V15" si="14">T4+U4</f>
        <v>0</v>
      </c>
      <c r="W4" s="120">
        <v>0</v>
      </c>
      <c r="X4" s="120">
        <v>0</v>
      </c>
      <c r="Y4" s="119">
        <f t="shared" si="3"/>
        <v>0</v>
      </c>
      <c r="Z4" s="119">
        <f t="shared" ref="Z4:Z15" si="15">L4*M4*N4/100</f>
        <v>0</v>
      </c>
      <c r="AA4" s="121">
        <f t="shared" si="4"/>
        <v>0</v>
      </c>
      <c r="AB4" s="119">
        <f t="shared" ref="AB4:AB15" si="16">S4*I4</f>
        <v>0</v>
      </c>
      <c r="AC4" s="120">
        <v>0</v>
      </c>
      <c r="AD4" s="121">
        <f t="shared" si="5"/>
        <v>0</v>
      </c>
      <c r="AE4" s="120">
        <v>115.25</v>
      </c>
      <c r="AF4" s="120"/>
      <c r="AG4" s="120"/>
      <c r="AH4" s="120">
        <v>0</v>
      </c>
      <c r="AI4" s="154">
        <f t="shared" si="6"/>
        <v>123.041296</v>
      </c>
      <c r="AJ4" s="120">
        <v>0</v>
      </c>
      <c r="AK4" s="122">
        <f t="shared" ref="AK4:AK15" si="17">V4*1%</f>
        <v>0</v>
      </c>
      <c r="AL4" s="123">
        <f t="shared" ref="AL4:AL15" si="18">Y4-AB4-AC4-AE4-AF4-AG4-AH4-AI4-AK4-AJ4</f>
        <v>-238.29129599999999</v>
      </c>
      <c r="AM4" s="124"/>
      <c r="AN4" s="125">
        <f t="shared" si="7"/>
        <v>0</v>
      </c>
      <c r="AO4" s="126">
        <f t="shared" si="8"/>
        <v>123.09</v>
      </c>
      <c r="AP4" s="126">
        <f t="shared" si="9"/>
        <v>0</v>
      </c>
      <c r="AQ4" s="126">
        <f t="shared" ref="AQ4:AQ15" si="19">IF(Q4=0,AE4/1,AE4/Q4)</f>
        <v>115.25</v>
      </c>
      <c r="AR4" s="126">
        <f t="shared" ref="AR4:AR15" si="20">IF(Q4=0,0,(AF4+AG4)/Q4)</f>
        <v>0</v>
      </c>
      <c r="AS4" s="126">
        <f t="array" ref="AS4">_xlfn.IFS(S4=0,AL4,S4&lt;0,AL4/-S4,S4&gt;0,AL4/S4)</f>
        <v>-238.29129599999999</v>
      </c>
      <c r="AT4" s="121">
        <f>IF(AN4=0,0,AS4/AN4)</f>
        <v>0</v>
      </c>
      <c r="AU4" s="121">
        <f>IF(AO4=0,0,AS4/AO4)</f>
        <v>-1.9359110894467462</v>
      </c>
      <c r="AV4" s="127"/>
      <c r="AW4" s="122">
        <f t="shared" si="12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/>
      <c r="F5" s="119"/>
      <c r="G5" s="119"/>
      <c r="H5" s="240">
        <v>379</v>
      </c>
      <c r="I5" s="119">
        <v>123.09</v>
      </c>
      <c r="J5" s="119">
        <f t="shared" si="0"/>
        <v>0</v>
      </c>
      <c r="K5" s="116"/>
      <c r="L5" s="116">
        <v>0</v>
      </c>
      <c r="M5" s="116">
        <v>0</v>
      </c>
      <c r="N5" s="116">
        <v>0</v>
      </c>
      <c r="O5" s="215">
        <f t="shared" si="1"/>
        <v>0</v>
      </c>
      <c r="P5" s="119">
        <f>S5/7</f>
        <v>0</v>
      </c>
      <c r="Q5" s="120">
        <v>0</v>
      </c>
      <c r="R5" s="120">
        <v>0</v>
      </c>
      <c r="S5" s="119">
        <f t="shared" si="13"/>
        <v>0</v>
      </c>
      <c r="T5" s="120">
        <v>0</v>
      </c>
      <c r="U5" s="120">
        <v>0</v>
      </c>
      <c r="V5" s="119">
        <f t="shared" si="14"/>
        <v>0</v>
      </c>
      <c r="W5" s="120">
        <v>0</v>
      </c>
      <c r="X5" s="120">
        <v>0</v>
      </c>
      <c r="Y5" s="119">
        <f t="shared" si="3"/>
        <v>0</v>
      </c>
      <c r="Z5" s="119">
        <f t="shared" si="15"/>
        <v>0</v>
      </c>
      <c r="AA5" s="121">
        <f t="shared" si="4"/>
        <v>0</v>
      </c>
      <c r="AB5" s="119">
        <f t="shared" si="16"/>
        <v>0</v>
      </c>
      <c r="AC5" s="120">
        <v>0</v>
      </c>
      <c r="AD5" s="121">
        <f t="shared" si="5"/>
        <v>0</v>
      </c>
      <c r="AE5" s="120">
        <v>0</v>
      </c>
      <c r="AF5" s="120"/>
      <c r="AG5" s="120"/>
      <c r="AH5" s="120">
        <v>0</v>
      </c>
      <c r="AI5" s="154">
        <f t="shared" si="6"/>
        <v>164.19947599999998</v>
      </c>
      <c r="AJ5" s="120">
        <v>0</v>
      </c>
      <c r="AK5" s="122">
        <f t="shared" si="17"/>
        <v>0</v>
      </c>
      <c r="AL5" s="123">
        <f t="shared" si="18"/>
        <v>-164.19947599999998</v>
      </c>
      <c r="AM5" s="124"/>
      <c r="AN5" s="125">
        <f t="shared" si="7"/>
        <v>0</v>
      </c>
      <c r="AO5" s="126">
        <f t="shared" si="8"/>
        <v>123.09</v>
      </c>
      <c r="AP5" s="126">
        <f t="shared" si="9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-164.19947599999998</v>
      </c>
      <c r="AT5" s="121">
        <f>IF(AN5=0,0,AS5/AN5)</f>
        <v>0</v>
      </c>
      <c r="AU5" s="121">
        <f>IF(AO5=0,0,AS5/AO5)</f>
        <v>-1.3339790072304816</v>
      </c>
      <c r="AV5" s="127"/>
      <c r="AW5" s="122">
        <f t="shared" si="12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/>
      <c r="F6" s="119"/>
      <c r="G6" s="119"/>
      <c r="H6" s="240">
        <v>364</v>
      </c>
      <c r="I6" s="119">
        <v>123.09</v>
      </c>
      <c r="J6" s="119">
        <f t="shared" si="0"/>
        <v>0</v>
      </c>
      <c r="K6" s="116"/>
      <c r="L6" s="116">
        <v>11</v>
      </c>
      <c r="M6" s="116">
        <v>1148</v>
      </c>
      <c r="N6" s="116">
        <v>55</v>
      </c>
      <c r="O6" s="215">
        <f t="shared" si="1"/>
        <v>1.5714285714285714</v>
      </c>
      <c r="P6" s="119">
        <f t="shared" ref="P6:P15" si="21">S6/7</f>
        <v>0.42857142857142855</v>
      </c>
      <c r="Q6" s="120">
        <v>3</v>
      </c>
      <c r="R6" s="120">
        <v>0</v>
      </c>
      <c r="S6" s="119">
        <f t="shared" si="13"/>
        <v>3</v>
      </c>
      <c r="T6" s="120">
        <v>2964</v>
      </c>
      <c r="U6" s="120">
        <v>0</v>
      </c>
      <c r="V6" s="119">
        <f t="shared" si="14"/>
        <v>2964</v>
      </c>
      <c r="W6" s="120">
        <v>3528</v>
      </c>
      <c r="X6" s="120">
        <v>0</v>
      </c>
      <c r="Y6" s="119">
        <f t="shared" si="3"/>
        <v>3528</v>
      </c>
      <c r="Z6" s="119">
        <f t="shared" si="15"/>
        <v>6945.4</v>
      </c>
      <c r="AA6" s="121">
        <f t="shared" si="4"/>
        <v>6.9178016920378213E-2</v>
      </c>
      <c r="AB6" s="119">
        <f t="shared" si="16"/>
        <v>369.27</v>
      </c>
      <c r="AC6" s="120">
        <v>1262.8400000000001</v>
      </c>
      <c r="AD6" s="121">
        <f t="shared" si="5"/>
        <v>0.35794784580498873</v>
      </c>
      <c r="AE6" s="120">
        <v>714</v>
      </c>
      <c r="AF6" s="120"/>
      <c r="AG6" s="120">
        <v>743</v>
      </c>
      <c r="AH6" s="120">
        <v>0</v>
      </c>
      <c r="AI6" s="154">
        <f t="shared" si="6"/>
        <v>157.700816</v>
      </c>
      <c r="AJ6" s="120">
        <v>0</v>
      </c>
      <c r="AK6" s="122">
        <f t="shared" si="17"/>
        <v>29.64</v>
      </c>
      <c r="AL6" s="123">
        <f t="shared" si="18"/>
        <v>251.54918399999985</v>
      </c>
      <c r="AM6" s="124"/>
      <c r="AN6" s="125">
        <f t="shared" si="7"/>
        <v>1176</v>
      </c>
      <c r="AO6" s="126">
        <f t="shared" si="8"/>
        <v>123.09</v>
      </c>
      <c r="AP6" s="126">
        <f t="shared" si="9"/>
        <v>420.94666666666672</v>
      </c>
      <c r="AQ6" s="126">
        <f t="shared" si="19"/>
        <v>238</v>
      </c>
      <c r="AR6" s="126">
        <f t="shared" si="20"/>
        <v>247.66666666666666</v>
      </c>
      <c r="AS6" s="126">
        <f t="array" ref="AS6">_xlfn.IFS(S6=0,AL6,S6&lt;0,AL6/-S6,S6&gt;0,AL6/S6)</f>
        <v>83.849727999999956</v>
      </c>
      <c r="AT6" s="121">
        <f t="shared" ref="AT6:AT15" si="22">IF(AN6=0,0,AS6/AN6)</f>
        <v>7.1300789115646218E-2</v>
      </c>
      <c r="AU6" s="121">
        <f t="shared" ref="AU6:AU15" si="23">IF(AO6=0,0,AS6/AO6)</f>
        <v>0.68120666179218425</v>
      </c>
      <c r="AV6" s="127"/>
      <c r="AW6" s="122">
        <f t="shared" si="12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/>
      <c r="F7" s="119"/>
      <c r="G7" s="119"/>
      <c r="H7" s="240">
        <v>284</v>
      </c>
      <c r="I7" s="119">
        <v>123.09</v>
      </c>
      <c r="J7" s="119">
        <f t="shared" si="0"/>
        <v>0</v>
      </c>
      <c r="K7" s="116"/>
      <c r="L7" s="116">
        <v>1</v>
      </c>
      <c r="M7" s="116">
        <v>1079</v>
      </c>
      <c r="N7" s="116">
        <v>0</v>
      </c>
      <c r="O7" s="215">
        <f t="shared" si="1"/>
        <v>0.14285714285714285</v>
      </c>
      <c r="P7" s="119">
        <f t="shared" si="21"/>
        <v>0</v>
      </c>
      <c r="Q7" s="120">
        <v>0</v>
      </c>
      <c r="R7" s="120">
        <v>0</v>
      </c>
      <c r="S7" s="119">
        <f t="shared" si="13"/>
        <v>0</v>
      </c>
      <c r="T7" s="120">
        <v>0</v>
      </c>
      <c r="U7" s="120">
        <v>0</v>
      </c>
      <c r="V7" s="119">
        <f t="shared" si="14"/>
        <v>0</v>
      </c>
      <c r="W7" s="120">
        <v>0</v>
      </c>
      <c r="X7" s="120">
        <v>0</v>
      </c>
      <c r="Y7" s="119">
        <f t="shared" si="3"/>
        <v>0</v>
      </c>
      <c r="Z7" s="119">
        <f t="shared" si="15"/>
        <v>0</v>
      </c>
      <c r="AA7" s="121">
        <f t="shared" si="4"/>
        <v>0</v>
      </c>
      <c r="AB7" s="119">
        <f t="shared" si="16"/>
        <v>0</v>
      </c>
      <c r="AC7" s="120">
        <v>0</v>
      </c>
      <c r="AD7" s="121">
        <f t="shared" si="5"/>
        <v>0</v>
      </c>
      <c r="AE7" s="120">
        <v>106.55</v>
      </c>
      <c r="AF7" s="120"/>
      <c r="AG7" s="120"/>
      <c r="AH7" s="120">
        <v>0</v>
      </c>
      <c r="AI7" s="154">
        <f t="shared" si="6"/>
        <v>123.041296</v>
      </c>
      <c r="AJ7" s="120">
        <v>0</v>
      </c>
      <c r="AK7" s="122">
        <f t="shared" si="17"/>
        <v>0</v>
      </c>
      <c r="AL7" s="123">
        <f t="shared" si="18"/>
        <v>-229.591296</v>
      </c>
      <c r="AM7" s="124"/>
      <c r="AN7" s="125">
        <f t="shared" si="7"/>
        <v>0</v>
      </c>
      <c r="AO7" s="126">
        <f t="shared" si="8"/>
        <v>123.09</v>
      </c>
      <c r="AP7" s="126">
        <f t="shared" si="9"/>
        <v>0</v>
      </c>
      <c r="AQ7" s="126">
        <f t="shared" si="19"/>
        <v>106.55</v>
      </c>
      <c r="AR7" s="126">
        <f t="shared" si="20"/>
        <v>0</v>
      </c>
      <c r="AS7" s="126">
        <f t="array" ref="AS7">_xlfn.IFS(S7=0,AL7,S7&lt;0,AL7/-S7,S7&gt;0,AL7/S7)</f>
        <v>-229.591296</v>
      </c>
      <c r="AT7" s="121">
        <f t="shared" si="22"/>
        <v>0</v>
      </c>
      <c r="AU7" s="121">
        <f t="shared" si="23"/>
        <v>-1.8652310991957104</v>
      </c>
      <c r="AV7" s="127"/>
      <c r="AW7" s="122">
        <f t="shared" si="12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/>
      <c r="F8" s="119"/>
      <c r="G8" s="119"/>
      <c r="H8" s="240">
        <v>227</v>
      </c>
      <c r="I8" s="119">
        <v>123.09</v>
      </c>
      <c r="J8" s="119">
        <f t="shared" si="0"/>
        <v>0</v>
      </c>
      <c r="K8" s="116"/>
      <c r="L8" s="116">
        <v>31</v>
      </c>
      <c r="M8" s="116">
        <v>1173</v>
      </c>
      <c r="N8" s="116">
        <v>74</v>
      </c>
      <c r="O8" s="215">
        <f t="shared" si="1"/>
        <v>4.4285714285714288</v>
      </c>
      <c r="P8" s="119">
        <f t="shared" si="21"/>
        <v>3.7142857142857144</v>
      </c>
      <c r="Q8" s="120">
        <v>26</v>
      </c>
      <c r="R8" s="120">
        <v>0</v>
      </c>
      <c r="S8" s="119">
        <f t="shared" si="13"/>
        <v>26</v>
      </c>
      <c r="T8" s="120">
        <v>26029.32</v>
      </c>
      <c r="U8" s="120">
        <v>0</v>
      </c>
      <c r="V8" s="119">
        <f t="shared" si="14"/>
        <v>26029.32</v>
      </c>
      <c r="W8" s="120">
        <v>31340.86</v>
      </c>
      <c r="X8" s="120">
        <v>0</v>
      </c>
      <c r="Y8" s="119">
        <f t="shared" si="3"/>
        <v>31340.86</v>
      </c>
      <c r="Z8" s="119">
        <f t="shared" si="15"/>
        <v>26908.62</v>
      </c>
      <c r="AA8" s="121">
        <f t="shared" si="4"/>
        <v>0.61454040345215555</v>
      </c>
      <c r="AB8" s="119">
        <f t="shared" si="16"/>
        <v>3200.34</v>
      </c>
      <c r="AC8" s="120">
        <v>11351.150000000001</v>
      </c>
      <c r="AD8" s="121">
        <f t="shared" si="5"/>
        <v>0.36218374352203486</v>
      </c>
      <c r="AE8" s="120">
        <v>2964.900000000001</v>
      </c>
      <c r="AF8" s="120"/>
      <c r="AG8" s="120">
        <v>3000</v>
      </c>
      <c r="AH8" s="120">
        <v>0</v>
      </c>
      <c r="AI8" s="154">
        <f t="shared" si="6"/>
        <v>98.34638799999999</v>
      </c>
      <c r="AJ8" s="120">
        <v>0</v>
      </c>
      <c r="AK8" s="122">
        <f t="shared" si="17"/>
        <v>260.29320000000001</v>
      </c>
      <c r="AL8" s="123">
        <f t="shared" si="18"/>
        <v>10465.830411999998</v>
      </c>
      <c r="AM8" s="124"/>
      <c r="AN8" s="125">
        <f t="shared" si="7"/>
        <v>1205.4176923076923</v>
      </c>
      <c r="AO8" s="126">
        <f t="shared" si="8"/>
        <v>123.09</v>
      </c>
      <c r="AP8" s="126">
        <f t="shared" si="9"/>
        <v>436.58269230769235</v>
      </c>
      <c r="AQ8" s="126">
        <f t="shared" si="19"/>
        <v>114.03461538461542</v>
      </c>
      <c r="AR8" s="126">
        <f t="shared" si="20"/>
        <v>115.38461538461539</v>
      </c>
      <c r="AS8" s="126">
        <f t="array" ref="AS8">_xlfn.IFS(S8=0,AL8,S8&lt;0,AL8/-S8,S8&gt;0,AL8/S8)</f>
        <v>402.53193892307684</v>
      </c>
      <c r="AT8" s="121">
        <f t="shared" si="22"/>
        <v>0.33393564860696223</v>
      </c>
      <c r="AU8" s="121">
        <f t="shared" si="23"/>
        <v>3.2702245423923699</v>
      </c>
      <c r="AV8" s="127"/>
      <c r="AW8" s="122">
        <f t="shared" si="12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/>
      <c r="F9" s="119"/>
      <c r="G9" s="119"/>
      <c r="H9" s="240">
        <v>270</v>
      </c>
      <c r="I9" s="119">
        <v>169.89</v>
      </c>
      <c r="J9" s="119">
        <f t="shared" si="0"/>
        <v>0</v>
      </c>
      <c r="K9" s="116"/>
      <c r="L9" s="116">
        <v>11</v>
      </c>
      <c r="M9" s="116">
        <v>1184</v>
      </c>
      <c r="N9" s="116">
        <v>36</v>
      </c>
      <c r="O9" s="215">
        <f t="shared" si="1"/>
        <v>1.5714285714285714</v>
      </c>
      <c r="P9" s="119">
        <f t="shared" si="21"/>
        <v>0.2857142857142857</v>
      </c>
      <c r="Q9" s="120">
        <v>2</v>
      </c>
      <c r="R9" s="120">
        <v>0</v>
      </c>
      <c r="S9" s="119">
        <f t="shared" si="13"/>
        <v>2</v>
      </c>
      <c r="T9" s="120">
        <v>1961</v>
      </c>
      <c r="U9" s="120">
        <v>0</v>
      </c>
      <c r="V9" s="119">
        <f t="shared" si="14"/>
        <v>1961</v>
      </c>
      <c r="W9" s="120">
        <v>2404</v>
      </c>
      <c r="X9" s="120">
        <v>0</v>
      </c>
      <c r="Y9" s="119">
        <f t="shared" si="3"/>
        <v>2404</v>
      </c>
      <c r="Z9" s="119">
        <f t="shared" si="15"/>
        <v>4688.6400000000003</v>
      </c>
      <c r="AA9" s="121">
        <f t="shared" si="4"/>
        <v>4.7138308581799668E-2</v>
      </c>
      <c r="AB9" s="119">
        <f t="shared" si="16"/>
        <v>339.78</v>
      </c>
      <c r="AC9" s="120">
        <v>867.67000000000007</v>
      </c>
      <c r="AD9" s="121">
        <f t="shared" si="5"/>
        <v>0.36092762063227957</v>
      </c>
      <c r="AE9" s="120">
        <v>441.45</v>
      </c>
      <c r="AF9" s="120"/>
      <c r="AG9" s="120">
        <v>1356</v>
      </c>
      <c r="AH9" s="120">
        <v>0</v>
      </c>
      <c r="AI9" s="154">
        <f t="shared" si="6"/>
        <v>116.97587999999998</v>
      </c>
      <c r="AJ9" s="120">
        <v>0</v>
      </c>
      <c r="AK9" s="122">
        <f t="shared" si="17"/>
        <v>19.61</v>
      </c>
      <c r="AL9" s="123">
        <f t="shared" si="18"/>
        <v>-737.48587999999984</v>
      </c>
      <c r="AM9" s="124"/>
      <c r="AN9" s="125">
        <f t="shared" si="7"/>
        <v>1202</v>
      </c>
      <c r="AO9" s="126">
        <f t="shared" si="8"/>
        <v>169.89</v>
      </c>
      <c r="AP9" s="126">
        <f t="shared" si="9"/>
        <v>433.83500000000004</v>
      </c>
      <c r="AQ9" s="126">
        <f t="shared" si="19"/>
        <v>220.72499999999999</v>
      </c>
      <c r="AR9" s="126">
        <f t="shared" si="20"/>
        <v>678</v>
      </c>
      <c r="AS9" s="126">
        <f t="array" ref="AS9">_xlfn.IFS(S9=0,AL9,S9&lt;0,AL9/-S9,S9&gt;0,AL9/S9)</f>
        <v>-368.74293999999992</v>
      </c>
      <c r="AT9" s="121">
        <f t="shared" si="22"/>
        <v>-0.30677449251247912</v>
      </c>
      <c r="AU9" s="121">
        <f t="shared" si="23"/>
        <v>-2.1704805462357992</v>
      </c>
      <c r="AV9" s="127"/>
      <c r="AW9" s="122">
        <f t="shared" si="12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/>
      <c r="F10" s="119"/>
      <c r="G10" s="119"/>
      <c r="H10" s="240">
        <v>42</v>
      </c>
      <c r="I10" s="119">
        <v>169.89</v>
      </c>
      <c r="J10" s="119">
        <f t="shared" si="0"/>
        <v>0</v>
      </c>
      <c r="K10" s="116"/>
      <c r="L10" s="116">
        <v>1</v>
      </c>
      <c r="M10" s="116">
        <v>1145</v>
      </c>
      <c r="N10" s="116">
        <v>0</v>
      </c>
      <c r="O10" s="215">
        <f t="shared" si="1"/>
        <v>0.14285714285714285</v>
      </c>
      <c r="P10" s="119">
        <f t="shared" si="21"/>
        <v>0</v>
      </c>
      <c r="Q10" s="120">
        <v>1</v>
      </c>
      <c r="R10" s="120">
        <v>-1</v>
      </c>
      <c r="S10" s="119">
        <f t="shared" si="13"/>
        <v>0</v>
      </c>
      <c r="T10" s="120">
        <v>931</v>
      </c>
      <c r="U10" s="120">
        <v>-931</v>
      </c>
      <c r="V10" s="119">
        <f t="shared" si="14"/>
        <v>0</v>
      </c>
      <c r="W10" s="120">
        <v>1199</v>
      </c>
      <c r="X10" s="120">
        <v>-1199</v>
      </c>
      <c r="Y10" s="119">
        <f t="shared" si="3"/>
        <v>0</v>
      </c>
      <c r="Z10" s="119">
        <f t="shared" si="15"/>
        <v>0</v>
      </c>
      <c r="AA10" s="121">
        <f t="shared" si="4"/>
        <v>0</v>
      </c>
      <c r="AB10" s="119">
        <f t="shared" si="16"/>
        <v>0</v>
      </c>
      <c r="AC10" s="120">
        <v>0</v>
      </c>
      <c r="AD10" s="121">
        <f t="shared" si="5"/>
        <v>0</v>
      </c>
      <c r="AE10" s="120">
        <v>96.4</v>
      </c>
      <c r="AF10" s="120"/>
      <c r="AG10" s="120"/>
      <c r="AH10" s="120">
        <v>0</v>
      </c>
      <c r="AI10" s="154">
        <f t="shared" si="6"/>
        <v>18.196247999999997</v>
      </c>
      <c r="AJ10" s="120">
        <v>0</v>
      </c>
      <c r="AK10" s="122">
        <f t="shared" si="17"/>
        <v>0</v>
      </c>
      <c r="AL10" s="123">
        <f t="shared" si="18"/>
        <v>-114.596248</v>
      </c>
      <c r="AM10" s="124"/>
      <c r="AN10" s="125">
        <f t="shared" si="7"/>
        <v>0</v>
      </c>
      <c r="AO10" s="126">
        <f t="shared" si="8"/>
        <v>169.89</v>
      </c>
      <c r="AP10" s="126">
        <f t="shared" si="9"/>
        <v>0</v>
      </c>
      <c r="AQ10" s="126">
        <f t="shared" si="19"/>
        <v>96.4</v>
      </c>
      <c r="AR10" s="126">
        <f t="shared" si="20"/>
        <v>0</v>
      </c>
      <c r="AS10" s="126">
        <f t="array" ref="AS10">_xlfn.IFS(S10=0,AL10,S10&lt;0,AL10/-S10,S10&gt;0,AL10/S10)</f>
        <v>-114.596248</v>
      </c>
      <c r="AT10" s="121">
        <f t="shared" si="22"/>
        <v>0</v>
      </c>
      <c r="AU10" s="121">
        <f t="shared" si="23"/>
        <v>-0.67453203837777398</v>
      </c>
      <c r="AV10" s="127"/>
      <c r="AW10" s="122">
        <f t="shared" si="12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/>
      <c r="F11" s="119"/>
      <c r="G11" s="119"/>
      <c r="H11" s="240">
        <v>41</v>
      </c>
      <c r="I11" s="119">
        <v>169.89</v>
      </c>
      <c r="J11" s="119">
        <f t="shared" si="0"/>
        <v>0</v>
      </c>
      <c r="K11" s="116"/>
      <c r="L11" s="116">
        <v>0</v>
      </c>
      <c r="M11" s="116">
        <v>0</v>
      </c>
      <c r="N11" s="116">
        <v>0</v>
      </c>
      <c r="O11" s="215">
        <f t="shared" si="1"/>
        <v>0</v>
      </c>
      <c r="P11" s="119">
        <f t="shared" si="21"/>
        <v>0</v>
      </c>
      <c r="Q11" s="120">
        <v>0</v>
      </c>
      <c r="R11" s="120">
        <v>0</v>
      </c>
      <c r="S11" s="119">
        <f t="shared" si="13"/>
        <v>0</v>
      </c>
      <c r="T11" s="120">
        <v>0</v>
      </c>
      <c r="U11" s="120">
        <v>0</v>
      </c>
      <c r="V11" s="119">
        <f t="shared" si="14"/>
        <v>0</v>
      </c>
      <c r="W11" s="120">
        <v>0</v>
      </c>
      <c r="X11" s="120">
        <v>0</v>
      </c>
      <c r="Y11" s="119">
        <f t="shared" si="3"/>
        <v>0</v>
      </c>
      <c r="Z11" s="119">
        <f t="shared" si="15"/>
        <v>0</v>
      </c>
      <c r="AA11" s="121">
        <f t="shared" si="4"/>
        <v>0</v>
      </c>
      <c r="AB11" s="119">
        <f t="shared" si="16"/>
        <v>0</v>
      </c>
      <c r="AC11" s="120">
        <v>0</v>
      </c>
      <c r="AD11" s="121">
        <f t="shared" si="5"/>
        <v>0</v>
      </c>
      <c r="AE11" s="120">
        <v>0</v>
      </c>
      <c r="AF11" s="120"/>
      <c r="AG11" s="120"/>
      <c r="AH11" s="120">
        <v>0</v>
      </c>
      <c r="AI11" s="154">
        <f t="shared" si="6"/>
        <v>17.763003999999999</v>
      </c>
      <c r="AJ11" s="120">
        <v>0</v>
      </c>
      <c r="AK11" s="122">
        <f t="shared" si="17"/>
        <v>0</v>
      </c>
      <c r="AL11" s="123">
        <f t="shared" si="18"/>
        <v>-17.763003999999999</v>
      </c>
      <c r="AM11" s="124"/>
      <c r="AN11" s="125">
        <f t="shared" si="7"/>
        <v>0</v>
      </c>
      <c r="AO11" s="126">
        <f t="shared" si="8"/>
        <v>169.89</v>
      </c>
      <c r="AP11" s="126">
        <f t="shared" si="9"/>
        <v>0</v>
      </c>
      <c r="AQ11" s="126">
        <f t="shared" si="19"/>
        <v>0</v>
      </c>
      <c r="AR11" s="126">
        <f t="shared" si="20"/>
        <v>0</v>
      </c>
      <c r="AS11" s="126">
        <f t="array" ref="AS11">_xlfn.IFS(S11=0,AL11,S11&lt;0,AL11/-S11,S11&gt;0,AL11/S11)</f>
        <v>-17.763003999999999</v>
      </c>
      <c r="AT11" s="121">
        <f t="shared" si="22"/>
        <v>0</v>
      </c>
      <c r="AU11" s="121">
        <f t="shared" si="23"/>
        <v>-0.10455591264936136</v>
      </c>
      <c r="AV11" s="127"/>
      <c r="AW11" s="122">
        <f t="shared" si="12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/>
      <c r="F12" s="119"/>
      <c r="G12" s="119"/>
      <c r="H12" s="240">
        <v>46</v>
      </c>
      <c r="I12" s="119">
        <v>169.89</v>
      </c>
      <c r="J12" s="119">
        <f t="shared" si="0"/>
        <v>0</v>
      </c>
      <c r="K12" s="116"/>
      <c r="L12" s="116">
        <v>2</v>
      </c>
      <c r="M12" s="116">
        <v>1138</v>
      </c>
      <c r="N12" s="116">
        <v>0</v>
      </c>
      <c r="O12" s="215">
        <f t="shared" si="1"/>
        <v>0.2857142857142857</v>
      </c>
      <c r="P12" s="119">
        <f t="shared" si="21"/>
        <v>0</v>
      </c>
      <c r="Q12" s="120">
        <v>0</v>
      </c>
      <c r="R12" s="120">
        <v>0</v>
      </c>
      <c r="S12" s="119">
        <f t="shared" si="13"/>
        <v>0</v>
      </c>
      <c r="T12" s="120">
        <v>0</v>
      </c>
      <c r="U12" s="120">
        <v>0</v>
      </c>
      <c r="V12" s="119">
        <f t="shared" si="14"/>
        <v>0</v>
      </c>
      <c r="W12" s="120">
        <v>0</v>
      </c>
      <c r="X12" s="120">
        <v>0</v>
      </c>
      <c r="Y12" s="119">
        <f t="shared" si="3"/>
        <v>0</v>
      </c>
      <c r="Z12" s="119">
        <f t="shared" si="15"/>
        <v>0</v>
      </c>
      <c r="AA12" s="121">
        <f t="shared" si="4"/>
        <v>0</v>
      </c>
      <c r="AB12" s="119">
        <f t="shared" si="16"/>
        <v>0</v>
      </c>
      <c r="AC12" s="120">
        <v>0</v>
      </c>
      <c r="AD12" s="121">
        <f t="shared" si="5"/>
        <v>0</v>
      </c>
      <c r="AE12" s="120">
        <v>106.55</v>
      </c>
      <c r="AF12" s="120"/>
      <c r="AG12" s="120"/>
      <c r="AH12" s="120">
        <v>0</v>
      </c>
      <c r="AI12" s="154">
        <f t="shared" si="6"/>
        <v>19.929223999999998</v>
      </c>
      <c r="AJ12" s="120">
        <v>0</v>
      </c>
      <c r="AK12" s="122">
        <f t="shared" si="17"/>
        <v>0</v>
      </c>
      <c r="AL12" s="123">
        <f t="shared" si="18"/>
        <v>-126.47922399999999</v>
      </c>
      <c r="AM12" s="124"/>
      <c r="AN12" s="125">
        <f t="shared" si="7"/>
        <v>0</v>
      </c>
      <c r="AO12" s="126">
        <f t="shared" si="8"/>
        <v>169.89</v>
      </c>
      <c r="AP12" s="126">
        <f t="shared" si="9"/>
        <v>0</v>
      </c>
      <c r="AQ12" s="126">
        <f t="shared" si="19"/>
        <v>106.55</v>
      </c>
      <c r="AR12" s="126">
        <f t="shared" si="20"/>
        <v>0</v>
      </c>
      <c r="AS12" s="126">
        <f t="array" ref="AS12">_xlfn.IFS(S12=0,AL12,S12&lt;0,AL12/-S12,S12&gt;0,AL12/S12)</f>
        <v>-126.47922399999999</v>
      </c>
      <c r="AT12" s="121">
        <f t="shared" si="22"/>
        <v>0</v>
      </c>
      <c r="AU12" s="121">
        <f t="shared" si="23"/>
        <v>-0.74447715580669849</v>
      </c>
      <c r="AV12" s="127"/>
      <c r="AW12" s="122">
        <f t="shared" si="12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/>
      <c r="F13" s="119"/>
      <c r="G13" s="119"/>
      <c r="H13" s="240">
        <v>12</v>
      </c>
      <c r="I13" s="119">
        <v>169.89</v>
      </c>
      <c r="J13" s="119">
        <f t="shared" si="0"/>
        <v>0</v>
      </c>
      <c r="K13" s="116"/>
      <c r="L13" s="116">
        <v>1</v>
      </c>
      <c r="M13" s="116">
        <v>1166</v>
      </c>
      <c r="N13" s="116">
        <v>100</v>
      </c>
      <c r="O13" s="215">
        <f t="shared" si="1"/>
        <v>0.14285714285714285</v>
      </c>
      <c r="P13" s="119">
        <f t="shared" si="21"/>
        <v>0.14285714285714285</v>
      </c>
      <c r="Q13" s="120">
        <v>1</v>
      </c>
      <c r="R13" s="120">
        <v>0</v>
      </c>
      <c r="S13" s="119">
        <f t="shared" si="13"/>
        <v>1</v>
      </c>
      <c r="T13" s="120">
        <v>1034</v>
      </c>
      <c r="U13" s="120">
        <v>0</v>
      </c>
      <c r="V13" s="119">
        <f t="shared" si="14"/>
        <v>1034</v>
      </c>
      <c r="W13" s="120">
        <v>1166</v>
      </c>
      <c r="X13" s="120">
        <v>0</v>
      </c>
      <c r="Y13" s="119">
        <f t="shared" si="3"/>
        <v>1166</v>
      </c>
      <c r="Z13" s="119">
        <f t="shared" si="15"/>
        <v>1166</v>
      </c>
      <c r="AA13" s="121">
        <f t="shared" si="4"/>
        <v>2.286325615905924E-2</v>
      </c>
      <c r="AB13" s="119">
        <f t="shared" si="16"/>
        <v>169.89</v>
      </c>
      <c r="AC13" s="120">
        <v>424.5</v>
      </c>
      <c r="AD13" s="121">
        <f t="shared" si="5"/>
        <v>0.36406518010291594</v>
      </c>
      <c r="AE13" s="120">
        <v>56.55</v>
      </c>
      <c r="AF13" s="120"/>
      <c r="AG13" s="120"/>
      <c r="AH13" s="120">
        <v>0</v>
      </c>
      <c r="AI13" s="154">
        <f t="shared" si="6"/>
        <v>5.1989279999999995</v>
      </c>
      <c r="AJ13" s="120">
        <v>0</v>
      </c>
      <c r="AK13" s="122">
        <f t="shared" si="17"/>
        <v>10.34</v>
      </c>
      <c r="AL13" s="123">
        <f t="shared" si="18"/>
        <v>499.52107200000006</v>
      </c>
      <c r="AM13" s="124"/>
      <c r="AN13" s="125">
        <f t="shared" si="7"/>
        <v>1166</v>
      </c>
      <c r="AO13" s="126">
        <f t="shared" si="8"/>
        <v>169.89</v>
      </c>
      <c r="AP13" s="126">
        <f t="shared" si="9"/>
        <v>424.5</v>
      </c>
      <c r="AQ13" s="126">
        <f t="shared" si="19"/>
        <v>56.55</v>
      </c>
      <c r="AR13" s="126">
        <f t="shared" si="20"/>
        <v>0</v>
      </c>
      <c r="AS13" s="126">
        <f t="array" ref="AS13">_xlfn.IFS(S13=0,AL13,S13&lt;0,AL13/-S13,S13&gt;0,AL13/S13)</f>
        <v>499.52107200000006</v>
      </c>
      <c r="AT13" s="121">
        <f t="shared" si="22"/>
        <v>0.42840572212692973</v>
      </c>
      <c r="AU13" s="121">
        <f t="shared" si="23"/>
        <v>2.9402617693801876</v>
      </c>
      <c r="AV13" s="127"/>
      <c r="AW13" s="122">
        <f t="shared" si="12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/>
      <c r="F14" s="119"/>
      <c r="G14" s="119"/>
      <c r="H14" s="240">
        <v>65</v>
      </c>
      <c r="I14" s="119">
        <v>169.89</v>
      </c>
      <c r="J14" s="119">
        <f t="shared" si="0"/>
        <v>0</v>
      </c>
      <c r="K14" s="116"/>
      <c r="L14" s="116">
        <v>4</v>
      </c>
      <c r="M14" s="116">
        <v>1204</v>
      </c>
      <c r="N14" s="116">
        <v>50</v>
      </c>
      <c r="O14" s="215">
        <f t="shared" si="1"/>
        <v>0.5714285714285714</v>
      </c>
      <c r="P14" s="119">
        <f t="shared" si="21"/>
        <v>0.14285714285714285</v>
      </c>
      <c r="Q14" s="120">
        <v>1</v>
      </c>
      <c r="R14" s="120">
        <v>0</v>
      </c>
      <c r="S14" s="119">
        <f t="shared" si="13"/>
        <v>1</v>
      </c>
      <c r="T14" s="120">
        <v>855</v>
      </c>
      <c r="U14" s="120">
        <v>0</v>
      </c>
      <c r="V14" s="119">
        <f t="shared" si="14"/>
        <v>855</v>
      </c>
      <c r="W14" s="120">
        <v>1176</v>
      </c>
      <c r="X14" s="120">
        <v>0</v>
      </c>
      <c r="Y14" s="119">
        <f t="shared" si="3"/>
        <v>1176</v>
      </c>
      <c r="Z14" s="119">
        <f t="shared" si="15"/>
        <v>2408</v>
      </c>
      <c r="AA14" s="121">
        <f t="shared" si="4"/>
        <v>2.3059338973459406E-2</v>
      </c>
      <c r="AB14" s="119">
        <f t="shared" si="16"/>
        <v>169.89</v>
      </c>
      <c r="AC14" s="120">
        <v>424.1</v>
      </c>
      <c r="AD14" s="121">
        <f t="shared" si="5"/>
        <v>0.36062925170068028</v>
      </c>
      <c r="AE14" s="120">
        <v>65.25</v>
      </c>
      <c r="AF14" s="120"/>
      <c r="AG14" s="120"/>
      <c r="AH14" s="120">
        <v>0</v>
      </c>
      <c r="AI14" s="154">
        <f t="shared" si="6"/>
        <v>28.160859999999996</v>
      </c>
      <c r="AJ14" s="120">
        <v>0</v>
      </c>
      <c r="AK14" s="122">
        <f t="shared" si="17"/>
        <v>8.5500000000000007</v>
      </c>
      <c r="AL14" s="123">
        <f t="shared" si="18"/>
        <v>480.04913999999997</v>
      </c>
      <c r="AM14" s="124"/>
      <c r="AN14" s="125">
        <f t="shared" si="7"/>
        <v>1176</v>
      </c>
      <c r="AO14" s="126">
        <f t="shared" si="8"/>
        <v>169.89</v>
      </c>
      <c r="AP14" s="126">
        <f t="shared" si="9"/>
        <v>424.1</v>
      </c>
      <c r="AQ14" s="126">
        <f t="shared" si="19"/>
        <v>65.25</v>
      </c>
      <c r="AR14" s="126">
        <f t="shared" si="20"/>
        <v>0</v>
      </c>
      <c r="AS14" s="126">
        <f t="array" ref="AS14">_xlfn.IFS(S14=0,AL14,S14&lt;0,AL14/-S14,S14&gt;0,AL14/S14)</f>
        <v>480.04913999999997</v>
      </c>
      <c r="AT14" s="121">
        <f t="shared" si="22"/>
        <v>0.40820505102040816</v>
      </c>
      <c r="AU14" s="121">
        <f t="shared" si="23"/>
        <v>2.82564683030196</v>
      </c>
      <c r="AV14" s="127"/>
      <c r="AW14" s="122">
        <f t="shared" si="12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/>
      <c r="F15" s="119"/>
      <c r="G15" s="119"/>
      <c r="H15" s="240">
        <v>37</v>
      </c>
      <c r="I15" s="119">
        <v>169.89</v>
      </c>
      <c r="J15" s="119">
        <f t="shared" si="0"/>
        <v>0</v>
      </c>
      <c r="K15" s="116"/>
      <c r="L15" s="116">
        <v>0</v>
      </c>
      <c r="M15" s="116">
        <v>0</v>
      </c>
      <c r="N15" s="116">
        <v>0</v>
      </c>
      <c r="O15" s="215">
        <f t="shared" si="1"/>
        <v>0</v>
      </c>
      <c r="P15" s="119">
        <f t="shared" si="21"/>
        <v>0.14285714285714285</v>
      </c>
      <c r="Q15" s="120">
        <v>1</v>
      </c>
      <c r="R15" s="120">
        <v>0</v>
      </c>
      <c r="S15" s="119">
        <f t="shared" si="13"/>
        <v>1</v>
      </c>
      <c r="T15" s="120">
        <v>1042</v>
      </c>
      <c r="U15" s="120">
        <v>0</v>
      </c>
      <c r="V15" s="119">
        <f t="shared" si="14"/>
        <v>1042</v>
      </c>
      <c r="W15" s="120">
        <v>1232</v>
      </c>
      <c r="X15" s="120">
        <v>0</v>
      </c>
      <c r="Y15" s="119">
        <f t="shared" si="3"/>
        <v>1232</v>
      </c>
      <c r="Z15" s="119">
        <f t="shared" si="15"/>
        <v>0</v>
      </c>
      <c r="AA15" s="121">
        <f t="shared" si="4"/>
        <v>2.4157402734100331E-2</v>
      </c>
      <c r="AB15" s="119">
        <f t="shared" si="16"/>
        <v>169.89</v>
      </c>
      <c r="AC15" s="120">
        <v>447.44000000000005</v>
      </c>
      <c r="AD15" s="121">
        <f t="shared" si="5"/>
        <v>0.36318181818181822</v>
      </c>
      <c r="AE15" s="120">
        <v>65.25</v>
      </c>
      <c r="AF15" s="120"/>
      <c r="AG15" s="120"/>
      <c r="AH15" s="120">
        <v>0</v>
      </c>
      <c r="AI15" s="154">
        <f t="shared" si="6"/>
        <v>16.030028000000001</v>
      </c>
      <c r="AJ15" s="120">
        <v>0</v>
      </c>
      <c r="AK15" s="122">
        <f t="shared" si="17"/>
        <v>10.42</v>
      </c>
      <c r="AL15" s="123">
        <f t="shared" si="18"/>
        <v>522.9699720000001</v>
      </c>
      <c r="AM15" s="124"/>
      <c r="AN15" s="125">
        <f t="shared" si="7"/>
        <v>1232</v>
      </c>
      <c r="AO15" s="126">
        <f t="shared" si="8"/>
        <v>169.89</v>
      </c>
      <c r="AP15" s="126">
        <f t="shared" si="9"/>
        <v>447.44000000000005</v>
      </c>
      <c r="AQ15" s="126">
        <f t="shared" si="19"/>
        <v>65.25</v>
      </c>
      <c r="AR15" s="126">
        <f t="shared" si="20"/>
        <v>0</v>
      </c>
      <c r="AS15" s="126">
        <f t="array" ref="AS15">_xlfn.IFS(S15=0,AL15,S15&lt;0,AL15/-S15,S15&gt;0,AL15/S15)</f>
        <v>522.9699720000001</v>
      </c>
      <c r="AT15" s="121">
        <f t="shared" si="22"/>
        <v>0.4244886136363637</v>
      </c>
      <c r="AU15" s="121">
        <f t="shared" si="23"/>
        <v>3.0782857849196548</v>
      </c>
      <c r="AV15" s="127"/>
      <c r="AW15" s="122">
        <f t="shared" si="12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611.25</v>
      </c>
      <c r="AO16" s="140">
        <f t="shared" si="24"/>
        <v>128.0625</v>
      </c>
      <c r="AP16" s="140">
        <f t="shared" si="24"/>
        <v>220.40354166666665</v>
      </c>
      <c r="AQ16" s="140">
        <f t="shared" si="24"/>
        <v>120.20781249999999</v>
      </c>
      <c r="AR16" s="140">
        <f t="shared" si="24"/>
        <v>106.79166666666666</v>
      </c>
      <c r="AS16" s="140">
        <f t="shared" si="24"/>
        <v>1.1945341250000361</v>
      </c>
      <c r="AT16" s="141">
        <f t="shared" si="24"/>
        <v>8.1540559867564061E-2</v>
      </c>
      <c r="AU16" s="140">
        <f t="shared" si="24"/>
        <v>-8.1673620471155645E-2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2500</v>
      </c>
      <c r="I17" s="145"/>
      <c r="J17" s="145">
        <f>SUM(J3:J15)</f>
        <v>0</v>
      </c>
      <c r="K17" s="145"/>
      <c r="L17" s="145">
        <f>SUM(L3:L15)</f>
        <v>86</v>
      </c>
      <c r="M17" s="145"/>
      <c r="N17" s="145"/>
      <c r="O17" s="145"/>
      <c r="P17" s="145"/>
      <c r="Q17" s="145">
        <f>SUM(Q3:Q15)</f>
        <v>43</v>
      </c>
      <c r="R17" s="145">
        <f t="shared" ref="R17:Z17" si="26">SUM(R3:R15)</f>
        <v>-1</v>
      </c>
      <c r="S17" s="145">
        <f t="shared" si="26"/>
        <v>42</v>
      </c>
      <c r="T17" s="145">
        <f t="shared" si="26"/>
        <v>43245.32</v>
      </c>
      <c r="U17" s="145">
        <f t="shared" si="26"/>
        <v>-931</v>
      </c>
      <c r="V17" s="145">
        <f t="shared" si="26"/>
        <v>42314.32</v>
      </c>
      <c r="W17" s="145">
        <f t="shared" si="26"/>
        <v>52197.86</v>
      </c>
      <c r="X17" s="145">
        <f t="shared" si="26"/>
        <v>-1199</v>
      </c>
      <c r="Y17" s="145">
        <f t="shared" si="26"/>
        <v>50998.86</v>
      </c>
      <c r="Z17" s="145">
        <f t="shared" si="26"/>
        <v>58556.599999999991</v>
      </c>
      <c r="AA17" s="146">
        <f>SUM(AA3:AA15)</f>
        <v>1</v>
      </c>
      <c r="AB17" s="147">
        <f>SUM(AB3:AB15)</f>
        <v>5562.9000000000005</v>
      </c>
      <c r="AC17" s="147">
        <f>SUM(AC3:AC15)</f>
        <v>18463.039999999997</v>
      </c>
      <c r="AD17" s="146">
        <f>AC17/Y17</f>
        <v>0.36202848455828224</v>
      </c>
      <c r="AE17" s="145">
        <f>SUM(AE3:AE15)</f>
        <v>5752.8</v>
      </c>
      <c r="AF17" s="145">
        <f t="shared" ref="AF17:AL17" si="27">SUM(AF3:AF15)</f>
        <v>0</v>
      </c>
      <c r="AG17" s="145">
        <f t="shared" si="27"/>
        <v>6535</v>
      </c>
      <c r="AH17" s="145">
        <f t="shared" si="27"/>
        <v>0</v>
      </c>
      <c r="AI17" s="145">
        <f>SUM(AI3:AI15)</f>
        <v>1083.1099999999999</v>
      </c>
      <c r="AJ17" s="145">
        <f>SUM(AJ3:AJ15)</f>
        <v>0</v>
      </c>
      <c r="AK17" s="145">
        <f t="shared" si="27"/>
        <v>423.14320000000004</v>
      </c>
      <c r="AL17" s="145">
        <f t="shared" si="27"/>
        <v>13178.866799999998</v>
      </c>
      <c r="AM17" s="148"/>
      <c r="AN17" s="145"/>
      <c r="AO17" s="145"/>
      <c r="AP17" s="145"/>
      <c r="AQ17" s="145"/>
      <c r="AR17" s="145">
        <f>(AF17+AG17)/Q17</f>
        <v>151.97674418604652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238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>
        <f>Y19/$Y$74</f>
        <v>0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>
        <f t="shared" ref="AI19:AI70" si="38">$AI$74*H19/$H$74</f>
        <v>0</v>
      </c>
      <c r="AJ19" s="120"/>
      <c r="AK19" s="122">
        <f t="shared" ref="AK19:AK70" si="39">V19*1%</f>
        <v>0</v>
      </c>
      <c r="AL19" s="123">
        <f t="shared" ref="AL19:AL70" si="40">Y19-AB19-AC19-AE19-AF19-AG19-AH19-AI19-AK19-AJ19</f>
        <v>0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>
        <f t="shared" ref="AW19:AW70" si="48">AS19*E19</f>
        <v>0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>
        <f t="shared" ref="AA20:AA70" si="49">Y20/$Y$74</f>
        <v>0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>
        <f t="shared" si="38"/>
        <v>0</v>
      </c>
      <c r="AJ20" s="120"/>
      <c r="AK20" s="122">
        <f t="shared" si="39"/>
        <v>0</v>
      </c>
      <c r="AL20" s="123">
        <f t="shared" si="40"/>
        <v>0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>
        <f t="array" ref="AS20">_xlfn.IFS(S20=0,AL20,S20&lt;0,AL20/-S20,S20&gt;0,AL20/S20)</f>
        <v>0</v>
      </c>
      <c r="AT20" s="121">
        <f t="shared" si="46"/>
        <v>0</v>
      </c>
      <c r="AU20" s="121">
        <f t="shared" si="47"/>
        <v>0</v>
      </c>
      <c r="AV20" s="127"/>
      <c r="AW20" s="122">
        <f t="shared" si="48"/>
        <v>0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>
        <f t="shared" si="49"/>
        <v>0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>
        <f t="shared" si="38"/>
        <v>0</v>
      </c>
      <c r="AJ21" s="120"/>
      <c r="AK21" s="122">
        <f t="shared" si="39"/>
        <v>0</v>
      </c>
      <c r="AL21" s="123">
        <f t="shared" si="40"/>
        <v>0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>
        <f t="array" ref="AS21">_xlfn.IFS(S21=0,AL21,S21&lt;0,AL21/-S21,S21&gt;0,AL21/S21)</f>
        <v>0</v>
      </c>
      <c r="AT21" s="121">
        <f t="shared" si="46"/>
        <v>0</v>
      </c>
      <c r="AU21" s="121">
        <f t="shared" si="47"/>
        <v>0</v>
      </c>
      <c r="AV21" s="127"/>
      <c r="AW21" s="122">
        <f t="shared" si="48"/>
        <v>0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>
        <f t="shared" si="49"/>
        <v>0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>
        <f t="shared" si="38"/>
        <v>0</v>
      </c>
      <c r="AJ22" s="120"/>
      <c r="AK22" s="122">
        <f t="shared" si="39"/>
        <v>0</v>
      </c>
      <c r="AL22" s="123">
        <f t="shared" si="40"/>
        <v>0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>
        <f t="array" ref="AS22">_xlfn.IFS(S22=0,AL22,S22&lt;0,AL22/-S22,S22&gt;0,AL22/S22)</f>
        <v>0</v>
      </c>
      <c r="AT22" s="121">
        <f t="shared" si="46"/>
        <v>0</v>
      </c>
      <c r="AU22" s="121">
        <f t="shared" si="47"/>
        <v>0</v>
      </c>
      <c r="AV22" s="127"/>
      <c r="AW22" s="122">
        <f t="shared" si="48"/>
        <v>0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>
        <f t="shared" si="49"/>
        <v>0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>
        <f t="shared" si="38"/>
        <v>0</v>
      </c>
      <c r="AJ23" s="120"/>
      <c r="AK23" s="122">
        <f t="shared" si="39"/>
        <v>0</v>
      </c>
      <c r="AL23" s="123">
        <f t="shared" si="40"/>
        <v>0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>
        <f t="array" ref="AS23">_xlfn.IFS(S23=0,AL23,S23&lt;0,AL23/-S23,S23&gt;0,AL23/S23)</f>
        <v>0</v>
      </c>
      <c r="AT23" s="121">
        <f t="shared" si="46"/>
        <v>0</v>
      </c>
      <c r="AU23" s="121">
        <f t="shared" si="47"/>
        <v>0</v>
      </c>
      <c r="AV23" s="127"/>
      <c r="AW23" s="122">
        <f t="shared" si="48"/>
        <v>0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>
        <f t="shared" si="49"/>
        <v>0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>
        <f t="shared" si="38"/>
        <v>0</v>
      </c>
      <c r="AJ24" s="120"/>
      <c r="AK24" s="122">
        <f t="shared" si="39"/>
        <v>0</v>
      </c>
      <c r="AL24" s="123">
        <f t="shared" si="40"/>
        <v>0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>
        <f t="array" ref="AS24">_xlfn.IFS(S24=0,AL24,S24&lt;0,AL24/-S24,S24&gt;0,AL24/S24)</f>
        <v>0</v>
      </c>
      <c r="AT24" s="121">
        <f t="shared" si="46"/>
        <v>0</v>
      </c>
      <c r="AU24" s="121">
        <f t="shared" si="47"/>
        <v>0</v>
      </c>
      <c r="AV24" s="127"/>
      <c r="AW24" s="122">
        <f t="shared" si="48"/>
        <v>0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>
        <f t="shared" si="49"/>
        <v>0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>
        <f t="shared" si="38"/>
        <v>0</v>
      </c>
      <c r="AJ25" s="120"/>
      <c r="AK25" s="122">
        <f t="shared" si="39"/>
        <v>0</v>
      </c>
      <c r="AL25" s="123">
        <f t="shared" si="40"/>
        <v>0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>
        <f t="array" ref="AS25">_xlfn.IFS(S25=0,AL25,S25&lt;0,AL25/-S25,S25&gt;0,AL25/S25)</f>
        <v>0</v>
      </c>
      <c r="AT25" s="121">
        <f t="shared" si="46"/>
        <v>0</v>
      </c>
      <c r="AU25" s="121">
        <f t="shared" si="47"/>
        <v>0</v>
      </c>
      <c r="AV25" s="127"/>
      <c r="AW25" s="122">
        <f t="shared" si="48"/>
        <v>0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>
        <f t="shared" si="49"/>
        <v>0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>
        <f t="shared" si="38"/>
        <v>0</v>
      </c>
      <c r="AJ26" s="120"/>
      <c r="AK26" s="122">
        <f t="shared" si="39"/>
        <v>0</v>
      </c>
      <c r="AL26" s="123">
        <f t="shared" si="40"/>
        <v>0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>
        <f t="array" ref="AS26">_xlfn.IFS(S26=0,AL26,S26&lt;0,AL26/-S26,S26&gt;0,AL26/S26)</f>
        <v>0</v>
      </c>
      <c r="AT26" s="121">
        <f t="shared" si="46"/>
        <v>0</v>
      </c>
      <c r="AU26" s="121">
        <f t="shared" si="47"/>
        <v>0</v>
      </c>
      <c r="AV26" s="127"/>
      <c r="AW26" s="122">
        <f t="shared" si="48"/>
        <v>0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>
        <f t="shared" si="49"/>
        <v>0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>
        <f t="shared" si="38"/>
        <v>0</v>
      </c>
      <c r="AJ27" s="120"/>
      <c r="AK27" s="122">
        <f t="shared" si="39"/>
        <v>0</v>
      </c>
      <c r="AL27" s="123">
        <f t="shared" si="40"/>
        <v>0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>
        <f t="array" ref="AS27">_xlfn.IFS(S27=0,AL27,S27&lt;0,AL27/-S27,S27&gt;0,AL27/S27)</f>
        <v>0</v>
      </c>
      <c r="AT27" s="121">
        <f t="shared" si="46"/>
        <v>0</v>
      </c>
      <c r="AU27" s="121">
        <f t="shared" si="47"/>
        <v>0</v>
      </c>
      <c r="AV27" s="127"/>
      <c r="AW27" s="122">
        <f t="shared" si="48"/>
        <v>0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>
        <f t="shared" si="49"/>
        <v>0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>
        <f t="shared" si="38"/>
        <v>0</v>
      </c>
      <c r="AJ28" s="120"/>
      <c r="AK28" s="122">
        <f t="shared" si="39"/>
        <v>0</v>
      </c>
      <c r="AL28" s="123">
        <f t="shared" si="40"/>
        <v>0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>
        <f t="array" ref="AS28">_xlfn.IFS(S28=0,AL28,S28&lt;0,AL28/-S28,S28&gt;0,AL28/S28)</f>
        <v>0</v>
      </c>
      <c r="AT28" s="121">
        <f t="shared" si="46"/>
        <v>0</v>
      </c>
      <c r="AU28" s="121">
        <f t="shared" si="47"/>
        <v>0</v>
      </c>
      <c r="AV28" s="127"/>
      <c r="AW28" s="122">
        <f t="shared" si="48"/>
        <v>0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>
        <f t="shared" si="49"/>
        <v>0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>
        <f t="shared" si="38"/>
        <v>0</v>
      </c>
      <c r="AJ29" s="120"/>
      <c r="AK29" s="122">
        <f t="shared" si="39"/>
        <v>0</v>
      </c>
      <c r="AL29" s="123">
        <f t="shared" si="40"/>
        <v>0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>
        <f t="array" ref="AS29">_xlfn.IFS(S29=0,AL29,S29&lt;0,AL29/-S29,S29&gt;0,AL29/S29)</f>
        <v>0</v>
      </c>
      <c r="AT29" s="121">
        <f t="shared" si="46"/>
        <v>0</v>
      </c>
      <c r="AU29" s="121">
        <f t="shared" si="47"/>
        <v>0</v>
      </c>
      <c r="AV29" s="127"/>
      <c r="AW29" s="122">
        <f t="shared" si="48"/>
        <v>0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>
        <f t="shared" si="49"/>
        <v>0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>
        <f t="shared" si="38"/>
        <v>0</v>
      </c>
      <c r="AJ30" s="120"/>
      <c r="AK30" s="122">
        <f t="shared" si="39"/>
        <v>0</v>
      </c>
      <c r="AL30" s="123">
        <f t="shared" si="40"/>
        <v>0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>
        <f t="array" ref="AS30">_xlfn.IFS(S30=0,AL30,S30&lt;0,AL30/-S30,S30&gt;0,AL30/S30)</f>
        <v>0</v>
      </c>
      <c r="AT30" s="121">
        <f t="shared" si="46"/>
        <v>0</v>
      </c>
      <c r="AU30" s="121">
        <f t="shared" si="47"/>
        <v>0</v>
      </c>
      <c r="AV30" s="127"/>
      <c r="AW30" s="122">
        <f t="shared" si="48"/>
        <v>0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>
        <f t="shared" si="49"/>
        <v>0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>
        <f t="shared" si="38"/>
        <v>0</v>
      </c>
      <c r="AJ31" s="120"/>
      <c r="AK31" s="122">
        <f t="shared" si="39"/>
        <v>0</v>
      </c>
      <c r="AL31" s="123">
        <f t="shared" si="40"/>
        <v>0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>
        <f t="array" ref="AS31">_xlfn.IFS(S31=0,AL31,S31&lt;0,AL31/-S31,S31&gt;0,AL31/S31)</f>
        <v>0</v>
      </c>
      <c r="AT31" s="121">
        <f t="shared" si="46"/>
        <v>0</v>
      </c>
      <c r="AU31" s="121">
        <f t="shared" si="47"/>
        <v>0</v>
      </c>
      <c r="AV31" s="127"/>
      <c r="AW31" s="122">
        <f t="shared" si="48"/>
        <v>0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>
        <f t="shared" si="49"/>
        <v>0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>
        <f t="shared" si="38"/>
        <v>0</v>
      </c>
      <c r="AJ32" s="120"/>
      <c r="AK32" s="122">
        <f t="shared" si="39"/>
        <v>0</v>
      </c>
      <c r="AL32" s="123">
        <f t="shared" si="40"/>
        <v>0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>
        <f t="array" ref="AS32">_xlfn.IFS(S32=0,AL32,S32&lt;0,AL32/-S32,S32&gt;0,AL32/S32)</f>
        <v>0</v>
      </c>
      <c r="AT32" s="121">
        <f t="shared" si="46"/>
        <v>0</v>
      </c>
      <c r="AU32" s="121">
        <f t="shared" si="47"/>
        <v>0</v>
      </c>
      <c r="AV32" s="127"/>
      <c r="AW32" s="122">
        <f t="shared" si="48"/>
        <v>0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>
        <f t="shared" si="49"/>
        <v>0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>
        <f t="shared" si="38"/>
        <v>0</v>
      </c>
      <c r="AJ33" s="120"/>
      <c r="AK33" s="122">
        <f t="shared" si="39"/>
        <v>0</v>
      </c>
      <c r="AL33" s="123">
        <f t="shared" si="40"/>
        <v>0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>
        <f t="array" ref="AS33">_xlfn.IFS(S33=0,AL33,S33&lt;0,AL33/-S33,S33&gt;0,AL33/S33)</f>
        <v>0</v>
      </c>
      <c r="AT33" s="121">
        <f t="shared" si="46"/>
        <v>0</v>
      </c>
      <c r="AU33" s="121">
        <f t="shared" si="47"/>
        <v>0</v>
      </c>
      <c r="AV33" s="127"/>
      <c r="AW33" s="122">
        <f t="shared" si="48"/>
        <v>0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>
        <f t="shared" si="49"/>
        <v>0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>
        <f t="shared" si="38"/>
        <v>0</v>
      </c>
      <c r="AJ34" s="120"/>
      <c r="AK34" s="122">
        <f t="shared" si="39"/>
        <v>0</v>
      </c>
      <c r="AL34" s="123">
        <f t="shared" si="40"/>
        <v>0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>
        <f t="array" ref="AS34">_xlfn.IFS(S34=0,AL34,S34&lt;0,AL34/-S34,S34&gt;0,AL34/S34)</f>
        <v>0</v>
      </c>
      <c r="AT34" s="121">
        <f t="shared" si="46"/>
        <v>0</v>
      </c>
      <c r="AU34" s="121">
        <f t="shared" si="47"/>
        <v>0</v>
      </c>
      <c r="AV34" s="127"/>
      <c r="AW34" s="122">
        <f t="shared" si="48"/>
        <v>0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>
        <f t="shared" si="49"/>
        <v>0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>
        <f t="shared" si="38"/>
        <v>0</v>
      </c>
      <c r="AJ35" s="120"/>
      <c r="AK35" s="122">
        <f t="shared" si="39"/>
        <v>0</v>
      </c>
      <c r="AL35" s="123">
        <f t="shared" si="40"/>
        <v>0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>
        <f t="array" ref="AS35">_xlfn.IFS(S35=0,AL35,S35&lt;0,AL35/-S35,S35&gt;0,AL35/S35)</f>
        <v>0</v>
      </c>
      <c r="AT35" s="121">
        <f t="shared" si="46"/>
        <v>0</v>
      </c>
      <c r="AU35" s="121">
        <f t="shared" si="47"/>
        <v>0</v>
      </c>
      <c r="AV35" s="127"/>
      <c r="AW35" s="122">
        <f t="shared" si="48"/>
        <v>0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>
        <f t="shared" si="49"/>
        <v>0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>
        <f t="shared" si="38"/>
        <v>0</v>
      </c>
      <c r="AJ36" s="120"/>
      <c r="AK36" s="122">
        <f t="shared" si="39"/>
        <v>0</v>
      </c>
      <c r="AL36" s="123">
        <f t="shared" si="40"/>
        <v>0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>
        <f t="array" ref="AS36">_xlfn.IFS(S36=0,AL36,S36&lt;0,AL36/-S36,S36&gt;0,AL36/S36)</f>
        <v>0</v>
      </c>
      <c r="AT36" s="121">
        <f t="shared" si="46"/>
        <v>0</v>
      </c>
      <c r="AU36" s="121">
        <f t="shared" si="47"/>
        <v>0</v>
      </c>
      <c r="AV36" s="127"/>
      <c r="AW36" s="122">
        <f t="shared" si="48"/>
        <v>0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>
        <f t="shared" si="49"/>
        <v>0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>
        <f t="shared" si="38"/>
        <v>0</v>
      </c>
      <c r="AJ37" s="120"/>
      <c r="AK37" s="122">
        <f t="shared" si="39"/>
        <v>0</v>
      </c>
      <c r="AL37" s="123">
        <f t="shared" si="40"/>
        <v>0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>
        <f t="array" ref="AS37">_xlfn.IFS(S37=0,AL37,S37&lt;0,AL37/-S37,S37&gt;0,AL37/S37)</f>
        <v>0</v>
      </c>
      <c r="AT37" s="121">
        <f t="shared" si="46"/>
        <v>0</v>
      </c>
      <c r="AU37" s="121">
        <f t="shared" si="47"/>
        <v>0</v>
      </c>
      <c r="AV37" s="127"/>
      <c r="AW37" s="122">
        <f t="shared" si="48"/>
        <v>0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>
        <f t="shared" si="49"/>
        <v>0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>
        <f t="shared" si="38"/>
        <v>0</v>
      </c>
      <c r="AJ38" s="120"/>
      <c r="AK38" s="122">
        <f t="shared" si="39"/>
        <v>0</v>
      </c>
      <c r="AL38" s="123">
        <f t="shared" si="40"/>
        <v>0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>
        <f t="array" ref="AS38">_xlfn.IFS(S38=0,AL38,S38&lt;0,AL38/-S38,S38&gt;0,AL38/S38)</f>
        <v>0</v>
      </c>
      <c r="AT38" s="121">
        <f t="shared" si="46"/>
        <v>0</v>
      </c>
      <c r="AU38" s="121">
        <f t="shared" si="47"/>
        <v>0</v>
      </c>
      <c r="AV38" s="127"/>
      <c r="AW38" s="122">
        <f t="shared" si="48"/>
        <v>0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>
        <f t="shared" si="49"/>
        <v>0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>
        <f t="shared" si="38"/>
        <v>0</v>
      </c>
      <c r="AJ39" s="120"/>
      <c r="AK39" s="122">
        <f t="shared" si="39"/>
        <v>0</v>
      </c>
      <c r="AL39" s="123">
        <f t="shared" si="40"/>
        <v>0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>
        <f t="array" ref="AS39">_xlfn.IFS(S39=0,AL39,S39&lt;0,AL39/-S39,S39&gt;0,AL39/S39)</f>
        <v>0</v>
      </c>
      <c r="AT39" s="121">
        <f t="shared" si="46"/>
        <v>0</v>
      </c>
      <c r="AU39" s="121">
        <f t="shared" si="47"/>
        <v>0</v>
      </c>
      <c r="AV39" s="127"/>
      <c r="AW39" s="122">
        <f t="shared" si="48"/>
        <v>0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>
        <f t="shared" si="49"/>
        <v>0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>
        <f t="shared" si="38"/>
        <v>0</v>
      </c>
      <c r="AJ40" s="120"/>
      <c r="AK40" s="122">
        <f t="shared" si="39"/>
        <v>0</v>
      </c>
      <c r="AL40" s="123">
        <f t="shared" si="40"/>
        <v>0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>
        <f t="array" ref="AS40">_xlfn.IFS(S40=0,AL40,S40&lt;0,AL40/-S40,S40&gt;0,AL40/S40)</f>
        <v>0</v>
      </c>
      <c r="AT40" s="121">
        <f t="shared" si="46"/>
        <v>0</v>
      </c>
      <c r="AU40" s="121">
        <f t="shared" si="47"/>
        <v>0</v>
      </c>
      <c r="AV40" s="127"/>
      <c r="AW40" s="122">
        <f t="shared" si="48"/>
        <v>0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>
        <f t="shared" si="49"/>
        <v>0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>
        <f t="shared" si="38"/>
        <v>0</v>
      </c>
      <c r="AJ41" s="120"/>
      <c r="AK41" s="122">
        <f t="shared" si="39"/>
        <v>0</v>
      </c>
      <c r="AL41" s="123">
        <f t="shared" si="40"/>
        <v>0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>
        <f t="array" ref="AS41">_xlfn.IFS(S41=0,AL41,S41&lt;0,AL41/-S41,S41&gt;0,AL41/S41)</f>
        <v>0</v>
      </c>
      <c r="AT41" s="121">
        <f t="shared" si="46"/>
        <v>0</v>
      </c>
      <c r="AU41" s="121">
        <f t="shared" si="47"/>
        <v>0</v>
      </c>
      <c r="AV41" s="127"/>
      <c r="AW41" s="122">
        <f t="shared" si="48"/>
        <v>0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>
        <f t="shared" si="49"/>
        <v>0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>
        <f t="shared" si="38"/>
        <v>0</v>
      </c>
      <c r="AJ42" s="120"/>
      <c r="AK42" s="122">
        <f t="shared" si="39"/>
        <v>0</v>
      </c>
      <c r="AL42" s="123">
        <f t="shared" si="40"/>
        <v>0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>
        <f t="array" ref="AS42">_xlfn.IFS(S42=0,AL42,S42&lt;0,AL42/-S42,S42&gt;0,AL42/S42)</f>
        <v>0</v>
      </c>
      <c r="AT42" s="121">
        <f t="shared" si="46"/>
        <v>0</v>
      </c>
      <c r="AU42" s="121">
        <f t="shared" si="47"/>
        <v>0</v>
      </c>
      <c r="AV42" s="127"/>
      <c r="AW42" s="122">
        <f t="shared" si="48"/>
        <v>0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>
        <f t="shared" si="49"/>
        <v>0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>
        <f t="shared" si="38"/>
        <v>0</v>
      </c>
      <c r="AJ43" s="120"/>
      <c r="AK43" s="122">
        <f t="shared" si="39"/>
        <v>0</v>
      </c>
      <c r="AL43" s="123">
        <f t="shared" si="40"/>
        <v>0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>
        <f t="array" ref="AS43">_xlfn.IFS(S43=0,AL43,S43&lt;0,AL43/-S43,S43&gt;0,AL43/S43)</f>
        <v>0</v>
      </c>
      <c r="AT43" s="121">
        <f t="shared" si="46"/>
        <v>0</v>
      </c>
      <c r="AU43" s="121">
        <f t="shared" si="47"/>
        <v>0</v>
      </c>
      <c r="AV43" s="127"/>
      <c r="AW43" s="122">
        <f t="shared" si="48"/>
        <v>0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>
        <f t="shared" si="49"/>
        <v>0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>
        <f t="shared" si="38"/>
        <v>0</v>
      </c>
      <c r="AJ44" s="120"/>
      <c r="AK44" s="122">
        <f t="shared" si="39"/>
        <v>0</v>
      </c>
      <c r="AL44" s="123">
        <f t="shared" si="40"/>
        <v>0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>
        <f t="array" ref="AS44">_xlfn.IFS(S44=0,AL44,S44&lt;0,AL44/-S44,S44&gt;0,AL44/S44)</f>
        <v>0</v>
      </c>
      <c r="AT44" s="121">
        <f t="shared" si="46"/>
        <v>0</v>
      </c>
      <c r="AU44" s="121">
        <f t="shared" si="47"/>
        <v>0</v>
      </c>
      <c r="AV44" s="127"/>
      <c r="AW44" s="122">
        <f t="shared" si="48"/>
        <v>0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>
        <f t="shared" si="49"/>
        <v>0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>
        <f t="shared" si="38"/>
        <v>0</v>
      </c>
      <c r="AJ45" s="120"/>
      <c r="AK45" s="122">
        <f t="shared" si="39"/>
        <v>0</v>
      </c>
      <c r="AL45" s="123">
        <f t="shared" si="40"/>
        <v>0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>
        <f t="array" ref="AS45">_xlfn.IFS(S45=0,AL45,S45&lt;0,AL45/-S45,S45&gt;0,AL45/S45)</f>
        <v>0</v>
      </c>
      <c r="AT45" s="121">
        <f t="shared" si="46"/>
        <v>0</v>
      </c>
      <c r="AU45" s="121">
        <f t="shared" si="47"/>
        <v>0</v>
      </c>
      <c r="AV45" s="127"/>
      <c r="AW45" s="122">
        <f t="shared" si="48"/>
        <v>0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>
        <f t="shared" si="49"/>
        <v>0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>
        <f t="shared" si="38"/>
        <v>0</v>
      </c>
      <c r="AJ46" s="120"/>
      <c r="AK46" s="122">
        <f t="shared" si="39"/>
        <v>0</v>
      </c>
      <c r="AL46" s="123">
        <f t="shared" si="40"/>
        <v>0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>
        <f t="array" ref="AS46">_xlfn.IFS(S46=0,AL46,S46&lt;0,AL46/-S46,S46&gt;0,AL46/S46)</f>
        <v>0</v>
      </c>
      <c r="AT46" s="121">
        <f t="shared" si="46"/>
        <v>0</v>
      </c>
      <c r="AU46" s="121">
        <f t="shared" si="47"/>
        <v>0</v>
      </c>
      <c r="AV46" s="127"/>
      <c r="AW46" s="122">
        <f t="shared" si="48"/>
        <v>0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>
        <f t="shared" si="49"/>
        <v>0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>
        <f t="shared" si="38"/>
        <v>0</v>
      </c>
      <c r="AJ47" s="120"/>
      <c r="AK47" s="122">
        <f t="shared" si="39"/>
        <v>0</v>
      </c>
      <c r="AL47" s="123">
        <f t="shared" si="40"/>
        <v>0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>
        <f t="array" ref="AS47">_xlfn.IFS(S47=0,AL47,S47&lt;0,AL47/-S47,S47&gt;0,AL47/S47)</f>
        <v>0</v>
      </c>
      <c r="AT47" s="121">
        <f t="shared" si="46"/>
        <v>0</v>
      </c>
      <c r="AU47" s="121">
        <f t="shared" si="47"/>
        <v>0</v>
      </c>
      <c r="AV47" s="127"/>
      <c r="AW47" s="122">
        <f t="shared" si="48"/>
        <v>0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>
        <f t="shared" si="49"/>
        <v>0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>
        <f t="shared" si="38"/>
        <v>0</v>
      </c>
      <c r="AJ48" s="120"/>
      <c r="AK48" s="122">
        <f t="shared" si="39"/>
        <v>0</v>
      </c>
      <c r="AL48" s="123">
        <f t="shared" si="40"/>
        <v>0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>
        <f t="array" ref="AS48">_xlfn.IFS(S48=0,AL48,S48&lt;0,AL48/-S48,S48&gt;0,AL48/S48)</f>
        <v>0</v>
      </c>
      <c r="AT48" s="121">
        <f t="shared" si="46"/>
        <v>0</v>
      </c>
      <c r="AU48" s="121">
        <f t="shared" si="47"/>
        <v>0</v>
      </c>
      <c r="AV48" s="127"/>
      <c r="AW48" s="122">
        <f t="shared" si="48"/>
        <v>0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>
        <f t="shared" si="49"/>
        <v>0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>
        <f t="shared" si="38"/>
        <v>0</v>
      </c>
      <c r="AJ49" s="120"/>
      <c r="AK49" s="122">
        <f t="shared" si="39"/>
        <v>0</v>
      </c>
      <c r="AL49" s="123">
        <f t="shared" si="40"/>
        <v>0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>
        <f t="array" ref="AS49">_xlfn.IFS(S49=0,AL49,S49&lt;0,AL49/-S49,S49&gt;0,AL49/S49)</f>
        <v>0</v>
      </c>
      <c r="AT49" s="121">
        <f t="shared" si="46"/>
        <v>0</v>
      </c>
      <c r="AU49" s="121">
        <f t="shared" si="47"/>
        <v>0</v>
      </c>
      <c r="AV49" s="127"/>
      <c r="AW49" s="122">
        <f t="shared" si="48"/>
        <v>0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>
        <f t="shared" si="49"/>
        <v>0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>
        <f t="shared" si="38"/>
        <v>0</v>
      </c>
      <c r="AJ50" s="120"/>
      <c r="AK50" s="122">
        <f t="shared" si="39"/>
        <v>0</v>
      </c>
      <c r="AL50" s="123">
        <f t="shared" si="40"/>
        <v>0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>
        <f t="array" ref="AS50">_xlfn.IFS(S50=0,AL50,S50&lt;0,AL50/-S50,S50&gt;0,AL50/S50)</f>
        <v>0</v>
      </c>
      <c r="AT50" s="121">
        <f t="shared" si="46"/>
        <v>0</v>
      </c>
      <c r="AU50" s="121">
        <f t="shared" si="47"/>
        <v>0</v>
      </c>
      <c r="AV50" s="127"/>
      <c r="AW50" s="122">
        <f t="shared" si="48"/>
        <v>0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>
        <f t="shared" si="49"/>
        <v>0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>
        <f t="shared" si="38"/>
        <v>0</v>
      </c>
      <c r="AJ51" s="120"/>
      <c r="AK51" s="122">
        <f t="shared" si="39"/>
        <v>0</v>
      </c>
      <c r="AL51" s="123">
        <f t="shared" si="40"/>
        <v>0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>
        <f t="array" ref="AS51">_xlfn.IFS(S51=0,AL51,S51&lt;0,AL51/-S51,S51&gt;0,AL51/S51)</f>
        <v>0</v>
      </c>
      <c r="AT51" s="121">
        <f t="shared" si="46"/>
        <v>0</v>
      </c>
      <c r="AU51" s="121">
        <f t="shared" si="47"/>
        <v>0</v>
      </c>
      <c r="AV51" s="127"/>
      <c r="AW51" s="122">
        <f t="shared" si="48"/>
        <v>0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>
        <f t="shared" si="49"/>
        <v>0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>
        <f t="shared" si="38"/>
        <v>0</v>
      </c>
      <c r="AJ52" s="120"/>
      <c r="AK52" s="122">
        <f t="shared" si="39"/>
        <v>0</v>
      </c>
      <c r="AL52" s="123">
        <f t="shared" si="40"/>
        <v>0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>
        <f t="array" ref="AS52">_xlfn.IFS(S52=0,AL52,S52&lt;0,AL52/-S52,S52&gt;0,AL52/S52)</f>
        <v>0</v>
      </c>
      <c r="AT52" s="121">
        <f t="shared" si="46"/>
        <v>0</v>
      </c>
      <c r="AU52" s="121">
        <f t="shared" si="47"/>
        <v>0</v>
      </c>
      <c r="AV52" s="127"/>
      <c r="AW52" s="122">
        <f t="shared" si="48"/>
        <v>0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>
        <f t="shared" si="49"/>
        <v>0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>
        <f t="shared" si="38"/>
        <v>0</v>
      </c>
      <c r="AJ53" s="120"/>
      <c r="AK53" s="122">
        <f t="shared" si="39"/>
        <v>0</v>
      </c>
      <c r="AL53" s="123">
        <f t="shared" si="40"/>
        <v>0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>
        <f t="array" ref="AS53">_xlfn.IFS(S53=0,AL53,S53&lt;0,AL53/-S53,S53&gt;0,AL53/S53)</f>
        <v>0</v>
      </c>
      <c r="AT53" s="121">
        <f t="shared" si="46"/>
        <v>0</v>
      </c>
      <c r="AU53" s="121">
        <f t="shared" si="47"/>
        <v>0</v>
      </c>
      <c r="AV53" s="127"/>
      <c r="AW53" s="122">
        <f t="shared" si="48"/>
        <v>0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>
        <f t="shared" si="49"/>
        <v>0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>
        <f t="shared" si="38"/>
        <v>0</v>
      </c>
      <c r="AJ54" s="120"/>
      <c r="AK54" s="122">
        <f t="shared" si="39"/>
        <v>0</v>
      </c>
      <c r="AL54" s="123">
        <f t="shared" si="40"/>
        <v>0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>
        <f t="array" ref="AS54">_xlfn.IFS(S54=0,AL54,S54&lt;0,AL54/-S54,S54&gt;0,AL54/S54)</f>
        <v>0</v>
      </c>
      <c r="AT54" s="121">
        <f t="shared" si="46"/>
        <v>0</v>
      </c>
      <c r="AU54" s="121">
        <f t="shared" si="47"/>
        <v>0</v>
      </c>
      <c r="AV54" s="127"/>
      <c r="AW54" s="122">
        <f t="shared" si="48"/>
        <v>0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>
        <f t="shared" si="49"/>
        <v>0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>
        <f t="shared" si="38"/>
        <v>0</v>
      </c>
      <c r="AJ55" s="120"/>
      <c r="AK55" s="122">
        <f t="shared" si="39"/>
        <v>0</v>
      </c>
      <c r="AL55" s="123">
        <f t="shared" si="40"/>
        <v>0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>
        <f t="array" ref="AS55">_xlfn.IFS(S55=0,AL55,S55&lt;0,AL55/-S55,S55&gt;0,AL55/S55)</f>
        <v>0</v>
      </c>
      <c r="AT55" s="121">
        <f t="shared" si="46"/>
        <v>0</v>
      </c>
      <c r="AU55" s="121">
        <f t="shared" si="47"/>
        <v>0</v>
      </c>
      <c r="AV55" s="127"/>
      <c r="AW55" s="122">
        <f t="shared" si="48"/>
        <v>0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>
        <f t="shared" si="49"/>
        <v>0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>
        <f t="shared" si="38"/>
        <v>0</v>
      </c>
      <c r="AJ56" s="120"/>
      <c r="AK56" s="122">
        <f t="shared" si="39"/>
        <v>0</v>
      </c>
      <c r="AL56" s="123">
        <f t="shared" si="40"/>
        <v>0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>
        <f t="array" ref="AS56">_xlfn.IFS(S56=0,AL56,S56&lt;0,AL56/-S56,S56&gt;0,AL56/S56)</f>
        <v>0</v>
      </c>
      <c r="AT56" s="121">
        <f t="shared" si="46"/>
        <v>0</v>
      </c>
      <c r="AU56" s="121">
        <f t="shared" si="47"/>
        <v>0</v>
      </c>
      <c r="AV56" s="127"/>
      <c r="AW56" s="122">
        <f t="shared" si="48"/>
        <v>0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>
        <f t="shared" si="49"/>
        <v>0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>
        <f t="shared" si="38"/>
        <v>0</v>
      </c>
      <c r="AJ57" s="120"/>
      <c r="AK57" s="122">
        <f t="shared" si="39"/>
        <v>0</v>
      </c>
      <c r="AL57" s="123">
        <f t="shared" si="40"/>
        <v>0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>
        <f t="array" ref="AS57">_xlfn.IFS(S57=0,AL57,S57&lt;0,AL57/-S57,S57&gt;0,AL57/S57)</f>
        <v>0</v>
      </c>
      <c r="AT57" s="121">
        <f t="shared" si="46"/>
        <v>0</v>
      </c>
      <c r="AU57" s="121">
        <f t="shared" si="47"/>
        <v>0</v>
      </c>
      <c r="AV57" s="127"/>
      <c r="AW57" s="122">
        <f t="shared" si="48"/>
        <v>0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>
        <f t="shared" si="49"/>
        <v>0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>
        <f t="shared" si="38"/>
        <v>0</v>
      </c>
      <c r="AJ58" s="120"/>
      <c r="AK58" s="122">
        <f t="shared" si="39"/>
        <v>0</v>
      </c>
      <c r="AL58" s="123">
        <f t="shared" si="40"/>
        <v>0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>
        <f t="array" ref="AS58">_xlfn.IFS(S58=0,AL58,S58&lt;0,AL58/-S58,S58&gt;0,AL58/S58)</f>
        <v>0</v>
      </c>
      <c r="AT58" s="121">
        <f t="shared" si="46"/>
        <v>0</v>
      </c>
      <c r="AU58" s="121">
        <f t="shared" si="47"/>
        <v>0</v>
      </c>
      <c r="AV58" s="127"/>
      <c r="AW58" s="122">
        <f t="shared" si="48"/>
        <v>0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>
        <f t="shared" si="49"/>
        <v>0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>
        <f t="shared" si="38"/>
        <v>0</v>
      </c>
      <c r="AJ59" s="120"/>
      <c r="AK59" s="122">
        <f t="shared" si="39"/>
        <v>0</v>
      </c>
      <c r="AL59" s="123">
        <f t="shared" si="40"/>
        <v>0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>
        <f t="array" ref="AS59">_xlfn.IFS(S59=0,AL59,S59&lt;0,AL59/-S59,S59&gt;0,AL59/S59)</f>
        <v>0</v>
      </c>
      <c r="AT59" s="121">
        <f t="shared" si="46"/>
        <v>0</v>
      </c>
      <c r="AU59" s="121">
        <f t="shared" si="47"/>
        <v>0</v>
      </c>
      <c r="AV59" s="127"/>
      <c r="AW59" s="122">
        <f t="shared" si="48"/>
        <v>0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>
        <f t="shared" si="49"/>
        <v>0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>
        <f t="shared" si="38"/>
        <v>0</v>
      </c>
      <c r="AJ60" s="120"/>
      <c r="AK60" s="122">
        <f t="shared" si="39"/>
        <v>0</v>
      </c>
      <c r="AL60" s="123">
        <f t="shared" si="40"/>
        <v>0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>
        <f t="array" ref="AS60">_xlfn.IFS(S60=0,AL60,S60&lt;0,AL60/-S60,S60&gt;0,AL60/S60)</f>
        <v>0</v>
      </c>
      <c r="AT60" s="121">
        <f t="shared" si="46"/>
        <v>0</v>
      </c>
      <c r="AU60" s="121">
        <f t="shared" si="47"/>
        <v>0</v>
      </c>
      <c r="AV60" s="127"/>
      <c r="AW60" s="122">
        <f t="shared" si="48"/>
        <v>0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>
        <f t="shared" si="49"/>
        <v>0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>
        <f t="shared" si="38"/>
        <v>0</v>
      </c>
      <c r="AJ61" s="120"/>
      <c r="AK61" s="122">
        <f t="shared" si="39"/>
        <v>0</v>
      </c>
      <c r="AL61" s="123">
        <f t="shared" si="40"/>
        <v>0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>
        <f t="array" ref="AS61">_xlfn.IFS(S61=0,AL61,S61&lt;0,AL61/-S61,S61&gt;0,AL61/S61)</f>
        <v>0</v>
      </c>
      <c r="AT61" s="121">
        <f t="shared" si="46"/>
        <v>0</v>
      </c>
      <c r="AU61" s="121">
        <f t="shared" si="47"/>
        <v>0</v>
      </c>
      <c r="AV61" s="127"/>
      <c r="AW61" s="122">
        <f t="shared" si="48"/>
        <v>0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>
        <f t="shared" si="49"/>
        <v>0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>
        <f t="shared" si="38"/>
        <v>0</v>
      </c>
      <c r="AJ62" s="120"/>
      <c r="AK62" s="122">
        <f t="shared" si="39"/>
        <v>0</v>
      </c>
      <c r="AL62" s="123">
        <f t="shared" si="40"/>
        <v>0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>
        <f t="array" ref="AS62">_xlfn.IFS(S62=0,AL62,S62&lt;0,AL62/-S62,S62&gt;0,AL62/S62)</f>
        <v>0</v>
      </c>
      <c r="AT62" s="121">
        <f t="shared" si="46"/>
        <v>0</v>
      </c>
      <c r="AU62" s="121">
        <f t="shared" si="47"/>
        <v>0</v>
      </c>
      <c r="AV62" s="127"/>
      <c r="AW62" s="122">
        <f t="shared" si="48"/>
        <v>0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>
        <f t="shared" si="49"/>
        <v>0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>
        <f t="shared" si="38"/>
        <v>0</v>
      </c>
      <c r="AJ63" s="120"/>
      <c r="AK63" s="122">
        <f t="shared" si="39"/>
        <v>0</v>
      </c>
      <c r="AL63" s="123">
        <f t="shared" si="40"/>
        <v>0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>
        <f t="array" ref="AS63">_xlfn.IFS(S63=0,AL63,S63&lt;0,AL63/-S63,S63&gt;0,AL63/S63)</f>
        <v>0</v>
      </c>
      <c r="AT63" s="121">
        <f t="shared" si="46"/>
        <v>0</v>
      </c>
      <c r="AU63" s="121">
        <f t="shared" si="47"/>
        <v>0</v>
      </c>
      <c r="AV63" s="127"/>
      <c r="AW63" s="122">
        <f t="shared" si="48"/>
        <v>0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>
        <f t="shared" si="49"/>
        <v>0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>
        <f t="shared" si="38"/>
        <v>0</v>
      </c>
      <c r="AJ64" s="120"/>
      <c r="AK64" s="122">
        <f t="shared" si="39"/>
        <v>0</v>
      </c>
      <c r="AL64" s="123">
        <f t="shared" si="40"/>
        <v>0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>
        <f t="array" ref="AS64">_xlfn.IFS(S64=0,AL64,S64&lt;0,AL64/-S64,S64&gt;0,AL64/S64)</f>
        <v>0</v>
      </c>
      <c r="AT64" s="121">
        <f t="shared" si="46"/>
        <v>0</v>
      </c>
      <c r="AU64" s="121">
        <f t="shared" si="47"/>
        <v>0</v>
      </c>
      <c r="AV64" s="127"/>
      <c r="AW64" s="122">
        <f t="shared" si="48"/>
        <v>0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>
        <f t="shared" si="49"/>
        <v>0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>
        <f t="shared" si="38"/>
        <v>0</v>
      </c>
      <c r="AJ65" s="120"/>
      <c r="AK65" s="122">
        <f t="shared" si="39"/>
        <v>0</v>
      </c>
      <c r="AL65" s="123">
        <f t="shared" si="40"/>
        <v>0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>
        <f t="array" ref="AS65">_xlfn.IFS(S65=0,AL65,S65&lt;0,AL65/-S65,S65&gt;0,AL65/S65)</f>
        <v>0</v>
      </c>
      <c r="AT65" s="121">
        <f t="shared" si="46"/>
        <v>0</v>
      </c>
      <c r="AU65" s="121">
        <f t="shared" si="47"/>
        <v>0</v>
      </c>
      <c r="AV65" s="127"/>
      <c r="AW65" s="122">
        <f t="shared" si="48"/>
        <v>0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>
        <f t="shared" si="49"/>
        <v>0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>
        <f t="shared" si="38"/>
        <v>0</v>
      </c>
      <c r="AJ66" s="120"/>
      <c r="AK66" s="122">
        <f t="shared" si="39"/>
        <v>0</v>
      </c>
      <c r="AL66" s="123">
        <f t="shared" si="40"/>
        <v>0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>
        <f t="array" ref="AS66">_xlfn.IFS(S66=0,AL66,S66&lt;0,AL66/-S66,S66&gt;0,AL66/S66)</f>
        <v>0</v>
      </c>
      <c r="AT66" s="121">
        <f t="shared" si="46"/>
        <v>0</v>
      </c>
      <c r="AU66" s="121">
        <f t="shared" si="47"/>
        <v>0</v>
      </c>
      <c r="AV66" s="127"/>
      <c r="AW66" s="122">
        <f t="shared" si="48"/>
        <v>0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>
        <f t="shared" si="49"/>
        <v>0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>
        <f t="shared" si="38"/>
        <v>0</v>
      </c>
      <c r="AJ67" s="120"/>
      <c r="AK67" s="122">
        <f t="shared" si="39"/>
        <v>0</v>
      </c>
      <c r="AL67" s="123">
        <f t="shared" si="40"/>
        <v>0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>
        <f t="array" ref="AS67">_xlfn.IFS(S67=0,AL67,S67&lt;0,AL67/-S67,S67&gt;0,AL67/S67)</f>
        <v>0</v>
      </c>
      <c r="AT67" s="121">
        <f t="shared" si="46"/>
        <v>0</v>
      </c>
      <c r="AU67" s="121">
        <f t="shared" si="47"/>
        <v>0</v>
      </c>
      <c r="AV67" s="127"/>
      <c r="AW67" s="122">
        <f t="shared" si="48"/>
        <v>0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>
        <f t="shared" si="49"/>
        <v>0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>
        <f t="shared" si="38"/>
        <v>0</v>
      </c>
      <c r="AJ68" s="120"/>
      <c r="AK68" s="122">
        <f t="shared" si="39"/>
        <v>0</v>
      </c>
      <c r="AL68" s="123">
        <f t="shared" si="40"/>
        <v>0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>
        <f t="array" ref="AS68">_xlfn.IFS(S68=0,AL68,S68&lt;0,AL68/-S68,S68&gt;0,AL68/S68)</f>
        <v>0</v>
      </c>
      <c r="AT68" s="121">
        <f t="shared" si="46"/>
        <v>0</v>
      </c>
      <c r="AU68" s="121">
        <f t="shared" si="47"/>
        <v>0</v>
      </c>
      <c r="AV68" s="127"/>
      <c r="AW68" s="122">
        <f t="shared" si="48"/>
        <v>0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>
        <f t="shared" si="49"/>
        <v>0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>
        <f t="shared" si="38"/>
        <v>0</v>
      </c>
      <c r="AJ69" s="120"/>
      <c r="AK69" s="122">
        <f t="shared" si="39"/>
        <v>0</v>
      </c>
      <c r="AL69" s="123">
        <f t="shared" si="40"/>
        <v>0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>
        <f t="array" ref="AS69">_xlfn.IFS(S69=0,AL69,S69&lt;0,AL69/-S69,S69&gt;0,AL69/S69)</f>
        <v>0</v>
      </c>
      <c r="AT69" s="121">
        <f t="shared" si="46"/>
        <v>0</v>
      </c>
      <c r="AU69" s="121">
        <f t="shared" si="47"/>
        <v>0</v>
      </c>
      <c r="AV69" s="127"/>
      <c r="AW69" s="122">
        <f t="shared" si="48"/>
        <v>0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>
        <f t="shared" si="49"/>
        <v>0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>
        <f t="shared" si="38"/>
        <v>0</v>
      </c>
      <c r="AJ70" s="120"/>
      <c r="AK70" s="122">
        <f t="shared" si="39"/>
        <v>0</v>
      </c>
      <c r="AL70" s="123">
        <f t="shared" si="40"/>
        <v>0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>
        <f t="array" ref="AS70">_xlfn.IFS(S70=0,AL70,S70&lt;0,AL70/-S70,S70&gt;0,AL70/S70)</f>
        <v>0</v>
      </c>
      <c r="AT70" s="121">
        <f t="shared" si="46"/>
        <v>0</v>
      </c>
      <c r="AU70" s="121">
        <f t="shared" si="47"/>
        <v>0</v>
      </c>
      <c r="AV70" s="127"/>
      <c r="AW70" s="122">
        <f t="shared" si="48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>
        <f t="shared" si="52"/>
        <v>0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>
        <f t="shared" si="53"/>
        <v>0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4"/>
        <v>0</v>
      </c>
      <c r="AK72" s="167">
        <f t="shared" si="54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239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2500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86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43</v>
      </c>
      <c r="R74" s="190">
        <f t="shared" si="55"/>
        <v>-1</v>
      </c>
      <c r="S74" s="190">
        <f t="shared" si="55"/>
        <v>42</v>
      </c>
      <c r="T74" s="190">
        <f t="shared" si="55"/>
        <v>43245.32</v>
      </c>
      <c r="U74" s="190">
        <f t="shared" si="55"/>
        <v>-931</v>
      </c>
      <c r="V74" s="190">
        <f t="shared" si="55"/>
        <v>42314.32</v>
      </c>
      <c r="W74" s="190">
        <f t="shared" si="55"/>
        <v>52197.86</v>
      </c>
      <c r="X74" s="190">
        <f t="shared" si="55"/>
        <v>-1199</v>
      </c>
      <c r="Y74" s="190">
        <f t="shared" si="55"/>
        <v>50998.86</v>
      </c>
      <c r="Z74" s="190">
        <f t="shared" si="55"/>
        <v>58556.599999999991</v>
      </c>
      <c r="AA74" s="191">
        <f t="shared" si="55"/>
        <v>1</v>
      </c>
      <c r="AB74" s="192">
        <f t="shared" si="55"/>
        <v>5562.9000000000005</v>
      </c>
      <c r="AC74" s="190">
        <f t="shared" si="55"/>
        <v>18463.039999999997</v>
      </c>
      <c r="AD74" s="191">
        <f>AC74/Y74</f>
        <v>0.36202848455828224</v>
      </c>
      <c r="AE74" s="192">
        <f>AE17+AE72</f>
        <v>5752.8</v>
      </c>
      <c r="AF74" s="193">
        <f>AF17+AF72</f>
        <v>0</v>
      </c>
      <c r="AG74" s="193">
        <f>AG17+AG72</f>
        <v>6535</v>
      </c>
      <c r="AH74" s="193">
        <f>AH17+AH72</f>
        <v>0</v>
      </c>
      <c r="AI74" s="194">
        <v>1083.1099999999999</v>
      </c>
      <c r="AJ74" s="190">
        <f>AJ17+AJ72</f>
        <v>0</v>
      </c>
      <c r="AK74" s="190">
        <f>AK17+AK72</f>
        <v>423.14320000000004</v>
      </c>
      <c r="AL74" s="190">
        <f>AL17+AL72</f>
        <v>13178.866799999998</v>
      </c>
      <c r="AM74" s="190"/>
      <c r="AN74" s="190"/>
      <c r="AO74" s="190"/>
      <c r="AP74" s="190"/>
      <c r="AQ74" s="190"/>
      <c r="AR74" s="190">
        <f>(AF74+AG74)/Q74</f>
        <v>151.97674418604652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>
        <f>AF18+AF73</f>
        <v>0</v>
      </c>
      <c r="AG75" s="299"/>
      <c r="AH75" s="239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135</v>
      </c>
      <c r="B1" s="95"/>
      <c r="C1" s="94"/>
      <c r="D1" s="94"/>
      <c r="E1" s="96"/>
      <c r="F1" s="300" t="s">
        <v>47</v>
      </c>
      <c r="G1" s="300"/>
      <c r="H1" s="300"/>
      <c r="K1" s="236" t="s">
        <v>48</v>
      </c>
      <c r="L1" s="300" t="s">
        <v>49</v>
      </c>
      <c r="M1" s="300"/>
      <c r="N1" s="300"/>
      <c r="P1" s="98"/>
      <c r="Q1" s="301"/>
      <c r="R1" s="301"/>
      <c r="S1" s="242"/>
      <c r="T1" s="302"/>
      <c r="U1" s="303"/>
      <c r="V1" s="242"/>
      <c r="W1" s="301"/>
      <c r="X1" s="301"/>
      <c r="Y1" s="98"/>
      <c r="Z1" s="98"/>
      <c r="AA1" s="98"/>
      <c r="AB1" s="98"/>
      <c r="AC1" s="241"/>
      <c r="AD1" s="242"/>
      <c r="AE1" s="241"/>
      <c r="AF1" s="304"/>
      <c r="AG1" s="304"/>
      <c r="AH1" s="237"/>
      <c r="AI1" s="99" t="s">
        <v>50</v>
      </c>
      <c r="AJ1" s="241"/>
      <c r="AM1" s="100"/>
      <c r="AN1" s="295" t="s">
        <v>51</v>
      </c>
      <c r="AO1" s="296"/>
      <c r="AP1" s="296"/>
      <c r="AQ1" s="296"/>
      <c r="AR1" s="296"/>
      <c r="AS1" s="296"/>
      <c r="AT1" s="296"/>
      <c r="AU1" s="297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20"/>
      <c r="F3" s="119"/>
      <c r="G3" s="119"/>
      <c r="H3" s="240">
        <v>449</v>
      </c>
      <c r="I3" s="119">
        <v>142.97999999999999</v>
      </c>
      <c r="J3" s="119">
        <f t="shared" ref="J3:J15" si="0">E3*I3</f>
        <v>0</v>
      </c>
      <c r="K3" s="116"/>
      <c r="L3" s="116">
        <v>10</v>
      </c>
      <c r="M3" s="116">
        <v>1300</v>
      </c>
      <c r="N3" s="116">
        <v>56</v>
      </c>
      <c r="O3" s="215">
        <f t="shared" ref="O3:O15" si="1">L3/7</f>
        <v>1.4285714285714286</v>
      </c>
      <c r="P3" s="119">
        <f t="shared" ref="P3" si="2">S3/7</f>
        <v>0.5714285714285714</v>
      </c>
      <c r="Q3" s="120">
        <v>4</v>
      </c>
      <c r="R3" s="120">
        <v>0</v>
      </c>
      <c r="S3" s="119">
        <f>Q3+R3</f>
        <v>4</v>
      </c>
      <c r="T3" s="120">
        <v>4149.08</v>
      </c>
      <c r="U3" s="120">
        <v>0</v>
      </c>
      <c r="V3" s="119">
        <f>T3+U3</f>
        <v>4149.08</v>
      </c>
      <c r="W3" s="120">
        <v>5137.7700000000004</v>
      </c>
      <c r="X3" s="120">
        <v>0</v>
      </c>
      <c r="Y3" s="119">
        <f t="shared" ref="Y3:Y15" si="3">W3+X3</f>
        <v>5137.7700000000004</v>
      </c>
      <c r="Z3" s="119">
        <f>L3*M3*N3/100</f>
        <v>7280</v>
      </c>
      <c r="AA3" s="121">
        <f t="shared" ref="AA3:AA15" si="4">Y3/$Y$74</f>
        <v>9.3433332205827307E-2</v>
      </c>
      <c r="AB3" s="119">
        <f>S3*I3</f>
        <v>571.91999999999996</v>
      </c>
      <c r="AC3" s="120">
        <v>1855.3900000000003</v>
      </c>
      <c r="AD3" s="121">
        <f t="shared" ref="AD3:AD15" si="5">IF(Y3=0,0,AC3/Y3)</f>
        <v>0.36112749305632602</v>
      </c>
      <c r="AE3" s="120">
        <v>658.19999999999993</v>
      </c>
      <c r="AF3" s="120"/>
      <c r="AG3" s="120">
        <v>628</v>
      </c>
      <c r="AH3" s="120">
        <v>0</v>
      </c>
      <c r="AI3" s="154">
        <f>IFERROR($AI$74*H3/$H$74,0)</f>
        <v>188.51354800000001</v>
      </c>
      <c r="AJ3" s="120">
        <v>0</v>
      </c>
      <c r="AK3" s="122">
        <f>V3*1%</f>
        <v>41.4908</v>
      </c>
      <c r="AL3" s="123">
        <f>Y3-AB3-AC3-AE3-AF3-AG3-AH3-AI3-AK3-AJ3</f>
        <v>1194.2556520000003</v>
      </c>
      <c r="AM3" s="124"/>
      <c r="AN3" s="125">
        <f t="shared" ref="AN3:AN15" si="6">IF(S3=0,0,Y3/S3)</f>
        <v>1284.4425000000001</v>
      </c>
      <c r="AO3" s="126">
        <f t="shared" ref="AO3:AO15" si="7">I3</f>
        <v>142.97999999999999</v>
      </c>
      <c r="AP3" s="126">
        <f t="shared" ref="AP3:AP15" si="8">IF(S3=0,0,AC3/S3)</f>
        <v>463.84750000000008</v>
      </c>
      <c r="AQ3" s="126">
        <f>IF(Q3=0,AE3/1,AE3/Q3)</f>
        <v>164.54999999999998</v>
      </c>
      <c r="AR3" s="126">
        <f>IF(Q3=0,0,(AF3+AG3)/Q3)</f>
        <v>157</v>
      </c>
      <c r="AS3" s="126">
        <f>_xlfn.IFS(S3=0,AL3,S3&lt;0,AL3/-S3,S3&gt;0,AL3/S3)</f>
        <v>298.56391300000007</v>
      </c>
      <c r="AT3" s="121">
        <f t="shared" ref="AT3" si="9">IF(AN3=0,0,AS3/AN3)</f>
        <v>0.23244630491438897</v>
      </c>
      <c r="AU3" s="121">
        <f t="shared" ref="AU3" si="10">IF(AO3=0,0,AS3/AO3)</f>
        <v>2.0881515806406497</v>
      </c>
      <c r="AV3" s="127"/>
      <c r="AW3" s="122">
        <f t="shared" ref="AW3:AW15" si="11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20"/>
      <c r="F4" s="119"/>
      <c r="G4" s="119"/>
      <c r="H4" s="240">
        <v>284</v>
      </c>
      <c r="I4" s="119">
        <v>123.09</v>
      </c>
      <c r="J4" s="119">
        <f t="shared" si="0"/>
        <v>0</v>
      </c>
      <c r="K4" s="116"/>
      <c r="L4" s="116">
        <v>0</v>
      </c>
      <c r="M4" s="116">
        <v>0</v>
      </c>
      <c r="N4" s="116">
        <v>0</v>
      </c>
      <c r="O4" s="215">
        <f t="shared" si="1"/>
        <v>0</v>
      </c>
      <c r="P4" s="119">
        <f>S4/7</f>
        <v>0</v>
      </c>
      <c r="Q4" s="120">
        <v>0</v>
      </c>
      <c r="R4" s="120">
        <v>0</v>
      </c>
      <c r="S4" s="119">
        <f t="shared" ref="S4:S15" si="12">Q4+R4</f>
        <v>0</v>
      </c>
      <c r="T4" s="120">
        <v>0</v>
      </c>
      <c r="U4" s="120">
        <v>0</v>
      </c>
      <c r="V4" s="119">
        <f t="shared" ref="V4:V15" si="13">T4+U4</f>
        <v>0</v>
      </c>
      <c r="W4" s="120">
        <v>0</v>
      </c>
      <c r="X4" s="120">
        <v>0</v>
      </c>
      <c r="Y4" s="119">
        <f t="shared" si="3"/>
        <v>0</v>
      </c>
      <c r="Z4" s="119">
        <f t="shared" ref="Z4:Z15" si="14">L4*M4*N4/100</f>
        <v>0</v>
      </c>
      <c r="AA4" s="121">
        <f t="shared" si="4"/>
        <v>0</v>
      </c>
      <c r="AB4" s="119">
        <f t="shared" ref="AB4:AB15" si="15">S4*I4</f>
        <v>0</v>
      </c>
      <c r="AC4" s="120">
        <v>0</v>
      </c>
      <c r="AD4" s="121">
        <f t="shared" si="5"/>
        <v>0</v>
      </c>
      <c r="AE4" s="120">
        <v>0</v>
      </c>
      <c r="AF4" s="120"/>
      <c r="AG4" s="120">
        <v>1</v>
      </c>
      <c r="AH4" s="120">
        <v>0</v>
      </c>
      <c r="AI4" s="154">
        <f t="shared" ref="AI4:AI15" si="16">IFERROR($AI$74*H4/$H$74,0)</f>
        <v>119.23796800000002</v>
      </c>
      <c r="AJ4" s="120">
        <v>0</v>
      </c>
      <c r="AK4" s="122">
        <f t="shared" ref="AK4:AK15" si="17">V4*1%</f>
        <v>0</v>
      </c>
      <c r="AL4" s="123">
        <f t="shared" ref="AL4:AL15" si="18">Y4-AB4-AC4-AE4-AF4-AG4-AH4-AI4-AK4-AJ4</f>
        <v>-120.23796800000002</v>
      </c>
      <c r="AM4" s="124"/>
      <c r="AN4" s="125">
        <f t="shared" si="6"/>
        <v>0</v>
      </c>
      <c r="AO4" s="126">
        <f t="shared" si="7"/>
        <v>123.09</v>
      </c>
      <c r="AP4" s="126">
        <f t="shared" si="8"/>
        <v>0</v>
      </c>
      <c r="AQ4" s="126">
        <f t="shared" ref="AQ4:AQ15" si="19">IF(Q4=0,AE4/1,AE4/Q4)</f>
        <v>0</v>
      </c>
      <c r="AR4" s="126">
        <f t="shared" ref="AR4:AR15" si="20">IF(Q4=0,0,(AF4+AG4)/Q4)</f>
        <v>0</v>
      </c>
      <c r="AS4" s="126">
        <f t="array" ref="AS4">_xlfn.IFS(S4=0,AL4,S4&lt;0,AL4/-S4,S4&gt;0,AL4/S4)</f>
        <v>-120.23796800000002</v>
      </c>
      <c r="AT4" s="121">
        <f>IF(AN4=0,0,AS4/AN4)</f>
        <v>0</v>
      </c>
      <c r="AU4" s="121">
        <f>IF(AO4=0,0,AS4/AO4)</f>
        <v>-0.97682970184417917</v>
      </c>
      <c r="AV4" s="127"/>
      <c r="AW4" s="122">
        <f t="shared" si="11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20"/>
      <c r="F5" s="119"/>
      <c r="G5" s="119"/>
      <c r="H5" s="240">
        <v>379</v>
      </c>
      <c r="I5" s="119">
        <v>123.09</v>
      </c>
      <c r="J5" s="119">
        <f t="shared" si="0"/>
        <v>0</v>
      </c>
      <c r="K5" s="116"/>
      <c r="L5" s="116">
        <v>0</v>
      </c>
      <c r="M5" s="116">
        <v>0</v>
      </c>
      <c r="N5" s="116">
        <v>0</v>
      </c>
      <c r="O5" s="215">
        <f t="shared" si="1"/>
        <v>0</v>
      </c>
      <c r="P5" s="119">
        <f>S5/7</f>
        <v>0</v>
      </c>
      <c r="Q5" s="120">
        <v>0</v>
      </c>
      <c r="R5" s="120">
        <v>0</v>
      </c>
      <c r="S5" s="119">
        <f t="shared" si="12"/>
        <v>0</v>
      </c>
      <c r="T5" s="120">
        <v>0</v>
      </c>
      <c r="U5" s="120">
        <v>0</v>
      </c>
      <c r="V5" s="119">
        <f t="shared" si="13"/>
        <v>0</v>
      </c>
      <c r="W5" s="120">
        <v>0</v>
      </c>
      <c r="X5" s="120">
        <v>0</v>
      </c>
      <c r="Y5" s="119">
        <f t="shared" si="3"/>
        <v>0</v>
      </c>
      <c r="Z5" s="119">
        <f t="shared" si="14"/>
        <v>0</v>
      </c>
      <c r="AA5" s="121">
        <f t="shared" si="4"/>
        <v>0</v>
      </c>
      <c r="AB5" s="119">
        <f t="shared" si="15"/>
        <v>0</v>
      </c>
      <c r="AC5" s="120">
        <v>0</v>
      </c>
      <c r="AD5" s="121">
        <f t="shared" si="5"/>
        <v>0</v>
      </c>
      <c r="AE5" s="120">
        <v>0</v>
      </c>
      <c r="AF5" s="120"/>
      <c r="AG5" s="120"/>
      <c r="AH5" s="120">
        <v>0</v>
      </c>
      <c r="AI5" s="154">
        <f t="shared" si="16"/>
        <v>159.123908</v>
      </c>
      <c r="AJ5" s="120">
        <v>0</v>
      </c>
      <c r="AK5" s="122">
        <f t="shared" si="17"/>
        <v>0</v>
      </c>
      <c r="AL5" s="123">
        <f t="shared" si="18"/>
        <v>-159.123908</v>
      </c>
      <c r="AM5" s="124"/>
      <c r="AN5" s="125">
        <f t="shared" si="6"/>
        <v>0</v>
      </c>
      <c r="AO5" s="126">
        <f t="shared" si="7"/>
        <v>123.09</v>
      </c>
      <c r="AP5" s="126">
        <f t="shared" si="8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-159.123908</v>
      </c>
      <c r="AT5" s="121">
        <f>IF(AN5=0,0,AS5/AN5)</f>
        <v>0</v>
      </c>
      <c r="AU5" s="121">
        <f>IF(AO5=0,0,AS5/AO5)</f>
        <v>-1.2927443984076692</v>
      </c>
      <c r="AV5" s="127"/>
      <c r="AW5" s="122">
        <f t="shared" si="11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20"/>
      <c r="F6" s="119"/>
      <c r="G6" s="119"/>
      <c r="H6" s="240">
        <v>364</v>
      </c>
      <c r="I6" s="119">
        <v>123.09</v>
      </c>
      <c r="J6" s="119">
        <f t="shared" si="0"/>
        <v>0</v>
      </c>
      <c r="K6" s="116"/>
      <c r="L6" s="116">
        <v>7</v>
      </c>
      <c r="M6" s="116">
        <v>1176</v>
      </c>
      <c r="N6" s="116">
        <v>80</v>
      </c>
      <c r="O6" s="215">
        <f t="shared" si="1"/>
        <v>1</v>
      </c>
      <c r="P6" s="119">
        <f t="shared" ref="P6:P15" si="21">S6/7</f>
        <v>0.5714285714285714</v>
      </c>
      <c r="Q6" s="120">
        <v>4</v>
      </c>
      <c r="R6" s="120">
        <v>0</v>
      </c>
      <c r="S6" s="119">
        <f t="shared" si="12"/>
        <v>4</v>
      </c>
      <c r="T6" s="120">
        <v>3878</v>
      </c>
      <c r="U6" s="120">
        <v>0</v>
      </c>
      <c r="V6" s="119">
        <f t="shared" si="13"/>
        <v>3878</v>
      </c>
      <c r="W6" s="120">
        <v>4704</v>
      </c>
      <c r="X6" s="120">
        <v>0</v>
      </c>
      <c r="Y6" s="119">
        <f t="shared" si="3"/>
        <v>4704</v>
      </c>
      <c r="Z6" s="119">
        <f t="shared" si="14"/>
        <v>6585.6</v>
      </c>
      <c r="AA6" s="121">
        <f t="shared" si="4"/>
        <v>8.5544972759818289E-2</v>
      </c>
      <c r="AB6" s="119">
        <f t="shared" si="15"/>
        <v>492.36</v>
      </c>
      <c r="AC6" s="120">
        <v>1704.5900000000001</v>
      </c>
      <c r="AD6" s="121">
        <f t="shared" si="5"/>
        <v>0.36237032312925171</v>
      </c>
      <c r="AE6" s="120">
        <v>162.39999999999998</v>
      </c>
      <c r="AF6" s="120"/>
      <c r="AG6" s="120">
        <v>225</v>
      </c>
      <c r="AH6" s="120">
        <v>0</v>
      </c>
      <c r="AI6" s="154">
        <f t="shared" si="16"/>
        <v>152.82612800000004</v>
      </c>
      <c r="AJ6" s="120">
        <v>0</v>
      </c>
      <c r="AK6" s="122">
        <f t="shared" si="17"/>
        <v>38.78</v>
      </c>
      <c r="AL6" s="123">
        <f t="shared" si="18"/>
        <v>1928.043872</v>
      </c>
      <c r="AM6" s="124"/>
      <c r="AN6" s="125">
        <f t="shared" si="6"/>
        <v>1176</v>
      </c>
      <c r="AO6" s="126">
        <f t="shared" si="7"/>
        <v>123.09</v>
      </c>
      <c r="AP6" s="126">
        <f t="shared" si="8"/>
        <v>426.14750000000004</v>
      </c>
      <c r="AQ6" s="126">
        <f t="shared" si="19"/>
        <v>40.599999999999994</v>
      </c>
      <c r="AR6" s="126">
        <f t="shared" si="20"/>
        <v>56.25</v>
      </c>
      <c r="AS6" s="126">
        <f t="array" ref="AS6">_xlfn.IFS(S6=0,AL6,S6&lt;0,AL6/-S6,S6&gt;0,AL6/S6)</f>
        <v>482.01096799999999</v>
      </c>
      <c r="AT6" s="121">
        <f t="shared" ref="AT6:AT15" si="22">IF(AN6=0,0,AS6/AN6)</f>
        <v>0.40987327210884356</v>
      </c>
      <c r="AU6" s="121">
        <f t="shared" ref="AU6:AU15" si="23">IF(AO6=0,0,AS6/AO6)</f>
        <v>3.9159230481761309</v>
      </c>
      <c r="AV6" s="127"/>
      <c r="AW6" s="122">
        <f t="shared" si="11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20"/>
      <c r="F7" s="119"/>
      <c r="G7" s="119"/>
      <c r="H7" s="240">
        <v>284</v>
      </c>
      <c r="I7" s="119">
        <v>123.09</v>
      </c>
      <c r="J7" s="119">
        <f t="shared" si="0"/>
        <v>0</v>
      </c>
      <c r="K7" s="116"/>
      <c r="L7" s="116">
        <v>0</v>
      </c>
      <c r="M7" s="116">
        <v>0</v>
      </c>
      <c r="N7" s="116">
        <v>0</v>
      </c>
      <c r="O7" s="215">
        <f t="shared" si="1"/>
        <v>0</v>
      </c>
      <c r="P7" s="119">
        <f t="shared" si="21"/>
        <v>0</v>
      </c>
      <c r="Q7" s="120">
        <v>0</v>
      </c>
      <c r="R7" s="120">
        <v>0</v>
      </c>
      <c r="S7" s="119">
        <f t="shared" si="12"/>
        <v>0</v>
      </c>
      <c r="T7" s="120">
        <v>0</v>
      </c>
      <c r="U7" s="120">
        <v>0</v>
      </c>
      <c r="V7" s="119">
        <f t="shared" si="13"/>
        <v>0</v>
      </c>
      <c r="W7" s="120">
        <v>0</v>
      </c>
      <c r="X7" s="120">
        <v>0</v>
      </c>
      <c r="Y7" s="119">
        <f t="shared" si="3"/>
        <v>0</v>
      </c>
      <c r="Z7" s="119">
        <f t="shared" si="14"/>
        <v>0</v>
      </c>
      <c r="AA7" s="121">
        <f t="shared" si="4"/>
        <v>0</v>
      </c>
      <c r="AB7" s="119">
        <f t="shared" si="15"/>
        <v>0</v>
      </c>
      <c r="AC7" s="120">
        <v>0</v>
      </c>
      <c r="AD7" s="121">
        <f t="shared" si="5"/>
        <v>0</v>
      </c>
      <c r="AE7" s="120">
        <v>0</v>
      </c>
      <c r="AF7" s="120"/>
      <c r="AG7" s="120">
        <v>1</v>
      </c>
      <c r="AH7" s="120">
        <v>0</v>
      </c>
      <c r="AI7" s="154">
        <f t="shared" si="16"/>
        <v>119.23796800000002</v>
      </c>
      <c r="AJ7" s="120">
        <v>0</v>
      </c>
      <c r="AK7" s="122">
        <f t="shared" si="17"/>
        <v>0</v>
      </c>
      <c r="AL7" s="123">
        <f t="shared" si="18"/>
        <v>-120.23796800000002</v>
      </c>
      <c r="AM7" s="124"/>
      <c r="AN7" s="125">
        <f t="shared" si="6"/>
        <v>0</v>
      </c>
      <c r="AO7" s="126">
        <f t="shared" si="7"/>
        <v>123.09</v>
      </c>
      <c r="AP7" s="126">
        <f t="shared" si="8"/>
        <v>0</v>
      </c>
      <c r="AQ7" s="126">
        <f t="shared" si="19"/>
        <v>0</v>
      </c>
      <c r="AR7" s="126">
        <f t="shared" si="20"/>
        <v>0</v>
      </c>
      <c r="AS7" s="126">
        <f t="array" ref="AS7">_xlfn.IFS(S7=0,AL7,S7&lt;0,AL7/-S7,S7&gt;0,AL7/S7)</f>
        <v>-120.23796800000002</v>
      </c>
      <c r="AT7" s="121">
        <f t="shared" si="22"/>
        <v>0</v>
      </c>
      <c r="AU7" s="121">
        <f t="shared" si="23"/>
        <v>-0.97682970184417917</v>
      </c>
      <c r="AV7" s="127"/>
      <c r="AW7" s="122">
        <f t="shared" si="11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20"/>
      <c r="F8" s="119"/>
      <c r="G8" s="119"/>
      <c r="H8" s="240">
        <v>227</v>
      </c>
      <c r="I8" s="119">
        <v>123.09</v>
      </c>
      <c r="J8" s="119">
        <f t="shared" si="0"/>
        <v>0</v>
      </c>
      <c r="K8" s="116"/>
      <c r="L8" s="116">
        <v>43</v>
      </c>
      <c r="M8" s="116">
        <v>1222</v>
      </c>
      <c r="N8" s="116">
        <v>62</v>
      </c>
      <c r="O8" s="215">
        <f t="shared" si="1"/>
        <v>6.1428571428571432</v>
      </c>
      <c r="P8" s="119">
        <f t="shared" si="21"/>
        <v>5</v>
      </c>
      <c r="Q8" s="120">
        <v>35</v>
      </c>
      <c r="R8" s="120">
        <v>0</v>
      </c>
      <c r="S8" s="119">
        <f t="shared" si="12"/>
        <v>35</v>
      </c>
      <c r="T8" s="120">
        <v>36160.549999999996</v>
      </c>
      <c r="U8" s="120">
        <v>0</v>
      </c>
      <c r="V8" s="119">
        <f t="shared" si="13"/>
        <v>36160.549999999996</v>
      </c>
      <c r="W8" s="120">
        <v>42771.850000000006</v>
      </c>
      <c r="X8" s="120">
        <v>0</v>
      </c>
      <c r="Y8" s="119">
        <f t="shared" si="3"/>
        <v>42771.850000000006</v>
      </c>
      <c r="Z8" s="119">
        <f t="shared" si="14"/>
        <v>32578.52</v>
      </c>
      <c r="AA8" s="121">
        <f t="shared" si="4"/>
        <v>0.77783094029273692</v>
      </c>
      <c r="AB8" s="119">
        <f t="shared" si="15"/>
        <v>4308.1500000000005</v>
      </c>
      <c r="AC8" s="120">
        <v>15437.540000000008</v>
      </c>
      <c r="AD8" s="121">
        <f t="shared" si="5"/>
        <v>0.36092757269091719</v>
      </c>
      <c r="AE8" s="120">
        <v>3317.2500000000018</v>
      </c>
      <c r="AF8" s="120"/>
      <c r="AG8" s="120">
        <v>3587</v>
      </c>
      <c r="AH8" s="120">
        <v>0</v>
      </c>
      <c r="AI8" s="154">
        <f t="shared" si="16"/>
        <v>95.306404000000015</v>
      </c>
      <c r="AJ8" s="120">
        <v>0</v>
      </c>
      <c r="AK8" s="122">
        <f t="shared" si="17"/>
        <v>361.60549999999995</v>
      </c>
      <c r="AL8" s="123">
        <f t="shared" si="18"/>
        <v>15664.998095999996</v>
      </c>
      <c r="AM8" s="124"/>
      <c r="AN8" s="125">
        <f t="shared" si="6"/>
        <v>1222.0528571428574</v>
      </c>
      <c r="AO8" s="126">
        <f t="shared" si="7"/>
        <v>123.09</v>
      </c>
      <c r="AP8" s="126">
        <f t="shared" si="8"/>
        <v>441.07257142857168</v>
      </c>
      <c r="AQ8" s="126">
        <f t="shared" si="19"/>
        <v>94.778571428571482</v>
      </c>
      <c r="AR8" s="126">
        <f t="shared" si="20"/>
        <v>102.48571428571428</v>
      </c>
      <c r="AS8" s="126">
        <f t="array" ref="AS8">_xlfn.IFS(S8=0,AL8,S8&lt;0,AL8/-S8,S8&gt;0,AL8/S8)</f>
        <v>447.57137417142843</v>
      </c>
      <c r="AT8" s="121">
        <f t="shared" si="22"/>
        <v>0.36624551184949894</v>
      </c>
      <c r="AU8" s="121">
        <f t="shared" si="23"/>
        <v>3.636131076216008</v>
      </c>
      <c r="AV8" s="127"/>
      <c r="AW8" s="122">
        <f t="shared" si="11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20"/>
      <c r="F9" s="119"/>
      <c r="G9" s="119"/>
      <c r="H9" s="240">
        <v>270</v>
      </c>
      <c r="I9" s="119">
        <v>169.89</v>
      </c>
      <c r="J9" s="119">
        <f t="shared" si="0"/>
        <v>0</v>
      </c>
      <c r="K9" s="116"/>
      <c r="L9" s="116">
        <v>5</v>
      </c>
      <c r="M9" s="116">
        <v>1230</v>
      </c>
      <c r="N9" s="116">
        <v>25</v>
      </c>
      <c r="O9" s="215">
        <f t="shared" si="1"/>
        <v>0.7142857142857143</v>
      </c>
      <c r="P9" s="119">
        <f t="shared" si="21"/>
        <v>0.14285714285714285</v>
      </c>
      <c r="Q9" s="120">
        <v>1</v>
      </c>
      <c r="R9" s="120">
        <v>0</v>
      </c>
      <c r="S9" s="119">
        <f t="shared" si="12"/>
        <v>1</v>
      </c>
      <c r="T9" s="120">
        <v>1014</v>
      </c>
      <c r="U9" s="120">
        <v>0</v>
      </c>
      <c r="V9" s="119">
        <f t="shared" si="13"/>
        <v>1014</v>
      </c>
      <c r="W9" s="120">
        <v>1230</v>
      </c>
      <c r="X9" s="120">
        <v>0</v>
      </c>
      <c r="Y9" s="119">
        <f t="shared" si="3"/>
        <v>1230</v>
      </c>
      <c r="Z9" s="119">
        <f t="shared" si="14"/>
        <v>1537.5</v>
      </c>
      <c r="AA9" s="121">
        <f t="shared" si="4"/>
        <v>2.2368264560921874E-2</v>
      </c>
      <c r="AB9" s="119">
        <f t="shared" si="15"/>
        <v>169.89</v>
      </c>
      <c r="AC9" s="120">
        <v>443.62</v>
      </c>
      <c r="AD9" s="121">
        <f t="shared" si="5"/>
        <v>0.36066666666666669</v>
      </c>
      <c r="AE9" s="120">
        <v>348.65</v>
      </c>
      <c r="AF9" s="120"/>
      <c r="AG9" s="120">
        <v>296</v>
      </c>
      <c r="AH9" s="120">
        <v>0</v>
      </c>
      <c r="AI9" s="154">
        <f t="shared" si="16"/>
        <v>113.36004000000001</v>
      </c>
      <c r="AJ9" s="120">
        <v>0</v>
      </c>
      <c r="AK9" s="122">
        <f t="shared" si="17"/>
        <v>10.14</v>
      </c>
      <c r="AL9" s="123">
        <f t="shared" si="18"/>
        <v>-151.66003999999987</v>
      </c>
      <c r="AM9" s="124"/>
      <c r="AN9" s="125">
        <f t="shared" si="6"/>
        <v>1230</v>
      </c>
      <c r="AO9" s="126">
        <f t="shared" si="7"/>
        <v>169.89</v>
      </c>
      <c r="AP9" s="126">
        <f t="shared" si="8"/>
        <v>443.62</v>
      </c>
      <c r="AQ9" s="126">
        <f t="shared" si="19"/>
        <v>348.65</v>
      </c>
      <c r="AR9" s="126">
        <f t="shared" si="20"/>
        <v>296</v>
      </c>
      <c r="AS9" s="126">
        <f t="array" ref="AS9">_xlfn.IFS(S9=0,AL9,S9&lt;0,AL9/-S9,S9&gt;0,AL9/S9)</f>
        <v>-151.66003999999987</v>
      </c>
      <c r="AT9" s="121">
        <f t="shared" si="22"/>
        <v>-0.12330084552845517</v>
      </c>
      <c r="AU9" s="121">
        <f t="shared" si="23"/>
        <v>-0.89269550885867255</v>
      </c>
      <c r="AV9" s="127"/>
      <c r="AW9" s="122">
        <f t="shared" si="11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20"/>
      <c r="F10" s="119"/>
      <c r="G10" s="119"/>
      <c r="H10" s="240">
        <v>42</v>
      </c>
      <c r="I10" s="119">
        <v>169.89</v>
      </c>
      <c r="J10" s="119">
        <f t="shared" si="0"/>
        <v>0</v>
      </c>
      <c r="K10" s="116"/>
      <c r="L10" s="116">
        <v>1</v>
      </c>
      <c r="M10" s="116">
        <v>1199</v>
      </c>
      <c r="N10" s="116">
        <v>0</v>
      </c>
      <c r="O10" s="215">
        <f t="shared" si="1"/>
        <v>0.14285714285714285</v>
      </c>
      <c r="P10" s="119">
        <f t="shared" si="21"/>
        <v>0</v>
      </c>
      <c r="Q10" s="120">
        <v>0</v>
      </c>
      <c r="R10" s="120">
        <v>0</v>
      </c>
      <c r="S10" s="119">
        <f t="shared" si="12"/>
        <v>0</v>
      </c>
      <c r="T10" s="120">
        <v>0</v>
      </c>
      <c r="U10" s="120">
        <v>0</v>
      </c>
      <c r="V10" s="119">
        <f t="shared" si="13"/>
        <v>0</v>
      </c>
      <c r="W10" s="120">
        <v>0</v>
      </c>
      <c r="X10" s="120">
        <v>0</v>
      </c>
      <c r="Y10" s="119">
        <f t="shared" si="3"/>
        <v>0</v>
      </c>
      <c r="Z10" s="119">
        <f t="shared" si="14"/>
        <v>0</v>
      </c>
      <c r="AA10" s="121">
        <f t="shared" si="4"/>
        <v>0</v>
      </c>
      <c r="AB10" s="119">
        <f t="shared" si="15"/>
        <v>0</v>
      </c>
      <c r="AC10" s="120">
        <v>0</v>
      </c>
      <c r="AD10" s="121">
        <f t="shared" si="5"/>
        <v>0</v>
      </c>
      <c r="AE10" s="120">
        <v>0</v>
      </c>
      <c r="AF10" s="120"/>
      <c r="AG10" s="120"/>
      <c r="AH10" s="120">
        <v>0</v>
      </c>
      <c r="AI10" s="154">
        <f t="shared" si="16"/>
        <v>17.633784000000002</v>
      </c>
      <c r="AJ10" s="120">
        <v>0</v>
      </c>
      <c r="AK10" s="122">
        <f t="shared" si="17"/>
        <v>0</v>
      </c>
      <c r="AL10" s="123">
        <f t="shared" si="18"/>
        <v>-17.633784000000002</v>
      </c>
      <c r="AM10" s="124"/>
      <c r="AN10" s="125">
        <f t="shared" si="6"/>
        <v>0</v>
      </c>
      <c r="AO10" s="126">
        <f t="shared" si="7"/>
        <v>169.89</v>
      </c>
      <c r="AP10" s="126">
        <f t="shared" si="8"/>
        <v>0</v>
      </c>
      <c r="AQ10" s="126">
        <f t="shared" si="19"/>
        <v>0</v>
      </c>
      <c r="AR10" s="126">
        <f t="shared" si="20"/>
        <v>0</v>
      </c>
      <c r="AS10" s="126">
        <f t="array" ref="AS10">_xlfn.IFS(S10=0,AL10,S10&lt;0,AL10/-S10,S10&gt;0,AL10/S10)</f>
        <v>-17.633784000000002</v>
      </c>
      <c r="AT10" s="121">
        <f t="shared" si="22"/>
        <v>0</v>
      </c>
      <c r="AU10" s="121">
        <f t="shared" si="23"/>
        <v>-0.10379530284301609</v>
      </c>
      <c r="AV10" s="127"/>
      <c r="AW10" s="122">
        <f t="shared" si="11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20"/>
      <c r="F11" s="119"/>
      <c r="G11" s="119"/>
      <c r="H11" s="240">
        <v>41</v>
      </c>
      <c r="I11" s="119">
        <v>169.89</v>
      </c>
      <c r="J11" s="119">
        <f t="shared" si="0"/>
        <v>0</v>
      </c>
      <c r="K11" s="116"/>
      <c r="L11" s="116">
        <v>0</v>
      </c>
      <c r="M11" s="116">
        <v>0</v>
      </c>
      <c r="N11" s="116">
        <v>0</v>
      </c>
      <c r="O11" s="215">
        <f t="shared" si="1"/>
        <v>0</v>
      </c>
      <c r="P11" s="119">
        <f t="shared" si="21"/>
        <v>0.14285714285714285</v>
      </c>
      <c r="Q11" s="120">
        <v>1</v>
      </c>
      <c r="R11" s="120">
        <v>0</v>
      </c>
      <c r="S11" s="119">
        <f t="shared" si="12"/>
        <v>1</v>
      </c>
      <c r="T11" s="120">
        <v>944</v>
      </c>
      <c r="U11" s="120">
        <v>0</v>
      </c>
      <c r="V11" s="119">
        <f t="shared" si="13"/>
        <v>944</v>
      </c>
      <c r="W11" s="120">
        <v>1145</v>
      </c>
      <c r="X11" s="120">
        <v>0</v>
      </c>
      <c r="Y11" s="119">
        <f t="shared" si="3"/>
        <v>1145</v>
      </c>
      <c r="Z11" s="119">
        <f t="shared" si="14"/>
        <v>0</v>
      </c>
      <c r="AA11" s="121">
        <f t="shared" si="4"/>
        <v>2.0822490180695565E-2</v>
      </c>
      <c r="AB11" s="119">
        <f t="shared" si="15"/>
        <v>169.89</v>
      </c>
      <c r="AC11" s="120">
        <v>413.08000000000004</v>
      </c>
      <c r="AD11" s="121">
        <f t="shared" si="5"/>
        <v>0.36076855895196508</v>
      </c>
      <c r="AE11" s="120">
        <v>56.55</v>
      </c>
      <c r="AF11" s="120"/>
      <c r="AG11" s="120"/>
      <c r="AH11" s="120">
        <v>0</v>
      </c>
      <c r="AI11" s="154">
        <f t="shared" si="16"/>
        <v>17.213932</v>
      </c>
      <c r="AJ11" s="120">
        <v>0</v>
      </c>
      <c r="AK11" s="122">
        <f t="shared" si="17"/>
        <v>9.44</v>
      </c>
      <c r="AL11" s="123">
        <f t="shared" si="18"/>
        <v>478.82606799999996</v>
      </c>
      <c r="AM11" s="124"/>
      <c r="AN11" s="125">
        <f t="shared" si="6"/>
        <v>1145</v>
      </c>
      <c r="AO11" s="126">
        <f t="shared" si="7"/>
        <v>169.89</v>
      </c>
      <c r="AP11" s="126">
        <f t="shared" si="8"/>
        <v>413.08000000000004</v>
      </c>
      <c r="AQ11" s="126">
        <f t="shared" si="19"/>
        <v>56.55</v>
      </c>
      <c r="AR11" s="126">
        <f t="shared" si="20"/>
        <v>0</v>
      </c>
      <c r="AS11" s="126">
        <f t="array" ref="AS11">_xlfn.IFS(S11=0,AL11,S11&lt;0,AL11/-S11,S11&gt;0,AL11/S11)</f>
        <v>478.82606799999996</v>
      </c>
      <c r="AT11" s="121">
        <f t="shared" si="22"/>
        <v>0.41818870567685584</v>
      </c>
      <c r="AU11" s="121">
        <f t="shared" si="23"/>
        <v>2.8184476308199424</v>
      </c>
      <c r="AV11" s="127"/>
      <c r="AW11" s="122">
        <f t="shared" si="11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20"/>
      <c r="F12" s="119"/>
      <c r="G12" s="119"/>
      <c r="H12" s="240">
        <v>46</v>
      </c>
      <c r="I12" s="119">
        <v>169.89</v>
      </c>
      <c r="J12" s="119">
        <f t="shared" si="0"/>
        <v>0</v>
      </c>
      <c r="K12" s="116"/>
      <c r="L12" s="116">
        <v>0</v>
      </c>
      <c r="M12" s="116">
        <v>0</v>
      </c>
      <c r="N12" s="116">
        <v>0</v>
      </c>
      <c r="O12" s="215">
        <f t="shared" si="1"/>
        <v>0</v>
      </c>
      <c r="P12" s="119">
        <f t="shared" si="21"/>
        <v>0</v>
      </c>
      <c r="Q12" s="120">
        <v>0</v>
      </c>
      <c r="R12" s="120">
        <v>0</v>
      </c>
      <c r="S12" s="119">
        <f t="shared" si="12"/>
        <v>0</v>
      </c>
      <c r="T12" s="120">
        <v>0</v>
      </c>
      <c r="U12" s="120">
        <v>0</v>
      </c>
      <c r="V12" s="119">
        <f t="shared" si="13"/>
        <v>0</v>
      </c>
      <c r="W12" s="120">
        <v>0</v>
      </c>
      <c r="X12" s="120">
        <v>0</v>
      </c>
      <c r="Y12" s="119">
        <f t="shared" si="3"/>
        <v>0</v>
      </c>
      <c r="Z12" s="119">
        <f t="shared" si="14"/>
        <v>0</v>
      </c>
      <c r="AA12" s="121">
        <f t="shared" si="4"/>
        <v>0</v>
      </c>
      <c r="AB12" s="119">
        <f t="shared" si="15"/>
        <v>0</v>
      </c>
      <c r="AC12" s="120">
        <v>0</v>
      </c>
      <c r="AD12" s="121">
        <f t="shared" si="5"/>
        <v>0</v>
      </c>
      <c r="AE12" s="120">
        <v>0</v>
      </c>
      <c r="AF12" s="120"/>
      <c r="AG12" s="120"/>
      <c r="AH12" s="120">
        <v>0</v>
      </c>
      <c r="AI12" s="154">
        <f t="shared" si="16"/>
        <v>19.313192000000001</v>
      </c>
      <c r="AJ12" s="120">
        <v>0</v>
      </c>
      <c r="AK12" s="122">
        <f t="shared" si="17"/>
        <v>0</v>
      </c>
      <c r="AL12" s="123">
        <f t="shared" si="18"/>
        <v>-19.313192000000001</v>
      </c>
      <c r="AM12" s="124"/>
      <c r="AN12" s="125">
        <f t="shared" si="6"/>
        <v>0</v>
      </c>
      <c r="AO12" s="126">
        <f t="shared" si="7"/>
        <v>169.89</v>
      </c>
      <c r="AP12" s="126">
        <f t="shared" si="8"/>
        <v>0</v>
      </c>
      <c r="AQ12" s="126">
        <f t="shared" si="19"/>
        <v>0</v>
      </c>
      <c r="AR12" s="126">
        <f t="shared" si="20"/>
        <v>0</v>
      </c>
      <c r="AS12" s="126">
        <f t="array" ref="AS12">_xlfn.IFS(S12=0,AL12,S12&lt;0,AL12/-S12,S12&gt;0,AL12/S12)</f>
        <v>-19.313192000000001</v>
      </c>
      <c r="AT12" s="121">
        <f t="shared" si="22"/>
        <v>0</v>
      </c>
      <c r="AU12" s="121">
        <f t="shared" si="23"/>
        <v>-0.11368056978044619</v>
      </c>
      <c r="AV12" s="127"/>
      <c r="AW12" s="122">
        <f t="shared" si="11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20"/>
      <c r="F13" s="119"/>
      <c r="G13" s="119"/>
      <c r="H13" s="240">
        <v>12</v>
      </c>
      <c r="I13" s="119">
        <v>169.89</v>
      </c>
      <c r="J13" s="119">
        <f t="shared" si="0"/>
        <v>0</v>
      </c>
      <c r="K13" s="116"/>
      <c r="L13" s="116">
        <v>0</v>
      </c>
      <c r="M13" s="116">
        <v>0</v>
      </c>
      <c r="N13" s="116">
        <v>0</v>
      </c>
      <c r="O13" s="215">
        <f t="shared" si="1"/>
        <v>0</v>
      </c>
      <c r="P13" s="119">
        <f t="shared" si="21"/>
        <v>0</v>
      </c>
      <c r="Q13" s="120">
        <v>0</v>
      </c>
      <c r="R13" s="120">
        <v>0</v>
      </c>
      <c r="S13" s="119">
        <f t="shared" si="12"/>
        <v>0</v>
      </c>
      <c r="T13" s="120">
        <v>0</v>
      </c>
      <c r="U13" s="120">
        <v>0</v>
      </c>
      <c r="V13" s="119">
        <f t="shared" si="13"/>
        <v>0</v>
      </c>
      <c r="W13" s="120">
        <v>0</v>
      </c>
      <c r="X13" s="120">
        <v>0</v>
      </c>
      <c r="Y13" s="119">
        <f t="shared" si="3"/>
        <v>0</v>
      </c>
      <c r="Z13" s="119">
        <f t="shared" si="14"/>
        <v>0</v>
      </c>
      <c r="AA13" s="121">
        <f t="shared" si="4"/>
        <v>0</v>
      </c>
      <c r="AB13" s="119">
        <f t="shared" si="15"/>
        <v>0</v>
      </c>
      <c r="AC13" s="120">
        <v>0</v>
      </c>
      <c r="AD13" s="121">
        <f t="shared" si="5"/>
        <v>0</v>
      </c>
      <c r="AE13" s="120">
        <v>0</v>
      </c>
      <c r="AF13" s="120"/>
      <c r="AG13" s="120"/>
      <c r="AH13" s="120">
        <v>0</v>
      </c>
      <c r="AI13" s="154">
        <f t="shared" si="16"/>
        <v>5.0382240000000005</v>
      </c>
      <c r="AJ13" s="120">
        <v>0</v>
      </c>
      <c r="AK13" s="122">
        <f t="shared" si="17"/>
        <v>0</v>
      </c>
      <c r="AL13" s="123">
        <f t="shared" si="18"/>
        <v>-5.0382240000000005</v>
      </c>
      <c r="AM13" s="124"/>
      <c r="AN13" s="125">
        <f t="shared" si="6"/>
        <v>0</v>
      </c>
      <c r="AO13" s="126">
        <f t="shared" si="7"/>
        <v>169.89</v>
      </c>
      <c r="AP13" s="126">
        <f t="shared" si="8"/>
        <v>0</v>
      </c>
      <c r="AQ13" s="126">
        <f t="shared" si="19"/>
        <v>0</v>
      </c>
      <c r="AR13" s="126">
        <f t="shared" si="20"/>
        <v>0</v>
      </c>
      <c r="AS13" s="126">
        <f t="array" ref="AS13">_xlfn.IFS(S13=0,AL13,S13&lt;0,AL13/-S13,S13&gt;0,AL13/S13)</f>
        <v>-5.0382240000000005</v>
      </c>
      <c r="AT13" s="121">
        <f t="shared" si="22"/>
        <v>0</v>
      </c>
      <c r="AU13" s="121">
        <f t="shared" si="23"/>
        <v>-2.9655800812290311E-2</v>
      </c>
      <c r="AV13" s="127"/>
      <c r="AW13" s="122">
        <f t="shared" si="11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20"/>
      <c r="F14" s="119"/>
      <c r="G14" s="119"/>
      <c r="H14" s="240">
        <v>65</v>
      </c>
      <c r="I14" s="119">
        <v>169.89</v>
      </c>
      <c r="J14" s="119">
        <f t="shared" si="0"/>
        <v>0</v>
      </c>
      <c r="K14" s="116"/>
      <c r="L14" s="116">
        <v>0</v>
      </c>
      <c r="M14" s="116">
        <v>0</v>
      </c>
      <c r="N14" s="116">
        <v>0</v>
      </c>
      <c r="O14" s="215">
        <f t="shared" si="1"/>
        <v>0</v>
      </c>
      <c r="P14" s="119">
        <f t="shared" si="21"/>
        <v>0</v>
      </c>
      <c r="Q14" s="120">
        <v>0</v>
      </c>
      <c r="R14" s="120">
        <v>0</v>
      </c>
      <c r="S14" s="119">
        <f t="shared" si="12"/>
        <v>0</v>
      </c>
      <c r="T14" s="120">
        <v>0</v>
      </c>
      <c r="U14" s="120">
        <v>0</v>
      </c>
      <c r="V14" s="119">
        <f t="shared" si="13"/>
        <v>0</v>
      </c>
      <c r="W14" s="120">
        <v>0</v>
      </c>
      <c r="X14" s="120">
        <v>0</v>
      </c>
      <c r="Y14" s="119">
        <f t="shared" si="3"/>
        <v>0</v>
      </c>
      <c r="Z14" s="119">
        <f t="shared" si="14"/>
        <v>0</v>
      </c>
      <c r="AA14" s="121">
        <f t="shared" si="4"/>
        <v>0</v>
      </c>
      <c r="AB14" s="119">
        <f t="shared" si="15"/>
        <v>0</v>
      </c>
      <c r="AC14" s="120">
        <v>0</v>
      </c>
      <c r="AD14" s="121">
        <f t="shared" si="5"/>
        <v>0</v>
      </c>
      <c r="AE14" s="120">
        <v>0</v>
      </c>
      <c r="AF14" s="120"/>
      <c r="AG14" s="120"/>
      <c r="AH14" s="120">
        <v>0</v>
      </c>
      <c r="AI14" s="154">
        <f t="shared" si="16"/>
        <v>27.290380000000006</v>
      </c>
      <c r="AJ14" s="120">
        <v>0</v>
      </c>
      <c r="AK14" s="122">
        <f t="shared" si="17"/>
        <v>0</v>
      </c>
      <c r="AL14" s="123">
        <f t="shared" si="18"/>
        <v>-27.290380000000006</v>
      </c>
      <c r="AM14" s="124"/>
      <c r="AN14" s="125">
        <f t="shared" si="6"/>
        <v>0</v>
      </c>
      <c r="AO14" s="126">
        <f t="shared" si="7"/>
        <v>169.89</v>
      </c>
      <c r="AP14" s="126">
        <f t="shared" si="8"/>
        <v>0</v>
      </c>
      <c r="AQ14" s="126">
        <f t="shared" si="19"/>
        <v>0</v>
      </c>
      <c r="AR14" s="126">
        <f t="shared" si="20"/>
        <v>0</v>
      </c>
      <c r="AS14" s="126">
        <f t="array" ref="AS14">_xlfn.IFS(S14=0,AL14,S14&lt;0,AL14/-S14,S14&gt;0,AL14/S14)</f>
        <v>-27.290380000000006</v>
      </c>
      <c r="AT14" s="121">
        <f t="shared" si="22"/>
        <v>0</v>
      </c>
      <c r="AU14" s="121">
        <f t="shared" si="23"/>
        <v>-0.16063558773323922</v>
      </c>
      <c r="AV14" s="127"/>
      <c r="AW14" s="122">
        <f t="shared" si="11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20"/>
      <c r="F15" s="119"/>
      <c r="G15" s="119"/>
      <c r="H15" s="240">
        <v>37</v>
      </c>
      <c r="I15" s="119">
        <v>169.89</v>
      </c>
      <c r="J15" s="119">
        <f t="shared" si="0"/>
        <v>0</v>
      </c>
      <c r="K15" s="116"/>
      <c r="L15" s="116">
        <v>0</v>
      </c>
      <c r="M15" s="116">
        <v>0</v>
      </c>
      <c r="N15" s="116">
        <v>0</v>
      </c>
      <c r="O15" s="215">
        <f t="shared" si="1"/>
        <v>0</v>
      </c>
      <c r="P15" s="119">
        <f t="shared" si="21"/>
        <v>0</v>
      </c>
      <c r="Q15" s="120">
        <v>0</v>
      </c>
      <c r="R15" s="120">
        <v>0</v>
      </c>
      <c r="S15" s="119">
        <f t="shared" si="12"/>
        <v>0</v>
      </c>
      <c r="T15" s="120">
        <v>0</v>
      </c>
      <c r="U15" s="120">
        <v>0</v>
      </c>
      <c r="V15" s="119">
        <f t="shared" si="13"/>
        <v>0</v>
      </c>
      <c r="W15" s="120">
        <v>0</v>
      </c>
      <c r="X15" s="120">
        <v>0</v>
      </c>
      <c r="Y15" s="119">
        <f t="shared" si="3"/>
        <v>0</v>
      </c>
      <c r="Z15" s="119">
        <f t="shared" si="14"/>
        <v>0</v>
      </c>
      <c r="AA15" s="121">
        <f t="shared" si="4"/>
        <v>0</v>
      </c>
      <c r="AB15" s="119">
        <f t="shared" si="15"/>
        <v>0</v>
      </c>
      <c r="AC15" s="120">
        <v>0</v>
      </c>
      <c r="AD15" s="121">
        <f t="shared" si="5"/>
        <v>0</v>
      </c>
      <c r="AE15" s="120">
        <v>0</v>
      </c>
      <c r="AF15" s="120"/>
      <c r="AG15" s="120"/>
      <c r="AH15" s="120">
        <v>0</v>
      </c>
      <c r="AI15" s="154">
        <f t="shared" si="16"/>
        <v>15.534524000000001</v>
      </c>
      <c r="AJ15" s="120">
        <v>0</v>
      </c>
      <c r="AK15" s="122">
        <f t="shared" si="17"/>
        <v>0</v>
      </c>
      <c r="AL15" s="123">
        <f t="shared" si="18"/>
        <v>-15.534524000000001</v>
      </c>
      <c r="AM15" s="124"/>
      <c r="AN15" s="125">
        <f t="shared" si="6"/>
        <v>0</v>
      </c>
      <c r="AO15" s="126">
        <f t="shared" si="7"/>
        <v>169.89</v>
      </c>
      <c r="AP15" s="126">
        <f t="shared" si="8"/>
        <v>0</v>
      </c>
      <c r="AQ15" s="126">
        <f t="shared" si="19"/>
        <v>0</v>
      </c>
      <c r="AR15" s="126">
        <f t="shared" si="20"/>
        <v>0</v>
      </c>
      <c r="AS15" s="126">
        <f t="array" ref="AS15">_xlfn.IFS(S15=0,AL15,S15&lt;0,AL15/-S15,S15&gt;0,AL15/S15)</f>
        <v>-15.534524000000001</v>
      </c>
      <c r="AT15" s="121">
        <f t="shared" si="22"/>
        <v>0</v>
      </c>
      <c r="AU15" s="121">
        <f t="shared" si="23"/>
        <v>-9.143871917122845E-2</v>
      </c>
      <c r="AV15" s="127"/>
      <c r="AW15" s="122">
        <f t="shared" si="11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615.11062500000003</v>
      </c>
      <c r="AO16" s="140">
        <f t="shared" si="24"/>
        <v>128.0625</v>
      </c>
      <c r="AP16" s="140">
        <f t="shared" si="24"/>
        <v>222.49875000000003</v>
      </c>
      <c r="AQ16" s="140">
        <f t="shared" si="24"/>
        <v>51.287499999999994</v>
      </c>
      <c r="AR16" s="140">
        <f t="shared" si="24"/>
        <v>53.3125</v>
      </c>
      <c r="AS16" s="140">
        <f t="shared" si="24"/>
        <v>125.30325125000002</v>
      </c>
      <c r="AT16" s="141">
        <f t="shared" si="24"/>
        <v>0.16057989425580813</v>
      </c>
      <c r="AU16" s="140">
        <f t="shared" si="24"/>
        <v>0.93362513214123299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2500</v>
      </c>
      <c r="I17" s="145"/>
      <c r="J17" s="145">
        <f>SUM(J3:J15)</f>
        <v>0</v>
      </c>
      <c r="K17" s="145"/>
      <c r="L17" s="145">
        <f>SUM(L3:L15)</f>
        <v>66</v>
      </c>
      <c r="M17" s="145"/>
      <c r="N17" s="145"/>
      <c r="O17" s="145"/>
      <c r="P17" s="145"/>
      <c r="Q17" s="145">
        <f>SUM(Q3:Q15)</f>
        <v>45</v>
      </c>
      <c r="R17" s="145">
        <f t="shared" ref="R17:Z17" si="26">SUM(R3:R15)</f>
        <v>0</v>
      </c>
      <c r="S17" s="145">
        <f t="shared" si="26"/>
        <v>45</v>
      </c>
      <c r="T17" s="145">
        <f t="shared" si="26"/>
        <v>46145.63</v>
      </c>
      <c r="U17" s="145">
        <f t="shared" si="26"/>
        <v>0</v>
      </c>
      <c r="V17" s="145">
        <f t="shared" si="26"/>
        <v>46145.63</v>
      </c>
      <c r="W17" s="145">
        <f t="shared" si="26"/>
        <v>54988.62000000001</v>
      </c>
      <c r="X17" s="145">
        <f t="shared" si="26"/>
        <v>0</v>
      </c>
      <c r="Y17" s="145">
        <f t="shared" si="26"/>
        <v>54988.62000000001</v>
      </c>
      <c r="Z17" s="145">
        <f t="shared" si="26"/>
        <v>47981.62</v>
      </c>
      <c r="AA17" s="146">
        <f>SUM(AA3:AA15)</f>
        <v>1</v>
      </c>
      <c r="AB17" s="147">
        <f>SUM(AB3:AB15)</f>
        <v>5712.2100000000009</v>
      </c>
      <c r="AC17" s="147">
        <f>SUM(AC3:AC15)</f>
        <v>19854.220000000008</v>
      </c>
      <c r="AD17" s="146">
        <f>AC17/Y17</f>
        <v>0.36106052488678575</v>
      </c>
      <c r="AE17" s="145">
        <f>SUM(AE3:AE15)</f>
        <v>4543.050000000002</v>
      </c>
      <c r="AF17" s="145">
        <f t="shared" ref="AF17:AL17" si="27">SUM(AF3:AF15)</f>
        <v>0</v>
      </c>
      <c r="AG17" s="145">
        <f t="shared" si="27"/>
        <v>4738</v>
      </c>
      <c r="AH17" s="145">
        <f t="shared" si="27"/>
        <v>0</v>
      </c>
      <c r="AI17" s="145">
        <f>SUM(AI3:AI15)</f>
        <v>1049.6300000000001</v>
      </c>
      <c r="AJ17" s="145">
        <f>SUM(AJ3:AJ15)</f>
        <v>0</v>
      </c>
      <c r="AK17" s="145">
        <f t="shared" si="27"/>
        <v>461.45629999999994</v>
      </c>
      <c r="AL17" s="145">
        <f t="shared" si="27"/>
        <v>18630.053699999997</v>
      </c>
      <c r="AM17" s="148"/>
      <c r="AN17" s="145"/>
      <c r="AO17" s="145"/>
      <c r="AP17" s="145"/>
      <c r="AQ17" s="145"/>
      <c r="AR17" s="145">
        <f>(AF17+AG17)/Q17</f>
        <v>105.28888888888889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8"/>
      <c r="AG18" s="298"/>
      <c r="AH18" s="238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>
        <f>Y19/$Y$74</f>
        <v>0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>
        <f t="shared" ref="AI19:AI70" si="38">$AI$74*H19/$H$74</f>
        <v>0</v>
      </c>
      <c r="AJ19" s="120"/>
      <c r="AK19" s="122">
        <f t="shared" ref="AK19:AK70" si="39">V19*1%</f>
        <v>0</v>
      </c>
      <c r="AL19" s="123">
        <f t="shared" ref="AL19:AL70" si="40">Y19-AB19-AC19-AE19-AF19-AG19-AH19-AI19-AK19-AJ19</f>
        <v>0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>
        <f t="shared" ref="AW19:AW70" si="48">AS19*E19</f>
        <v>0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>
        <f t="shared" ref="AA20:AA70" si="49">Y20/$Y$74</f>
        <v>0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>
        <f t="shared" si="38"/>
        <v>0</v>
      </c>
      <c r="AJ20" s="120"/>
      <c r="AK20" s="122">
        <f t="shared" si="39"/>
        <v>0</v>
      </c>
      <c r="AL20" s="123">
        <f t="shared" si="40"/>
        <v>0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>
        <f t="array" ref="AS20">_xlfn.IFS(S20=0,AL20,S20&lt;0,AL20/-S20,S20&gt;0,AL20/S20)</f>
        <v>0</v>
      </c>
      <c r="AT20" s="121">
        <f t="shared" si="46"/>
        <v>0</v>
      </c>
      <c r="AU20" s="121">
        <f t="shared" si="47"/>
        <v>0</v>
      </c>
      <c r="AV20" s="127"/>
      <c r="AW20" s="122">
        <f t="shared" si="48"/>
        <v>0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>
        <f t="shared" si="49"/>
        <v>0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>
        <f t="shared" si="38"/>
        <v>0</v>
      </c>
      <c r="AJ21" s="120"/>
      <c r="AK21" s="122">
        <f t="shared" si="39"/>
        <v>0</v>
      </c>
      <c r="AL21" s="123">
        <f t="shared" si="40"/>
        <v>0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>
        <f t="array" ref="AS21">_xlfn.IFS(S21=0,AL21,S21&lt;0,AL21/-S21,S21&gt;0,AL21/S21)</f>
        <v>0</v>
      </c>
      <c r="AT21" s="121">
        <f t="shared" si="46"/>
        <v>0</v>
      </c>
      <c r="AU21" s="121">
        <f t="shared" si="47"/>
        <v>0</v>
      </c>
      <c r="AV21" s="127"/>
      <c r="AW21" s="122">
        <f t="shared" si="48"/>
        <v>0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>
        <f t="shared" si="49"/>
        <v>0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>
        <f t="shared" si="38"/>
        <v>0</v>
      </c>
      <c r="AJ22" s="120"/>
      <c r="AK22" s="122">
        <f t="shared" si="39"/>
        <v>0</v>
      </c>
      <c r="AL22" s="123">
        <f t="shared" si="40"/>
        <v>0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>
        <f t="array" ref="AS22">_xlfn.IFS(S22=0,AL22,S22&lt;0,AL22/-S22,S22&gt;0,AL22/S22)</f>
        <v>0</v>
      </c>
      <c r="AT22" s="121">
        <f t="shared" si="46"/>
        <v>0</v>
      </c>
      <c r="AU22" s="121">
        <f t="shared" si="47"/>
        <v>0</v>
      </c>
      <c r="AV22" s="127"/>
      <c r="AW22" s="122">
        <f t="shared" si="48"/>
        <v>0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>
        <f t="shared" si="49"/>
        <v>0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>
        <f t="shared" si="38"/>
        <v>0</v>
      </c>
      <c r="AJ23" s="120"/>
      <c r="AK23" s="122">
        <f t="shared" si="39"/>
        <v>0</v>
      </c>
      <c r="AL23" s="123">
        <f t="shared" si="40"/>
        <v>0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>
        <f t="array" ref="AS23">_xlfn.IFS(S23=0,AL23,S23&lt;0,AL23/-S23,S23&gt;0,AL23/S23)</f>
        <v>0</v>
      </c>
      <c r="AT23" s="121">
        <f t="shared" si="46"/>
        <v>0</v>
      </c>
      <c r="AU23" s="121">
        <f t="shared" si="47"/>
        <v>0</v>
      </c>
      <c r="AV23" s="127"/>
      <c r="AW23" s="122">
        <f t="shared" si="48"/>
        <v>0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>
        <f t="shared" si="49"/>
        <v>0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>
        <f t="shared" si="38"/>
        <v>0</v>
      </c>
      <c r="AJ24" s="120"/>
      <c r="AK24" s="122">
        <f t="shared" si="39"/>
        <v>0</v>
      </c>
      <c r="AL24" s="123">
        <f t="shared" si="40"/>
        <v>0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>
        <f t="array" ref="AS24">_xlfn.IFS(S24=0,AL24,S24&lt;0,AL24/-S24,S24&gt;0,AL24/S24)</f>
        <v>0</v>
      </c>
      <c r="AT24" s="121">
        <f t="shared" si="46"/>
        <v>0</v>
      </c>
      <c r="AU24" s="121">
        <f t="shared" si="47"/>
        <v>0</v>
      </c>
      <c r="AV24" s="127"/>
      <c r="AW24" s="122">
        <f t="shared" si="48"/>
        <v>0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>
        <f t="shared" si="49"/>
        <v>0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>
        <f t="shared" si="38"/>
        <v>0</v>
      </c>
      <c r="AJ25" s="120"/>
      <c r="AK25" s="122">
        <f t="shared" si="39"/>
        <v>0</v>
      </c>
      <c r="AL25" s="123">
        <f t="shared" si="40"/>
        <v>0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>
        <f t="array" ref="AS25">_xlfn.IFS(S25=0,AL25,S25&lt;0,AL25/-S25,S25&gt;0,AL25/S25)</f>
        <v>0</v>
      </c>
      <c r="AT25" s="121">
        <f t="shared" si="46"/>
        <v>0</v>
      </c>
      <c r="AU25" s="121">
        <f t="shared" si="47"/>
        <v>0</v>
      </c>
      <c r="AV25" s="127"/>
      <c r="AW25" s="122">
        <f t="shared" si="48"/>
        <v>0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>
        <f t="shared" si="49"/>
        <v>0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>
        <f t="shared" si="38"/>
        <v>0</v>
      </c>
      <c r="AJ26" s="120"/>
      <c r="AK26" s="122">
        <f t="shared" si="39"/>
        <v>0</v>
      </c>
      <c r="AL26" s="123">
        <f t="shared" si="40"/>
        <v>0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>
        <f t="array" ref="AS26">_xlfn.IFS(S26=0,AL26,S26&lt;0,AL26/-S26,S26&gt;0,AL26/S26)</f>
        <v>0</v>
      </c>
      <c r="AT26" s="121">
        <f t="shared" si="46"/>
        <v>0</v>
      </c>
      <c r="AU26" s="121">
        <f t="shared" si="47"/>
        <v>0</v>
      </c>
      <c r="AV26" s="127"/>
      <c r="AW26" s="122">
        <f t="shared" si="48"/>
        <v>0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>
        <f t="shared" si="49"/>
        <v>0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>
        <f t="shared" si="38"/>
        <v>0</v>
      </c>
      <c r="AJ27" s="120"/>
      <c r="AK27" s="122">
        <f t="shared" si="39"/>
        <v>0</v>
      </c>
      <c r="AL27" s="123">
        <f t="shared" si="40"/>
        <v>0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>
        <f t="array" ref="AS27">_xlfn.IFS(S27=0,AL27,S27&lt;0,AL27/-S27,S27&gt;0,AL27/S27)</f>
        <v>0</v>
      </c>
      <c r="AT27" s="121">
        <f t="shared" si="46"/>
        <v>0</v>
      </c>
      <c r="AU27" s="121">
        <f t="shared" si="47"/>
        <v>0</v>
      </c>
      <c r="AV27" s="127"/>
      <c r="AW27" s="122">
        <f t="shared" si="48"/>
        <v>0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>
        <f t="shared" si="49"/>
        <v>0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>
        <f t="shared" si="38"/>
        <v>0</v>
      </c>
      <c r="AJ28" s="120"/>
      <c r="AK28" s="122">
        <f t="shared" si="39"/>
        <v>0</v>
      </c>
      <c r="AL28" s="123">
        <f t="shared" si="40"/>
        <v>0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>
        <f t="array" ref="AS28">_xlfn.IFS(S28=0,AL28,S28&lt;0,AL28/-S28,S28&gt;0,AL28/S28)</f>
        <v>0</v>
      </c>
      <c r="AT28" s="121">
        <f t="shared" si="46"/>
        <v>0</v>
      </c>
      <c r="AU28" s="121">
        <f t="shared" si="47"/>
        <v>0</v>
      </c>
      <c r="AV28" s="127"/>
      <c r="AW28" s="122">
        <f t="shared" si="48"/>
        <v>0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>
        <f t="shared" si="49"/>
        <v>0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>
        <f t="shared" si="38"/>
        <v>0</v>
      </c>
      <c r="AJ29" s="120"/>
      <c r="AK29" s="122">
        <f t="shared" si="39"/>
        <v>0</v>
      </c>
      <c r="AL29" s="123">
        <f t="shared" si="40"/>
        <v>0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>
        <f t="array" ref="AS29">_xlfn.IFS(S29=0,AL29,S29&lt;0,AL29/-S29,S29&gt;0,AL29/S29)</f>
        <v>0</v>
      </c>
      <c r="AT29" s="121">
        <f t="shared" si="46"/>
        <v>0</v>
      </c>
      <c r="AU29" s="121">
        <f t="shared" si="47"/>
        <v>0</v>
      </c>
      <c r="AV29" s="127"/>
      <c r="AW29" s="122">
        <f t="shared" si="48"/>
        <v>0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>
        <f t="shared" si="49"/>
        <v>0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>
        <f t="shared" si="38"/>
        <v>0</v>
      </c>
      <c r="AJ30" s="120"/>
      <c r="AK30" s="122">
        <f t="shared" si="39"/>
        <v>0</v>
      </c>
      <c r="AL30" s="123">
        <f t="shared" si="40"/>
        <v>0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>
        <f t="array" ref="AS30">_xlfn.IFS(S30=0,AL30,S30&lt;0,AL30/-S30,S30&gt;0,AL30/S30)</f>
        <v>0</v>
      </c>
      <c r="AT30" s="121">
        <f t="shared" si="46"/>
        <v>0</v>
      </c>
      <c r="AU30" s="121">
        <f t="shared" si="47"/>
        <v>0</v>
      </c>
      <c r="AV30" s="127"/>
      <c r="AW30" s="122">
        <f t="shared" si="48"/>
        <v>0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>
        <f t="shared" si="49"/>
        <v>0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>
        <f t="shared" si="38"/>
        <v>0</v>
      </c>
      <c r="AJ31" s="120"/>
      <c r="AK31" s="122">
        <f t="shared" si="39"/>
        <v>0</v>
      </c>
      <c r="AL31" s="123">
        <f t="shared" si="40"/>
        <v>0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>
        <f t="array" ref="AS31">_xlfn.IFS(S31=0,AL31,S31&lt;0,AL31/-S31,S31&gt;0,AL31/S31)</f>
        <v>0</v>
      </c>
      <c r="AT31" s="121">
        <f t="shared" si="46"/>
        <v>0</v>
      </c>
      <c r="AU31" s="121">
        <f t="shared" si="47"/>
        <v>0</v>
      </c>
      <c r="AV31" s="127"/>
      <c r="AW31" s="122">
        <f t="shared" si="48"/>
        <v>0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>
        <f t="shared" si="49"/>
        <v>0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>
        <f t="shared" si="38"/>
        <v>0</v>
      </c>
      <c r="AJ32" s="120"/>
      <c r="AK32" s="122">
        <f t="shared" si="39"/>
        <v>0</v>
      </c>
      <c r="AL32" s="123">
        <f t="shared" si="40"/>
        <v>0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>
        <f t="array" ref="AS32">_xlfn.IFS(S32=0,AL32,S32&lt;0,AL32/-S32,S32&gt;0,AL32/S32)</f>
        <v>0</v>
      </c>
      <c r="AT32" s="121">
        <f t="shared" si="46"/>
        <v>0</v>
      </c>
      <c r="AU32" s="121">
        <f t="shared" si="47"/>
        <v>0</v>
      </c>
      <c r="AV32" s="127"/>
      <c r="AW32" s="122">
        <f t="shared" si="48"/>
        <v>0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>
        <f t="shared" si="49"/>
        <v>0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>
        <f t="shared" si="38"/>
        <v>0</v>
      </c>
      <c r="AJ33" s="120"/>
      <c r="AK33" s="122">
        <f t="shared" si="39"/>
        <v>0</v>
      </c>
      <c r="AL33" s="123">
        <f t="shared" si="40"/>
        <v>0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>
        <f t="array" ref="AS33">_xlfn.IFS(S33=0,AL33,S33&lt;0,AL33/-S33,S33&gt;0,AL33/S33)</f>
        <v>0</v>
      </c>
      <c r="AT33" s="121">
        <f t="shared" si="46"/>
        <v>0</v>
      </c>
      <c r="AU33" s="121">
        <f t="shared" si="47"/>
        <v>0</v>
      </c>
      <c r="AV33" s="127"/>
      <c r="AW33" s="122">
        <f t="shared" si="48"/>
        <v>0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>
        <f t="shared" si="49"/>
        <v>0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>
        <f t="shared" si="38"/>
        <v>0</v>
      </c>
      <c r="AJ34" s="120"/>
      <c r="AK34" s="122">
        <f t="shared" si="39"/>
        <v>0</v>
      </c>
      <c r="AL34" s="123">
        <f t="shared" si="40"/>
        <v>0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>
        <f t="array" ref="AS34">_xlfn.IFS(S34=0,AL34,S34&lt;0,AL34/-S34,S34&gt;0,AL34/S34)</f>
        <v>0</v>
      </c>
      <c r="AT34" s="121">
        <f t="shared" si="46"/>
        <v>0</v>
      </c>
      <c r="AU34" s="121">
        <f t="shared" si="47"/>
        <v>0</v>
      </c>
      <c r="AV34" s="127"/>
      <c r="AW34" s="122">
        <f t="shared" si="48"/>
        <v>0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>
        <f t="shared" si="49"/>
        <v>0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>
        <f t="shared" si="38"/>
        <v>0</v>
      </c>
      <c r="AJ35" s="120"/>
      <c r="AK35" s="122">
        <f t="shared" si="39"/>
        <v>0</v>
      </c>
      <c r="AL35" s="123">
        <f t="shared" si="40"/>
        <v>0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>
        <f t="array" ref="AS35">_xlfn.IFS(S35=0,AL35,S35&lt;0,AL35/-S35,S35&gt;0,AL35/S35)</f>
        <v>0</v>
      </c>
      <c r="AT35" s="121">
        <f t="shared" si="46"/>
        <v>0</v>
      </c>
      <c r="AU35" s="121">
        <f t="shared" si="47"/>
        <v>0</v>
      </c>
      <c r="AV35" s="127"/>
      <c r="AW35" s="122">
        <f t="shared" si="48"/>
        <v>0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>
        <f t="shared" si="49"/>
        <v>0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>
        <f t="shared" si="38"/>
        <v>0</v>
      </c>
      <c r="AJ36" s="120"/>
      <c r="AK36" s="122">
        <f t="shared" si="39"/>
        <v>0</v>
      </c>
      <c r="AL36" s="123">
        <f t="shared" si="40"/>
        <v>0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>
        <f t="array" ref="AS36">_xlfn.IFS(S36=0,AL36,S36&lt;0,AL36/-S36,S36&gt;0,AL36/S36)</f>
        <v>0</v>
      </c>
      <c r="AT36" s="121">
        <f t="shared" si="46"/>
        <v>0</v>
      </c>
      <c r="AU36" s="121">
        <f t="shared" si="47"/>
        <v>0</v>
      </c>
      <c r="AV36" s="127"/>
      <c r="AW36" s="122">
        <f t="shared" si="48"/>
        <v>0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>
        <f t="shared" si="49"/>
        <v>0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>
        <f t="shared" si="38"/>
        <v>0</v>
      </c>
      <c r="AJ37" s="120"/>
      <c r="AK37" s="122">
        <f t="shared" si="39"/>
        <v>0</v>
      </c>
      <c r="AL37" s="123">
        <f t="shared" si="40"/>
        <v>0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>
        <f t="array" ref="AS37">_xlfn.IFS(S37=0,AL37,S37&lt;0,AL37/-S37,S37&gt;0,AL37/S37)</f>
        <v>0</v>
      </c>
      <c r="AT37" s="121">
        <f t="shared" si="46"/>
        <v>0</v>
      </c>
      <c r="AU37" s="121">
        <f t="shared" si="47"/>
        <v>0</v>
      </c>
      <c r="AV37" s="127"/>
      <c r="AW37" s="122">
        <f t="shared" si="48"/>
        <v>0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>
        <f t="shared" si="49"/>
        <v>0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>
        <f t="shared" si="38"/>
        <v>0</v>
      </c>
      <c r="AJ38" s="120"/>
      <c r="AK38" s="122">
        <f t="shared" si="39"/>
        <v>0</v>
      </c>
      <c r="AL38" s="123">
        <f t="shared" si="40"/>
        <v>0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>
        <f t="array" ref="AS38">_xlfn.IFS(S38=0,AL38,S38&lt;0,AL38/-S38,S38&gt;0,AL38/S38)</f>
        <v>0</v>
      </c>
      <c r="AT38" s="121">
        <f t="shared" si="46"/>
        <v>0</v>
      </c>
      <c r="AU38" s="121">
        <f t="shared" si="47"/>
        <v>0</v>
      </c>
      <c r="AV38" s="127"/>
      <c r="AW38" s="122">
        <f t="shared" si="48"/>
        <v>0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>
        <f t="shared" si="49"/>
        <v>0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>
        <f t="shared" si="38"/>
        <v>0</v>
      </c>
      <c r="AJ39" s="120"/>
      <c r="AK39" s="122">
        <f t="shared" si="39"/>
        <v>0</v>
      </c>
      <c r="AL39" s="123">
        <f t="shared" si="40"/>
        <v>0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>
        <f t="array" ref="AS39">_xlfn.IFS(S39=0,AL39,S39&lt;0,AL39/-S39,S39&gt;0,AL39/S39)</f>
        <v>0</v>
      </c>
      <c r="AT39" s="121">
        <f t="shared" si="46"/>
        <v>0</v>
      </c>
      <c r="AU39" s="121">
        <f t="shared" si="47"/>
        <v>0</v>
      </c>
      <c r="AV39" s="127"/>
      <c r="AW39" s="122">
        <f t="shared" si="48"/>
        <v>0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>
        <f t="shared" si="49"/>
        <v>0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>
        <f t="shared" si="38"/>
        <v>0</v>
      </c>
      <c r="AJ40" s="120"/>
      <c r="AK40" s="122">
        <f t="shared" si="39"/>
        <v>0</v>
      </c>
      <c r="AL40" s="123">
        <f t="shared" si="40"/>
        <v>0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>
        <f t="array" ref="AS40">_xlfn.IFS(S40=0,AL40,S40&lt;0,AL40/-S40,S40&gt;0,AL40/S40)</f>
        <v>0</v>
      </c>
      <c r="AT40" s="121">
        <f t="shared" si="46"/>
        <v>0</v>
      </c>
      <c r="AU40" s="121">
        <f t="shared" si="47"/>
        <v>0</v>
      </c>
      <c r="AV40" s="127"/>
      <c r="AW40" s="122">
        <f t="shared" si="48"/>
        <v>0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>
        <f t="shared" si="49"/>
        <v>0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>
        <f t="shared" si="38"/>
        <v>0</v>
      </c>
      <c r="AJ41" s="120"/>
      <c r="AK41" s="122">
        <f t="shared" si="39"/>
        <v>0</v>
      </c>
      <c r="AL41" s="123">
        <f t="shared" si="40"/>
        <v>0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>
        <f t="array" ref="AS41">_xlfn.IFS(S41=0,AL41,S41&lt;0,AL41/-S41,S41&gt;0,AL41/S41)</f>
        <v>0</v>
      </c>
      <c r="AT41" s="121">
        <f t="shared" si="46"/>
        <v>0</v>
      </c>
      <c r="AU41" s="121">
        <f t="shared" si="47"/>
        <v>0</v>
      </c>
      <c r="AV41" s="127"/>
      <c r="AW41" s="122">
        <f t="shared" si="48"/>
        <v>0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>
        <f t="shared" si="49"/>
        <v>0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>
        <f t="shared" si="38"/>
        <v>0</v>
      </c>
      <c r="AJ42" s="120"/>
      <c r="AK42" s="122">
        <f t="shared" si="39"/>
        <v>0</v>
      </c>
      <c r="AL42" s="123">
        <f t="shared" si="40"/>
        <v>0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>
        <f t="array" ref="AS42">_xlfn.IFS(S42=0,AL42,S42&lt;0,AL42/-S42,S42&gt;0,AL42/S42)</f>
        <v>0</v>
      </c>
      <c r="AT42" s="121">
        <f t="shared" si="46"/>
        <v>0</v>
      </c>
      <c r="AU42" s="121">
        <f t="shared" si="47"/>
        <v>0</v>
      </c>
      <c r="AV42" s="127"/>
      <c r="AW42" s="122">
        <f t="shared" si="48"/>
        <v>0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>
        <f t="shared" si="49"/>
        <v>0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>
        <f t="shared" si="38"/>
        <v>0</v>
      </c>
      <c r="AJ43" s="120"/>
      <c r="AK43" s="122">
        <f t="shared" si="39"/>
        <v>0</v>
      </c>
      <c r="AL43" s="123">
        <f t="shared" si="40"/>
        <v>0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>
        <f t="array" ref="AS43">_xlfn.IFS(S43=0,AL43,S43&lt;0,AL43/-S43,S43&gt;0,AL43/S43)</f>
        <v>0</v>
      </c>
      <c r="AT43" s="121">
        <f t="shared" si="46"/>
        <v>0</v>
      </c>
      <c r="AU43" s="121">
        <f t="shared" si="47"/>
        <v>0</v>
      </c>
      <c r="AV43" s="127"/>
      <c r="AW43" s="122">
        <f t="shared" si="48"/>
        <v>0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>
        <f t="shared" si="49"/>
        <v>0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>
        <f t="shared" si="38"/>
        <v>0</v>
      </c>
      <c r="AJ44" s="120"/>
      <c r="AK44" s="122">
        <f t="shared" si="39"/>
        <v>0</v>
      </c>
      <c r="AL44" s="123">
        <f t="shared" si="40"/>
        <v>0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>
        <f t="array" ref="AS44">_xlfn.IFS(S44=0,AL44,S44&lt;0,AL44/-S44,S44&gt;0,AL44/S44)</f>
        <v>0</v>
      </c>
      <c r="AT44" s="121">
        <f t="shared" si="46"/>
        <v>0</v>
      </c>
      <c r="AU44" s="121">
        <f t="shared" si="47"/>
        <v>0</v>
      </c>
      <c r="AV44" s="127"/>
      <c r="AW44" s="122">
        <f t="shared" si="48"/>
        <v>0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>
        <f t="shared" si="49"/>
        <v>0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>
        <f t="shared" si="38"/>
        <v>0</v>
      </c>
      <c r="AJ45" s="120"/>
      <c r="AK45" s="122">
        <f t="shared" si="39"/>
        <v>0</v>
      </c>
      <c r="AL45" s="123">
        <f t="shared" si="40"/>
        <v>0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>
        <f t="array" ref="AS45">_xlfn.IFS(S45=0,AL45,S45&lt;0,AL45/-S45,S45&gt;0,AL45/S45)</f>
        <v>0</v>
      </c>
      <c r="AT45" s="121">
        <f t="shared" si="46"/>
        <v>0</v>
      </c>
      <c r="AU45" s="121">
        <f t="shared" si="47"/>
        <v>0</v>
      </c>
      <c r="AV45" s="127"/>
      <c r="AW45" s="122">
        <f t="shared" si="48"/>
        <v>0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>
        <f t="shared" si="49"/>
        <v>0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>
        <f t="shared" si="38"/>
        <v>0</v>
      </c>
      <c r="AJ46" s="120"/>
      <c r="AK46" s="122">
        <f t="shared" si="39"/>
        <v>0</v>
      </c>
      <c r="AL46" s="123">
        <f t="shared" si="40"/>
        <v>0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>
        <f t="array" ref="AS46">_xlfn.IFS(S46=0,AL46,S46&lt;0,AL46/-S46,S46&gt;0,AL46/S46)</f>
        <v>0</v>
      </c>
      <c r="AT46" s="121">
        <f t="shared" si="46"/>
        <v>0</v>
      </c>
      <c r="AU46" s="121">
        <f t="shared" si="47"/>
        <v>0</v>
      </c>
      <c r="AV46" s="127"/>
      <c r="AW46" s="122">
        <f t="shared" si="48"/>
        <v>0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>
        <f t="shared" si="49"/>
        <v>0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>
        <f t="shared" si="38"/>
        <v>0</v>
      </c>
      <c r="AJ47" s="120"/>
      <c r="AK47" s="122">
        <f t="shared" si="39"/>
        <v>0</v>
      </c>
      <c r="AL47" s="123">
        <f t="shared" si="40"/>
        <v>0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>
        <f t="array" ref="AS47">_xlfn.IFS(S47=0,AL47,S47&lt;0,AL47/-S47,S47&gt;0,AL47/S47)</f>
        <v>0</v>
      </c>
      <c r="AT47" s="121">
        <f t="shared" si="46"/>
        <v>0</v>
      </c>
      <c r="AU47" s="121">
        <f t="shared" si="47"/>
        <v>0</v>
      </c>
      <c r="AV47" s="127"/>
      <c r="AW47" s="122">
        <f t="shared" si="48"/>
        <v>0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>
        <f t="shared" si="49"/>
        <v>0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>
        <f t="shared" si="38"/>
        <v>0</v>
      </c>
      <c r="AJ48" s="120"/>
      <c r="AK48" s="122">
        <f t="shared" si="39"/>
        <v>0</v>
      </c>
      <c r="AL48" s="123">
        <f t="shared" si="40"/>
        <v>0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>
        <f t="array" ref="AS48">_xlfn.IFS(S48=0,AL48,S48&lt;0,AL48/-S48,S48&gt;0,AL48/S48)</f>
        <v>0</v>
      </c>
      <c r="AT48" s="121">
        <f t="shared" si="46"/>
        <v>0</v>
      </c>
      <c r="AU48" s="121">
        <f t="shared" si="47"/>
        <v>0</v>
      </c>
      <c r="AV48" s="127"/>
      <c r="AW48" s="122">
        <f t="shared" si="48"/>
        <v>0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>
        <f t="shared" si="49"/>
        <v>0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>
        <f t="shared" si="38"/>
        <v>0</v>
      </c>
      <c r="AJ49" s="120"/>
      <c r="AK49" s="122">
        <f t="shared" si="39"/>
        <v>0</v>
      </c>
      <c r="AL49" s="123">
        <f t="shared" si="40"/>
        <v>0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>
        <f t="array" ref="AS49">_xlfn.IFS(S49=0,AL49,S49&lt;0,AL49/-S49,S49&gt;0,AL49/S49)</f>
        <v>0</v>
      </c>
      <c r="AT49" s="121">
        <f t="shared" si="46"/>
        <v>0</v>
      </c>
      <c r="AU49" s="121">
        <f t="shared" si="47"/>
        <v>0</v>
      </c>
      <c r="AV49" s="127"/>
      <c r="AW49" s="122">
        <f t="shared" si="48"/>
        <v>0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>
        <f t="shared" si="49"/>
        <v>0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>
        <f t="shared" si="38"/>
        <v>0</v>
      </c>
      <c r="AJ50" s="120"/>
      <c r="AK50" s="122">
        <f t="shared" si="39"/>
        <v>0</v>
      </c>
      <c r="AL50" s="123">
        <f t="shared" si="40"/>
        <v>0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>
        <f t="array" ref="AS50">_xlfn.IFS(S50=0,AL50,S50&lt;0,AL50/-S50,S50&gt;0,AL50/S50)</f>
        <v>0</v>
      </c>
      <c r="AT50" s="121">
        <f t="shared" si="46"/>
        <v>0</v>
      </c>
      <c r="AU50" s="121">
        <f t="shared" si="47"/>
        <v>0</v>
      </c>
      <c r="AV50" s="127"/>
      <c r="AW50" s="122">
        <f t="shared" si="48"/>
        <v>0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>
        <f t="shared" si="49"/>
        <v>0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>
        <f t="shared" si="38"/>
        <v>0</v>
      </c>
      <c r="AJ51" s="120"/>
      <c r="AK51" s="122">
        <f t="shared" si="39"/>
        <v>0</v>
      </c>
      <c r="AL51" s="123">
        <f t="shared" si="40"/>
        <v>0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>
        <f t="array" ref="AS51">_xlfn.IFS(S51=0,AL51,S51&lt;0,AL51/-S51,S51&gt;0,AL51/S51)</f>
        <v>0</v>
      </c>
      <c r="AT51" s="121">
        <f t="shared" si="46"/>
        <v>0</v>
      </c>
      <c r="AU51" s="121">
        <f t="shared" si="47"/>
        <v>0</v>
      </c>
      <c r="AV51" s="127"/>
      <c r="AW51" s="122">
        <f t="shared" si="48"/>
        <v>0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>
        <f t="shared" si="49"/>
        <v>0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>
        <f t="shared" si="38"/>
        <v>0</v>
      </c>
      <c r="AJ52" s="120"/>
      <c r="AK52" s="122">
        <f t="shared" si="39"/>
        <v>0</v>
      </c>
      <c r="AL52" s="123">
        <f t="shared" si="40"/>
        <v>0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>
        <f t="array" ref="AS52">_xlfn.IFS(S52=0,AL52,S52&lt;0,AL52/-S52,S52&gt;0,AL52/S52)</f>
        <v>0</v>
      </c>
      <c r="AT52" s="121">
        <f t="shared" si="46"/>
        <v>0</v>
      </c>
      <c r="AU52" s="121">
        <f t="shared" si="47"/>
        <v>0</v>
      </c>
      <c r="AV52" s="127"/>
      <c r="AW52" s="122">
        <f t="shared" si="48"/>
        <v>0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>
        <f t="shared" si="49"/>
        <v>0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>
        <f t="shared" si="38"/>
        <v>0</v>
      </c>
      <c r="AJ53" s="120"/>
      <c r="AK53" s="122">
        <f t="shared" si="39"/>
        <v>0</v>
      </c>
      <c r="AL53" s="123">
        <f t="shared" si="40"/>
        <v>0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>
        <f t="array" ref="AS53">_xlfn.IFS(S53=0,AL53,S53&lt;0,AL53/-S53,S53&gt;0,AL53/S53)</f>
        <v>0</v>
      </c>
      <c r="AT53" s="121">
        <f t="shared" si="46"/>
        <v>0</v>
      </c>
      <c r="AU53" s="121">
        <f t="shared" si="47"/>
        <v>0</v>
      </c>
      <c r="AV53" s="127"/>
      <c r="AW53" s="122">
        <f t="shared" si="48"/>
        <v>0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>
        <f t="shared" si="49"/>
        <v>0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>
        <f t="shared" si="38"/>
        <v>0</v>
      </c>
      <c r="AJ54" s="120"/>
      <c r="AK54" s="122">
        <f t="shared" si="39"/>
        <v>0</v>
      </c>
      <c r="AL54" s="123">
        <f t="shared" si="40"/>
        <v>0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>
        <f t="array" ref="AS54">_xlfn.IFS(S54=0,AL54,S54&lt;0,AL54/-S54,S54&gt;0,AL54/S54)</f>
        <v>0</v>
      </c>
      <c r="AT54" s="121">
        <f t="shared" si="46"/>
        <v>0</v>
      </c>
      <c r="AU54" s="121">
        <f t="shared" si="47"/>
        <v>0</v>
      </c>
      <c r="AV54" s="127"/>
      <c r="AW54" s="122">
        <f t="shared" si="48"/>
        <v>0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>
        <f t="shared" si="49"/>
        <v>0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>
        <f t="shared" si="38"/>
        <v>0</v>
      </c>
      <c r="AJ55" s="120"/>
      <c r="AK55" s="122">
        <f t="shared" si="39"/>
        <v>0</v>
      </c>
      <c r="AL55" s="123">
        <f t="shared" si="40"/>
        <v>0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>
        <f t="array" ref="AS55">_xlfn.IFS(S55=0,AL55,S55&lt;0,AL55/-S55,S55&gt;0,AL55/S55)</f>
        <v>0</v>
      </c>
      <c r="AT55" s="121">
        <f t="shared" si="46"/>
        <v>0</v>
      </c>
      <c r="AU55" s="121">
        <f t="shared" si="47"/>
        <v>0</v>
      </c>
      <c r="AV55" s="127"/>
      <c r="AW55" s="122">
        <f t="shared" si="48"/>
        <v>0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>
        <f t="shared" si="49"/>
        <v>0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>
        <f t="shared" si="38"/>
        <v>0</v>
      </c>
      <c r="AJ56" s="120"/>
      <c r="AK56" s="122">
        <f t="shared" si="39"/>
        <v>0</v>
      </c>
      <c r="AL56" s="123">
        <f t="shared" si="40"/>
        <v>0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>
        <f t="array" ref="AS56">_xlfn.IFS(S56=0,AL56,S56&lt;0,AL56/-S56,S56&gt;0,AL56/S56)</f>
        <v>0</v>
      </c>
      <c r="AT56" s="121">
        <f t="shared" si="46"/>
        <v>0</v>
      </c>
      <c r="AU56" s="121">
        <f t="shared" si="47"/>
        <v>0</v>
      </c>
      <c r="AV56" s="127"/>
      <c r="AW56" s="122">
        <f t="shared" si="48"/>
        <v>0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>
        <f t="shared" si="49"/>
        <v>0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>
        <f t="shared" si="38"/>
        <v>0</v>
      </c>
      <c r="AJ57" s="120"/>
      <c r="AK57" s="122">
        <f t="shared" si="39"/>
        <v>0</v>
      </c>
      <c r="AL57" s="123">
        <f t="shared" si="40"/>
        <v>0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>
        <f t="array" ref="AS57">_xlfn.IFS(S57=0,AL57,S57&lt;0,AL57/-S57,S57&gt;0,AL57/S57)</f>
        <v>0</v>
      </c>
      <c r="AT57" s="121">
        <f t="shared" si="46"/>
        <v>0</v>
      </c>
      <c r="AU57" s="121">
        <f t="shared" si="47"/>
        <v>0</v>
      </c>
      <c r="AV57" s="127"/>
      <c r="AW57" s="122">
        <f t="shared" si="48"/>
        <v>0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>
        <f t="shared" si="49"/>
        <v>0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>
        <f t="shared" si="38"/>
        <v>0</v>
      </c>
      <c r="AJ58" s="120"/>
      <c r="AK58" s="122">
        <f t="shared" si="39"/>
        <v>0</v>
      </c>
      <c r="AL58" s="123">
        <f t="shared" si="40"/>
        <v>0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>
        <f t="array" ref="AS58">_xlfn.IFS(S58=0,AL58,S58&lt;0,AL58/-S58,S58&gt;0,AL58/S58)</f>
        <v>0</v>
      </c>
      <c r="AT58" s="121">
        <f t="shared" si="46"/>
        <v>0</v>
      </c>
      <c r="AU58" s="121">
        <f t="shared" si="47"/>
        <v>0</v>
      </c>
      <c r="AV58" s="127"/>
      <c r="AW58" s="122">
        <f t="shared" si="48"/>
        <v>0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>
        <f t="shared" si="49"/>
        <v>0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>
        <f t="shared" si="38"/>
        <v>0</v>
      </c>
      <c r="AJ59" s="120"/>
      <c r="AK59" s="122">
        <f t="shared" si="39"/>
        <v>0</v>
      </c>
      <c r="AL59" s="123">
        <f t="shared" si="40"/>
        <v>0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>
        <f t="array" ref="AS59">_xlfn.IFS(S59=0,AL59,S59&lt;0,AL59/-S59,S59&gt;0,AL59/S59)</f>
        <v>0</v>
      </c>
      <c r="AT59" s="121">
        <f t="shared" si="46"/>
        <v>0</v>
      </c>
      <c r="AU59" s="121">
        <f t="shared" si="47"/>
        <v>0</v>
      </c>
      <c r="AV59" s="127"/>
      <c r="AW59" s="122">
        <f t="shared" si="48"/>
        <v>0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>
        <f t="shared" si="49"/>
        <v>0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>
        <f t="shared" si="38"/>
        <v>0</v>
      </c>
      <c r="AJ60" s="120"/>
      <c r="AK60" s="122">
        <f t="shared" si="39"/>
        <v>0</v>
      </c>
      <c r="AL60" s="123">
        <f t="shared" si="40"/>
        <v>0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>
        <f t="array" ref="AS60">_xlfn.IFS(S60=0,AL60,S60&lt;0,AL60/-S60,S60&gt;0,AL60/S60)</f>
        <v>0</v>
      </c>
      <c r="AT60" s="121">
        <f t="shared" si="46"/>
        <v>0</v>
      </c>
      <c r="AU60" s="121">
        <f t="shared" si="47"/>
        <v>0</v>
      </c>
      <c r="AV60" s="127"/>
      <c r="AW60" s="122">
        <f t="shared" si="48"/>
        <v>0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>
        <f t="shared" si="49"/>
        <v>0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>
        <f t="shared" si="38"/>
        <v>0</v>
      </c>
      <c r="AJ61" s="120"/>
      <c r="AK61" s="122">
        <f t="shared" si="39"/>
        <v>0</v>
      </c>
      <c r="AL61" s="123">
        <f t="shared" si="40"/>
        <v>0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>
        <f t="array" ref="AS61">_xlfn.IFS(S61=0,AL61,S61&lt;0,AL61/-S61,S61&gt;0,AL61/S61)</f>
        <v>0</v>
      </c>
      <c r="AT61" s="121">
        <f t="shared" si="46"/>
        <v>0</v>
      </c>
      <c r="AU61" s="121">
        <f t="shared" si="47"/>
        <v>0</v>
      </c>
      <c r="AV61" s="127"/>
      <c r="AW61" s="122">
        <f t="shared" si="48"/>
        <v>0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>
        <f t="shared" si="49"/>
        <v>0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>
        <f t="shared" si="38"/>
        <v>0</v>
      </c>
      <c r="AJ62" s="120"/>
      <c r="AK62" s="122">
        <f t="shared" si="39"/>
        <v>0</v>
      </c>
      <c r="AL62" s="123">
        <f t="shared" si="40"/>
        <v>0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>
        <f t="array" ref="AS62">_xlfn.IFS(S62=0,AL62,S62&lt;0,AL62/-S62,S62&gt;0,AL62/S62)</f>
        <v>0</v>
      </c>
      <c r="AT62" s="121">
        <f t="shared" si="46"/>
        <v>0</v>
      </c>
      <c r="AU62" s="121">
        <f t="shared" si="47"/>
        <v>0</v>
      </c>
      <c r="AV62" s="127"/>
      <c r="AW62" s="122">
        <f t="shared" si="48"/>
        <v>0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>
        <f t="shared" si="49"/>
        <v>0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>
        <f t="shared" si="38"/>
        <v>0</v>
      </c>
      <c r="AJ63" s="120"/>
      <c r="AK63" s="122">
        <f t="shared" si="39"/>
        <v>0</v>
      </c>
      <c r="AL63" s="123">
        <f t="shared" si="40"/>
        <v>0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>
        <f t="array" ref="AS63">_xlfn.IFS(S63=0,AL63,S63&lt;0,AL63/-S63,S63&gt;0,AL63/S63)</f>
        <v>0</v>
      </c>
      <c r="AT63" s="121">
        <f t="shared" si="46"/>
        <v>0</v>
      </c>
      <c r="AU63" s="121">
        <f t="shared" si="47"/>
        <v>0</v>
      </c>
      <c r="AV63" s="127"/>
      <c r="AW63" s="122">
        <f t="shared" si="48"/>
        <v>0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>
        <f t="shared" si="49"/>
        <v>0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>
        <f t="shared" si="38"/>
        <v>0</v>
      </c>
      <c r="AJ64" s="120"/>
      <c r="AK64" s="122">
        <f t="shared" si="39"/>
        <v>0</v>
      </c>
      <c r="AL64" s="123">
        <f t="shared" si="40"/>
        <v>0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>
        <f t="array" ref="AS64">_xlfn.IFS(S64=0,AL64,S64&lt;0,AL64/-S64,S64&gt;0,AL64/S64)</f>
        <v>0</v>
      </c>
      <c r="AT64" s="121">
        <f t="shared" si="46"/>
        <v>0</v>
      </c>
      <c r="AU64" s="121">
        <f t="shared" si="47"/>
        <v>0</v>
      </c>
      <c r="AV64" s="127"/>
      <c r="AW64" s="122">
        <f t="shared" si="48"/>
        <v>0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>
        <f t="shared" si="49"/>
        <v>0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>
        <f t="shared" si="38"/>
        <v>0</v>
      </c>
      <c r="AJ65" s="120"/>
      <c r="AK65" s="122">
        <f t="shared" si="39"/>
        <v>0</v>
      </c>
      <c r="AL65" s="123">
        <f t="shared" si="40"/>
        <v>0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>
        <f t="array" ref="AS65">_xlfn.IFS(S65=0,AL65,S65&lt;0,AL65/-S65,S65&gt;0,AL65/S65)</f>
        <v>0</v>
      </c>
      <c r="AT65" s="121">
        <f t="shared" si="46"/>
        <v>0</v>
      </c>
      <c r="AU65" s="121">
        <f t="shared" si="47"/>
        <v>0</v>
      </c>
      <c r="AV65" s="127"/>
      <c r="AW65" s="122">
        <f t="shared" si="48"/>
        <v>0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>
        <f t="shared" si="49"/>
        <v>0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>
        <f t="shared" si="38"/>
        <v>0</v>
      </c>
      <c r="AJ66" s="120"/>
      <c r="AK66" s="122">
        <f t="shared" si="39"/>
        <v>0</v>
      </c>
      <c r="AL66" s="123">
        <f t="shared" si="40"/>
        <v>0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>
        <f t="array" ref="AS66">_xlfn.IFS(S66=0,AL66,S66&lt;0,AL66/-S66,S66&gt;0,AL66/S66)</f>
        <v>0</v>
      </c>
      <c r="AT66" s="121">
        <f t="shared" si="46"/>
        <v>0</v>
      </c>
      <c r="AU66" s="121">
        <f t="shared" si="47"/>
        <v>0</v>
      </c>
      <c r="AV66" s="127"/>
      <c r="AW66" s="122">
        <f t="shared" si="48"/>
        <v>0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>
        <f t="shared" si="49"/>
        <v>0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>
        <f t="shared" si="38"/>
        <v>0</v>
      </c>
      <c r="AJ67" s="120"/>
      <c r="AK67" s="122">
        <f t="shared" si="39"/>
        <v>0</v>
      </c>
      <c r="AL67" s="123">
        <f t="shared" si="40"/>
        <v>0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>
        <f t="array" ref="AS67">_xlfn.IFS(S67=0,AL67,S67&lt;0,AL67/-S67,S67&gt;0,AL67/S67)</f>
        <v>0</v>
      </c>
      <c r="AT67" s="121">
        <f t="shared" si="46"/>
        <v>0</v>
      </c>
      <c r="AU67" s="121">
        <f t="shared" si="47"/>
        <v>0</v>
      </c>
      <c r="AV67" s="127"/>
      <c r="AW67" s="122">
        <f t="shared" si="48"/>
        <v>0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>
        <f t="shared" si="49"/>
        <v>0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>
        <f t="shared" si="38"/>
        <v>0</v>
      </c>
      <c r="AJ68" s="120"/>
      <c r="AK68" s="122">
        <f t="shared" si="39"/>
        <v>0</v>
      </c>
      <c r="AL68" s="123">
        <f t="shared" si="40"/>
        <v>0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>
        <f t="array" ref="AS68">_xlfn.IFS(S68=0,AL68,S68&lt;0,AL68/-S68,S68&gt;0,AL68/S68)</f>
        <v>0</v>
      </c>
      <c r="AT68" s="121">
        <f t="shared" si="46"/>
        <v>0</v>
      </c>
      <c r="AU68" s="121">
        <f t="shared" si="47"/>
        <v>0</v>
      </c>
      <c r="AV68" s="127"/>
      <c r="AW68" s="122">
        <f t="shared" si="48"/>
        <v>0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>
        <f t="shared" si="49"/>
        <v>0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>
        <f t="shared" si="38"/>
        <v>0</v>
      </c>
      <c r="AJ69" s="120"/>
      <c r="AK69" s="122">
        <f t="shared" si="39"/>
        <v>0</v>
      </c>
      <c r="AL69" s="123">
        <f t="shared" si="40"/>
        <v>0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>
        <f t="array" ref="AS69">_xlfn.IFS(S69=0,AL69,S69&lt;0,AL69/-S69,S69&gt;0,AL69/S69)</f>
        <v>0</v>
      </c>
      <c r="AT69" s="121">
        <f t="shared" si="46"/>
        <v>0</v>
      </c>
      <c r="AU69" s="121">
        <f t="shared" si="47"/>
        <v>0</v>
      </c>
      <c r="AV69" s="127"/>
      <c r="AW69" s="122">
        <f t="shared" si="48"/>
        <v>0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>
        <f t="shared" si="49"/>
        <v>0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>
        <f t="shared" si="38"/>
        <v>0</v>
      </c>
      <c r="AJ70" s="120"/>
      <c r="AK70" s="122">
        <f t="shared" si="39"/>
        <v>0</v>
      </c>
      <c r="AL70" s="123">
        <f t="shared" si="40"/>
        <v>0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>
        <f t="array" ref="AS70">_xlfn.IFS(S70=0,AL70,S70&lt;0,AL70/-S70,S70&gt;0,AL70/S70)</f>
        <v>0</v>
      </c>
      <c r="AT70" s="121">
        <f t="shared" si="46"/>
        <v>0</v>
      </c>
      <c r="AU70" s="121">
        <f t="shared" si="47"/>
        <v>0</v>
      </c>
      <c r="AV70" s="127"/>
      <c r="AW70" s="122">
        <f t="shared" si="48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>
        <f t="shared" si="52"/>
        <v>0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>
        <f t="shared" si="53"/>
        <v>0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4"/>
        <v>0</v>
      </c>
      <c r="AK72" s="167">
        <f t="shared" si="54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9"/>
      <c r="AG73" s="299"/>
      <c r="AH73" s="239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2500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66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45</v>
      </c>
      <c r="R74" s="190">
        <f t="shared" si="55"/>
        <v>0</v>
      </c>
      <c r="S74" s="190">
        <f t="shared" si="55"/>
        <v>45</v>
      </c>
      <c r="T74" s="190">
        <f t="shared" si="55"/>
        <v>46145.63</v>
      </c>
      <c r="U74" s="190">
        <f t="shared" si="55"/>
        <v>0</v>
      </c>
      <c r="V74" s="190">
        <f t="shared" si="55"/>
        <v>46145.63</v>
      </c>
      <c r="W74" s="190">
        <f t="shared" si="55"/>
        <v>54988.62000000001</v>
      </c>
      <c r="X74" s="190">
        <f t="shared" si="55"/>
        <v>0</v>
      </c>
      <c r="Y74" s="190">
        <f t="shared" si="55"/>
        <v>54988.62000000001</v>
      </c>
      <c r="Z74" s="190">
        <f t="shared" si="55"/>
        <v>47981.62</v>
      </c>
      <c r="AA74" s="191">
        <f t="shared" si="55"/>
        <v>1</v>
      </c>
      <c r="AB74" s="192">
        <f t="shared" si="55"/>
        <v>5712.2100000000009</v>
      </c>
      <c r="AC74" s="190">
        <f t="shared" si="55"/>
        <v>19854.220000000008</v>
      </c>
      <c r="AD74" s="191">
        <f>AC74/Y74</f>
        <v>0.36106052488678575</v>
      </c>
      <c r="AE74" s="192">
        <f>AE17+AE72</f>
        <v>4543.050000000002</v>
      </c>
      <c r="AF74" s="193">
        <f>AF17+AF72</f>
        <v>0</v>
      </c>
      <c r="AG74" s="193">
        <f>AG17+AG72</f>
        <v>4738</v>
      </c>
      <c r="AH74" s="193">
        <f>AH17+AH72</f>
        <v>0</v>
      </c>
      <c r="AI74" s="194">
        <v>1049.6300000000001</v>
      </c>
      <c r="AJ74" s="190">
        <f>AJ17+AJ72</f>
        <v>0</v>
      </c>
      <c r="AK74" s="190">
        <f>AK17+AK72</f>
        <v>461.45629999999994</v>
      </c>
      <c r="AL74" s="190">
        <f>AL17+AL72</f>
        <v>18630.053699999997</v>
      </c>
      <c r="AM74" s="190"/>
      <c r="AN74" s="190"/>
      <c r="AO74" s="190"/>
      <c r="AP74" s="190"/>
      <c r="AQ74" s="190"/>
      <c r="AR74" s="190">
        <f>(AF74+AG74)/Q74</f>
        <v>105.28888888888889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9">
        <f>AF18+AF73</f>
        <v>0</v>
      </c>
      <c r="AG75" s="299"/>
      <c r="AH75" s="239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Реклама</vt:lpstr>
      <vt:lpstr>Сводная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2026-02-02T13:05:00Z</dcterms:modified>
</cp:coreProperties>
</file>