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2 нед 16-22.03\"/>
    </mc:Choice>
  </mc:AlternateContent>
  <xr:revisionPtr revIDLastSave="0" documentId="13_ncr:1_{F3469165-24A4-4491-AE97-2B41D22A534A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13" sheetId="46" state="hidden" r:id="rId3"/>
    <sheet name="АВС 12" sheetId="45" r:id="rId4"/>
    <sheet name="АВС 11" sheetId="39" state="hidden" r:id="rId5"/>
    <sheet name="АВС 10" sheetId="34" state="hidden" r:id="rId6"/>
    <sheet name="АВС ФЕВРАЛЬ" sheetId="37" state="hidden" r:id="rId7"/>
    <sheet name="АВС 9" sheetId="33" state="hidden" r:id="rId8"/>
    <sheet name="АВС 8" sheetId="30" state="hidden" r:id="rId9"/>
    <sheet name="АВС 7" sheetId="32" state="hidden" r:id="rId10"/>
    <sheet name="АВС 6" sheetId="21" state="hidden" r:id="rId11"/>
    <sheet name="АВС ЯНВАРЬ" sheetId="16" state="hidden" r:id="rId12"/>
    <sheet name="АВС 5" sheetId="15" state="hidden" r:id="rId13"/>
    <sheet name="АВС 4" sheetId="14" state="hidden" r:id="rId14"/>
    <sheet name="АВС 3" sheetId="7" state="hidden" r:id="rId15"/>
    <sheet name="АВС 2" sheetId="18" state="hidden" r:id="rId16"/>
    <sheet name="АВС 1" sheetId="17" state="hidden" r:id="rId17"/>
    <sheet name="2026" sheetId="36" r:id="rId18"/>
    <sheet name="МАРТ" sheetId="44" r:id="rId19"/>
    <sheet name="Юнит 13" sheetId="43" state="hidden" r:id="rId20"/>
    <sheet name="Юнит 12" sheetId="40" r:id="rId21"/>
    <sheet name="Юнит 11" sheetId="38" state="hidden" r:id="rId22"/>
    <sheet name="Юнит 10" sheetId="35" state="hidden" r:id="rId23"/>
    <sheet name="ФЕВРАЛЬ" sheetId="25" state="hidden" r:id="rId24"/>
    <sheet name="Юнит 9" sheetId="24" state="hidden" r:id="rId25"/>
    <sheet name="Юнит 8" sheetId="23" state="hidden" r:id="rId26"/>
    <sheet name="Юнит 7" sheetId="22" state="hidden" r:id="rId27"/>
    <sheet name="Юнит 6" sheetId="19" state="hidden" r:id="rId28"/>
    <sheet name="ЯНВАРЬ" sheetId="13" state="hidden" r:id="rId29"/>
    <sheet name="Юнит 5" sheetId="10" state="hidden" r:id="rId30"/>
    <sheet name="Юнит 4" sheetId="9" state="hidden" r:id="rId31"/>
    <sheet name="Юнит 3" sheetId="8" state="hidden" r:id="rId32"/>
    <sheet name="Юнит 2" sheetId="11" state="hidden" r:id="rId33"/>
    <sheet name="Юнит 1" sheetId="12" state="hidden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8" i="3" l="1"/>
  <c r="AD37" i="3"/>
  <c r="AD34" i="3"/>
  <c r="AI66" i="44" l="1"/>
  <c r="AI65" i="44"/>
  <c r="AI64" i="44"/>
  <c r="AI63" i="44"/>
  <c r="AI62" i="44"/>
  <c r="AI61" i="44"/>
  <c r="AI60" i="44"/>
  <c r="AI68" i="44" s="1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I6" i="44"/>
  <c r="AI5" i="44"/>
  <c r="AI4" i="44"/>
  <c r="AI58" i="44" s="1"/>
  <c r="AI3" i="44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C4" i="45"/>
  <c r="C9" i="45"/>
  <c r="C10" i="45"/>
  <c r="C54" i="45"/>
  <c r="C6" i="45"/>
  <c r="C8" i="45"/>
  <c r="C52" i="45"/>
  <c r="C17" i="45"/>
  <c r="C19" i="45"/>
  <c r="C32" i="45"/>
  <c r="C20" i="45"/>
  <c r="C21" i="45"/>
  <c r="C57" i="45"/>
  <c r="C56" i="45"/>
  <c r="C16" i="45"/>
  <c r="C11" i="45"/>
  <c r="C7" i="45"/>
  <c r="C18" i="45"/>
  <c r="C29" i="45"/>
  <c r="C13" i="45"/>
  <c r="C34" i="45"/>
  <c r="C23" i="45"/>
  <c r="C24" i="45"/>
  <c r="C22" i="45"/>
  <c r="C27" i="45"/>
  <c r="C31" i="45"/>
  <c r="C15" i="45"/>
  <c r="C12" i="45"/>
  <c r="C35" i="45"/>
  <c r="C36" i="45"/>
  <c r="C14" i="45"/>
  <c r="C30" i="45"/>
  <c r="C28" i="45"/>
  <c r="C51" i="45"/>
  <c r="C50" i="45"/>
  <c r="C25" i="45"/>
  <c r="C26" i="45"/>
  <c r="C53" i="45"/>
  <c r="C33" i="45"/>
  <c r="C55" i="45"/>
  <c r="C37" i="45"/>
  <c r="C38" i="45"/>
  <c r="C39" i="45"/>
  <c r="C40" i="45"/>
  <c r="C41" i="45"/>
  <c r="C42" i="45"/>
  <c r="C43" i="45"/>
  <c r="C44" i="45"/>
  <c r="C45" i="45"/>
  <c r="C46" i="45"/>
  <c r="C47" i="45"/>
  <c r="C48" i="45"/>
  <c r="C49" i="45"/>
  <c r="C5" i="45"/>
  <c r="AA37" i="3"/>
  <c r="V37" i="3"/>
  <c r="T37" i="3"/>
  <c r="Z61" i="40"/>
  <c r="AI61" i="40"/>
  <c r="Z62" i="40"/>
  <c r="AI62" i="40"/>
  <c r="Z63" i="40"/>
  <c r="AI63" i="40"/>
  <c r="Z64" i="40"/>
  <c r="AI64" i="40"/>
  <c r="Z65" i="40"/>
  <c r="AI65" i="40"/>
  <c r="Z66" i="40"/>
  <c r="AI66" i="40"/>
  <c r="AI60" i="40"/>
  <c r="Z60" i="40"/>
  <c r="Z4" i="40"/>
  <c r="AI4" i="40"/>
  <c r="Z5" i="40"/>
  <c r="AI5" i="40"/>
  <c r="Z6" i="40"/>
  <c r="AI6" i="40"/>
  <c r="Z7" i="40"/>
  <c r="AI7" i="40"/>
  <c r="Z8" i="40"/>
  <c r="AI8" i="40"/>
  <c r="Z9" i="40"/>
  <c r="AI9" i="40"/>
  <c r="Z10" i="40"/>
  <c r="AI10" i="40"/>
  <c r="Z11" i="40"/>
  <c r="AI11" i="40"/>
  <c r="Z12" i="40"/>
  <c r="AI12" i="40"/>
  <c r="Z13" i="40"/>
  <c r="AI13" i="40"/>
  <c r="Z14" i="40"/>
  <c r="AI14" i="40"/>
  <c r="Z15" i="40"/>
  <c r="AI15" i="40"/>
  <c r="Z16" i="40"/>
  <c r="AI16" i="40"/>
  <c r="Z17" i="40"/>
  <c r="AI17" i="40"/>
  <c r="Z18" i="40"/>
  <c r="AI18" i="40"/>
  <c r="Z19" i="40"/>
  <c r="AI19" i="40"/>
  <c r="Z20" i="40"/>
  <c r="AI20" i="40"/>
  <c r="Z21" i="40"/>
  <c r="AI21" i="40"/>
  <c r="Z22" i="40"/>
  <c r="AI22" i="40"/>
  <c r="Z23" i="40"/>
  <c r="AI23" i="40"/>
  <c r="Z24" i="40"/>
  <c r="AI24" i="40"/>
  <c r="Z25" i="40"/>
  <c r="AI25" i="40"/>
  <c r="Z26" i="40"/>
  <c r="AI26" i="40"/>
  <c r="Z27" i="40"/>
  <c r="AI27" i="40"/>
  <c r="Z28" i="40"/>
  <c r="AI28" i="40"/>
  <c r="Z29" i="40"/>
  <c r="AI29" i="40"/>
  <c r="Z30" i="40"/>
  <c r="AI30" i="40"/>
  <c r="Z31" i="40"/>
  <c r="AI31" i="40"/>
  <c r="Z32" i="40"/>
  <c r="AI32" i="40"/>
  <c r="Z33" i="40"/>
  <c r="AI33" i="40"/>
  <c r="Z34" i="40"/>
  <c r="AI34" i="40"/>
  <c r="Z35" i="40"/>
  <c r="AI35" i="40"/>
  <c r="Z36" i="40"/>
  <c r="AI36" i="40"/>
  <c r="Z37" i="40"/>
  <c r="AI37" i="40"/>
  <c r="Z38" i="40"/>
  <c r="AI38" i="40"/>
  <c r="Z39" i="40"/>
  <c r="AI39" i="40"/>
  <c r="Z40" i="40"/>
  <c r="AI40" i="40"/>
  <c r="Z41" i="40"/>
  <c r="AI41" i="40"/>
  <c r="Z42" i="40"/>
  <c r="AI42" i="40"/>
  <c r="Z43" i="40"/>
  <c r="AI43" i="40"/>
  <c r="Z44" i="40"/>
  <c r="AI44" i="40"/>
  <c r="Z45" i="40"/>
  <c r="AI45" i="40"/>
  <c r="Z46" i="40"/>
  <c r="AI46" i="40"/>
  <c r="Z47" i="40"/>
  <c r="AI47" i="40"/>
  <c r="Z48" i="40"/>
  <c r="AI48" i="40"/>
  <c r="Z49" i="40"/>
  <c r="AI49" i="40"/>
  <c r="Z50" i="40"/>
  <c r="AI50" i="40"/>
  <c r="Z51" i="40"/>
  <c r="AI51" i="40"/>
  <c r="Z52" i="40"/>
  <c r="AI52" i="40"/>
  <c r="Z53" i="40"/>
  <c r="AI53" i="40"/>
  <c r="Z54" i="40"/>
  <c r="AI54" i="40"/>
  <c r="Z55" i="40"/>
  <c r="AI55" i="40"/>
  <c r="Z56" i="40"/>
  <c r="AI56" i="40"/>
  <c r="S45" i="40" l="1"/>
  <c r="AB45" i="40" s="1"/>
  <c r="V46" i="40"/>
  <c r="V47" i="40"/>
  <c r="Y48" i="40"/>
  <c r="AD48" i="40" s="1"/>
  <c r="Y49" i="40"/>
  <c r="AD49" i="40" s="1"/>
  <c r="V54" i="40"/>
  <c r="V55" i="40"/>
  <c r="Y50" i="40" l="1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S26" i="40" l="1"/>
  <c r="AB26" i="40" s="1"/>
  <c r="V26" i="40"/>
  <c r="V24" i="40"/>
  <c r="V25" i="40"/>
  <c r="Y25" i="40" l="1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AD65" i="40" l="1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V16" i="40" l="1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V20" i="40" l="1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S10" i="40" l="1"/>
  <c r="AB10" i="40" s="1"/>
  <c r="V10" i="40"/>
  <c r="Y10" i="40"/>
  <c r="V11" i="40"/>
  <c r="V12" i="40"/>
  <c r="Y13" i="40"/>
  <c r="V14" i="40"/>
  <c r="Y14" i="40"/>
  <c r="V13" i="40" l="1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S7" i="40" l="1"/>
  <c r="AB7" i="40" s="1"/>
  <c r="V7" i="40"/>
  <c r="Y7" i="40"/>
  <c r="V8" i="40"/>
  <c r="V9" i="40"/>
  <c r="Y9" i="40" l="1"/>
  <c r="AD9" i="40" s="1"/>
  <c r="Y8" i="40"/>
  <c r="AD8" i="40" s="1"/>
  <c r="S9" i="40"/>
  <c r="AB9" i="40" s="1"/>
  <c r="AD7" i="40"/>
  <c r="S8" i="40"/>
  <c r="AB8" i="40" s="1"/>
  <c r="Y6" i="40" l="1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AD6" i="40" l="1"/>
  <c r="AD4" i="40"/>
  <c r="J114" i="46" l="1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J58" i="46"/>
  <c r="K51" i="46" s="1"/>
  <c r="C58" i="46"/>
  <c r="D57" i="46" s="1"/>
  <c r="K56" i="46"/>
  <c r="D56" i="46"/>
  <c r="K55" i="46"/>
  <c r="D55" i="46"/>
  <c r="D54" i="46"/>
  <c r="D53" i="46"/>
  <c r="K52" i="46"/>
  <c r="D52" i="46"/>
  <c r="D51" i="46"/>
  <c r="K50" i="46"/>
  <c r="D50" i="46"/>
  <c r="K49" i="46"/>
  <c r="D49" i="46"/>
  <c r="K48" i="46"/>
  <c r="D48" i="46"/>
  <c r="K47" i="46"/>
  <c r="D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K58" i="46" s="1"/>
  <c r="D4" i="46"/>
  <c r="D58" i="46" s="1"/>
  <c r="AH58" i="44"/>
  <c r="J58" i="44"/>
  <c r="H58" i="44"/>
  <c r="G58" i="44"/>
  <c r="F58" i="44"/>
  <c r="E58" i="44"/>
  <c r="AH58" i="36"/>
  <c r="J58" i="36"/>
  <c r="H58" i="36"/>
  <c r="G58" i="36"/>
  <c r="F58" i="36"/>
  <c r="E58" i="36"/>
  <c r="Z54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L46" i="36"/>
  <c r="Z46" i="36" s="1"/>
  <c r="L54" i="36"/>
  <c r="L44" i="36"/>
  <c r="Z44" i="36" s="1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J44" i="43"/>
  <c r="O44" i="43"/>
  <c r="S44" i="43"/>
  <c r="P44" i="43" s="1"/>
  <c r="V44" i="43"/>
  <c r="AK44" i="43" s="1"/>
  <c r="Y44" i="43"/>
  <c r="AD44" i="43" s="1"/>
  <c r="Z44" i="43"/>
  <c r="AA44" i="43"/>
  <c r="AB44" i="43"/>
  <c r="AI44" i="43"/>
  <c r="AN44" i="43"/>
  <c r="AT44" i="43" s="1"/>
  <c r="AO44" i="43"/>
  <c r="AP44" i="43"/>
  <c r="AQ44" i="43"/>
  <c r="AR44" i="43"/>
  <c r="J45" i="43"/>
  <c r="O45" i="43"/>
  <c r="S45" i="43"/>
  <c r="P45" i="43" s="1"/>
  <c r="V45" i="43"/>
  <c r="Y45" i="43"/>
  <c r="AD45" i="43" s="1"/>
  <c r="Z45" i="43"/>
  <c r="AA45" i="43"/>
  <c r="AB45" i="43"/>
  <c r="AI45" i="43"/>
  <c r="AK45" i="43"/>
  <c r="AN45" i="43"/>
  <c r="AT45" i="43" s="1"/>
  <c r="AO45" i="43"/>
  <c r="AP45" i="43"/>
  <c r="AQ45" i="43"/>
  <c r="AQ57" i="43" s="1"/>
  <c r="AR45" i="43"/>
  <c r="J46" i="43"/>
  <c r="O46" i="43"/>
  <c r="S46" i="43"/>
  <c r="P46" i="43" s="1"/>
  <c r="V46" i="43"/>
  <c r="AK46" i="43" s="1"/>
  <c r="Y46" i="43"/>
  <c r="Z46" i="43"/>
  <c r="AA46" i="43"/>
  <c r="AB46" i="43"/>
  <c r="AL46" i="43" s="1"/>
  <c r="AS46" i="43" s="1" a="1"/>
  <c r="AS46" i="43" s="1"/>
  <c r="AW46" i="43" s="1"/>
  <c r="AD46" i="43"/>
  <c r="AI46" i="43"/>
  <c r="AN46" i="43"/>
  <c r="AO46" i="43"/>
  <c r="AP46" i="43"/>
  <c r="AQ46" i="43"/>
  <c r="AR46" i="43"/>
  <c r="AR57" i="43" s="1"/>
  <c r="AT46" i="43"/>
  <c r="J47" i="43"/>
  <c r="O47" i="43"/>
  <c r="P47" i="43"/>
  <c r="S47" i="43"/>
  <c r="V47" i="43"/>
  <c r="Y47" i="43"/>
  <c r="AL47" i="43" s="1"/>
  <c r="AS47" i="43" s="1" a="1"/>
  <c r="AS47" i="43" s="1"/>
  <c r="Z47" i="43"/>
  <c r="AA47" i="43"/>
  <c r="AB47" i="43"/>
  <c r="AD47" i="43"/>
  <c r="AI47" i="43"/>
  <c r="AK47" i="43"/>
  <c r="AN47" i="43"/>
  <c r="AO47" i="43"/>
  <c r="AP47" i="43"/>
  <c r="AQ47" i="43"/>
  <c r="AR47" i="43"/>
  <c r="AT47" i="43"/>
  <c r="J48" i="43"/>
  <c r="O48" i="43"/>
  <c r="S48" i="43"/>
  <c r="P48" i="43" s="1"/>
  <c r="V48" i="43"/>
  <c r="Y48" i="43"/>
  <c r="Z48" i="43"/>
  <c r="AA48" i="43"/>
  <c r="AD48" i="43"/>
  <c r="AI48" i="43"/>
  <c r="AK48" i="43"/>
  <c r="AO48" i="43"/>
  <c r="AQ48" i="43"/>
  <c r="AR48" i="43"/>
  <c r="J49" i="43"/>
  <c r="O49" i="43"/>
  <c r="S49" i="43"/>
  <c r="AN49" i="43" s="1"/>
  <c r="AT49" i="43" s="1"/>
  <c r="V49" i="43"/>
  <c r="AK49" i="43" s="1"/>
  <c r="Y49" i="43"/>
  <c r="AA49" i="43" s="1"/>
  <c r="Z49" i="43"/>
  <c r="AD49" i="43"/>
  <c r="AI49" i="43"/>
  <c r="AO49" i="43"/>
  <c r="AQ49" i="43"/>
  <c r="AR49" i="43"/>
  <c r="J50" i="43"/>
  <c r="O50" i="43"/>
  <c r="S50" i="43"/>
  <c r="AP50" i="43" s="1"/>
  <c r="V50" i="43"/>
  <c r="AK50" i="43" s="1"/>
  <c r="Y50" i="43"/>
  <c r="AA50" i="43" s="1"/>
  <c r="Z50" i="43"/>
  <c r="AI50" i="43"/>
  <c r="AN50" i="43"/>
  <c r="AT50" i="43" s="1"/>
  <c r="AO50" i="43"/>
  <c r="AQ50" i="43"/>
  <c r="AR50" i="43"/>
  <c r="J51" i="43"/>
  <c r="O51" i="43"/>
  <c r="S51" i="43"/>
  <c r="P51" i="43" s="1"/>
  <c r="V51" i="43"/>
  <c r="AK51" i="43" s="1"/>
  <c r="Y51" i="43"/>
  <c r="AA51" i="43" s="1"/>
  <c r="Z51" i="43"/>
  <c r="AB51" i="43"/>
  <c r="AI51" i="43"/>
  <c r="AN51" i="43"/>
  <c r="AT51" i="43" s="1"/>
  <c r="AO51" i="43"/>
  <c r="AO57" i="43" s="1"/>
  <c r="AP51" i="43"/>
  <c r="AQ51" i="43"/>
  <c r="AR51" i="43"/>
  <c r="J52" i="43"/>
  <c r="O52" i="43"/>
  <c r="S52" i="43"/>
  <c r="AB52" i="43" s="1"/>
  <c r="V52" i="43"/>
  <c r="Y52" i="43"/>
  <c r="AD52" i="43" s="1"/>
  <c r="Z52" i="43"/>
  <c r="AA52" i="43"/>
  <c r="AI52" i="43"/>
  <c r="AK52" i="43"/>
  <c r="AN52" i="43"/>
  <c r="AT52" i="43" s="1"/>
  <c r="AO52" i="43"/>
  <c r="AP52" i="43"/>
  <c r="AQ52" i="43"/>
  <c r="AR52" i="43"/>
  <c r="J53" i="43"/>
  <c r="O53" i="43"/>
  <c r="S53" i="43"/>
  <c r="P53" i="43" s="1"/>
  <c r="V53" i="43"/>
  <c r="AK53" i="43" s="1"/>
  <c r="Y53" i="43"/>
  <c r="Z53" i="43"/>
  <c r="AA53" i="43"/>
  <c r="AB53" i="43"/>
  <c r="AL53" i="43" s="1"/>
  <c r="AS53" i="43" s="1" a="1"/>
  <c r="AS53" i="43" s="1"/>
  <c r="AW53" i="43" s="1"/>
  <c r="AD53" i="43"/>
  <c r="AI53" i="43"/>
  <c r="AN53" i="43"/>
  <c r="AO53" i="43"/>
  <c r="AP53" i="43"/>
  <c r="AQ53" i="43"/>
  <c r="AR53" i="43"/>
  <c r="AT53" i="43"/>
  <c r="J54" i="43"/>
  <c r="O54" i="43"/>
  <c r="S54" i="43"/>
  <c r="P54" i="43" s="1"/>
  <c r="V54" i="43"/>
  <c r="Y54" i="43"/>
  <c r="AL54" i="43" s="1"/>
  <c r="AS54" i="43" s="1" a="1"/>
  <c r="AS54" i="43" s="1"/>
  <c r="Z54" i="43"/>
  <c r="AA54" i="43"/>
  <c r="AB54" i="43"/>
  <c r="AD54" i="43"/>
  <c r="AI54" i="43"/>
  <c r="AK54" i="43"/>
  <c r="AN54" i="43"/>
  <c r="AT54" i="43" s="1"/>
  <c r="AO54" i="43"/>
  <c r="AP54" i="43"/>
  <c r="AQ54" i="43"/>
  <c r="AR54" i="43"/>
  <c r="J55" i="43"/>
  <c r="O55" i="43"/>
  <c r="P55" i="43"/>
  <c r="S55" i="43"/>
  <c r="AN55" i="43" s="1"/>
  <c r="AT55" i="43" s="1"/>
  <c r="V55" i="43"/>
  <c r="Y55" i="43"/>
  <c r="AA55" i="43" s="1"/>
  <c r="Z55" i="43"/>
  <c r="AB55" i="43"/>
  <c r="AL55" i="43" s="1"/>
  <c r="AS55" i="43" s="1" a="1"/>
  <c r="AS55" i="43" s="1"/>
  <c r="AW55" i="43" s="1"/>
  <c r="AD55" i="43"/>
  <c r="AI55" i="43"/>
  <c r="AK55" i="43"/>
  <c r="AO55" i="43"/>
  <c r="AQ55" i="43"/>
  <c r="AR55" i="43"/>
  <c r="J56" i="43"/>
  <c r="O56" i="43"/>
  <c r="S56" i="43"/>
  <c r="P56" i="43" s="1"/>
  <c r="V56" i="43"/>
  <c r="Y56" i="43"/>
  <c r="Z56" i="43"/>
  <c r="AA56" i="43"/>
  <c r="AD56" i="43"/>
  <c r="AI56" i="43"/>
  <c r="AK56" i="43"/>
  <c r="AO56" i="43"/>
  <c r="AQ56" i="43"/>
  <c r="AR56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AO57" i="44"/>
  <c r="AO67" i="44"/>
  <c r="J44" i="44"/>
  <c r="K44" i="44"/>
  <c r="L44" i="44"/>
  <c r="O44" i="44" s="1"/>
  <c r="Q44" i="44"/>
  <c r="AR44" i="44" s="1"/>
  <c r="R44" i="44"/>
  <c r="R44" i="36" s="1"/>
  <c r="T44" i="44"/>
  <c r="U44" i="44"/>
  <c r="U44" i="36" s="1"/>
  <c r="W44" i="44"/>
  <c r="W44" i="36" s="1"/>
  <c r="X44" i="44"/>
  <c r="X44" i="36" s="1"/>
  <c r="Z44" i="44"/>
  <c r="AC44" i="44"/>
  <c r="AC44" i="36" s="1"/>
  <c r="AE44" i="44"/>
  <c r="AE44" i="36" s="1"/>
  <c r="AF44" i="44"/>
  <c r="AF44" i="36" s="1"/>
  <c r="AG44" i="44"/>
  <c r="AG44" i="36" s="1"/>
  <c r="AJ44" i="44"/>
  <c r="AJ44" i="36" s="1"/>
  <c r="AO44" i="44"/>
  <c r="J45" i="44"/>
  <c r="K45" i="44"/>
  <c r="L45" i="44"/>
  <c r="Z45" i="44" s="1"/>
  <c r="Q45" i="44"/>
  <c r="Q45" i="36" s="1"/>
  <c r="R45" i="44"/>
  <c r="R45" i="36" s="1"/>
  <c r="T45" i="44"/>
  <c r="U45" i="44"/>
  <c r="U45" i="36" s="1"/>
  <c r="W45" i="44"/>
  <c r="W45" i="36" s="1"/>
  <c r="X45" i="44"/>
  <c r="X45" i="36" s="1"/>
  <c r="AC45" i="44"/>
  <c r="AC45" i="36" s="1"/>
  <c r="AE45" i="44"/>
  <c r="AE45" i="36" s="1"/>
  <c r="AF45" i="44"/>
  <c r="AF45" i="36" s="1"/>
  <c r="AG45" i="44"/>
  <c r="AG45" i="36" s="1"/>
  <c r="AJ45" i="44"/>
  <c r="AJ45" i="36" s="1"/>
  <c r="AO45" i="44"/>
  <c r="J46" i="44"/>
  <c r="K46" i="44"/>
  <c r="L46" i="44"/>
  <c r="O46" i="44" s="1"/>
  <c r="Q46" i="44"/>
  <c r="AR46" i="44" s="1"/>
  <c r="R46" i="44"/>
  <c r="R46" i="36" s="1"/>
  <c r="T46" i="44"/>
  <c r="U46" i="44"/>
  <c r="U46" i="36" s="1"/>
  <c r="W46" i="44"/>
  <c r="W46" i="36" s="1"/>
  <c r="X46" i="44"/>
  <c r="X46" i="36" s="1"/>
  <c r="Z46" i="44"/>
  <c r="AC46" i="44"/>
  <c r="AC46" i="36" s="1"/>
  <c r="AE46" i="44"/>
  <c r="AE46" i="36" s="1"/>
  <c r="AF46" i="44"/>
  <c r="AF46" i="36" s="1"/>
  <c r="AG46" i="44"/>
  <c r="AG46" i="36" s="1"/>
  <c r="AJ46" i="44"/>
  <c r="AJ46" i="36" s="1"/>
  <c r="AO46" i="44"/>
  <c r="J47" i="44"/>
  <c r="K47" i="44"/>
  <c r="L47" i="44"/>
  <c r="Z47" i="44" s="1"/>
  <c r="Q47" i="44"/>
  <c r="Q47" i="36" s="1"/>
  <c r="R47" i="44"/>
  <c r="R47" i="36" s="1"/>
  <c r="T47" i="44"/>
  <c r="T47" i="36" s="1"/>
  <c r="U47" i="44"/>
  <c r="U47" i="36" s="1"/>
  <c r="W47" i="44"/>
  <c r="X47" i="44"/>
  <c r="X47" i="36" s="1"/>
  <c r="AC47" i="44"/>
  <c r="AC47" i="36" s="1"/>
  <c r="AE47" i="44"/>
  <c r="AE47" i="36" s="1"/>
  <c r="AF47" i="44"/>
  <c r="AF47" i="36" s="1"/>
  <c r="AG47" i="44"/>
  <c r="AG47" i="36" s="1"/>
  <c r="AJ47" i="44"/>
  <c r="AJ47" i="36" s="1"/>
  <c r="AO47" i="44"/>
  <c r="J48" i="44"/>
  <c r="K48" i="44"/>
  <c r="L48" i="44"/>
  <c r="O48" i="44" s="1"/>
  <c r="Q48" i="44"/>
  <c r="AR48" i="44" s="1"/>
  <c r="R48" i="44"/>
  <c r="R48" i="36" s="1"/>
  <c r="T48" i="44"/>
  <c r="T48" i="36" s="1"/>
  <c r="U48" i="44"/>
  <c r="U48" i="36" s="1"/>
  <c r="W48" i="44"/>
  <c r="X48" i="44"/>
  <c r="X48" i="36" s="1"/>
  <c r="Z48" i="44"/>
  <c r="AC48" i="44"/>
  <c r="AC48" i="36" s="1"/>
  <c r="AE48" i="44"/>
  <c r="AE48" i="36" s="1"/>
  <c r="AF48" i="44"/>
  <c r="AF48" i="36" s="1"/>
  <c r="AG48" i="44"/>
  <c r="AG48" i="36" s="1"/>
  <c r="AJ48" i="44"/>
  <c r="AJ48" i="36" s="1"/>
  <c r="AO48" i="44"/>
  <c r="J49" i="44"/>
  <c r="K49" i="44"/>
  <c r="L49" i="44"/>
  <c r="Z49" i="44" s="1"/>
  <c r="Q49" i="44"/>
  <c r="AR49" i="44" s="1"/>
  <c r="R49" i="44"/>
  <c r="R49" i="36" s="1"/>
  <c r="T49" i="44"/>
  <c r="T49" i="36" s="1"/>
  <c r="U49" i="44"/>
  <c r="U49" i="36" s="1"/>
  <c r="W49" i="44"/>
  <c r="W49" i="36" s="1"/>
  <c r="X49" i="44"/>
  <c r="X49" i="36" s="1"/>
  <c r="AC49" i="44"/>
  <c r="AC49" i="36" s="1"/>
  <c r="AE49" i="44"/>
  <c r="AF49" i="44"/>
  <c r="AF49" i="36" s="1"/>
  <c r="AG49" i="44"/>
  <c r="AG49" i="36" s="1"/>
  <c r="AJ49" i="44"/>
  <c r="AJ49" i="36" s="1"/>
  <c r="AO49" i="44"/>
  <c r="J50" i="44"/>
  <c r="K50" i="44"/>
  <c r="L50" i="44"/>
  <c r="O50" i="44" s="1"/>
  <c r="Q50" i="44"/>
  <c r="AR50" i="44" s="1"/>
  <c r="R50" i="44"/>
  <c r="R50" i="36" s="1"/>
  <c r="T50" i="44"/>
  <c r="U50" i="44"/>
  <c r="U50" i="36" s="1"/>
  <c r="W50" i="44"/>
  <c r="W50" i="36" s="1"/>
  <c r="X50" i="44"/>
  <c r="AC50" i="44"/>
  <c r="AC50" i="36" s="1"/>
  <c r="AE50" i="44"/>
  <c r="AE50" i="36" s="1"/>
  <c r="AF50" i="44"/>
  <c r="AF50" i="36" s="1"/>
  <c r="AG50" i="44"/>
  <c r="AG50" i="36" s="1"/>
  <c r="AJ50" i="44"/>
  <c r="AJ50" i="36" s="1"/>
  <c r="AO50" i="44"/>
  <c r="J51" i="44"/>
  <c r="K51" i="44"/>
  <c r="L51" i="44"/>
  <c r="Z51" i="44" s="1"/>
  <c r="Q51" i="44"/>
  <c r="Q51" i="36" s="1"/>
  <c r="R51" i="44"/>
  <c r="R51" i="36" s="1"/>
  <c r="T51" i="44"/>
  <c r="T51" i="36" s="1"/>
  <c r="U51" i="44"/>
  <c r="U51" i="36" s="1"/>
  <c r="W51" i="44"/>
  <c r="W51" i="36" s="1"/>
  <c r="X51" i="44"/>
  <c r="X51" i="36" s="1"/>
  <c r="AC51" i="44"/>
  <c r="AC51" i="36" s="1"/>
  <c r="AE51" i="44"/>
  <c r="AQ51" i="44" s="1"/>
  <c r="AF51" i="44"/>
  <c r="AF51" i="36" s="1"/>
  <c r="AG51" i="44"/>
  <c r="AG51" i="36" s="1"/>
  <c r="AJ51" i="44"/>
  <c r="AJ51" i="36" s="1"/>
  <c r="AO51" i="44"/>
  <c r="J52" i="44"/>
  <c r="K52" i="44"/>
  <c r="L52" i="44"/>
  <c r="O52" i="44" s="1"/>
  <c r="Q52" i="44"/>
  <c r="AR52" i="44" s="1"/>
  <c r="R52" i="44"/>
  <c r="R52" i="36" s="1"/>
  <c r="T52" i="44"/>
  <c r="U52" i="44"/>
  <c r="U52" i="36" s="1"/>
  <c r="W52" i="44"/>
  <c r="X52" i="44"/>
  <c r="X52" i="36" s="1"/>
  <c r="Z52" i="44"/>
  <c r="AC52" i="44"/>
  <c r="AC52" i="36" s="1"/>
  <c r="AE52" i="44"/>
  <c r="AE52" i="36" s="1"/>
  <c r="AF52" i="44"/>
  <c r="AF52" i="36" s="1"/>
  <c r="AG52" i="44"/>
  <c r="AG52" i="36" s="1"/>
  <c r="AJ52" i="44"/>
  <c r="AJ52" i="36" s="1"/>
  <c r="AO52" i="44"/>
  <c r="J53" i="44"/>
  <c r="K53" i="44"/>
  <c r="L53" i="44"/>
  <c r="Z53" i="44" s="1"/>
  <c r="Q53" i="44"/>
  <c r="Q53" i="36" s="1"/>
  <c r="S53" i="36" s="1"/>
  <c r="AB53" i="36" s="1"/>
  <c r="R53" i="44"/>
  <c r="R53" i="36" s="1"/>
  <c r="T53" i="44"/>
  <c r="U53" i="44"/>
  <c r="U53" i="36" s="1"/>
  <c r="W53" i="44"/>
  <c r="W53" i="36" s="1"/>
  <c r="X53" i="44"/>
  <c r="X53" i="36" s="1"/>
  <c r="AC53" i="44"/>
  <c r="AC53" i="36" s="1"/>
  <c r="AE53" i="44"/>
  <c r="AF53" i="44"/>
  <c r="AF53" i="36" s="1"/>
  <c r="AG53" i="44"/>
  <c r="AG53" i="36" s="1"/>
  <c r="AJ53" i="44"/>
  <c r="AJ53" i="36" s="1"/>
  <c r="AO53" i="44"/>
  <c r="J54" i="44"/>
  <c r="K54" i="44"/>
  <c r="L54" i="44"/>
  <c r="O54" i="44" s="1"/>
  <c r="Q54" i="44"/>
  <c r="AR54" i="44" s="1"/>
  <c r="R54" i="44"/>
  <c r="T54" i="44"/>
  <c r="T54" i="36" s="1"/>
  <c r="U54" i="44"/>
  <c r="U54" i="36" s="1"/>
  <c r="W54" i="44"/>
  <c r="X54" i="44"/>
  <c r="X54" i="36" s="1"/>
  <c r="AC54" i="44"/>
  <c r="AC54" i="36" s="1"/>
  <c r="AE54" i="44"/>
  <c r="AE54" i="36" s="1"/>
  <c r="AF54" i="44"/>
  <c r="AF54" i="36" s="1"/>
  <c r="AG54" i="44"/>
  <c r="AG54" i="36" s="1"/>
  <c r="AJ54" i="44"/>
  <c r="AJ54" i="36" s="1"/>
  <c r="AO54" i="44"/>
  <c r="J55" i="44"/>
  <c r="K55" i="44"/>
  <c r="L55" i="44"/>
  <c r="Z55" i="44" s="1"/>
  <c r="O55" i="44"/>
  <c r="Q55" i="44"/>
  <c r="Q55" i="36" s="1"/>
  <c r="S55" i="36" s="1"/>
  <c r="AB55" i="36" s="1"/>
  <c r="R55" i="44"/>
  <c r="R55" i="36" s="1"/>
  <c r="T55" i="44"/>
  <c r="T55" i="36" s="1"/>
  <c r="U55" i="44"/>
  <c r="U55" i="36" s="1"/>
  <c r="W55" i="44"/>
  <c r="W55" i="36" s="1"/>
  <c r="X55" i="44"/>
  <c r="X55" i="36" s="1"/>
  <c r="AC55" i="44"/>
  <c r="AC55" i="36" s="1"/>
  <c r="AE55" i="44"/>
  <c r="AE55" i="36" s="1"/>
  <c r="AF55" i="44"/>
  <c r="AF55" i="36" s="1"/>
  <c r="AG55" i="44"/>
  <c r="AG55" i="36" s="1"/>
  <c r="AJ55" i="44"/>
  <c r="AJ55" i="36" s="1"/>
  <c r="AO55" i="44"/>
  <c r="J56" i="44"/>
  <c r="K56" i="44"/>
  <c r="L56" i="44"/>
  <c r="O56" i="44" s="1"/>
  <c r="Q56" i="44"/>
  <c r="AR56" i="44" s="1"/>
  <c r="R56" i="44"/>
  <c r="R56" i="36" s="1"/>
  <c r="T56" i="44"/>
  <c r="T56" i="36" s="1"/>
  <c r="U56" i="44"/>
  <c r="U56" i="36" s="1"/>
  <c r="W56" i="44"/>
  <c r="W56" i="36" s="1"/>
  <c r="X56" i="44"/>
  <c r="X56" i="36" s="1"/>
  <c r="Z56" i="44"/>
  <c r="AC56" i="44"/>
  <c r="AC56" i="36" s="1"/>
  <c r="AE56" i="44"/>
  <c r="AQ56" i="44" s="1"/>
  <c r="AF56" i="44"/>
  <c r="AF56" i="36" s="1"/>
  <c r="AG56" i="44"/>
  <c r="AG56" i="36" s="1"/>
  <c r="AJ56" i="44"/>
  <c r="AJ56" i="36" s="1"/>
  <c r="AO56" i="44"/>
  <c r="F44" i="44"/>
  <c r="E44" i="44" s="1"/>
  <c r="G44" i="44"/>
  <c r="H44" i="44"/>
  <c r="F45" i="44"/>
  <c r="E45" i="44" s="1"/>
  <c r="G45" i="44"/>
  <c r="H45" i="44"/>
  <c r="F46" i="44"/>
  <c r="G46" i="44"/>
  <c r="H46" i="44"/>
  <c r="E46" i="44" s="1"/>
  <c r="F47" i="44"/>
  <c r="G47" i="44"/>
  <c r="E47" i="44" s="1"/>
  <c r="H47" i="44"/>
  <c r="F48" i="44"/>
  <c r="G48" i="44"/>
  <c r="H48" i="44"/>
  <c r="E48" i="44" s="1"/>
  <c r="F49" i="44"/>
  <c r="G49" i="44"/>
  <c r="E49" i="44" s="1"/>
  <c r="H49" i="44"/>
  <c r="F50" i="44"/>
  <c r="G50" i="44"/>
  <c r="H50" i="44"/>
  <c r="E50" i="44" s="1"/>
  <c r="F51" i="44"/>
  <c r="G51" i="44"/>
  <c r="E51" i="44" s="1"/>
  <c r="H51" i="44"/>
  <c r="F52" i="44"/>
  <c r="G52" i="44"/>
  <c r="H52" i="44"/>
  <c r="E52" i="44" s="1"/>
  <c r="F53" i="44"/>
  <c r="G53" i="44"/>
  <c r="E53" i="44" s="1"/>
  <c r="H53" i="44"/>
  <c r="F54" i="44"/>
  <c r="G54" i="44"/>
  <c r="H54" i="44"/>
  <c r="E54" i="44" s="1"/>
  <c r="F55" i="44"/>
  <c r="G55" i="44"/>
  <c r="E55" i="44" s="1"/>
  <c r="H55" i="44"/>
  <c r="F56" i="44"/>
  <c r="G56" i="44"/>
  <c r="H56" i="44"/>
  <c r="E56" i="44" s="1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J58" i="45"/>
  <c r="K38" i="45" s="1"/>
  <c r="C58" i="45"/>
  <c r="D42" i="45" s="1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Y20" i="3"/>
  <c r="Y19" i="3"/>
  <c r="Y18" i="3"/>
  <c r="Y17" i="3"/>
  <c r="Y37" i="3" s="1"/>
  <c r="T43" i="3"/>
  <c r="V43" i="3"/>
  <c r="AA43" i="3"/>
  <c r="AI70" i="44"/>
  <c r="AJ66" i="44"/>
  <c r="AJ66" i="36" s="1"/>
  <c r="AJ65" i="44"/>
  <c r="AJ65" i="36" s="1"/>
  <c r="AJ64" i="44"/>
  <c r="AJ64" i="36" s="1"/>
  <c r="AJ63" i="44"/>
  <c r="AJ63" i="36" s="1"/>
  <c r="AJ62" i="44"/>
  <c r="AJ62" i="36" s="1"/>
  <c r="AJ61" i="44"/>
  <c r="AJ61" i="36" s="1"/>
  <c r="AJ60" i="44"/>
  <c r="AJ43" i="44"/>
  <c r="AJ43" i="36" s="1"/>
  <c r="AJ42" i="44"/>
  <c r="AJ42" i="36" s="1"/>
  <c r="AJ41" i="44"/>
  <c r="AJ41" i="36" s="1"/>
  <c r="AJ40" i="44"/>
  <c r="AJ40" i="36" s="1"/>
  <c r="AJ39" i="44"/>
  <c r="AJ39" i="36" s="1"/>
  <c r="AJ38" i="44"/>
  <c r="AJ38" i="36" s="1"/>
  <c r="AJ37" i="44"/>
  <c r="AJ37" i="36" s="1"/>
  <c r="AJ36" i="44"/>
  <c r="AJ36" i="36" s="1"/>
  <c r="AJ35" i="44"/>
  <c r="AJ35" i="36" s="1"/>
  <c r="AJ34" i="44"/>
  <c r="AJ34" i="36" s="1"/>
  <c r="AJ33" i="44"/>
  <c r="AJ33" i="36" s="1"/>
  <c r="AJ32" i="44"/>
  <c r="AJ32" i="36" s="1"/>
  <c r="AJ31" i="44"/>
  <c r="AJ31" i="36" s="1"/>
  <c r="AJ30" i="44"/>
  <c r="AJ30" i="36" s="1"/>
  <c r="AJ29" i="44"/>
  <c r="AJ29" i="36" s="1"/>
  <c r="AJ28" i="44"/>
  <c r="AJ28" i="36" s="1"/>
  <c r="AJ27" i="44"/>
  <c r="AJ27" i="36" s="1"/>
  <c r="AJ26" i="44"/>
  <c r="AJ26" i="36" s="1"/>
  <c r="AJ25" i="44"/>
  <c r="AJ25" i="36" s="1"/>
  <c r="AJ24" i="44"/>
  <c r="AJ24" i="36" s="1"/>
  <c r="AJ23" i="44"/>
  <c r="AJ23" i="36" s="1"/>
  <c r="AJ22" i="44"/>
  <c r="AJ22" i="36" s="1"/>
  <c r="AJ21" i="44"/>
  <c r="AJ21" i="36" s="1"/>
  <c r="AJ20" i="44"/>
  <c r="AJ20" i="36" s="1"/>
  <c r="AJ19" i="44"/>
  <c r="AJ19" i="36" s="1"/>
  <c r="AJ18" i="44"/>
  <c r="AJ18" i="36" s="1"/>
  <c r="AJ17" i="44"/>
  <c r="AJ17" i="36" s="1"/>
  <c r="AJ16" i="44"/>
  <c r="AJ16" i="36" s="1"/>
  <c r="AJ15" i="44"/>
  <c r="AJ15" i="36" s="1"/>
  <c r="AJ14" i="44"/>
  <c r="AJ14" i="36" s="1"/>
  <c r="AJ13" i="44"/>
  <c r="AJ13" i="36" s="1"/>
  <c r="AJ12" i="44"/>
  <c r="AJ12" i="36" s="1"/>
  <c r="AJ11" i="44"/>
  <c r="AJ11" i="36" s="1"/>
  <c r="AJ10" i="44"/>
  <c r="AJ10" i="36" s="1"/>
  <c r="AJ9" i="44"/>
  <c r="AJ9" i="36" s="1"/>
  <c r="AJ8" i="44"/>
  <c r="AJ8" i="36" s="1"/>
  <c r="AJ7" i="44"/>
  <c r="AJ7" i="36" s="1"/>
  <c r="AJ6" i="44"/>
  <c r="AJ6" i="36" s="1"/>
  <c r="AJ5" i="44"/>
  <c r="AJ5" i="36" s="1"/>
  <c r="AJ4" i="44"/>
  <c r="AJ4" i="36" s="1"/>
  <c r="AJ3" i="44"/>
  <c r="AG66" i="44"/>
  <c r="AG66" i="36" s="1"/>
  <c r="AG65" i="44"/>
  <c r="AG65" i="36" s="1"/>
  <c r="AG64" i="44"/>
  <c r="AG64" i="36" s="1"/>
  <c r="AG63" i="44"/>
  <c r="AG63" i="36" s="1"/>
  <c r="AG62" i="44"/>
  <c r="AG62" i="36" s="1"/>
  <c r="AG61" i="44"/>
  <c r="AG60" i="44"/>
  <c r="AG60" i="36" s="1"/>
  <c r="AG43" i="44"/>
  <c r="AG43" i="36" s="1"/>
  <c r="AG42" i="44"/>
  <c r="AG42" i="36" s="1"/>
  <c r="AG41" i="44"/>
  <c r="AG41" i="36" s="1"/>
  <c r="AG40" i="44"/>
  <c r="AG40" i="36" s="1"/>
  <c r="AG39" i="44"/>
  <c r="AG39" i="36" s="1"/>
  <c r="AG38" i="44"/>
  <c r="AG38" i="36" s="1"/>
  <c r="AG37" i="44"/>
  <c r="AG37" i="36" s="1"/>
  <c r="AG36" i="44"/>
  <c r="AG36" i="36" s="1"/>
  <c r="AG35" i="44"/>
  <c r="AG35" i="36" s="1"/>
  <c r="AG34" i="44"/>
  <c r="AG34" i="36" s="1"/>
  <c r="AG33" i="44"/>
  <c r="AG33" i="36" s="1"/>
  <c r="AG32" i="44"/>
  <c r="AG32" i="36" s="1"/>
  <c r="AG31" i="44"/>
  <c r="AG31" i="36" s="1"/>
  <c r="AG30" i="44"/>
  <c r="AG30" i="36" s="1"/>
  <c r="AG29" i="44"/>
  <c r="AG29" i="36" s="1"/>
  <c r="AG28" i="44"/>
  <c r="AG28" i="36" s="1"/>
  <c r="AG27" i="44"/>
  <c r="AG27" i="36" s="1"/>
  <c r="AG26" i="44"/>
  <c r="AG26" i="36" s="1"/>
  <c r="AG25" i="44"/>
  <c r="AG25" i="36" s="1"/>
  <c r="AG24" i="44"/>
  <c r="AG24" i="36" s="1"/>
  <c r="AG23" i="44"/>
  <c r="AG23" i="36" s="1"/>
  <c r="AG22" i="44"/>
  <c r="AG22" i="36" s="1"/>
  <c r="AG21" i="44"/>
  <c r="AG21" i="36" s="1"/>
  <c r="AG20" i="44"/>
  <c r="AG20" i="36" s="1"/>
  <c r="AG19" i="44"/>
  <c r="AG19" i="36" s="1"/>
  <c r="AG18" i="44"/>
  <c r="AG18" i="36" s="1"/>
  <c r="AG17" i="44"/>
  <c r="AG17" i="36" s="1"/>
  <c r="AG16" i="44"/>
  <c r="AG16" i="36" s="1"/>
  <c r="AG15" i="44"/>
  <c r="AG15" i="36" s="1"/>
  <c r="AG14" i="44"/>
  <c r="AG14" i="36" s="1"/>
  <c r="AG13" i="44"/>
  <c r="AG13" i="36" s="1"/>
  <c r="AG12" i="44"/>
  <c r="AG12" i="36" s="1"/>
  <c r="AG11" i="44"/>
  <c r="AG11" i="36" s="1"/>
  <c r="AG10" i="44"/>
  <c r="AG10" i="36" s="1"/>
  <c r="AG9" i="44"/>
  <c r="AG9" i="36" s="1"/>
  <c r="AG8" i="44"/>
  <c r="AG8" i="36" s="1"/>
  <c r="AG7" i="44"/>
  <c r="AG7" i="36" s="1"/>
  <c r="AG6" i="44"/>
  <c r="AG6" i="36" s="1"/>
  <c r="AG5" i="44"/>
  <c r="AG5" i="36" s="1"/>
  <c r="AG4" i="44"/>
  <c r="AG58" i="44" s="1"/>
  <c r="AG3" i="44"/>
  <c r="AG3" i="36" s="1"/>
  <c r="AF66" i="44"/>
  <c r="AF66" i="36" s="1"/>
  <c r="AF65" i="44"/>
  <c r="AF65" i="36" s="1"/>
  <c r="AF64" i="44"/>
  <c r="AF64" i="36" s="1"/>
  <c r="AF63" i="44"/>
  <c r="AF63" i="36" s="1"/>
  <c r="AF62" i="44"/>
  <c r="AF62" i="36" s="1"/>
  <c r="AF61" i="44"/>
  <c r="AF61" i="36" s="1"/>
  <c r="AF60" i="44"/>
  <c r="AF43" i="44"/>
  <c r="AF43" i="36" s="1"/>
  <c r="AF42" i="44"/>
  <c r="AF42" i="36" s="1"/>
  <c r="AF41" i="44"/>
  <c r="AF41" i="36" s="1"/>
  <c r="AF40" i="44"/>
  <c r="AF40" i="36" s="1"/>
  <c r="AF39" i="44"/>
  <c r="AF39" i="36" s="1"/>
  <c r="AF38" i="44"/>
  <c r="AF38" i="36" s="1"/>
  <c r="AF37" i="44"/>
  <c r="AF37" i="36" s="1"/>
  <c r="AF36" i="44"/>
  <c r="AF36" i="36" s="1"/>
  <c r="AF35" i="44"/>
  <c r="AF35" i="36" s="1"/>
  <c r="AF34" i="44"/>
  <c r="AF34" i="36" s="1"/>
  <c r="AF33" i="44"/>
  <c r="AF33" i="36" s="1"/>
  <c r="AF32" i="44"/>
  <c r="AF32" i="36" s="1"/>
  <c r="AF31" i="44"/>
  <c r="AF31" i="36" s="1"/>
  <c r="AF30" i="44"/>
  <c r="AF30" i="36" s="1"/>
  <c r="AF29" i="44"/>
  <c r="AF29" i="36" s="1"/>
  <c r="AF28" i="44"/>
  <c r="AF28" i="36" s="1"/>
  <c r="AF27" i="44"/>
  <c r="AF27" i="36" s="1"/>
  <c r="AF26" i="44"/>
  <c r="AF25" i="44"/>
  <c r="AF25" i="36" s="1"/>
  <c r="AF24" i="44"/>
  <c r="AF24" i="36" s="1"/>
  <c r="AF23" i="44"/>
  <c r="AF23" i="36" s="1"/>
  <c r="AF22" i="44"/>
  <c r="AF22" i="36" s="1"/>
  <c r="AF21" i="44"/>
  <c r="AF21" i="36" s="1"/>
  <c r="AF20" i="44"/>
  <c r="AF20" i="36" s="1"/>
  <c r="AF19" i="44"/>
  <c r="AF19" i="36" s="1"/>
  <c r="AF18" i="44"/>
  <c r="AF18" i="36" s="1"/>
  <c r="AF17" i="44"/>
  <c r="AF17" i="36" s="1"/>
  <c r="AF16" i="44"/>
  <c r="AF16" i="36" s="1"/>
  <c r="AF15" i="44"/>
  <c r="AF15" i="36" s="1"/>
  <c r="AF14" i="44"/>
  <c r="AF14" i="36" s="1"/>
  <c r="AF13" i="44"/>
  <c r="AF13" i="36" s="1"/>
  <c r="AF12" i="44"/>
  <c r="AF12" i="36" s="1"/>
  <c r="AF11" i="44"/>
  <c r="AF11" i="36" s="1"/>
  <c r="AF10" i="44"/>
  <c r="AF10" i="36" s="1"/>
  <c r="AF9" i="44"/>
  <c r="AF9" i="36" s="1"/>
  <c r="AF8" i="44"/>
  <c r="AF8" i="36" s="1"/>
  <c r="AF7" i="44"/>
  <c r="AF7" i="36" s="1"/>
  <c r="AF6" i="44"/>
  <c r="AF6" i="36" s="1"/>
  <c r="AF5" i="44"/>
  <c r="AF5" i="36" s="1"/>
  <c r="AF4" i="44"/>
  <c r="AF4" i="36" s="1"/>
  <c r="AF3" i="44"/>
  <c r="AE66" i="44"/>
  <c r="AE66" i="36" s="1"/>
  <c r="AE65" i="44"/>
  <c r="AE65" i="36" s="1"/>
  <c r="AE64" i="44"/>
  <c r="AE64" i="36" s="1"/>
  <c r="AE63" i="44"/>
  <c r="AE62" i="44"/>
  <c r="AE61" i="44"/>
  <c r="AE60" i="44"/>
  <c r="AE60" i="36" s="1"/>
  <c r="AE43" i="44"/>
  <c r="AE43" i="36" s="1"/>
  <c r="AE42" i="44"/>
  <c r="AE42" i="36" s="1"/>
  <c r="AE41" i="44"/>
  <c r="AE41" i="36" s="1"/>
  <c r="AE40" i="44"/>
  <c r="AE40" i="36" s="1"/>
  <c r="AE39" i="44"/>
  <c r="AE38" i="44"/>
  <c r="AE38" i="36" s="1"/>
  <c r="AE37" i="44"/>
  <c r="AE37" i="36" s="1"/>
  <c r="AE36" i="44"/>
  <c r="AE36" i="36" s="1"/>
  <c r="AE35" i="44"/>
  <c r="AE35" i="36" s="1"/>
  <c r="AE34" i="44"/>
  <c r="AE34" i="36" s="1"/>
  <c r="AE33" i="44"/>
  <c r="AE33" i="36" s="1"/>
  <c r="AE32" i="44"/>
  <c r="AE31" i="44"/>
  <c r="AE31" i="36" s="1"/>
  <c r="AE30" i="44"/>
  <c r="AE30" i="36" s="1"/>
  <c r="AE29" i="44"/>
  <c r="AE29" i="36" s="1"/>
  <c r="AE28" i="44"/>
  <c r="AE28" i="36" s="1"/>
  <c r="AE27" i="44"/>
  <c r="AE27" i="36" s="1"/>
  <c r="AE26" i="44"/>
  <c r="AE26" i="36" s="1"/>
  <c r="AE25" i="44"/>
  <c r="AE25" i="36" s="1"/>
  <c r="AE24" i="44"/>
  <c r="AE23" i="44"/>
  <c r="AE22" i="44"/>
  <c r="AE22" i="36" s="1"/>
  <c r="AE21" i="44"/>
  <c r="AE21" i="36" s="1"/>
  <c r="AE20" i="44"/>
  <c r="AE20" i="36" s="1"/>
  <c r="AE19" i="44"/>
  <c r="AE19" i="36" s="1"/>
  <c r="AE18" i="44"/>
  <c r="AE18" i="36" s="1"/>
  <c r="AE17" i="44"/>
  <c r="AE17" i="36" s="1"/>
  <c r="AE16" i="44"/>
  <c r="AE16" i="36" s="1"/>
  <c r="AE15" i="44"/>
  <c r="AE14" i="44"/>
  <c r="AE14" i="36" s="1"/>
  <c r="AE13" i="44"/>
  <c r="AE13" i="36" s="1"/>
  <c r="AE12" i="44"/>
  <c r="AE12" i="36" s="1"/>
  <c r="AE11" i="44"/>
  <c r="AE11" i="36" s="1"/>
  <c r="AE10" i="44"/>
  <c r="AE10" i="36" s="1"/>
  <c r="AE9" i="44"/>
  <c r="AE9" i="36" s="1"/>
  <c r="AE8" i="44"/>
  <c r="AE8" i="36" s="1"/>
  <c r="AE7" i="44"/>
  <c r="AE7" i="36" s="1"/>
  <c r="AE6" i="44"/>
  <c r="AE6" i="36" s="1"/>
  <c r="AE5" i="44"/>
  <c r="AE5" i="36" s="1"/>
  <c r="AE4" i="44"/>
  <c r="AE4" i="36" s="1"/>
  <c r="AE3" i="44"/>
  <c r="AE3" i="36" s="1"/>
  <c r="AC66" i="44"/>
  <c r="AC66" i="36" s="1"/>
  <c r="AC65" i="44"/>
  <c r="AC65" i="36" s="1"/>
  <c r="AC64" i="44"/>
  <c r="AC64" i="36" s="1"/>
  <c r="AC63" i="44"/>
  <c r="AC63" i="36" s="1"/>
  <c r="AC62" i="44"/>
  <c r="AC62" i="36" s="1"/>
  <c r="AC61" i="44"/>
  <c r="AC61" i="36" s="1"/>
  <c r="AC60" i="44"/>
  <c r="AC43" i="44"/>
  <c r="AC43" i="36" s="1"/>
  <c r="AC42" i="44"/>
  <c r="AC42" i="36" s="1"/>
  <c r="AC41" i="44"/>
  <c r="AC41" i="36" s="1"/>
  <c r="AC40" i="44"/>
  <c r="AC40" i="36" s="1"/>
  <c r="AC39" i="44"/>
  <c r="AC39" i="36" s="1"/>
  <c r="AC38" i="44"/>
  <c r="AC38" i="36" s="1"/>
  <c r="AC37" i="44"/>
  <c r="AC37" i="36" s="1"/>
  <c r="AC36" i="44"/>
  <c r="AC36" i="36" s="1"/>
  <c r="AC35" i="44"/>
  <c r="AC35" i="36" s="1"/>
  <c r="AC34" i="44"/>
  <c r="AC34" i="36" s="1"/>
  <c r="AC33" i="44"/>
  <c r="AC33" i="36" s="1"/>
  <c r="AC32" i="44"/>
  <c r="AC32" i="36" s="1"/>
  <c r="AC31" i="44"/>
  <c r="AC31" i="36" s="1"/>
  <c r="AC30" i="44"/>
  <c r="AC30" i="36" s="1"/>
  <c r="AC29" i="44"/>
  <c r="AC29" i="36" s="1"/>
  <c r="AC28" i="44"/>
  <c r="AC28" i="36" s="1"/>
  <c r="AC27" i="44"/>
  <c r="AC27" i="36" s="1"/>
  <c r="AC26" i="44"/>
  <c r="AC26" i="36" s="1"/>
  <c r="AC25" i="44"/>
  <c r="AC25" i="36" s="1"/>
  <c r="AC24" i="44"/>
  <c r="AC24" i="36" s="1"/>
  <c r="AC23" i="44"/>
  <c r="AC23" i="36" s="1"/>
  <c r="AC22" i="44"/>
  <c r="AC22" i="36" s="1"/>
  <c r="AC21" i="44"/>
  <c r="AC21" i="36" s="1"/>
  <c r="AC20" i="44"/>
  <c r="AC20" i="36" s="1"/>
  <c r="AC19" i="44"/>
  <c r="AC19" i="36" s="1"/>
  <c r="AC18" i="44"/>
  <c r="AC18" i="36" s="1"/>
  <c r="AC17" i="44"/>
  <c r="AC17" i="36" s="1"/>
  <c r="AC16" i="44"/>
  <c r="AC16" i="36" s="1"/>
  <c r="AC15" i="44"/>
  <c r="AC15" i="36" s="1"/>
  <c r="AC14" i="44"/>
  <c r="AC14" i="36" s="1"/>
  <c r="AC13" i="44"/>
  <c r="AC13" i="36" s="1"/>
  <c r="AC12" i="44"/>
  <c r="AC12" i="36" s="1"/>
  <c r="AC11" i="44"/>
  <c r="AC11" i="36" s="1"/>
  <c r="AC10" i="44"/>
  <c r="AC10" i="36" s="1"/>
  <c r="AC9" i="44"/>
  <c r="AC9" i="36" s="1"/>
  <c r="AC8" i="44"/>
  <c r="AC8" i="36" s="1"/>
  <c r="AC7" i="44"/>
  <c r="AC7" i="36" s="1"/>
  <c r="AC6" i="44"/>
  <c r="AC6" i="36" s="1"/>
  <c r="AC5" i="44"/>
  <c r="AC5" i="36" s="1"/>
  <c r="AC4" i="44"/>
  <c r="AC4" i="36" s="1"/>
  <c r="AC3" i="44"/>
  <c r="X66" i="44"/>
  <c r="X66" i="36" s="1"/>
  <c r="X65" i="44"/>
  <c r="X65" i="36" s="1"/>
  <c r="X64" i="44"/>
  <c r="X64" i="36" s="1"/>
  <c r="X63" i="44"/>
  <c r="X62" i="44"/>
  <c r="X62" i="36" s="1"/>
  <c r="X61" i="44"/>
  <c r="X61" i="36" s="1"/>
  <c r="X60" i="44"/>
  <c r="X43" i="44"/>
  <c r="X43" i="36" s="1"/>
  <c r="X42" i="44"/>
  <c r="X42" i="36" s="1"/>
  <c r="X41" i="44"/>
  <c r="X41" i="36" s="1"/>
  <c r="X40" i="44"/>
  <c r="X39" i="44"/>
  <c r="X39" i="36" s="1"/>
  <c r="X38" i="44"/>
  <c r="X38" i="36" s="1"/>
  <c r="X37" i="44"/>
  <c r="X37" i="36" s="1"/>
  <c r="X36" i="44"/>
  <c r="X36" i="36" s="1"/>
  <c r="X35" i="44"/>
  <c r="X35" i="36" s="1"/>
  <c r="X34" i="44"/>
  <c r="X34" i="36" s="1"/>
  <c r="X33" i="44"/>
  <c r="X33" i="36" s="1"/>
  <c r="X32" i="44"/>
  <c r="X31" i="44"/>
  <c r="X31" i="36" s="1"/>
  <c r="X30" i="44"/>
  <c r="X30" i="36" s="1"/>
  <c r="X29" i="44"/>
  <c r="X29" i="36" s="1"/>
  <c r="X28" i="44"/>
  <c r="X28" i="36" s="1"/>
  <c r="X27" i="44"/>
  <c r="X27" i="36" s="1"/>
  <c r="X26" i="44"/>
  <c r="X26" i="36" s="1"/>
  <c r="X25" i="44"/>
  <c r="X25" i="36" s="1"/>
  <c r="X24" i="44"/>
  <c r="X23" i="44"/>
  <c r="X23" i="36" s="1"/>
  <c r="X22" i="44"/>
  <c r="X22" i="36" s="1"/>
  <c r="X21" i="44"/>
  <c r="X21" i="36" s="1"/>
  <c r="X20" i="44"/>
  <c r="X20" i="36" s="1"/>
  <c r="X19" i="44"/>
  <c r="X19" i="36" s="1"/>
  <c r="X18" i="44"/>
  <c r="X18" i="36" s="1"/>
  <c r="X17" i="44"/>
  <c r="X17" i="36" s="1"/>
  <c r="X16" i="44"/>
  <c r="X15" i="44"/>
  <c r="X15" i="36" s="1"/>
  <c r="X14" i="44"/>
  <c r="X14" i="36" s="1"/>
  <c r="X13" i="44"/>
  <c r="X13" i="36" s="1"/>
  <c r="X12" i="44"/>
  <c r="X12" i="36" s="1"/>
  <c r="X11" i="44"/>
  <c r="X11" i="36" s="1"/>
  <c r="X10" i="44"/>
  <c r="X10" i="36" s="1"/>
  <c r="X9" i="44"/>
  <c r="X8" i="44"/>
  <c r="X7" i="44"/>
  <c r="X7" i="36" s="1"/>
  <c r="X6" i="44"/>
  <c r="X6" i="36" s="1"/>
  <c r="X5" i="44"/>
  <c r="X5" i="36" s="1"/>
  <c r="X4" i="44"/>
  <c r="X4" i="36" s="1"/>
  <c r="X3" i="44"/>
  <c r="X3" i="36" s="1"/>
  <c r="W66" i="44"/>
  <c r="W66" i="36" s="1"/>
  <c r="W65" i="44"/>
  <c r="W65" i="36" s="1"/>
  <c r="W64" i="44"/>
  <c r="W63" i="44"/>
  <c r="W63" i="36" s="1"/>
  <c r="W62" i="44"/>
  <c r="W61" i="44"/>
  <c r="W61" i="36" s="1"/>
  <c r="W60" i="44"/>
  <c r="W60" i="36" s="1"/>
  <c r="W43" i="44"/>
  <c r="Y43" i="44" s="1"/>
  <c r="AD43" i="44" s="1"/>
  <c r="W42" i="44"/>
  <c r="Y42" i="44" s="1"/>
  <c r="AD42" i="44" s="1"/>
  <c r="W41" i="44"/>
  <c r="W40" i="44"/>
  <c r="W40" i="36" s="1"/>
  <c r="W39" i="44"/>
  <c r="W38" i="44"/>
  <c r="W37" i="44"/>
  <c r="W37" i="36" s="1"/>
  <c r="W36" i="44"/>
  <c r="W36" i="36" s="1"/>
  <c r="W35" i="44"/>
  <c r="W35" i="36" s="1"/>
  <c r="W34" i="44"/>
  <c r="W33" i="44"/>
  <c r="W32" i="44"/>
  <c r="W32" i="36" s="1"/>
  <c r="W31" i="44"/>
  <c r="W30" i="44"/>
  <c r="W29" i="44"/>
  <c r="W29" i="36" s="1"/>
  <c r="W28" i="44"/>
  <c r="W28" i="36" s="1"/>
  <c r="W27" i="44"/>
  <c r="Y27" i="44" s="1"/>
  <c r="AD27" i="44" s="1"/>
  <c r="W26" i="44"/>
  <c r="W26" i="36" s="1"/>
  <c r="W25" i="44"/>
  <c r="W24" i="44"/>
  <c r="W24" i="36" s="1"/>
  <c r="W23" i="44"/>
  <c r="W22" i="44"/>
  <c r="W21" i="44"/>
  <c r="W21" i="36" s="1"/>
  <c r="W20" i="44"/>
  <c r="W20" i="36" s="1"/>
  <c r="W19" i="44"/>
  <c r="W19" i="36" s="1"/>
  <c r="W18" i="44"/>
  <c r="W18" i="36" s="1"/>
  <c r="W17" i="44"/>
  <c r="W16" i="44"/>
  <c r="W16" i="36" s="1"/>
  <c r="W15" i="44"/>
  <c r="W15" i="36" s="1"/>
  <c r="W14" i="44"/>
  <c r="W13" i="44"/>
  <c r="W13" i="36" s="1"/>
  <c r="W12" i="44"/>
  <c r="W12" i="36" s="1"/>
  <c r="W11" i="44"/>
  <c r="W11" i="36" s="1"/>
  <c r="W10" i="44"/>
  <c r="Y10" i="44" s="1"/>
  <c r="AD10" i="44" s="1"/>
  <c r="W9" i="44"/>
  <c r="W9" i="36" s="1"/>
  <c r="W8" i="44"/>
  <c r="W8" i="36" s="1"/>
  <c r="W7" i="44"/>
  <c r="W6" i="44"/>
  <c r="W5" i="44"/>
  <c r="W5" i="36" s="1"/>
  <c r="W4" i="44"/>
  <c r="W4" i="36" s="1"/>
  <c r="W3" i="44"/>
  <c r="W3" i="36" s="1"/>
  <c r="U66" i="44"/>
  <c r="U66" i="36" s="1"/>
  <c r="U65" i="44"/>
  <c r="U65" i="36" s="1"/>
  <c r="U64" i="44"/>
  <c r="U64" i="36" s="1"/>
  <c r="U63" i="44"/>
  <c r="U63" i="36" s="1"/>
  <c r="U62" i="44"/>
  <c r="U62" i="36" s="1"/>
  <c r="U61" i="44"/>
  <c r="U61" i="36" s="1"/>
  <c r="U60" i="44"/>
  <c r="U43" i="44"/>
  <c r="U43" i="36" s="1"/>
  <c r="U42" i="44"/>
  <c r="U42" i="36" s="1"/>
  <c r="U41" i="44"/>
  <c r="U41" i="36" s="1"/>
  <c r="U40" i="44"/>
  <c r="U40" i="36" s="1"/>
  <c r="U39" i="44"/>
  <c r="U39" i="36" s="1"/>
  <c r="U38" i="44"/>
  <c r="U38" i="36" s="1"/>
  <c r="U37" i="44"/>
  <c r="U37" i="36" s="1"/>
  <c r="U36" i="44"/>
  <c r="U36" i="36" s="1"/>
  <c r="U35" i="44"/>
  <c r="U35" i="36" s="1"/>
  <c r="U34" i="44"/>
  <c r="U34" i="36" s="1"/>
  <c r="U33" i="44"/>
  <c r="U33" i="36" s="1"/>
  <c r="U32" i="44"/>
  <c r="U32" i="36" s="1"/>
  <c r="U31" i="44"/>
  <c r="U31" i="36" s="1"/>
  <c r="U30" i="44"/>
  <c r="U29" i="44"/>
  <c r="U29" i="36" s="1"/>
  <c r="U28" i="44"/>
  <c r="U28" i="36" s="1"/>
  <c r="U27" i="44"/>
  <c r="U27" i="36" s="1"/>
  <c r="U26" i="44"/>
  <c r="U26" i="36" s="1"/>
  <c r="U25" i="44"/>
  <c r="U25" i="36" s="1"/>
  <c r="U24" i="44"/>
  <c r="U24" i="36" s="1"/>
  <c r="U23" i="44"/>
  <c r="U23" i="36" s="1"/>
  <c r="U22" i="44"/>
  <c r="U22" i="36" s="1"/>
  <c r="U21" i="44"/>
  <c r="U21" i="36" s="1"/>
  <c r="U20" i="44"/>
  <c r="U20" i="36" s="1"/>
  <c r="U19" i="44"/>
  <c r="U19" i="36" s="1"/>
  <c r="U18" i="44"/>
  <c r="U18" i="36" s="1"/>
  <c r="U17" i="44"/>
  <c r="U17" i="36" s="1"/>
  <c r="U16" i="44"/>
  <c r="U16" i="36" s="1"/>
  <c r="U15" i="44"/>
  <c r="U15" i="36" s="1"/>
  <c r="U14" i="44"/>
  <c r="U14" i="36" s="1"/>
  <c r="U13" i="44"/>
  <c r="U13" i="36" s="1"/>
  <c r="U12" i="44"/>
  <c r="U12" i="36" s="1"/>
  <c r="U11" i="44"/>
  <c r="U11" i="36" s="1"/>
  <c r="U10" i="44"/>
  <c r="U10" i="36" s="1"/>
  <c r="U9" i="44"/>
  <c r="U9" i="36" s="1"/>
  <c r="U8" i="44"/>
  <c r="U8" i="36" s="1"/>
  <c r="U7" i="44"/>
  <c r="U7" i="36" s="1"/>
  <c r="U6" i="44"/>
  <c r="U6" i="36" s="1"/>
  <c r="U5" i="44"/>
  <c r="U5" i="36" s="1"/>
  <c r="U4" i="44"/>
  <c r="U4" i="36" s="1"/>
  <c r="U3" i="44"/>
  <c r="T66" i="44"/>
  <c r="T66" i="36" s="1"/>
  <c r="T65" i="44"/>
  <c r="T65" i="36" s="1"/>
  <c r="T64" i="44"/>
  <c r="T63" i="44"/>
  <c r="T63" i="36" s="1"/>
  <c r="T62" i="44"/>
  <c r="T62" i="36" s="1"/>
  <c r="T61" i="44"/>
  <c r="T61" i="36" s="1"/>
  <c r="T60" i="44"/>
  <c r="T60" i="36" s="1"/>
  <c r="T43" i="44"/>
  <c r="T43" i="36" s="1"/>
  <c r="T42" i="44"/>
  <c r="T42" i="36" s="1"/>
  <c r="T41" i="44"/>
  <c r="T40" i="44"/>
  <c r="T39" i="44"/>
  <c r="T39" i="36" s="1"/>
  <c r="T38" i="44"/>
  <c r="T38" i="36" s="1"/>
  <c r="T37" i="44"/>
  <c r="T37" i="36" s="1"/>
  <c r="T36" i="44"/>
  <c r="T36" i="36" s="1"/>
  <c r="T35" i="44"/>
  <c r="T35" i="36" s="1"/>
  <c r="T34" i="44"/>
  <c r="T34" i="36" s="1"/>
  <c r="T33" i="44"/>
  <c r="T32" i="44"/>
  <c r="T32" i="36" s="1"/>
  <c r="T31" i="44"/>
  <c r="T31" i="36" s="1"/>
  <c r="T30" i="44"/>
  <c r="T30" i="36" s="1"/>
  <c r="T29" i="44"/>
  <c r="T29" i="36" s="1"/>
  <c r="T28" i="44"/>
  <c r="T28" i="36" s="1"/>
  <c r="T27" i="44"/>
  <c r="T27" i="36" s="1"/>
  <c r="T26" i="44"/>
  <c r="T26" i="36" s="1"/>
  <c r="T25" i="44"/>
  <c r="T25" i="36" s="1"/>
  <c r="T24" i="44"/>
  <c r="T24" i="36" s="1"/>
  <c r="T23" i="44"/>
  <c r="T23" i="36" s="1"/>
  <c r="T22" i="44"/>
  <c r="T22" i="36" s="1"/>
  <c r="T21" i="44"/>
  <c r="T21" i="36" s="1"/>
  <c r="T20" i="44"/>
  <c r="T20" i="36" s="1"/>
  <c r="T19" i="44"/>
  <c r="V19" i="44" s="1"/>
  <c r="AK19" i="44" s="1"/>
  <c r="T18" i="44"/>
  <c r="T18" i="36" s="1"/>
  <c r="T17" i="44"/>
  <c r="T16" i="44"/>
  <c r="T16" i="36" s="1"/>
  <c r="T15" i="44"/>
  <c r="T15" i="36" s="1"/>
  <c r="T14" i="44"/>
  <c r="T13" i="44"/>
  <c r="T13" i="36" s="1"/>
  <c r="T12" i="44"/>
  <c r="T12" i="36" s="1"/>
  <c r="T11" i="44"/>
  <c r="T11" i="36" s="1"/>
  <c r="T10" i="44"/>
  <c r="T10" i="36" s="1"/>
  <c r="T9" i="44"/>
  <c r="T8" i="44"/>
  <c r="T8" i="36" s="1"/>
  <c r="T7" i="44"/>
  <c r="T7" i="36" s="1"/>
  <c r="T6" i="44"/>
  <c r="T6" i="36" s="1"/>
  <c r="T5" i="44"/>
  <c r="T5" i="36" s="1"/>
  <c r="T4" i="44"/>
  <c r="T4" i="36" s="1"/>
  <c r="T3" i="44"/>
  <c r="T3" i="36" s="1"/>
  <c r="R66" i="44"/>
  <c r="R66" i="36" s="1"/>
  <c r="R65" i="44"/>
  <c r="R65" i="36" s="1"/>
  <c r="R64" i="44"/>
  <c r="R64" i="36" s="1"/>
  <c r="R63" i="44"/>
  <c r="R63" i="36" s="1"/>
  <c r="R62" i="44"/>
  <c r="R62" i="36" s="1"/>
  <c r="R61" i="44"/>
  <c r="R61" i="36" s="1"/>
  <c r="R60" i="44"/>
  <c r="R60" i="36" s="1"/>
  <c r="R43" i="44"/>
  <c r="R43" i="36" s="1"/>
  <c r="R42" i="44"/>
  <c r="R42" i="36" s="1"/>
  <c r="R41" i="44"/>
  <c r="R41" i="36" s="1"/>
  <c r="R40" i="44"/>
  <c r="R40" i="36" s="1"/>
  <c r="R39" i="44"/>
  <c r="R39" i="36" s="1"/>
  <c r="R38" i="44"/>
  <c r="R38" i="36" s="1"/>
  <c r="R37" i="44"/>
  <c r="R37" i="36" s="1"/>
  <c r="R36" i="44"/>
  <c r="R36" i="36" s="1"/>
  <c r="R35" i="44"/>
  <c r="R35" i="36" s="1"/>
  <c r="R34" i="44"/>
  <c r="R34" i="36" s="1"/>
  <c r="R33" i="44"/>
  <c r="R33" i="36" s="1"/>
  <c r="R32" i="44"/>
  <c r="R32" i="36" s="1"/>
  <c r="R31" i="44"/>
  <c r="R31" i="36" s="1"/>
  <c r="R30" i="44"/>
  <c r="R30" i="36" s="1"/>
  <c r="R29" i="44"/>
  <c r="R29" i="36" s="1"/>
  <c r="R28" i="44"/>
  <c r="R28" i="36" s="1"/>
  <c r="R27" i="44"/>
  <c r="R27" i="36" s="1"/>
  <c r="R26" i="44"/>
  <c r="R26" i="36" s="1"/>
  <c r="R25" i="44"/>
  <c r="R25" i="36" s="1"/>
  <c r="R24" i="44"/>
  <c r="R24" i="36" s="1"/>
  <c r="R23" i="44"/>
  <c r="R23" i="36" s="1"/>
  <c r="R22" i="44"/>
  <c r="R22" i="36" s="1"/>
  <c r="R21" i="44"/>
  <c r="R21" i="36" s="1"/>
  <c r="R20" i="44"/>
  <c r="R20" i="36" s="1"/>
  <c r="R19" i="44"/>
  <c r="R19" i="36" s="1"/>
  <c r="R18" i="44"/>
  <c r="R18" i="36" s="1"/>
  <c r="R17" i="44"/>
  <c r="R17" i="36" s="1"/>
  <c r="R16" i="44"/>
  <c r="R16" i="36" s="1"/>
  <c r="R15" i="44"/>
  <c r="R15" i="36" s="1"/>
  <c r="R14" i="44"/>
  <c r="R14" i="36" s="1"/>
  <c r="R13" i="44"/>
  <c r="R13" i="36" s="1"/>
  <c r="R12" i="44"/>
  <c r="R12" i="36" s="1"/>
  <c r="R11" i="44"/>
  <c r="R11" i="36" s="1"/>
  <c r="R10" i="44"/>
  <c r="R10" i="36" s="1"/>
  <c r="R9" i="44"/>
  <c r="R9" i="36" s="1"/>
  <c r="R8" i="44"/>
  <c r="R8" i="36" s="1"/>
  <c r="R7" i="44"/>
  <c r="R7" i="36" s="1"/>
  <c r="R6" i="44"/>
  <c r="R6" i="36" s="1"/>
  <c r="R5" i="44"/>
  <c r="R5" i="36" s="1"/>
  <c r="R4" i="44"/>
  <c r="R4" i="36" s="1"/>
  <c r="R3" i="44"/>
  <c r="R3" i="36" s="1"/>
  <c r="Q66" i="44"/>
  <c r="Q66" i="36" s="1"/>
  <c r="Q65" i="44"/>
  <c r="AR65" i="44" s="1"/>
  <c r="Q64" i="44"/>
  <c r="AR64" i="44" s="1"/>
  <c r="Q63" i="44"/>
  <c r="Q63" i="36" s="1"/>
  <c r="Q62" i="44"/>
  <c r="S62" i="44" s="1"/>
  <c r="AP62" i="44" s="1"/>
  <c r="Q61" i="44"/>
  <c r="Q61" i="36" s="1"/>
  <c r="Q60" i="44"/>
  <c r="Q60" i="36" s="1"/>
  <c r="Q43" i="44"/>
  <c r="Q43" i="36" s="1"/>
  <c r="Q42" i="44"/>
  <c r="AQ42" i="44" s="1"/>
  <c r="Q41" i="44"/>
  <c r="Q40" i="44"/>
  <c r="Q40" i="36" s="1"/>
  <c r="Q39" i="44"/>
  <c r="Q39" i="36" s="1"/>
  <c r="Q38" i="44"/>
  <c r="AR38" i="44" s="1"/>
  <c r="Q37" i="44"/>
  <c r="Q37" i="36" s="1"/>
  <c r="Q36" i="44"/>
  <c r="Q36" i="36" s="1"/>
  <c r="Q35" i="44"/>
  <c r="Q35" i="36" s="1"/>
  <c r="Q34" i="44"/>
  <c r="Q33" i="44"/>
  <c r="AQ33" i="44" s="1"/>
  <c r="Q32" i="44"/>
  <c r="Q32" i="36" s="1"/>
  <c r="Q31" i="44"/>
  <c r="Q31" i="36" s="1"/>
  <c r="Q30" i="44"/>
  <c r="Q29" i="44"/>
  <c r="Q29" i="36" s="1"/>
  <c r="Q28" i="44"/>
  <c r="S28" i="44" s="1"/>
  <c r="Q27" i="44"/>
  <c r="S27" i="44" s="1"/>
  <c r="AB27" i="44" s="1"/>
  <c r="Q26" i="44"/>
  <c r="Q25" i="44"/>
  <c r="AQ25" i="44" s="1"/>
  <c r="Q24" i="44"/>
  <c r="Q24" i="36" s="1"/>
  <c r="Q23" i="44"/>
  <c r="AR23" i="44" s="1"/>
  <c r="Q22" i="44"/>
  <c r="Q21" i="44"/>
  <c r="Q21" i="36" s="1"/>
  <c r="Q20" i="44"/>
  <c r="AQ20" i="44" s="1"/>
  <c r="Q19" i="44"/>
  <c r="Q19" i="36" s="1"/>
  <c r="Q18" i="44"/>
  <c r="AR18" i="44" s="1"/>
  <c r="Q17" i="44"/>
  <c r="Q16" i="44"/>
  <c r="Q16" i="36" s="1"/>
  <c r="Q15" i="44"/>
  <c r="Q14" i="44"/>
  <c r="Q13" i="44"/>
  <c r="Q13" i="36" s="1"/>
  <c r="Q12" i="44"/>
  <c r="Q12" i="36" s="1"/>
  <c r="Q11" i="44"/>
  <c r="Q11" i="36" s="1"/>
  <c r="Q10" i="44"/>
  <c r="AQ10" i="44" s="1"/>
  <c r="Q9" i="44"/>
  <c r="Q8" i="44"/>
  <c r="Q8" i="36" s="1"/>
  <c r="Q7" i="44"/>
  <c r="AR7" i="44" s="1"/>
  <c r="Q6" i="44"/>
  <c r="Q5" i="44"/>
  <c r="Q5" i="36" s="1"/>
  <c r="Q4" i="44"/>
  <c r="AR4" i="44" s="1"/>
  <c r="Q3" i="44"/>
  <c r="Q3" i="36" s="1"/>
  <c r="L61" i="44"/>
  <c r="L61" i="36" s="1"/>
  <c r="L62" i="44"/>
  <c r="L62" i="36" s="1"/>
  <c r="L63" i="44"/>
  <c r="L63" i="36" s="1"/>
  <c r="L64" i="44"/>
  <c r="L64" i="36" s="1"/>
  <c r="L65" i="44"/>
  <c r="L65" i="36" s="1"/>
  <c r="L66" i="44"/>
  <c r="L66" i="36" s="1"/>
  <c r="L60" i="44"/>
  <c r="O60" i="44" s="1"/>
  <c r="L4" i="44"/>
  <c r="O4" i="44" s="1"/>
  <c r="L5" i="44"/>
  <c r="Z5" i="44" s="1"/>
  <c r="L6" i="44"/>
  <c r="L6" i="36" s="1"/>
  <c r="L7" i="44"/>
  <c r="O7" i="44" s="1"/>
  <c r="L8" i="44"/>
  <c r="Z8" i="44" s="1"/>
  <c r="L9" i="44"/>
  <c r="L9" i="36" s="1"/>
  <c r="L10" i="44"/>
  <c r="Z10" i="44" s="1"/>
  <c r="L11" i="44"/>
  <c r="L12" i="44"/>
  <c r="Z12" i="44" s="1"/>
  <c r="L13" i="44"/>
  <c r="L14" i="44"/>
  <c r="L14" i="36" s="1"/>
  <c r="L15" i="44"/>
  <c r="O15" i="44" s="1"/>
  <c r="L16" i="44"/>
  <c r="L16" i="36" s="1"/>
  <c r="L17" i="44"/>
  <c r="L17" i="36" s="1"/>
  <c r="L18" i="44"/>
  <c r="O18" i="44" s="1"/>
  <c r="L19" i="44"/>
  <c r="O19" i="44" s="1"/>
  <c r="L20" i="44"/>
  <c r="Z20" i="44" s="1"/>
  <c r="L21" i="44"/>
  <c r="O21" i="44" s="1"/>
  <c r="L22" i="44"/>
  <c r="L22" i="36" s="1"/>
  <c r="L23" i="44"/>
  <c r="Z23" i="44" s="1"/>
  <c r="L24" i="44"/>
  <c r="O24" i="44" s="1"/>
  <c r="L25" i="44"/>
  <c r="L25" i="36" s="1"/>
  <c r="L26" i="44"/>
  <c r="O26" i="44" s="1"/>
  <c r="L27" i="44"/>
  <c r="L28" i="44"/>
  <c r="Z28" i="44" s="1"/>
  <c r="L29" i="44"/>
  <c r="L30" i="44"/>
  <c r="L30" i="36" s="1"/>
  <c r="L31" i="44"/>
  <c r="L31" i="36" s="1"/>
  <c r="L32" i="44"/>
  <c r="Z32" i="44" s="1"/>
  <c r="L33" i="44"/>
  <c r="L33" i="36" s="1"/>
  <c r="L34" i="44"/>
  <c r="O34" i="44" s="1"/>
  <c r="L35" i="44"/>
  <c r="L36" i="44"/>
  <c r="L36" i="36" s="1"/>
  <c r="L37" i="44"/>
  <c r="O37" i="44" s="1"/>
  <c r="L38" i="44"/>
  <c r="L38" i="36" s="1"/>
  <c r="L39" i="44"/>
  <c r="O39" i="44" s="1"/>
  <c r="L40" i="44"/>
  <c r="L40" i="36" s="1"/>
  <c r="L41" i="44"/>
  <c r="L41" i="36" s="1"/>
  <c r="L42" i="44"/>
  <c r="L42" i="36" s="1"/>
  <c r="L43" i="44"/>
  <c r="L3" i="44"/>
  <c r="L3" i="36" s="1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AG70" i="43"/>
  <c r="Q70" i="43"/>
  <c r="P70" i="43"/>
  <c r="O70" i="43"/>
  <c r="N70" i="43"/>
  <c r="M70" i="43"/>
  <c r="K70" i="43"/>
  <c r="I70" i="43"/>
  <c r="AR68" i="43"/>
  <c r="AJ68" i="43"/>
  <c r="U20" i="3" s="1"/>
  <c r="AH68" i="43"/>
  <c r="AG68" i="43"/>
  <c r="X20" i="3" s="1"/>
  <c r="AF68" i="43"/>
  <c r="W20" i="3" s="1"/>
  <c r="AE68" i="43"/>
  <c r="Q20" i="3" s="1"/>
  <c r="AC68" i="43"/>
  <c r="R20" i="3" s="1"/>
  <c r="X68" i="43"/>
  <c r="N20" i="3" s="1"/>
  <c r="W68" i="43"/>
  <c r="M20" i="3" s="1"/>
  <c r="U68" i="43"/>
  <c r="K20" i="3" s="1"/>
  <c r="T68" i="43"/>
  <c r="J20" i="3" s="1"/>
  <c r="R68" i="43"/>
  <c r="I20" i="3" s="1"/>
  <c r="Q68" i="43"/>
  <c r="H20" i="3" s="1"/>
  <c r="L68" i="43"/>
  <c r="G20" i="3" s="1"/>
  <c r="H68" i="43"/>
  <c r="G68" i="43"/>
  <c r="F68" i="43"/>
  <c r="F70" i="43" s="1"/>
  <c r="AR66" i="43"/>
  <c r="AQ66" i="43"/>
  <c r="AO66" i="43"/>
  <c r="AK66" i="43"/>
  <c r="AI66" i="43"/>
  <c r="AD66" i="43"/>
  <c r="Z66" i="43"/>
  <c r="Y66" i="43"/>
  <c r="AA66" i="43" s="1"/>
  <c r="V66" i="43"/>
  <c r="S66" i="43"/>
  <c r="O66" i="43"/>
  <c r="J66" i="43"/>
  <c r="E66" i="43"/>
  <c r="AR65" i="43"/>
  <c r="AQ65" i="43"/>
  <c r="AO65" i="43"/>
  <c r="AI65" i="43"/>
  <c r="AB65" i="43"/>
  <c r="Z65" i="43"/>
  <c r="Y65" i="43"/>
  <c r="AA65" i="43" s="1"/>
  <c r="V65" i="43"/>
  <c r="AK65" i="43" s="1"/>
  <c r="S65" i="43"/>
  <c r="P65" i="43" s="1"/>
  <c r="O65" i="43"/>
  <c r="E65" i="43"/>
  <c r="J65" i="43" s="1"/>
  <c r="AR64" i="43"/>
  <c r="AQ64" i="43"/>
  <c r="AO64" i="43"/>
  <c r="AI64" i="43"/>
  <c r="AA64" i="43"/>
  <c r="Z64" i="43"/>
  <c r="Y64" i="43"/>
  <c r="AD64" i="43" s="1"/>
  <c r="V64" i="43"/>
  <c r="AK64" i="43" s="1"/>
  <c r="S64" i="43"/>
  <c r="P64" i="43" s="1"/>
  <c r="O64" i="43"/>
  <c r="E64" i="43"/>
  <c r="J64" i="43" s="1"/>
  <c r="AR63" i="43"/>
  <c r="AQ63" i="43"/>
  <c r="AO63" i="43"/>
  <c r="AK63" i="43"/>
  <c r="AI63" i="43"/>
  <c r="Z63" i="43"/>
  <c r="Y63" i="43"/>
  <c r="AD63" i="43" s="1"/>
  <c r="V63" i="43"/>
  <c r="S63" i="43"/>
  <c r="O63" i="43"/>
  <c r="J63" i="43"/>
  <c r="E63" i="43"/>
  <c r="AR62" i="43"/>
  <c r="AQ62" i="43"/>
  <c r="AO62" i="43"/>
  <c r="AI62" i="43"/>
  <c r="AB62" i="43"/>
  <c r="Z62" i="43"/>
  <c r="Y62" i="43"/>
  <c r="AD62" i="43" s="1"/>
  <c r="V62" i="43"/>
  <c r="AK62" i="43" s="1"/>
  <c r="S62" i="43"/>
  <c r="P62" i="43" s="1"/>
  <c r="O62" i="43"/>
  <c r="J62" i="43"/>
  <c r="E62" i="43"/>
  <c r="AR61" i="43"/>
  <c r="AQ61" i="43"/>
  <c r="AO61" i="43"/>
  <c r="AK61" i="43"/>
  <c r="AI61" i="43"/>
  <c r="AD61" i="43"/>
  <c r="AA61" i="43"/>
  <c r="Z61" i="43"/>
  <c r="Y61" i="43"/>
  <c r="V61" i="43"/>
  <c r="S61" i="43"/>
  <c r="P61" i="43" s="1"/>
  <c r="O61" i="43"/>
  <c r="E61" i="43"/>
  <c r="J61" i="43" s="1"/>
  <c r="AR60" i="43"/>
  <c r="AQ60" i="43"/>
  <c r="AO60" i="43"/>
  <c r="AI60" i="43"/>
  <c r="AD60" i="43"/>
  <c r="Z60" i="43"/>
  <c r="Z68" i="43" s="1"/>
  <c r="Y60" i="43"/>
  <c r="AA60" i="43" s="1"/>
  <c r="AA68" i="43" s="1"/>
  <c r="V60" i="43"/>
  <c r="V68" i="43" s="1"/>
  <c r="S60" i="43"/>
  <c r="AB60" i="43" s="1"/>
  <c r="O60" i="43"/>
  <c r="J60" i="43"/>
  <c r="E60" i="43"/>
  <c r="AJ58" i="43"/>
  <c r="AJ70" i="43" s="1"/>
  <c r="AH58" i="43"/>
  <c r="AH70" i="43" s="1"/>
  <c r="AG58" i="43"/>
  <c r="X19" i="3" s="1"/>
  <c r="AF58" i="43"/>
  <c r="W19" i="3" s="1"/>
  <c r="AE58" i="43"/>
  <c r="Q19" i="3" s="1"/>
  <c r="AC58" i="43"/>
  <c r="R19" i="3" s="1"/>
  <c r="X58" i="43"/>
  <c r="N19" i="3" s="1"/>
  <c r="W58" i="43"/>
  <c r="U58" i="43"/>
  <c r="K19" i="3" s="1"/>
  <c r="T58" i="43"/>
  <c r="J19" i="3" s="1"/>
  <c r="R58" i="43"/>
  <c r="Q58" i="43"/>
  <c r="H19" i="3" s="1"/>
  <c r="L58" i="43"/>
  <c r="L70" i="43" s="1"/>
  <c r="H58" i="43"/>
  <c r="H70" i="43" s="1"/>
  <c r="G58" i="43"/>
  <c r="G70" i="43" s="1"/>
  <c r="F58" i="43"/>
  <c r="AR43" i="43"/>
  <c r="AQ43" i="43"/>
  <c r="AO43" i="43"/>
  <c r="Z43" i="43"/>
  <c r="Y43" i="43"/>
  <c r="AD43" i="43" s="1"/>
  <c r="V43" i="43"/>
  <c r="AK43" i="43" s="1"/>
  <c r="S43" i="43"/>
  <c r="AN43" i="43" s="1"/>
  <c r="AT43" i="43" s="1"/>
  <c r="O43" i="43"/>
  <c r="E43" i="43"/>
  <c r="J43" i="43" s="1"/>
  <c r="AR42" i="43"/>
  <c r="AQ42" i="43"/>
  <c r="AO42" i="43"/>
  <c r="Z42" i="43"/>
  <c r="Y42" i="43"/>
  <c r="AD42" i="43" s="1"/>
  <c r="V42" i="43"/>
  <c r="AK42" i="43" s="1"/>
  <c r="S42" i="43"/>
  <c r="AN42" i="43" s="1"/>
  <c r="AT42" i="43" s="1"/>
  <c r="O42" i="43"/>
  <c r="E42" i="43"/>
  <c r="J42" i="43" s="1"/>
  <c r="AR41" i="43"/>
  <c r="AQ41" i="43"/>
  <c r="AO41" i="43"/>
  <c r="Z41" i="43"/>
  <c r="Y41" i="43"/>
  <c r="AD41" i="43" s="1"/>
  <c r="V41" i="43"/>
  <c r="AK41" i="43" s="1"/>
  <c r="S41" i="43"/>
  <c r="AN41" i="43" s="1"/>
  <c r="AT41" i="43" s="1"/>
  <c r="O41" i="43"/>
  <c r="E41" i="43"/>
  <c r="J41" i="43" s="1"/>
  <c r="AR40" i="43"/>
  <c r="AQ40" i="43"/>
  <c r="AO40" i="43"/>
  <c r="Z40" i="43"/>
  <c r="Y40" i="43"/>
  <c r="AD40" i="43" s="1"/>
  <c r="V40" i="43"/>
  <c r="AK40" i="43" s="1"/>
  <c r="S40" i="43"/>
  <c r="AN40" i="43" s="1"/>
  <c r="AT40" i="43" s="1"/>
  <c r="O40" i="43"/>
  <c r="E40" i="43"/>
  <c r="J40" i="43" s="1"/>
  <c r="AR39" i="43"/>
  <c r="AQ39" i="43"/>
  <c r="AO39" i="43"/>
  <c r="Z39" i="43"/>
  <c r="Y39" i="43"/>
  <c r="AD39" i="43" s="1"/>
  <c r="V39" i="43"/>
  <c r="AK39" i="43" s="1"/>
  <c r="S39" i="43"/>
  <c r="AN39" i="43" s="1"/>
  <c r="AT39" i="43" s="1"/>
  <c r="O39" i="43"/>
  <c r="E39" i="43"/>
  <c r="J39" i="43" s="1"/>
  <c r="AR38" i="43"/>
  <c r="AQ38" i="43"/>
  <c r="AO38" i="43"/>
  <c r="Z38" i="43"/>
  <c r="Y38" i="43"/>
  <c r="AD38" i="43" s="1"/>
  <c r="V38" i="43"/>
  <c r="AK38" i="43" s="1"/>
  <c r="S38" i="43"/>
  <c r="AN38" i="43" s="1"/>
  <c r="AT38" i="43" s="1"/>
  <c r="O38" i="43"/>
  <c r="E38" i="43"/>
  <c r="J38" i="43" s="1"/>
  <c r="AR37" i="43"/>
  <c r="AQ37" i="43"/>
  <c r="AO37" i="43"/>
  <c r="Z37" i="43"/>
  <c r="Y37" i="43"/>
  <c r="AD37" i="43" s="1"/>
  <c r="V37" i="43"/>
  <c r="AK37" i="43" s="1"/>
  <c r="S37" i="43"/>
  <c r="AN37" i="43" s="1"/>
  <c r="AT37" i="43" s="1"/>
  <c r="O37" i="43"/>
  <c r="E37" i="43"/>
  <c r="J37" i="43" s="1"/>
  <c r="AR36" i="43"/>
  <c r="AQ36" i="43"/>
  <c r="AO36" i="43"/>
  <c r="Z36" i="43"/>
  <c r="Y36" i="43"/>
  <c r="AD36" i="43" s="1"/>
  <c r="V36" i="43"/>
  <c r="AK36" i="43" s="1"/>
  <c r="S36" i="43"/>
  <c r="AN36" i="43" s="1"/>
  <c r="AT36" i="43" s="1"/>
  <c r="O36" i="43"/>
  <c r="E36" i="43"/>
  <c r="J36" i="43" s="1"/>
  <c r="AR35" i="43"/>
  <c r="AQ35" i="43"/>
  <c r="AO35" i="43"/>
  <c r="Z35" i="43"/>
  <c r="Y35" i="43"/>
  <c r="AD35" i="43" s="1"/>
  <c r="V35" i="43"/>
  <c r="AK35" i="43" s="1"/>
  <c r="S35" i="43"/>
  <c r="AN35" i="43" s="1"/>
  <c r="AT35" i="43" s="1"/>
  <c r="O35" i="43"/>
  <c r="E35" i="43"/>
  <c r="J35" i="43" s="1"/>
  <c r="AR34" i="43"/>
  <c r="AQ34" i="43"/>
  <c r="AO34" i="43"/>
  <c r="Z34" i="43"/>
  <c r="Y34" i="43"/>
  <c r="AD34" i="43" s="1"/>
  <c r="V34" i="43"/>
  <c r="AK34" i="43" s="1"/>
  <c r="S34" i="43"/>
  <c r="AN34" i="43" s="1"/>
  <c r="AT34" i="43" s="1"/>
  <c r="O34" i="43"/>
  <c r="E34" i="43"/>
  <c r="J34" i="43" s="1"/>
  <c r="AR33" i="43"/>
  <c r="AQ33" i="43"/>
  <c r="AO33" i="43"/>
  <c r="Z33" i="43"/>
  <c r="Y33" i="43"/>
  <c r="AD33" i="43" s="1"/>
  <c r="V33" i="43"/>
  <c r="AK33" i="43" s="1"/>
  <c r="S33" i="43"/>
  <c r="AN33" i="43" s="1"/>
  <c r="AT33" i="43" s="1"/>
  <c r="O33" i="43"/>
  <c r="E33" i="43"/>
  <c r="J33" i="43" s="1"/>
  <c r="AR32" i="43"/>
  <c r="AQ32" i="43"/>
  <c r="AO32" i="43"/>
  <c r="Z32" i="43"/>
  <c r="Y32" i="43"/>
  <c r="AD32" i="43" s="1"/>
  <c r="V32" i="43"/>
  <c r="AK32" i="43" s="1"/>
  <c r="S32" i="43"/>
  <c r="AN32" i="43" s="1"/>
  <c r="AT32" i="43" s="1"/>
  <c r="O32" i="43"/>
  <c r="E32" i="43"/>
  <c r="J32" i="43" s="1"/>
  <c r="AR31" i="43"/>
  <c r="AQ31" i="43"/>
  <c r="AO31" i="43"/>
  <c r="Z31" i="43"/>
  <c r="Y31" i="43"/>
  <c r="AD31" i="43" s="1"/>
  <c r="V31" i="43"/>
  <c r="AK31" i="43" s="1"/>
  <c r="S31" i="43"/>
  <c r="AN31" i="43" s="1"/>
  <c r="AT31" i="43" s="1"/>
  <c r="O31" i="43"/>
  <c r="E31" i="43"/>
  <c r="J31" i="43" s="1"/>
  <c r="AR30" i="43"/>
  <c r="AQ30" i="43"/>
  <c r="AO30" i="43"/>
  <c r="Z30" i="43"/>
  <c r="Y30" i="43"/>
  <c r="AD30" i="43" s="1"/>
  <c r="V30" i="43"/>
  <c r="AK30" i="43" s="1"/>
  <c r="S30" i="43"/>
  <c r="AN30" i="43" s="1"/>
  <c r="AT30" i="43" s="1"/>
  <c r="O30" i="43"/>
  <c r="E30" i="43"/>
  <c r="J30" i="43" s="1"/>
  <c r="AR29" i="43"/>
  <c r="AQ29" i="43"/>
  <c r="AO29" i="43"/>
  <c r="Z29" i="43"/>
  <c r="Y29" i="43"/>
  <c r="AD29" i="43" s="1"/>
  <c r="V29" i="43"/>
  <c r="AK29" i="43" s="1"/>
  <c r="S29" i="43"/>
  <c r="AN29" i="43" s="1"/>
  <c r="AT29" i="43" s="1"/>
  <c r="O29" i="43"/>
  <c r="E29" i="43"/>
  <c r="J29" i="43" s="1"/>
  <c r="AR28" i="43"/>
  <c r="AQ28" i="43"/>
  <c r="AO28" i="43"/>
  <c r="Z28" i="43"/>
  <c r="Y28" i="43"/>
  <c r="AD28" i="43" s="1"/>
  <c r="V28" i="43"/>
  <c r="AK28" i="43" s="1"/>
  <c r="S28" i="43"/>
  <c r="O28" i="43"/>
  <c r="E28" i="43"/>
  <c r="J28" i="43" s="1"/>
  <c r="AR27" i="43"/>
  <c r="AQ27" i="43"/>
  <c r="AO27" i="43"/>
  <c r="Z27" i="43"/>
  <c r="Y27" i="43"/>
  <c r="AD27" i="43" s="1"/>
  <c r="V27" i="43"/>
  <c r="AK27" i="43" s="1"/>
  <c r="S27" i="43"/>
  <c r="AP27" i="43" s="1"/>
  <c r="O27" i="43"/>
  <c r="E27" i="43"/>
  <c r="J27" i="43" s="1"/>
  <c r="AR26" i="43"/>
  <c r="AQ26" i="43"/>
  <c r="AO26" i="43"/>
  <c r="Z26" i="43"/>
  <c r="Y26" i="43"/>
  <c r="AD26" i="43" s="1"/>
  <c r="V26" i="43"/>
  <c r="AK26" i="43" s="1"/>
  <c r="S26" i="43"/>
  <c r="AP26" i="43" s="1"/>
  <c r="O26" i="43"/>
  <c r="E26" i="43"/>
  <c r="J26" i="43" s="1"/>
  <c r="AR25" i="43"/>
  <c r="AQ25" i="43"/>
  <c r="AO25" i="43"/>
  <c r="Z25" i="43"/>
  <c r="Y25" i="43"/>
  <c r="AD25" i="43" s="1"/>
  <c r="V25" i="43"/>
  <c r="AK25" i="43" s="1"/>
  <c r="S25" i="43"/>
  <c r="AB25" i="43" s="1"/>
  <c r="O25" i="43"/>
  <c r="E25" i="43"/>
  <c r="J25" i="43" s="1"/>
  <c r="AR24" i="43"/>
  <c r="AQ24" i="43"/>
  <c r="AO24" i="43"/>
  <c r="Z24" i="43"/>
  <c r="Y24" i="43"/>
  <c r="AD24" i="43" s="1"/>
  <c r="V24" i="43"/>
  <c r="AK24" i="43" s="1"/>
  <c r="S24" i="43"/>
  <c r="AP24" i="43" s="1"/>
  <c r="O24" i="43"/>
  <c r="E24" i="43"/>
  <c r="J24" i="43" s="1"/>
  <c r="AR23" i="43"/>
  <c r="AQ23" i="43"/>
  <c r="AO23" i="43"/>
  <c r="Z23" i="43"/>
  <c r="Y23" i="43"/>
  <c r="AD23" i="43" s="1"/>
  <c r="V23" i="43"/>
  <c r="AK23" i="43" s="1"/>
  <c r="S23" i="43"/>
  <c r="O23" i="43"/>
  <c r="E23" i="43"/>
  <c r="J23" i="43" s="1"/>
  <c r="AR22" i="43"/>
  <c r="AQ22" i="43"/>
  <c r="AO22" i="43"/>
  <c r="Z22" i="43"/>
  <c r="Y22" i="43"/>
  <c r="AD22" i="43" s="1"/>
  <c r="V22" i="43"/>
  <c r="AK22" i="43" s="1"/>
  <c r="S22" i="43"/>
  <c r="AN22" i="43" s="1"/>
  <c r="AT22" i="43" s="1"/>
  <c r="O22" i="43"/>
  <c r="E22" i="43"/>
  <c r="J22" i="43" s="1"/>
  <c r="AR21" i="43"/>
  <c r="AQ21" i="43"/>
  <c r="AO21" i="43"/>
  <c r="Z21" i="43"/>
  <c r="Y21" i="43"/>
  <c r="AD21" i="43" s="1"/>
  <c r="V21" i="43"/>
  <c r="AK21" i="43" s="1"/>
  <c r="S21" i="43"/>
  <c r="AP21" i="43" s="1"/>
  <c r="O21" i="43"/>
  <c r="E21" i="43"/>
  <c r="J21" i="43" s="1"/>
  <c r="AR20" i="43"/>
  <c r="AQ20" i="43"/>
  <c r="AO20" i="43"/>
  <c r="Z20" i="43"/>
  <c r="Y20" i="43"/>
  <c r="AD20" i="43" s="1"/>
  <c r="V20" i="43"/>
  <c r="AK20" i="43" s="1"/>
  <c r="S20" i="43"/>
  <c r="AP20" i="43" s="1"/>
  <c r="O20" i="43"/>
  <c r="E20" i="43"/>
  <c r="J20" i="43" s="1"/>
  <c r="AR19" i="43"/>
  <c r="AQ19" i="43"/>
  <c r="AO19" i="43"/>
  <c r="Z19" i="43"/>
  <c r="Y19" i="43"/>
  <c r="AD19" i="43" s="1"/>
  <c r="V19" i="43"/>
  <c r="AK19" i="43" s="1"/>
  <c r="S19" i="43"/>
  <c r="AP19" i="43" s="1"/>
  <c r="O19" i="43"/>
  <c r="E19" i="43"/>
  <c r="J19" i="43" s="1"/>
  <c r="AR18" i="43"/>
  <c r="AQ18" i="43"/>
  <c r="AO18" i="43"/>
  <c r="Z18" i="43"/>
  <c r="Y18" i="43"/>
  <c r="AD18" i="43" s="1"/>
  <c r="V18" i="43"/>
  <c r="AK18" i="43" s="1"/>
  <c r="S18" i="43"/>
  <c r="AP18" i="43" s="1"/>
  <c r="O18" i="43"/>
  <c r="E18" i="43"/>
  <c r="J18" i="43" s="1"/>
  <c r="AR17" i="43"/>
  <c r="AQ17" i="43"/>
  <c r="AO17" i="43"/>
  <c r="Z17" i="43"/>
  <c r="Y17" i="43"/>
  <c r="AD17" i="43" s="1"/>
  <c r="V17" i="43"/>
  <c r="AK17" i="43" s="1"/>
  <c r="S17" i="43"/>
  <c r="AP17" i="43" s="1"/>
  <c r="O17" i="43"/>
  <c r="E17" i="43"/>
  <c r="J17" i="43" s="1"/>
  <c r="AR16" i="43"/>
  <c r="AQ16" i="43"/>
  <c r="AO16" i="43"/>
  <c r="AD16" i="43"/>
  <c r="Z16" i="43"/>
  <c r="Y16" i="43"/>
  <c r="V16" i="43"/>
  <c r="AK16" i="43" s="1"/>
  <c r="S16" i="43"/>
  <c r="AP16" i="43" s="1"/>
  <c r="P16" i="43"/>
  <c r="O16" i="43"/>
  <c r="E16" i="43"/>
  <c r="J16" i="43" s="1"/>
  <c r="AR15" i="43"/>
  <c r="AQ15" i="43"/>
  <c r="AO15" i="43"/>
  <c r="Z15" i="43"/>
  <c r="Y15" i="43"/>
  <c r="AD15" i="43" s="1"/>
  <c r="V15" i="43"/>
  <c r="AK15" i="43" s="1"/>
  <c r="S15" i="43"/>
  <c r="AP15" i="43" s="1"/>
  <c r="O15" i="43"/>
  <c r="E15" i="43"/>
  <c r="J15" i="43" s="1"/>
  <c r="AR14" i="43"/>
  <c r="AQ14" i="43"/>
  <c r="AO14" i="43"/>
  <c r="Z14" i="43"/>
  <c r="Y14" i="43"/>
  <c r="AD14" i="43" s="1"/>
  <c r="V14" i="43"/>
  <c r="AK14" i="43" s="1"/>
  <c r="S14" i="43"/>
  <c r="AP14" i="43" s="1"/>
  <c r="O14" i="43"/>
  <c r="E14" i="43"/>
  <c r="J14" i="43" s="1"/>
  <c r="AR13" i="43"/>
  <c r="AQ13" i="43"/>
  <c r="AO13" i="43"/>
  <c r="Z13" i="43"/>
  <c r="Y13" i="43"/>
  <c r="AD13" i="43" s="1"/>
  <c r="V13" i="43"/>
  <c r="AK13" i="43" s="1"/>
  <c r="S13" i="43"/>
  <c r="AP13" i="43" s="1"/>
  <c r="O13" i="43"/>
  <c r="E13" i="43"/>
  <c r="J13" i="43" s="1"/>
  <c r="AR12" i="43"/>
  <c r="AQ12" i="43"/>
  <c r="AO12" i="43"/>
  <c r="Z12" i="43"/>
  <c r="Y12" i="43"/>
  <c r="AD12" i="43" s="1"/>
  <c r="V12" i="43"/>
  <c r="AK12" i="43" s="1"/>
  <c r="S12" i="43"/>
  <c r="AP12" i="43" s="1"/>
  <c r="O12" i="43"/>
  <c r="E12" i="43"/>
  <c r="J12" i="43" s="1"/>
  <c r="AR11" i="43"/>
  <c r="AQ11" i="43"/>
  <c r="AO11" i="43"/>
  <c r="Z11" i="43"/>
  <c r="Y11" i="43"/>
  <c r="AD11" i="43" s="1"/>
  <c r="V11" i="43"/>
  <c r="AK11" i="43" s="1"/>
  <c r="S11" i="43"/>
  <c r="AP11" i="43" s="1"/>
  <c r="O11" i="43"/>
  <c r="E11" i="43"/>
  <c r="J11" i="43" s="1"/>
  <c r="AR10" i="43"/>
  <c r="AQ10" i="43"/>
  <c r="AO10" i="43"/>
  <c r="Z10" i="43"/>
  <c r="Y10" i="43"/>
  <c r="AD10" i="43" s="1"/>
  <c r="V10" i="43"/>
  <c r="AK10" i="43" s="1"/>
  <c r="S10" i="43"/>
  <c r="AP10" i="43" s="1"/>
  <c r="O10" i="43"/>
  <c r="E10" i="43"/>
  <c r="J10" i="43" s="1"/>
  <c r="AR9" i="43"/>
  <c r="AQ9" i="43"/>
  <c r="AO9" i="43"/>
  <c r="Z9" i="43"/>
  <c r="Y9" i="43"/>
  <c r="AD9" i="43" s="1"/>
  <c r="V9" i="43"/>
  <c r="AK9" i="43" s="1"/>
  <c r="S9" i="43"/>
  <c r="AP9" i="43" s="1"/>
  <c r="O9" i="43"/>
  <c r="E9" i="43"/>
  <c r="J9" i="43" s="1"/>
  <c r="AR8" i="43"/>
  <c r="AQ8" i="43"/>
  <c r="AO8" i="43"/>
  <c r="Z8" i="43"/>
  <c r="Y8" i="43"/>
  <c r="AD8" i="43" s="1"/>
  <c r="V8" i="43"/>
  <c r="AK8" i="43" s="1"/>
  <c r="S8" i="43"/>
  <c r="AP8" i="43" s="1"/>
  <c r="O8" i="43"/>
  <c r="E8" i="43"/>
  <c r="J8" i="43" s="1"/>
  <c r="AR7" i="43"/>
  <c r="AQ7" i="43"/>
  <c r="AO7" i="43"/>
  <c r="Z7" i="43"/>
  <c r="Y7" i="43"/>
  <c r="AD7" i="43" s="1"/>
  <c r="V7" i="43"/>
  <c r="AK7" i="43" s="1"/>
  <c r="S7" i="43"/>
  <c r="AP7" i="43" s="1"/>
  <c r="O7" i="43"/>
  <c r="E7" i="43"/>
  <c r="J7" i="43" s="1"/>
  <c r="AR6" i="43"/>
  <c r="AQ6" i="43"/>
  <c r="AO6" i="43"/>
  <c r="Z6" i="43"/>
  <c r="Y6" i="43"/>
  <c r="AD6" i="43" s="1"/>
  <c r="V6" i="43"/>
  <c r="AK6" i="43" s="1"/>
  <c r="S6" i="43"/>
  <c r="AP6" i="43" s="1"/>
  <c r="O6" i="43"/>
  <c r="E6" i="43"/>
  <c r="J6" i="43" s="1"/>
  <c r="AR5" i="43"/>
  <c r="AQ5" i="43"/>
  <c r="AO5" i="43"/>
  <c r="Z5" i="43"/>
  <c r="Y5" i="43"/>
  <c r="AD5" i="43" s="1"/>
  <c r="V5" i="43"/>
  <c r="AK5" i="43" s="1"/>
  <c r="S5" i="43"/>
  <c r="AP5" i="43" s="1"/>
  <c r="O5" i="43"/>
  <c r="E5" i="43"/>
  <c r="J5" i="43" s="1"/>
  <c r="AR4" i="43"/>
  <c r="AQ4" i="43"/>
  <c r="AO4" i="43"/>
  <c r="Z4" i="43"/>
  <c r="Y4" i="43"/>
  <c r="AD4" i="43" s="1"/>
  <c r="V4" i="43"/>
  <c r="AK4" i="43" s="1"/>
  <c r="S4" i="43"/>
  <c r="AP4" i="43" s="1"/>
  <c r="O4" i="43"/>
  <c r="E4" i="43"/>
  <c r="J4" i="43" s="1"/>
  <c r="AR3" i="43"/>
  <c r="AQ3" i="43"/>
  <c r="AO3" i="43"/>
  <c r="AN3" i="43"/>
  <c r="AK3" i="43"/>
  <c r="AB3" i="43"/>
  <c r="Z3" i="43"/>
  <c r="Y3" i="43"/>
  <c r="AD3" i="43" s="1"/>
  <c r="V3" i="43"/>
  <c r="S3" i="43"/>
  <c r="AP3" i="43" s="1"/>
  <c r="P3" i="43"/>
  <c r="O3" i="43"/>
  <c r="E3" i="43"/>
  <c r="K49" i="45" l="1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D53" i="45"/>
  <c r="D52" i="45"/>
  <c r="D21" i="45"/>
  <c r="D50" i="45"/>
  <c r="D15" i="45"/>
  <c r="D51" i="45"/>
  <c r="D57" i="45"/>
  <c r="D48" i="45"/>
  <c r="D26" i="45"/>
  <c r="D56" i="45"/>
  <c r="D47" i="45"/>
  <c r="D32" i="45"/>
  <c r="D55" i="45"/>
  <c r="D46" i="45"/>
  <c r="D38" i="45"/>
  <c r="D54" i="45"/>
  <c r="D45" i="45"/>
  <c r="D49" i="45"/>
  <c r="Y45" i="36"/>
  <c r="AD45" i="36" s="1"/>
  <c r="Y44" i="36"/>
  <c r="AD44" i="36" s="1"/>
  <c r="Y48" i="44"/>
  <c r="V45" i="44"/>
  <c r="AK45" i="44" s="1"/>
  <c r="AK45" i="36" s="1"/>
  <c r="V44" i="44"/>
  <c r="AK44" i="44" s="1"/>
  <c r="AK44" i="36" s="1"/>
  <c r="AR53" i="44"/>
  <c r="V53" i="44"/>
  <c r="AK53" i="44" s="1"/>
  <c r="AK53" i="36" s="1"/>
  <c r="V52" i="44"/>
  <c r="AK52" i="44" s="1"/>
  <c r="AK52" i="36" s="1"/>
  <c r="Y55" i="36"/>
  <c r="AD55" i="36" s="1"/>
  <c r="Y54" i="44"/>
  <c r="Y53" i="36"/>
  <c r="AD53" i="36" s="1"/>
  <c r="Y52" i="44"/>
  <c r="Y51" i="36"/>
  <c r="AD51" i="36" s="1"/>
  <c r="V49" i="36"/>
  <c r="V48" i="36"/>
  <c r="V46" i="44"/>
  <c r="AK46" i="44" s="1"/>
  <c r="AK46" i="36" s="1"/>
  <c r="V50" i="44"/>
  <c r="AK50" i="44" s="1"/>
  <c r="AK50" i="36" s="1"/>
  <c r="S54" i="44"/>
  <c r="AB54" i="44" s="1"/>
  <c r="S52" i="44"/>
  <c r="AB52" i="44" s="1"/>
  <c r="AQ49" i="44"/>
  <c r="S51" i="36"/>
  <c r="AB51" i="36" s="1"/>
  <c r="Y46" i="44"/>
  <c r="AD46" i="44" s="1"/>
  <c r="AQ53" i="44"/>
  <c r="Y50" i="44"/>
  <c r="AD50" i="44" s="1"/>
  <c r="Y56" i="36"/>
  <c r="AD56" i="36" s="1"/>
  <c r="S47" i="36"/>
  <c r="AB47" i="36" s="1"/>
  <c r="S45" i="36"/>
  <c r="AB45" i="36" s="1"/>
  <c r="V55" i="36"/>
  <c r="V54" i="36"/>
  <c r="V51" i="36"/>
  <c r="V56" i="36"/>
  <c r="Y49" i="36"/>
  <c r="AD49" i="36" s="1"/>
  <c r="Y46" i="36"/>
  <c r="AD46" i="36" s="1"/>
  <c r="V47" i="36"/>
  <c r="AQ54" i="44"/>
  <c r="Q44" i="36"/>
  <c r="S44" i="36" s="1"/>
  <c r="AB44" i="36" s="1"/>
  <c r="Q52" i="36"/>
  <c r="S52" i="36" s="1"/>
  <c r="AB52" i="36" s="1"/>
  <c r="T50" i="36"/>
  <c r="V50" i="36" s="1"/>
  <c r="W48" i="36"/>
  <c r="Y48" i="36" s="1"/>
  <c r="AD48" i="36" s="1"/>
  <c r="AE49" i="36"/>
  <c r="AF58" i="44"/>
  <c r="S44" i="44"/>
  <c r="AB44" i="44" s="1"/>
  <c r="Q46" i="36"/>
  <c r="S46" i="36" s="1"/>
  <c r="AB46" i="36" s="1"/>
  <c r="Q54" i="36"/>
  <c r="T44" i="36"/>
  <c r="V44" i="36" s="1"/>
  <c r="T52" i="36"/>
  <c r="V52" i="36" s="1"/>
  <c r="AE51" i="36"/>
  <c r="T45" i="36"/>
  <c r="V45" i="36" s="1"/>
  <c r="T53" i="36"/>
  <c r="V53" i="36" s="1"/>
  <c r="AJ58" i="44"/>
  <c r="S53" i="44"/>
  <c r="AN53" i="44" s="1"/>
  <c r="AT53" i="44" s="1"/>
  <c r="AQ52" i="44"/>
  <c r="AQ50" i="44"/>
  <c r="Q48" i="36"/>
  <c r="S48" i="36" s="1"/>
  <c r="AB48" i="36" s="1"/>
  <c r="Q56" i="36"/>
  <c r="S56" i="36" s="1"/>
  <c r="AB56" i="36" s="1"/>
  <c r="T46" i="36"/>
  <c r="V46" i="36" s="1"/>
  <c r="W52" i="36"/>
  <c r="Y52" i="36" s="1"/>
  <c r="AD52" i="36" s="1"/>
  <c r="AE53" i="36"/>
  <c r="Q49" i="36"/>
  <c r="S49" i="36" s="1"/>
  <c r="AB49" i="36" s="1"/>
  <c r="U58" i="44"/>
  <c r="AC58" i="44"/>
  <c r="Y49" i="44"/>
  <c r="AD49" i="44" s="1"/>
  <c r="AQ48" i="44"/>
  <c r="Y47" i="44"/>
  <c r="AD47" i="44" s="1"/>
  <c r="Y45" i="44"/>
  <c r="AD45" i="44" s="1"/>
  <c r="Y44" i="44"/>
  <c r="Q50" i="36"/>
  <c r="S50" i="36" s="1"/>
  <c r="AB50" i="36" s="1"/>
  <c r="W54" i="36"/>
  <c r="Y54" i="36" s="1"/>
  <c r="AD54" i="36" s="1"/>
  <c r="Y56" i="44"/>
  <c r="AD56" i="44" s="1"/>
  <c r="R54" i="36"/>
  <c r="R58" i="36" s="1"/>
  <c r="W47" i="36"/>
  <c r="Y47" i="36" s="1"/>
  <c r="AD47" i="36" s="1"/>
  <c r="X50" i="36"/>
  <c r="Y50" i="36" s="1"/>
  <c r="AD50" i="36" s="1"/>
  <c r="AE56" i="36"/>
  <c r="AE58" i="44"/>
  <c r="X58" i="44"/>
  <c r="W58" i="44"/>
  <c r="T58" i="44"/>
  <c r="R58" i="44"/>
  <c r="Q58" i="44"/>
  <c r="O53" i="44"/>
  <c r="L53" i="36"/>
  <c r="Z53" i="36" s="1"/>
  <c r="L45" i="36"/>
  <c r="Z45" i="36" s="1"/>
  <c r="O51" i="44"/>
  <c r="O49" i="44"/>
  <c r="L52" i="36"/>
  <c r="Z52" i="36" s="1"/>
  <c r="L51" i="36"/>
  <c r="Z51" i="36" s="1"/>
  <c r="Z50" i="44"/>
  <c r="L50" i="36"/>
  <c r="Z50" i="36" s="1"/>
  <c r="L49" i="36"/>
  <c r="Z49" i="36" s="1"/>
  <c r="L56" i="36"/>
  <c r="Z56" i="36" s="1"/>
  <c r="L48" i="36"/>
  <c r="Z48" i="36" s="1"/>
  <c r="L55" i="36"/>
  <c r="Z55" i="36" s="1"/>
  <c r="L47" i="36"/>
  <c r="Z47" i="36" s="1"/>
  <c r="L58" i="44"/>
  <c r="L64" i="46"/>
  <c r="K57" i="46"/>
  <c r="E62" i="46"/>
  <c r="E4" i="46"/>
  <c r="K54" i="46"/>
  <c r="K53" i="46"/>
  <c r="L4" i="46"/>
  <c r="D19" i="45"/>
  <c r="D31" i="45"/>
  <c r="D37" i="45"/>
  <c r="D43" i="45"/>
  <c r="D8" i="45"/>
  <c r="D14" i="45"/>
  <c r="D20" i="45"/>
  <c r="D25" i="45"/>
  <c r="K31" i="45"/>
  <c r="K37" i="45"/>
  <c r="D44" i="45"/>
  <c r="K65" i="45"/>
  <c r="K73" i="45"/>
  <c r="K81" i="45"/>
  <c r="K89" i="45"/>
  <c r="K97" i="45"/>
  <c r="K105" i="45"/>
  <c r="D4" i="45"/>
  <c r="E4" i="45" s="1"/>
  <c r="F4" i="45" s="1"/>
  <c r="K103" i="45"/>
  <c r="D5" i="45"/>
  <c r="D10" i="45"/>
  <c r="D16" i="45"/>
  <c r="D22" i="45"/>
  <c r="D28" i="45"/>
  <c r="D33" i="45"/>
  <c r="K39" i="45"/>
  <c r="K66" i="45"/>
  <c r="K74" i="45"/>
  <c r="K82" i="45"/>
  <c r="K90" i="45"/>
  <c r="K98" i="45"/>
  <c r="K106" i="45"/>
  <c r="K112" i="45"/>
  <c r="K15" i="45"/>
  <c r="D27" i="45"/>
  <c r="K32" i="45"/>
  <c r="K5" i="45"/>
  <c r="D11" i="45"/>
  <c r="K16" i="45"/>
  <c r="D23" i="45"/>
  <c r="D29" i="45"/>
  <c r="D34" i="45"/>
  <c r="D40" i="45"/>
  <c r="K69" i="45"/>
  <c r="K77" i="45"/>
  <c r="K85" i="45"/>
  <c r="K93" i="45"/>
  <c r="K101" i="45"/>
  <c r="K109" i="45"/>
  <c r="D9" i="45"/>
  <c r="K21" i="45"/>
  <c r="D39" i="45"/>
  <c r="D6" i="45"/>
  <c r="D12" i="45"/>
  <c r="D17" i="45"/>
  <c r="K23" i="45"/>
  <c r="K29" i="45"/>
  <c r="D35" i="45"/>
  <c r="D41" i="45"/>
  <c r="K62" i="45"/>
  <c r="K64" i="45"/>
  <c r="K72" i="45"/>
  <c r="K80" i="45"/>
  <c r="K88" i="45"/>
  <c r="K96" i="45"/>
  <c r="K104" i="45"/>
  <c r="K113" i="45"/>
  <c r="D7" i="45"/>
  <c r="D13" i="45"/>
  <c r="D18" i="45"/>
  <c r="D24" i="45"/>
  <c r="D30" i="45"/>
  <c r="D36" i="45"/>
  <c r="K67" i="45"/>
  <c r="K75" i="45"/>
  <c r="K83" i="45"/>
  <c r="K91" i="45"/>
  <c r="K99" i="45"/>
  <c r="Y51" i="44"/>
  <c r="AN55" i="40"/>
  <c r="AT55" i="40" s="1"/>
  <c r="AN51" i="40"/>
  <c r="AT51" i="40" s="1"/>
  <c r="AP48" i="40"/>
  <c r="AN47" i="40"/>
  <c r="AT47" i="40" s="1"/>
  <c r="S56" i="44"/>
  <c r="AB56" i="44" s="1"/>
  <c r="P47" i="40"/>
  <c r="S55" i="44"/>
  <c r="P55" i="44" s="1"/>
  <c r="S51" i="44"/>
  <c r="P51" i="44" s="1"/>
  <c r="V48" i="44"/>
  <c r="AK48" i="44" s="1"/>
  <c r="AK48" i="36" s="1"/>
  <c r="V47" i="44"/>
  <c r="AK47" i="44" s="1"/>
  <c r="AK47" i="36" s="1"/>
  <c r="AP54" i="40"/>
  <c r="AP50" i="40"/>
  <c r="S50" i="44"/>
  <c r="AB50" i="44" s="1"/>
  <c r="AB55" i="44"/>
  <c r="AP57" i="43"/>
  <c r="AU47" i="43"/>
  <c r="AW47" i="43"/>
  <c r="AU54" i="43"/>
  <c r="AW54" i="43"/>
  <c r="AU55" i="43"/>
  <c r="AU53" i="43"/>
  <c r="AU46" i="43"/>
  <c r="AS56" i="43" a="1"/>
  <c r="AS56" i="43" s="1"/>
  <c r="AW56" i="43" s="1"/>
  <c r="V51" i="44"/>
  <c r="AK51" i="44" s="1"/>
  <c r="AK51" i="36" s="1"/>
  <c r="Y55" i="44"/>
  <c r="AD55" i="44" s="1"/>
  <c r="V54" i="44"/>
  <c r="AK54" i="44" s="1"/>
  <c r="AK54" i="36" s="1"/>
  <c r="S49" i="44"/>
  <c r="AP49" i="44" s="1"/>
  <c r="AQ47" i="44"/>
  <c r="O47" i="44"/>
  <c r="AQ45" i="44"/>
  <c r="O45" i="44"/>
  <c r="AB56" i="43"/>
  <c r="AL56" i="43" s="1"/>
  <c r="AP55" i="43"/>
  <c r="AL52" i="43"/>
  <c r="AS52" i="43" s="1" a="1"/>
  <c r="AS52" i="43" s="1"/>
  <c r="P50" i="43"/>
  <c r="AB48" i="43"/>
  <c r="AL48" i="43" s="1"/>
  <c r="AL44" i="43"/>
  <c r="AS44" i="43" s="1" a="1"/>
  <c r="AS44" i="43" s="1"/>
  <c r="V49" i="44"/>
  <c r="AK49" i="44" s="1"/>
  <c r="AK49" i="36" s="1"/>
  <c r="S47" i="44"/>
  <c r="P47" i="44" s="1"/>
  <c r="S45" i="44"/>
  <c r="AP45" i="44" s="1"/>
  <c r="AP53" i="44"/>
  <c r="AB53" i="44"/>
  <c r="P53" i="44"/>
  <c r="AP56" i="43"/>
  <c r="AD50" i="43"/>
  <c r="AB49" i="43"/>
  <c r="AL49" i="43" s="1"/>
  <c r="AP48" i="43"/>
  <c r="AL45" i="43"/>
  <c r="AS45" i="43" s="1" a="1"/>
  <c r="AS45" i="43" s="1"/>
  <c r="AR55" i="44"/>
  <c r="P49" i="43"/>
  <c r="V55" i="44"/>
  <c r="AK55" i="44" s="1"/>
  <c r="AK55" i="36" s="1"/>
  <c r="AR47" i="44"/>
  <c r="AR45" i="44"/>
  <c r="P52" i="43"/>
  <c r="AD51" i="43"/>
  <c r="AB50" i="43"/>
  <c r="AL50" i="43" s="1"/>
  <c r="AS50" i="43" s="1" a="1"/>
  <c r="AS50" i="43" s="1"/>
  <c r="AP49" i="43"/>
  <c r="AS48" i="43" a="1"/>
  <c r="AS48" i="43" s="1"/>
  <c r="AW48" i="43" s="1"/>
  <c r="AL51" i="43"/>
  <c r="AS51" i="43" s="1" a="1"/>
  <c r="AS51" i="43" s="1"/>
  <c r="AW51" i="43" s="1"/>
  <c r="AS49" i="43" a="1"/>
  <c r="AS49" i="43" s="1"/>
  <c r="Z54" i="44"/>
  <c r="Y53" i="44"/>
  <c r="AD53" i="44" s="1"/>
  <c r="AN56" i="43"/>
  <c r="AT56" i="43" s="1"/>
  <c r="AN48" i="43"/>
  <c r="V56" i="44"/>
  <c r="AK56" i="44" s="1"/>
  <c r="AK56" i="36" s="1"/>
  <c r="AQ55" i="44"/>
  <c r="AR51" i="44"/>
  <c r="S48" i="44"/>
  <c r="AB48" i="44" s="1"/>
  <c r="AQ46" i="44"/>
  <c r="S46" i="44"/>
  <c r="AB46" i="44" s="1"/>
  <c r="AQ44" i="44"/>
  <c r="AD51" i="44"/>
  <c r="AP47" i="44"/>
  <c r="AN47" i="44"/>
  <c r="AT47" i="44" s="1"/>
  <c r="AB51" i="44"/>
  <c r="AN51" i="44"/>
  <c r="AT51" i="44" s="1"/>
  <c r="P45" i="44"/>
  <c r="P52" i="44"/>
  <c r="AP44" i="44"/>
  <c r="P44" i="44"/>
  <c r="P54" i="44"/>
  <c r="AP54" i="44"/>
  <c r="AN54" i="44"/>
  <c r="AT54" i="44" s="1"/>
  <c r="AD54" i="44"/>
  <c r="AN52" i="44"/>
  <c r="AT52" i="44" s="1"/>
  <c r="AD52" i="44"/>
  <c r="AD48" i="44"/>
  <c r="AN44" i="44"/>
  <c r="AD44" i="44"/>
  <c r="AP52" i="44"/>
  <c r="L19" i="3"/>
  <c r="Z19" i="3" s="1"/>
  <c r="AI19" i="43"/>
  <c r="AI12" i="43"/>
  <c r="AI9" i="43"/>
  <c r="AI5" i="43"/>
  <c r="AI22" i="43"/>
  <c r="AI8" i="43"/>
  <c r="AI4" i="43"/>
  <c r="AI14" i="43"/>
  <c r="AI18" i="43"/>
  <c r="AI15" i="43"/>
  <c r="AI11" i="43"/>
  <c r="AI17" i="43"/>
  <c r="AI23" i="43"/>
  <c r="AI21" i="43"/>
  <c r="AI7" i="43"/>
  <c r="AI10" i="43"/>
  <c r="AI6" i="43"/>
  <c r="AI20" i="43"/>
  <c r="AI16" i="43"/>
  <c r="AI13" i="43"/>
  <c r="AI3" i="43"/>
  <c r="L20" i="3"/>
  <c r="Z20" i="3" s="1"/>
  <c r="O20" i="3"/>
  <c r="AH20" i="3" s="1"/>
  <c r="W70" i="43"/>
  <c r="E68" i="43"/>
  <c r="AQ67" i="43"/>
  <c r="X70" i="43"/>
  <c r="M19" i="3"/>
  <c r="O19" i="3" s="1"/>
  <c r="AH19" i="3" s="1"/>
  <c r="J68" i="43"/>
  <c r="AK68" i="43"/>
  <c r="AD65" i="43"/>
  <c r="AP33" i="43"/>
  <c r="AE70" i="43"/>
  <c r="P60" i="43"/>
  <c r="AK60" i="43"/>
  <c r="AA63" i="43"/>
  <c r="AB64" i="43"/>
  <c r="G19" i="3"/>
  <c r="AA62" i="43"/>
  <c r="U19" i="3"/>
  <c r="R70" i="43"/>
  <c r="I19" i="3"/>
  <c r="P21" i="43"/>
  <c r="Y68" i="43"/>
  <c r="AD68" i="43" s="1"/>
  <c r="AR67" i="43"/>
  <c r="P5" i="43"/>
  <c r="AB27" i="43"/>
  <c r="E15" i="44"/>
  <c r="J15" i="44" s="1"/>
  <c r="AB42" i="43"/>
  <c r="AB37" i="43"/>
  <c r="AB15" i="43"/>
  <c r="AL15" i="43" s="1"/>
  <c r="AS15" i="43" s="1" a="1"/>
  <c r="AS15" i="43" s="1"/>
  <c r="AW15" i="43" s="1"/>
  <c r="E19" i="44"/>
  <c r="J19" i="44" s="1"/>
  <c r="E18" i="44"/>
  <c r="J18" i="44" s="1"/>
  <c r="AB14" i="43"/>
  <c r="AL14" i="43" s="1"/>
  <c r="AS14" i="43" s="1" a="1"/>
  <c r="AS14" i="43" s="1"/>
  <c r="AW14" i="43" s="1"/>
  <c r="AB34" i="43"/>
  <c r="AB39" i="43"/>
  <c r="E34" i="44"/>
  <c r="J34" i="44" s="1"/>
  <c r="E10" i="44"/>
  <c r="J10" i="44" s="1"/>
  <c r="P15" i="43"/>
  <c r="AB24" i="43"/>
  <c r="AP42" i="43"/>
  <c r="E42" i="44"/>
  <c r="J42" i="44" s="1"/>
  <c r="E26" i="44"/>
  <c r="J26" i="44" s="1"/>
  <c r="AP39" i="43"/>
  <c r="AB4" i="43"/>
  <c r="AL4" i="43" s="1"/>
  <c r="AS4" i="43" s="1" a="1"/>
  <c r="AS4" i="43" s="1"/>
  <c r="AW4" i="43" s="1"/>
  <c r="P9" i="43"/>
  <c r="AB13" i="43"/>
  <c r="AB20" i="43"/>
  <c r="AB32" i="43"/>
  <c r="E64" i="44"/>
  <c r="J64" i="44" s="1"/>
  <c r="AB7" i="43"/>
  <c r="AL7" i="43" s="1"/>
  <c r="AS7" i="43" s="1" a="1"/>
  <c r="AS7" i="43" s="1"/>
  <c r="AW7" i="43" s="1"/>
  <c r="P14" i="43"/>
  <c r="AB29" i="43"/>
  <c r="AB35" i="43"/>
  <c r="AP37" i="43"/>
  <c r="E37" i="44"/>
  <c r="J37" i="44" s="1"/>
  <c r="E29" i="44"/>
  <c r="J29" i="44" s="1"/>
  <c r="E21" i="44"/>
  <c r="J21" i="44" s="1"/>
  <c r="H68" i="44"/>
  <c r="E61" i="44"/>
  <c r="J61" i="44" s="1"/>
  <c r="AB6" i="43"/>
  <c r="AP40" i="43"/>
  <c r="P4" i="43"/>
  <c r="P8" i="43"/>
  <c r="P13" i="43"/>
  <c r="AP32" i="43"/>
  <c r="AP38" i="43"/>
  <c r="AP43" i="43"/>
  <c r="AB5" i="43"/>
  <c r="P7" i="43"/>
  <c r="AB12" i="43"/>
  <c r="P17" i="43"/>
  <c r="AB21" i="43"/>
  <c r="AL21" i="43" s="1"/>
  <c r="AS21" i="43" s="1" a="1"/>
  <c r="AS21" i="43" s="1"/>
  <c r="AW21" i="43" s="1"/>
  <c r="AP35" i="43"/>
  <c r="P6" i="43"/>
  <c r="AP30" i="43"/>
  <c r="E60" i="44"/>
  <c r="AB11" i="43"/>
  <c r="AL11" i="43" s="1"/>
  <c r="AS11" i="43" s="1" a="1"/>
  <c r="AS11" i="43" s="1"/>
  <c r="AW11" i="43" s="1"/>
  <c r="AL12" i="43"/>
  <c r="AS12" i="43" s="1" a="1"/>
  <c r="AS12" i="43" s="1"/>
  <c r="AW12" i="43" s="1"/>
  <c r="AB31" i="43"/>
  <c r="AL20" i="43"/>
  <c r="AS20" i="43" s="1" a="1"/>
  <c r="AS20" i="43" s="1"/>
  <c r="AW20" i="43" s="1"/>
  <c r="AB19" i="43"/>
  <c r="AL19" i="43" s="1"/>
  <c r="AS19" i="43" s="1" a="1"/>
  <c r="AS19" i="43" s="1"/>
  <c r="AW19" i="43" s="1"/>
  <c r="AB18" i="43"/>
  <c r="AL18" i="43" s="1"/>
  <c r="AS18" i="43" s="1" a="1"/>
  <c r="AS18" i="43" s="1"/>
  <c r="AW18" i="43" s="1"/>
  <c r="AB36" i="43"/>
  <c r="AB41" i="43"/>
  <c r="AB9" i="43"/>
  <c r="AL9" i="43" s="1"/>
  <c r="AS9" i="43" s="1" a="1"/>
  <c r="AS9" i="43" s="1"/>
  <c r="AW9" i="43" s="1"/>
  <c r="P12" i="43"/>
  <c r="AB17" i="43"/>
  <c r="P20" i="43"/>
  <c r="AP29" i="43"/>
  <c r="AB33" i="43"/>
  <c r="AP34" i="43"/>
  <c r="AB38" i="43"/>
  <c r="AB10" i="43"/>
  <c r="AL10" i="43" s="1"/>
  <c r="AS10" i="43" s="1" a="1"/>
  <c r="AS10" i="43" s="1"/>
  <c r="AW10" i="43" s="1"/>
  <c r="AB8" i="43"/>
  <c r="AL8" i="43" s="1"/>
  <c r="AS8" i="43" s="1" a="1"/>
  <c r="AS8" i="43" s="1"/>
  <c r="AW8" i="43" s="1"/>
  <c r="P11" i="43"/>
  <c r="AB16" i="43"/>
  <c r="AL16" i="43" s="1"/>
  <c r="AS16" i="43" s="1" a="1"/>
  <c r="AS16" i="43" s="1"/>
  <c r="AW16" i="43" s="1"/>
  <c r="P19" i="43"/>
  <c r="AP25" i="43"/>
  <c r="AB30" i="43"/>
  <c r="AP31" i="43"/>
  <c r="Y58" i="43"/>
  <c r="P10" i="43"/>
  <c r="P18" i="43"/>
  <c r="AP36" i="43"/>
  <c r="AB40" i="43"/>
  <c r="AP41" i="43"/>
  <c r="AB43" i="43"/>
  <c r="Y34" i="44"/>
  <c r="AD34" i="44" s="1"/>
  <c r="AQ40" i="44"/>
  <c r="S34" i="44"/>
  <c r="AP34" i="44" s="1"/>
  <c r="E28" i="44"/>
  <c r="J28" i="44" s="1"/>
  <c r="E4" i="44"/>
  <c r="J4" i="44" s="1"/>
  <c r="O6" i="44"/>
  <c r="E16" i="44"/>
  <c r="J16" i="44" s="1"/>
  <c r="E36" i="44"/>
  <c r="J36" i="44" s="1"/>
  <c r="E20" i="44"/>
  <c r="J20" i="44" s="1"/>
  <c r="E62" i="44"/>
  <c r="J62" i="44" s="1"/>
  <c r="AQ26" i="44"/>
  <c r="E31" i="44"/>
  <c r="J31" i="44" s="1"/>
  <c r="E65" i="44"/>
  <c r="J65" i="44" s="1"/>
  <c r="E41" i="44"/>
  <c r="J41" i="44" s="1"/>
  <c r="E12" i="44"/>
  <c r="J12" i="44" s="1"/>
  <c r="E3" i="44"/>
  <c r="J3" i="44" s="1"/>
  <c r="E7" i="44"/>
  <c r="J7" i="44" s="1"/>
  <c r="AH68" i="36"/>
  <c r="AH70" i="36" s="1"/>
  <c r="E39" i="44"/>
  <c r="J39" i="44" s="1"/>
  <c r="E35" i="44"/>
  <c r="J35" i="44" s="1"/>
  <c r="E23" i="44"/>
  <c r="J23" i="44" s="1"/>
  <c r="V26" i="44"/>
  <c r="AK26" i="44" s="1"/>
  <c r="E6" i="44"/>
  <c r="J6" i="44" s="1"/>
  <c r="E11" i="44"/>
  <c r="J11" i="44" s="1"/>
  <c r="E66" i="44"/>
  <c r="J66" i="44" s="1"/>
  <c r="V42" i="44"/>
  <c r="AK42" i="44" s="1"/>
  <c r="G68" i="44"/>
  <c r="AQ18" i="44"/>
  <c r="V34" i="44"/>
  <c r="AK34" i="44" s="1"/>
  <c r="V66" i="44"/>
  <c r="AK66" i="44" s="1"/>
  <c r="AK66" i="36" s="1"/>
  <c r="E33" i="44"/>
  <c r="J33" i="44" s="1"/>
  <c r="E25" i="44"/>
  <c r="J25" i="44" s="1"/>
  <c r="E17" i="44"/>
  <c r="J17" i="44" s="1"/>
  <c r="E9" i="44"/>
  <c r="J9" i="44" s="1"/>
  <c r="Y66" i="44"/>
  <c r="AA66" i="44" s="1"/>
  <c r="E40" i="44"/>
  <c r="J40" i="44" s="1"/>
  <c r="E38" i="44"/>
  <c r="J38" i="44" s="1"/>
  <c r="E30" i="44"/>
  <c r="J30" i="44" s="1"/>
  <c r="E22" i="44"/>
  <c r="J22" i="44" s="1"/>
  <c r="V18" i="44"/>
  <c r="AK18" i="44" s="1"/>
  <c r="V10" i="44"/>
  <c r="AK10" i="44" s="1"/>
  <c r="AH70" i="44"/>
  <c r="E43" i="44"/>
  <c r="J43" i="44" s="1"/>
  <c r="E27" i="44"/>
  <c r="J27" i="44" s="1"/>
  <c r="E13" i="44"/>
  <c r="J13" i="44" s="1"/>
  <c r="E5" i="44"/>
  <c r="J5" i="44" s="1"/>
  <c r="Y26" i="44"/>
  <c r="AD26" i="44" s="1"/>
  <c r="Y18" i="44"/>
  <c r="AD18" i="44" s="1"/>
  <c r="AQ66" i="44"/>
  <c r="E32" i="44"/>
  <c r="J32" i="44" s="1"/>
  <c r="E24" i="44"/>
  <c r="J24" i="44" s="1"/>
  <c r="E8" i="44"/>
  <c r="J8" i="44" s="1"/>
  <c r="AR20" i="44"/>
  <c r="V36" i="44"/>
  <c r="AK36" i="44" s="1"/>
  <c r="S4" i="44"/>
  <c r="P4" i="44" s="1"/>
  <c r="V12" i="44"/>
  <c r="AK12" i="44" s="1"/>
  <c r="S63" i="44"/>
  <c r="AP63" i="44" s="1"/>
  <c r="Y4" i="44"/>
  <c r="AD4" i="44" s="1"/>
  <c r="Y12" i="44"/>
  <c r="AD12" i="44" s="1"/>
  <c r="AR60" i="44"/>
  <c r="S60" i="44"/>
  <c r="P60" i="44" s="1"/>
  <c r="O9" i="44"/>
  <c r="S20" i="44"/>
  <c r="AB20" i="44" s="1"/>
  <c r="V28" i="44"/>
  <c r="AK28" i="44" s="1"/>
  <c r="AR12" i="44"/>
  <c r="V20" i="44"/>
  <c r="AK20" i="44" s="1"/>
  <c r="Z17" i="44"/>
  <c r="Z41" i="44"/>
  <c r="V11" i="44"/>
  <c r="AK11" i="44" s="1"/>
  <c r="O25" i="44"/>
  <c r="Z25" i="44"/>
  <c r="V3" i="44"/>
  <c r="AR35" i="44"/>
  <c r="Y3" i="44"/>
  <c r="Y11" i="44"/>
  <c r="AD11" i="44" s="1"/>
  <c r="O33" i="44"/>
  <c r="O65" i="44"/>
  <c r="V31" i="44"/>
  <c r="AK31" i="44" s="1"/>
  <c r="AQ34" i="44"/>
  <c r="AR66" i="44"/>
  <c r="AR24" i="44"/>
  <c r="S10" i="44"/>
  <c r="AP10" i="44" s="1"/>
  <c r="S42" i="44"/>
  <c r="AN42" i="44" s="1"/>
  <c r="S66" i="44"/>
  <c r="AP66" i="44" s="1"/>
  <c r="AQ3" i="44"/>
  <c r="O61" i="44"/>
  <c r="AR10" i="44"/>
  <c r="S26" i="44"/>
  <c r="AP26" i="44" s="1"/>
  <c r="Z61" i="44"/>
  <c r="O17" i="44"/>
  <c r="Z33" i="44"/>
  <c r="AQ35" i="44"/>
  <c r="S43" i="44"/>
  <c r="P43" i="44" s="1"/>
  <c r="V62" i="44"/>
  <c r="AK62" i="44" s="1"/>
  <c r="AK62" i="36" s="1"/>
  <c r="Z65" i="44"/>
  <c r="O30" i="44"/>
  <c r="S19" i="44"/>
  <c r="AB19" i="44" s="1"/>
  <c r="V27" i="44"/>
  <c r="AK27" i="44" s="1"/>
  <c r="O41" i="44"/>
  <c r="AR43" i="44"/>
  <c r="AR19" i="44"/>
  <c r="O36" i="44"/>
  <c r="Z3" i="44"/>
  <c r="Z9" i="44"/>
  <c r="S35" i="44"/>
  <c r="AB35" i="44" s="1"/>
  <c r="AR11" i="44"/>
  <c r="Y35" i="44"/>
  <c r="AD35" i="44" s="1"/>
  <c r="Z36" i="44"/>
  <c r="P62" i="44"/>
  <c r="AQ16" i="44"/>
  <c r="AR8" i="44"/>
  <c r="Z66" i="44"/>
  <c r="AQ29" i="44"/>
  <c r="W27" i="36"/>
  <c r="Y21" i="44"/>
  <c r="AD21" i="44" s="1"/>
  <c r="Y37" i="44"/>
  <c r="AD37" i="44" s="1"/>
  <c r="O63" i="44"/>
  <c r="V4" i="44"/>
  <c r="AK4" i="44" s="1"/>
  <c r="Z6" i="44"/>
  <c r="S11" i="44"/>
  <c r="AP11" i="44" s="1"/>
  <c r="S12" i="44"/>
  <c r="AP12" i="44" s="1"/>
  <c r="Y28" i="44"/>
  <c r="AD28" i="44" s="1"/>
  <c r="Z30" i="44"/>
  <c r="Y36" i="44"/>
  <c r="AD36" i="44" s="1"/>
  <c r="Z40" i="44"/>
  <c r="Z64" i="44"/>
  <c r="O14" i="44"/>
  <c r="O38" i="44"/>
  <c r="Q4" i="36"/>
  <c r="T19" i="36"/>
  <c r="W43" i="36"/>
  <c r="Z62" i="44"/>
  <c r="Q10" i="36"/>
  <c r="O3" i="44"/>
  <c r="AR3" i="44"/>
  <c r="AQ4" i="44"/>
  <c r="V7" i="44"/>
  <c r="AK7" i="44" s="1"/>
  <c r="Y20" i="44"/>
  <c r="AQ27" i="44"/>
  <c r="AQ28" i="44"/>
  <c r="AQ36" i="44"/>
  <c r="V43" i="44"/>
  <c r="AK43" i="44" s="1"/>
  <c r="V60" i="44"/>
  <c r="AK60" i="44" s="1"/>
  <c r="AK60" i="36" s="1"/>
  <c r="Q20" i="36"/>
  <c r="Z14" i="44"/>
  <c r="Z24" i="44"/>
  <c r="Z38" i="44"/>
  <c r="S3" i="44"/>
  <c r="AQ11" i="44"/>
  <c r="V15" i="44"/>
  <c r="AK15" i="44" s="1"/>
  <c r="Y19" i="44"/>
  <c r="O22" i="44"/>
  <c r="AR27" i="44"/>
  <c r="AR28" i="44"/>
  <c r="AR36" i="44"/>
  <c r="Y60" i="44"/>
  <c r="AA60" i="44" s="1"/>
  <c r="AA68" i="44" s="1"/>
  <c r="V65" i="44"/>
  <c r="AK65" i="44" s="1"/>
  <c r="AK65" i="36" s="1"/>
  <c r="Q27" i="36"/>
  <c r="Z22" i="44"/>
  <c r="L15" i="36"/>
  <c r="Q28" i="36"/>
  <c r="W10" i="36"/>
  <c r="Y65" i="44"/>
  <c r="AA65" i="44" s="1"/>
  <c r="AQ12" i="44"/>
  <c r="AQ19" i="44"/>
  <c r="V25" i="44"/>
  <c r="AK25" i="44" s="1"/>
  <c r="V35" i="44"/>
  <c r="AK35" i="44" s="1"/>
  <c r="S36" i="44"/>
  <c r="AB36" i="44" s="1"/>
  <c r="S39" i="44"/>
  <c r="AQ43" i="44"/>
  <c r="AQ60" i="44"/>
  <c r="O62" i="44"/>
  <c r="AQ5" i="44"/>
  <c r="Z7" i="44"/>
  <c r="AQ8" i="44"/>
  <c r="Y15" i="44"/>
  <c r="AR16" i="44"/>
  <c r="Z18" i="44"/>
  <c r="V23" i="44"/>
  <c r="AK23" i="44" s="1"/>
  <c r="AR29" i="44"/>
  <c r="Z31" i="44"/>
  <c r="AR32" i="44"/>
  <c r="O42" i="44"/>
  <c r="O64" i="44"/>
  <c r="AQ6" i="44"/>
  <c r="Q6" i="36"/>
  <c r="AR14" i="44"/>
  <c r="Q14" i="36"/>
  <c r="S22" i="44"/>
  <c r="Q22" i="36"/>
  <c r="S30" i="44"/>
  <c r="P30" i="44" s="1"/>
  <c r="Q30" i="36"/>
  <c r="AQ38" i="44"/>
  <c r="Q38" i="36"/>
  <c r="AR62" i="44"/>
  <c r="Q62" i="36"/>
  <c r="V14" i="44"/>
  <c r="AK14" i="44" s="1"/>
  <c r="T14" i="36"/>
  <c r="V30" i="44"/>
  <c r="AK30" i="44" s="1"/>
  <c r="U30" i="36"/>
  <c r="Y6" i="44"/>
  <c r="AD6" i="44" s="1"/>
  <c r="W6" i="36"/>
  <c r="Y14" i="44"/>
  <c r="AD14" i="44" s="1"/>
  <c r="W14" i="36"/>
  <c r="Y22" i="44"/>
  <c r="AD22" i="44" s="1"/>
  <c r="W22" i="36"/>
  <c r="Y30" i="44"/>
  <c r="AD30" i="44" s="1"/>
  <c r="W30" i="36"/>
  <c r="Y38" i="44"/>
  <c r="AD38" i="44" s="1"/>
  <c r="W38" i="36"/>
  <c r="Y62" i="44"/>
  <c r="AD62" i="44" s="1"/>
  <c r="W62" i="36"/>
  <c r="AQ62" i="44"/>
  <c r="AE62" i="36"/>
  <c r="L32" i="36"/>
  <c r="Q26" i="36"/>
  <c r="O10" i="44"/>
  <c r="L10" i="36"/>
  <c r="AR5" i="44"/>
  <c r="Y7" i="44"/>
  <c r="AD7" i="44" s="1"/>
  <c r="W7" i="36"/>
  <c r="Y23" i="44"/>
  <c r="AD23" i="44" s="1"/>
  <c r="W23" i="36"/>
  <c r="Y31" i="44"/>
  <c r="AD31" i="44" s="1"/>
  <c r="W31" i="36"/>
  <c r="Y39" i="44"/>
  <c r="AD39" i="44" s="1"/>
  <c r="W39" i="36"/>
  <c r="Y63" i="44"/>
  <c r="AA63" i="44" s="1"/>
  <c r="X63" i="36"/>
  <c r="AQ15" i="44"/>
  <c r="AE15" i="36"/>
  <c r="AQ23" i="44"/>
  <c r="AE23" i="36"/>
  <c r="AQ39" i="44"/>
  <c r="AE39" i="36"/>
  <c r="AQ63" i="44"/>
  <c r="AE63" i="36"/>
  <c r="L8" i="36"/>
  <c r="L26" i="36"/>
  <c r="Z26" i="44"/>
  <c r="Y64" i="44"/>
  <c r="AA64" i="44" s="1"/>
  <c r="W64" i="36"/>
  <c r="Y8" i="44"/>
  <c r="AD8" i="44" s="1"/>
  <c r="X8" i="36"/>
  <c r="Y16" i="44"/>
  <c r="AD16" i="44" s="1"/>
  <c r="X16" i="36"/>
  <c r="Y24" i="44"/>
  <c r="AD24" i="44" s="1"/>
  <c r="X24" i="36"/>
  <c r="AQ24" i="44"/>
  <c r="AE24" i="36"/>
  <c r="AQ32" i="44"/>
  <c r="AE32" i="36"/>
  <c r="L7" i="36"/>
  <c r="L58" i="36" s="1"/>
  <c r="AR13" i="44"/>
  <c r="AQ21" i="44"/>
  <c r="V63" i="44"/>
  <c r="AK63" i="44" s="1"/>
  <c r="AK63" i="36" s="1"/>
  <c r="S5" i="44"/>
  <c r="P5" i="44" s="1"/>
  <c r="O8" i="44"/>
  <c r="S13" i="44"/>
  <c r="P13" i="44" s="1"/>
  <c r="S16" i="44"/>
  <c r="AP16" i="44" s="1"/>
  <c r="AR21" i="44"/>
  <c r="S29" i="44"/>
  <c r="O32" i="44"/>
  <c r="AR40" i="44"/>
  <c r="Z42" i="44"/>
  <c r="Z63" i="44"/>
  <c r="O66" i="44"/>
  <c r="AR9" i="44"/>
  <c r="Q9" i="36"/>
  <c r="S17" i="44"/>
  <c r="AP17" i="44" s="1"/>
  <c r="Q17" i="36"/>
  <c r="S25" i="44"/>
  <c r="P25" i="44" s="1"/>
  <c r="Q25" i="36"/>
  <c r="AR33" i="44"/>
  <c r="Q33" i="36"/>
  <c r="S41" i="44"/>
  <c r="AB41" i="44" s="1"/>
  <c r="Q41" i="36"/>
  <c r="AQ65" i="44"/>
  <c r="Q65" i="36"/>
  <c r="V9" i="44"/>
  <c r="AK9" i="44" s="1"/>
  <c r="T9" i="36"/>
  <c r="V17" i="44"/>
  <c r="AK17" i="44" s="1"/>
  <c r="T17" i="36"/>
  <c r="V33" i="44"/>
  <c r="AK33" i="44" s="1"/>
  <c r="T33" i="36"/>
  <c r="V41" i="44"/>
  <c r="AK41" i="44" s="1"/>
  <c r="T41" i="36"/>
  <c r="Y17" i="44"/>
  <c r="AD17" i="44" s="1"/>
  <c r="W17" i="36"/>
  <c r="Y25" i="44"/>
  <c r="AD25" i="44" s="1"/>
  <c r="W25" i="36"/>
  <c r="Y33" i="44"/>
  <c r="AD33" i="44" s="1"/>
  <c r="W33" i="36"/>
  <c r="Y41" i="44"/>
  <c r="AD41" i="44" s="1"/>
  <c r="W41" i="36"/>
  <c r="Y9" i="44"/>
  <c r="AD9" i="44" s="1"/>
  <c r="X9" i="36"/>
  <c r="L24" i="36"/>
  <c r="Q34" i="36"/>
  <c r="W34" i="36"/>
  <c r="S23" i="44"/>
  <c r="AB23" i="44" s="1"/>
  <c r="Q23" i="36"/>
  <c r="AR37" i="44"/>
  <c r="Z39" i="44"/>
  <c r="L39" i="36"/>
  <c r="AQ64" i="44"/>
  <c r="Q64" i="36"/>
  <c r="V64" i="44"/>
  <c r="AK64" i="44" s="1"/>
  <c r="AK64" i="36" s="1"/>
  <c r="T64" i="36"/>
  <c r="Y40" i="44"/>
  <c r="AD40" i="44" s="1"/>
  <c r="X40" i="36"/>
  <c r="V5" i="44"/>
  <c r="AK5" i="44" s="1"/>
  <c r="S8" i="44"/>
  <c r="P8" i="44" s="1"/>
  <c r="V13" i="44"/>
  <c r="AK13" i="44" s="1"/>
  <c r="V16" i="44"/>
  <c r="AK16" i="44" s="1"/>
  <c r="V29" i="44"/>
  <c r="AK29" i="44" s="1"/>
  <c r="S32" i="44"/>
  <c r="P32" i="44" s="1"/>
  <c r="AR39" i="44"/>
  <c r="Z37" i="44"/>
  <c r="L37" i="36"/>
  <c r="O29" i="44"/>
  <c r="L29" i="36"/>
  <c r="Z21" i="44"/>
  <c r="L21" i="36"/>
  <c r="O13" i="44"/>
  <c r="L13" i="36"/>
  <c r="O5" i="44"/>
  <c r="L5" i="36"/>
  <c r="AR26" i="44"/>
  <c r="L18" i="36"/>
  <c r="AF26" i="36"/>
  <c r="AE68" i="44"/>
  <c r="AE61" i="36"/>
  <c r="AG68" i="44"/>
  <c r="AG61" i="36"/>
  <c r="AG68" i="36" s="1"/>
  <c r="AQ37" i="44"/>
  <c r="AQ7" i="44"/>
  <c r="Q7" i="36"/>
  <c r="Y5" i="44"/>
  <c r="AD5" i="44" s="1"/>
  <c r="V8" i="44"/>
  <c r="AK8" i="44" s="1"/>
  <c r="Y13" i="44"/>
  <c r="AD13" i="44" s="1"/>
  <c r="Z16" i="44"/>
  <c r="S21" i="44"/>
  <c r="AB21" i="44" s="1"/>
  <c r="S24" i="44"/>
  <c r="AB24" i="44" s="1"/>
  <c r="Y29" i="44"/>
  <c r="AD29" i="44" s="1"/>
  <c r="O31" i="44"/>
  <c r="V32" i="44"/>
  <c r="AK32" i="44" s="1"/>
  <c r="S37" i="44"/>
  <c r="O40" i="44"/>
  <c r="L68" i="44"/>
  <c r="O28" i="44"/>
  <c r="L28" i="36"/>
  <c r="O20" i="44"/>
  <c r="L20" i="36"/>
  <c r="O12" i="44"/>
  <c r="L12" i="36"/>
  <c r="Z4" i="44"/>
  <c r="L4" i="36"/>
  <c r="AF3" i="36"/>
  <c r="AJ3" i="36"/>
  <c r="AJ58" i="36" s="1"/>
  <c r="Q18" i="36"/>
  <c r="AC3" i="36"/>
  <c r="AC58" i="36" s="1"/>
  <c r="AQ13" i="44"/>
  <c r="AR15" i="44"/>
  <c r="Q15" i="36"/>
  <c r="O16" i="44"/>
  <c r="AR31" i="44"/>
  <c r="V39" i="44"/>
  <c r="AK39" i="44" s="1"/>
  <c r="O23" i="44"/>
  <c r="L23" i="36"/>
  <c r="V40" i="44"/>
  <c r="AK40" i="44" s="1"/>
  <c r="T40" i="36"/>
  <c r="Y32" i="44"/>
  <c r="AD32" i="44" s="1"/>
  <c r="X32" i="36"/>
  <c r="S7" i="44"/>
  <c r="AB7" i="44" s="1"/>
  <c r="S15" i="44"/>
  <c r="P15" i="44" s="1"/>
  <c r="V21" i="44"/>
  <c r="AK21" i="44" s="1"/>
  <c r="V24" i="44"/>
  <c r="AK24" i="44" s="1"/>
  <c r="S31" i="44"/>
  <c r="AB31" i="44" s="1"/>
  <c r="Z34" i="44"/>
  <c r="V37" i="44"/>
  <c r="AK37" i="44" s="1"/>
  <c r="S40" i="44"/>
  <c r="AP40" i="44" s="1"/>
  <c r="AR63" i="44"/>
  <c r="O43" i="44"/>
  <c r="L43" i="36"/>
  <c r="O35" i="44"/>
  <c r="L35" i="36"/>
  <c r="O27" i="44"/>
  <c r="L27" i="36"/>
  <c r="Z19" i="44"/>
  <c r="L19" i="36"/>
  <c r="L11" i="36"/>
  <c r="Q68" i="44"/>
  <c r="R68" i="44"/>
  <c r="T68" i="44"/>
  <c r="U68" i="44"/>
  <c r="W68" i="44"/>
  <c r="X68" i="44"/>
  <c r="X60" i="36"/>
  <c r="AC68" i="44"/>
  <c r="AC60" i="36"/>
  <c r="AF68" i="44"/>
  <c r="AF60" i="36"/>
  <c r="AF68" i="36" s="1"/>
  <c r="AG4" i="36"/>
  <c r="AG58" i="36" s="1"/>
  <c r="AJ68" i="44"/>
  <c r="AJ60" i="36"/>
  <c r="AJ68" i="36" s="1"/>
  <c r="L34" i="36"/>
  <c r="L60" i="36"/>
  <c r="Q42" i="36"/>
  <c r="U3" i="36"/>
  <c r="U58" i="36" s="1"/>
  <c r="U60" i="36"/>
  <c r="W42" i="36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AR42" i="44"/>
  <c r="AQ31" i="44"/>
  <c r="Y61" i="44"/>
  <c r="AA61" i="44" s="1"/>
  <c r="AN27" i="44"/>
  <c r="V6" i="44"/>
  <c r="AK6" i="44" s="1"/>
  <c r="V22" i="44"/>
  <c r="AK22" i="44" s="1"/>
  <c r="V38" i="44"/>
  <c r="AK38" i="44" s="1"/>
  <c r="V61" i="44"/>
  <c r="AK61" i="44" s="1"/>
  <c r="AK61" i="36" s="1"/>
  <c r="P27" i="44"/>
  <c r="S61" i="44"/>
  <c r="AB61" i="44" s="1"/>
  <c r="S14" i="44"/>
  <c r="AQ14" i="44"/>
  <c r="AQ22" i="44"/>
  <c r="AR25" i="44"/>
  <c r="S18" i="44"/>
  <c r="AP18" i="44" s="1"/>
  <c r="AR22" i="44"/>
  <c r="S64" i="44"/>
  <c r="AQ61" i="44"/>
  <c r="AQ41" i="44"/>
  <c r="AR61" i="44"/>
  <c r="S6" i="44"/>
  <c r="AR6" i="44"/>
  <c r="AQ9" i="44"/>
  <c r="AQ17" i="44"/>
  <c r="S33" i="44"/>
  <c r="AP33" i="44" s="1"/>
  <c r="AR34" i="44"/>
  <c r="AR41" i="44"/>
  <c r="AB62" i="44"/>
  <c r="AB28" i="44"/>
  <c r="AR30" i="44"/>
  <c r="S9" i="44"/>
  <c r="AR17" i="44"/>
  <c r="AQ30" i="44"/>
  <c r="P28" i="44"/>
  <c r="S38" i="44"/>
  <c r="S65" i="44"/>
  <c r="Z60" i="44"/>
  <c r="Z43" i="44"/>
  <c r="Z13" i="44"/>
  <c r="Z15" i="44"/>
  <c r="Z27" i="44"/>
  <c r="Z29" i="44"/>
  <c r="Z35" i="44"/>
  <c r="Z11" i="44"/>
  <c r="O11" i="44"/>
  <c r="E63" i="44"/>
  <c r="J63" i="44" s="1"/>
  <c r="F68" i="44"/>
  <c r="J60" i="44"/>
  <c r="E14" i="44"/>
  <c r="J14" i="44" s="1"/>
  <c r="AP27" i="44"/>
  <c r="AP28" i="44"/>
  <c r="AN62" i="44"/>
  <c r="AT62" i="44" s="1"/>
  <c r="AL5" i="43"/>
  <c r="AS5" i="43" s="1" a="1"/>
  <c r="AS5" i="43" s="1"/>
  <c r="AW5" i="43" s="1"/>
  <c r="AL6" i="43"/>
  <c r="AS6" i="43" s="1" a="1"/>
  <c r="AS6" i="43" s="1"/>
  <c r="AW6" i="43" s="1"/>
  <c r="AN23" i="43"/>
  <c r="AT23" i="43" s="1"/>
  <c r="P23" i="43"/>
  <c r="AB23" i="43"/>
  <c r="AL23" i="43" s="1"/>
  <c r="AS23" i="43" s="1" a="1"/>
  <c r="AS23" i="43" s="1"/>
  <c r="AP23" i="43"/>
  <c r="AN28" i="43"/>
  <c r="AT28" i="43" s="1"/>
  <c r="P28" i="43"/>
  <c r="AP28" i="43"/>
  <c r="AB28" i="43"/>
  <c r="AK58" i="43"/>
  <c r="AK70" i="43" s="1"/>
  <c r="AU16" i="43"/>
  <c r="E58" i="43"/>
  <c r="E70" i="43" s="1"/>
  <c r="J3" i="43"/>
  <c r="J58" i="43" s="1"/>
  <c r="J70" i="43" s="1"/>
  <c r="Z58" i="43"/>
  <c r="Z70" i="43" s="1"/>
  <c r="AP63" i="43"/>
  <c r="AN63" i="43"/>
  <c r="AT63" i="43" s="1"/>
  <c r="AL64" i="43"/>
  <c r="AS64" i="43" s="1" a="1"/>
  <c r="AS64" i="43" s="1"/>
  <c r="AP66" i="43"/>
  <c r="AN66" i="43"/>
  <c r="AT66" i="43" s="1"/>
  <c r="P22" i="43"/>
  <c r="S58" i="43"/>
  <c r="AP61" i="43"/>
  <c r="AN61" i="43"/>
  <c r="AT61" i="43" s="1"/>
  <c r="T70" i="43"/>
  <c r="AP64" i="43"/>
  <c r="AN64" i="43"/>
  <c r="AT64" i="43" s="1"/>
  <c r="AT3" i="43"/>
  <c r="AN24" i="43"/>
  <c r="AT24" i="43" s="1"/>
  <c r="P24" i="43"/>
  <c r="U70" i="43"/>
  <c r="AR58" i="43"/>
  <c r="AF70" i="43"/>
  <c r="AR70" i="43" s="1"/>
  <c r="AB66" i="43"/>
  <c r="AL66" i="43" s="1"/>
  <c r="AS66" i="43" s="1" a="1"/>
  <c r="AS66" i="43" s="1"/>
  <c r="AI43" i="43"/>
  <c r="AI42" i="43"/>
  <c r="AL42" i="43" s="1"/>
  <c r="AS42" i="43" s="1" a="1"/>
  <c r="AS42" i="43" s="1"/>
  <c r="AI41" i="43"/>
  <c r="AL41" i="43" s="1"/>
  <c r="AS41" i="43" s="1" a="1"/>
  <c r="AS41" i="43" s="1"/>
  <c r="AI40" i="43"/>
  <c r="AI39" i="43"/>
  <c r="AL39" i="43" s="1"/>
  <c r="AI38" i="43"/>
  <c r="AL38" i="43" s="1"/>
  <c r="AS38" i="43" s="1" a="1"/>
  <c r="AS38" i="43" s="1"/>
  <c r="AI37" i="43"/>
  <c r="AL37" i="43" s="1"/>
  <c r="AI36" i="43"/>
  <c r="AI35" i="43"/>
  <c r="AI34" i="43"/>
  <c r="AL34" i="43" s="1"/>
  <c r="AS34" i="43" s="1" a="1"/>
  <c r="AS34" i="43" s="1"/>
  <c r="AI33" i="43"/>
  <c r="AL33" i="43" s="1"/>
  <c r="AS33" i="43" s="1" a="1"/>
  <c r="AS33" i="43" s="1"/>
  <c r="AI32" i="43"/>
  <c r="AL32" i="43" s="1"/>
  <c r="AS32" i="43" s="1" a="1"/>
  <c r="AS32" i="43" s="1"/>
  <c r="AI31" i="43"/>
  <c r="AL31" i="43" s="1"/>
  <c r="AS31" i="43" s="1" a="1"/>
  <c r="AS31" i="43" s="1"/>
  <c r="AW31" i="43" s="1"/>
  <c r="AI30" i="43"/>
  <c r="AI29" i="43"/>
  <c r="AL29" i="43" s="1"/>
  <c r="AI28" i="43"/>
  <c r="AI27" i="43"/>
  <c r="AL27" i="43" s="1"/>
  <c r="AS27" i="43" s="1" a="1"/>
  <c r="AS27" i="43" s="1"/>
  <c r="AI26" i="43"/>
  <c r="AI25" i="43"/>
  <c r="AL25" i="43" s="1"/>
  <c r="AS25" i="43" s="1" a="1"/>
  <c r="AS25" i="43" s="1"/>
  <c r="AI24" i="43"/>
  <c r="AC70" i="43"/>
  <c r="AD58" i="43"/>
  <c r="V58" i="43"/>
  <c r="V70" i="43" s="1"/>
  <c r="AL3" i="43"/>
  <c r="AN4" i="43"/>
  <c r="AT4" i="43" s="1"/>
  <c r="AN5" i="43"/>
  <c r="AT5" i="43" s="1"/>
  <c r="AN6" i="43"/>
  <c r="AT6" i="43" s="1"/>
  <c r="AN7" i="43"/>
  <c r="AT7" i="43" s="1"/>
  <c r="AN8" i="43"/>
  <c r="AT8" i="43" s="1"/>
  <c r="AN9" i="43"/>
  <c r="AT9" i="43" s="1"/>
  <c r="AN10" i="43"/>
  <c r="AT10" i="43" s="1"/>
  <c r="AN11" i="43"/>
  <c r="AT11" i="43" s="1"/>
  <c r="AN12" i="43"/>
  <c r="AT12" i="43" s="1"/>
  <c r="AN13" i="43"/>
  <c r="AT13" i="43" s="1"/>
  <c r="AN14" i="43"/>
  <c r="AT14" i="43" s="1"/>
  <c r="AN15" i="43"/>
  <c r="AT15" i="43" s="1"/>
  <c r="AN16" i="43"/>
  <c r="AT16" i="43" s="1"/>
  <c r="AN17" i="43"/>
  <c r="AT17" i="43" s="1"/>
  <c r="AN18" i="43"/>
  <c r="AT18" i="43" s="1"/>
  <c r="AN19" i="43"/>
  <c r="AT19" i="43" s="1"/>
  <c r="AN20" i="43"/>
  <c r="AT20" i="43" s="1"/>
  <c r="AN21" i="43"/>
  <c r="AT21" i="43" s="1"/>
  <c r="AP22" i="43"/>
  <c r="AN27" i="43"/>
  <c r="AT27" i="43" s="1"/>
  <c r="P27" i="43"/>
  <c r="AP62" i="43"/>
  <c r="AN62" i="43"/>
  <c r="AT62" i="43" s="1"/>
  <c r="AB63" i="43"/>
  <c r="AL63" i="43" s="1"/>
  <c r="AS63" i="43" s="1" a="1"/>
  <c r="AS63" i="43" s="1"/>
  <c r="AN26" i="43"/>
  <c r="AT26" i="43" s="1"/>
  <c r="P26" i="43"/>
  <c r="AU21" i="43"/>
  <c r="AI68" i="43"/>
  <c r="S20" i="3" s="1"/>
  <c r="AP65" i="43"/>
  <c r="AN65" i="43"/>
  <c r="AT65" i="43" s="1"/>
  <c r="AO67" i="43"/>
  <c r="AB22" i="43"/>
  <c r="AL22" i="43" s="1"/>
  <c r="AS22" i="43" s="1" a="1"/>
  <c r="AS22" i="43" s="1"/>
  <c r="AW22" i="43" s="1"/>
  <c r="AN25" i="43"/>
  <c r="AT25" i="43" s="1"/>
  <c r="P25" i="43"/>
  <c r="AB26" i="43"/>
  <c r="S68" i="43"/>
  <c r="AP60" i="43"/>
  <c r="AN60" i="43"/>
  <c r="AB61" i="43"/>
  <c r="AL61" i="43" s="1"/>
  <c r="AS61" i="43" s="1" a="1"/>
  <c r="AS61" i="43" s="1"/>
  <c r="AL62" i="43"/>
  <c r="AS62" i="43" s="1" a="1"/>
  <c r="AS62" i="43" s="1"/>
  <c r="AW62" i="43" s="1"/>
  <c r="P63" i="43"/>
  <c r="P66" i="43"/>
  <c r="P29" i="43"/>
  <c r="AS29" i="43" a="1"/>
  <c r="AS29" i="43" s="1"/>
  <c r="AW29" i="43" s="1"/>
  <c r="P30" i="43"/>
  <c r="P31" i="43"/>
  <c r="P32" i="43"/>
  <c r="P33" i="43"/>
  <c r="P34" i="43"/>
  <c r="P35" i="43"/>
  <c r="P36" i="43"/>
  <c r="P37" i="43"/>
  <c r="AS37" i="43" a="1"/>
  <c r="AS37" i="43" s="1"/>
  <c r="AW37" i="43" s="1"/>
  <c r="P38" i="43"/>
  <c r="P39" i="43"/>
  <c r="AS39" i="43" a="1"/>
  <c r="AS39" i="43" s="1"/>
  <c r="AW39" i="43" s="1"/>
  <c r="P40" i="43"/>
  <c r="P41" i="43"/>
  <c r="P42" i="43"/>
  <c r="P43" i="43"/>
  <c r="AL60" i="43"/>
  <c r="AL65" i="43"/>
  <c r="AS65" i="43" s="1" a="1"/>
  <c r="AS65" i="43" s="1"/>
  <c r="T34" i="3"/>
  <c r="V34" i="3"/>
  <c r="AA34" i="3"/>
  <c r="F20" i="3" l="1"/>
  <c r="E5" i="45"/>
  <c r="D58" i="45"/>
  <c r="AF58" i="36"/>
  <c r="AN64" i="44"/>
  <c r="AN56" i="44"/>
  <c r="AT56" i="44" s="1"/>
  <c r="AP56" i="44"/>
  <c r="X58" i="36"/>
  <c r="AB47" i="44"/>
  <c r="W58" i="36"/>
  <c r="AN46" i="44"/>
  <c r="AT46" i="44" s="1"/>
  <c r="AN55" i="44"/>
  <c r="AT55" i="44" s="1"/>
  <c r="T58" i="36"/>
  <c r="Q58" i="36"/>
  <c r="AN65" i="44"/>
  <c r="AE58" i="36"/>
  <c r="AP55" i="44"/>
  <c r="P56" i="44"/>
  <c r="AN39" i="44"/>
  <c r="S54" i="36"/>
  <c r="AB54" i="36" s="1"/>
  <c r="AN28" i="44"/>
  <c r="AN29" i="44"/>
  <c r="P46" i="44"/>
  <c r="AD3" i="44"/>
  <c r="Y58" i="44"/>
  <c r="AK3" i="44"/>
  <c r="V58" i="44"/>
  <c r="AP3" i="44"/>
  <c r="S58" i="44"/>
  <c r="Z58" i="44"/>
  <c r="L5" i="46"/>
  <c r="M4" i="46"/>
  <c r="G4" i="46" s="1"/>
  <c r="F4" i="46"/>
  <c r="E5" i="46"/>
  <c r="E63" i="46"/>
  <c r="F62" i="46"/>
  <c r="M64" i="46"/>
  <c r="L65" i="46"/>
  <c r="K114" i="45"/>
  <c r="L62" i="45"/>
  <c r="P50" i="44"/>
  <c r="AP51" i="44"/>
  <c r="AP50" i="44"/>
  <c r="AN50" i="44"/>
  <c r="AT50" i="44" s="1"/>
  <c r="P49" i="44"/>
  <c r="AR57" i="44"/>
  <c r="AW52" i="43"/>
  <c r="AU52" i="43"/>
  <c r="AW45" i="43"/>
  <c r="AU45" i="43"/>
  <c r="AW50" i="43"/>
  <c r="AU50" i="43"/>
  <c r="AU48" i="43"/>
  <c r="AU49" i="43"/>
  <c r="AW49" i="43"/>
  <c r="AQ57" i="44"/>
  <c r="AT44" i="44"/>
  <c r="AN45" i="44"/>
  <c r="AT45" i="44" s="1"/>
  <c r="AN49" i="44"/>
  <c r="AT49" i="44" s="1"/>
  <c r="AT48" i="43"/>
  <c r="AT57" i="43" s="1"/>
  <c r="AN57" i="43"/>
  <c r="AU56" i="43"/>
  <c r="AN48" i="44"/>
  <c r="AT48" i="44" s="1"/>
  <c r="AP46" i="44"/>
  <c r="AB45" i="44"/>
  <c r="AB49" i="44"/>
  <c r="AS57" i="43"/>
  <c r="AW44" i="43"/>
  <c r="P48" i="44"/>
  <c r="AP48" i="44"/>
  <c r="AU51" i="43"/>
  <c r="AU44" i="43"/>
  <c r="Y70" i="43"/>
  <c r="AL17" i="43"/>
  <c r="AS17" i="43" s="1" a="1"/>
  <c r="AS17" i="43" s="1"/>
  <c r="AW17" i="43" s="1"/>
  <c r="AL13" i="43"/>
  <c r="AS13" i="43" s="1" a="1"/>
  <c r="AS13" i="43" s="1"/>
  <c r="AW13" i="43" s="1"/>
  <c r="AL24" i="43"/>
  <c r="AS24" i="43" s="1" a="1"/>
  <c r="AS24" i="43" s="1"/>
  <c r="AW24" i="43" s="1"/>
  <c r="AL40" i="43"/>
  <c r="AS40" i="43" s="1" a="1"/>
  <c r="AS40" i="43" s="1"/>
  <c r="AU8" i="43"/>
  <c r="AU13" i="43"/>
  <c r="AB34" i="44"/>
  <c r="AU14" i="43"/>
  <c r="P34" i="44"/>
  <c r="AN34" i="44"/>
  <c r="AL35" i="43"/>
  <c r="AS35" i="43" s="1" a="1"/>
  <c r="AS35" i="43" s="1"/>
  <c r="AW35" i="43" s="1"/>
  <c r="AL36" i="43"/>
  <c r="AS36" i="43" s="1" a="1"/>
  <c r="AS36" i="43" s="1"/>
  <c r="AW36" i="43" s="1"/>
  <c r="AU11" i="43"/>
  <c r="AA41" i="43"/>
  <c r="AA5" i="43"/>
  <c r="AU15" i="43"/>
  <c r="AA15" i="43"/>
  <c r="AA38" i="43"/>
  <c r="AU22" i="43"/>
  <c r="AL43" i="43"/>
  <c r="AS43" i="43" s="1" a="1"/>
  <c r="AS43" i="43" s="1"/>
  <c r="AW43" i="43" s="1"/>
  <c r="AA23" i="43"/>
  <c r="AA37" i="43"/>
  <c r="AA10" i="43"/>
  <c r="AU19" i="43"/>
  <c r="H70" i="44"/>
  <c r="AA11" i="43"/>
  <c r="AA19" i="43"/>
  <c r="AU5" i="43"/>
  <c r="AU37" i="43"/>
  <c r="G70" i="44"/>
  <c r="AU20" i="43"/>
  <c r="AU7" i="43"/>
  <c r="AU9" i="43"/>
  <c r="AL30" i="43"/>
  <c r="AS30" i="43" s="1" a="1"/>
  <c r="AS30" i="43" s="1"/>
  <c r="AU30" i="43" s="1"/>
  <c r="AU18" i="43"/>
  <c r="AU4" i="43"/>
  <c r="AU12" i="43"/>
  <c r="AU10" i="43"/>
  <c r="AN63" i="44"/>
  <c r="AT63" i="44" s="1"/>
  <c r="AD66" i="44"/>
  <c r="AB63" i="44"/>
  <c r="P63" i="44"/>
  <c r="AP43" i="44"/>
  <c r="AB60" i="44"/>
  <c r="AN19" i="44"/>
  <c r="AN60" i="44"/>
  <c r="AP60" i="44"/>
  <c r="AJ70" i="44"/>
  <c r="P26" i="44"/>
  <c r="AN43" i="44"/>
  <c r="AP31" i="44"/>
  <c r="AB43" i="44"/>
  <c r="J68" i="44"/>
  <c r="AB4" i="44"/>
  <c r="AP20" i="44"/>
  <c r="P20" i="44"/>
  <c r="AI11" i="36"/>
  <c r="AN20" i="44"/>
  <c r="AN16" i="44"/>
  <c r="AB66" i="44"/>
  <c r="AP4" i="44"/>
  <c r="AN26" i="44"/>
  <c r="AI17" i="36"/>
  <c r="F70" i="44"/>
  <c r="AP41" i="44"/>
  <c r="AP15" i="44"/>
  <c r="P40" i="44"/>
  <c r="P16" i="44"/>
  <c r="AN4" i="44"/>
  <c r="AN37" i="44"/>
  <c r="AI60" i="36"/>
  <c r="AP21" i="44"/>
  <c r="AB10" i="44"/>
  <c r="AN10" i="44"/>
  <c r="AB25" i="44"/>
  <c r="P3" i="44"/>
  <c r="AN3" i="44"/>
  <c r="P23" i="44"/>
  <c r="AB37" i="44"/>
  <c r="AD60" i="44"/>
  <c r="AB29" i="44"/>
  <c r="AP25" i="44"/>
  <c r="AB3" i="44"/>
  <c r="AD65" i="44"/>
  <c r="AB15" i="44"/>
  <c r="AD20" i="44"/>
  <c r="AN41" i="44"/>
  <c r="AN7" i="44"/>
  <c r="AN66" i="44"/>
  <c r="AT66" i="44" s="1"/>
  <c r="P66" i="44"/>
  <c r="AN30" i="44"/>
  <c r="AB16" i="44"/>
  <c r="AN36" i="44"/>
  <c r="AN22" i="44"/>
  <c r="AB22" i="44"/>
  <c r="AP42" i="44"/>
  <c r="AP35" i="44"/>
  <c r="AN24" i="44"/>
  <c r="AP22" i="44"/>
  <c r="P19" i="44"/>
  <c r="AB26" i="44"/>
  <c r="AP36" i="44"/>
  <c r="AP24" i="44"/>
  <c r="P10" i="44"/>
  <c r="P22" i="44"/>
  <c r="P42" i="44"/>
  <c r="AB42" i="44"/>
  <c r="AP61" i="44"/>
  <c r="AN35" i="44"/>
  <c r="AQ67" i="44"/>
  <c r="P35" i="44"/>
  <c r="AD63" i="44"/>
  <c r="P24" i="44"/>
  <c r="AN25" i="44"/>
  <c r="AP19" i="44"/>
  <c r="AB8" i="44"/>
  <c r="AP5" i="44"/>
  <c r="AA62" i="44"/>
  <c r="AB11" i="44"/>
  <c r="AK68" i="36"/>
  <c r="AG70" i="44"/>
  <c r="Z68" i="44"/>
  <c r="P61" i="44"/>
  <c r="AJ70" i="36"/>
  <c r="AN15" i="44"/>
  <c r="AR58" i="44"/>
  <c r="AN31" i="44"/>
  <c r="AR67" i="44"/>
  <c r="AP30" i="44"/>
  <c r="P39" i="44"/>
  <c r="AD61" i="44"/>
  <c r="AD15" i="44"/>
  <c r="AP8" i="44"/>
  <c r="P36" i="44"/>
  <c r="AR68" i="44"/>
  <c r="AN12" i="44"/>
  <c r="AB12" i="44"/>
  <c r="P12" i="44"/>
  <c r="AN11" i="44"/>
  <c r="P11" i="44"/>
  <c r="AC70" i="44"/>
  <c r="AD19" i="44"/>
  <c r="P31" i="44"/>
  <c r="AP39" i="44"/>
  <c r="P41" i="44"/>
  <c r="AB30" i="44"/>
  <c r="P21" i="44"/>
  <c r="AN21" i="44"/>
  <c r="L70" i="44"/>
  <c r="AB39" i="44"/>
  <c r="AB5" i="44"/>
  <c r="AG70" i="36"/>
  <c r="AN17" i="44"/>
  <c r="AD58" i="44"/>
  <c r="AN61" i="44"/>
  <c r="AP7" i="44"/>
  <c r="AN23" i="44"/>
  <c r="AN32" i="44"/>
  <c r="X70" i="44"/>
  <c r="AP37" i="44"/>
  <c r="P37" i="44"/>
  <c r="U70" i="44"/>
  <c r="AB17" i="44"/>
  <c r="T70" i="44"/>
  <c r="W70" i="44"/>
  <c r="AP32" i="44"/>
  <c r="AK68" i="44"/>
  <c r="AB32" i="44"/>
  <c r="P7" i="44"/>
  <c r="P17" i="44"/>
  <c r="P29" i="44"/>
  <c r="AD64" i="44"/>
  <c r="AF70" i="36"/>
  <c r="R70" i="44"/>
  <c r="AP23" i="44"/>
  <c r="V68" i="44"/>
  <c r="AN8" i="44"/>
  <c r="AF70" i="44"/>
  <c r="Q70" i="44"/>
  <c r="AN13" i="44"/>
  <c r="AB13" i="44"/>
  <c r="AP13" i="44"/>
  <c r="AN40" i="44"/>
  <c r="AB40" i="44"/>
  <c r="AP29" i="44"/>
  <c r="AN5" i="44"/>
  <c r="AE70" i="44"/>
  <c r="E63" i="45"/>
  <c r="F62" i="45"/>
  <c r="K58" i="45"/>
  <c r="L4" i="45"/>
  <c r="F5" i="45"/>
  <c r="E6" i="45"/>
  <c r="Y68" i="44"/>
  <c r="AD68" i="44" s="1"/>
  <c r="AB38" i="44"/>
  <c r="AP38" i="44"/>
  <c r="P38" i="44"/>
  <c r="AN38" i="44"/>
  <c r="AT38" i="44" s="1"/>
  <c r="AP65" i="44"/>
  <c r="P65" i="44"/>
  <c r="AB65" i="44"/>
  <c r="AN9" i="44"/>
  <c r="AP9" i="44"/>
  <c r="P9" i="44"/>
  <c r="AB9" i="44"/>
  <c r="AN6" i="44"/>
  <c r="P6" i="44"/>
  <c r="AP6" i="44"/>
  <c r="AB6" i="44"/>
  <c r="P14" i="44"/>
  <c r="AN14" i="44"/>
  <c r="AB14" i="44"/>
  <c r="AP14" i="44"/>
  <c r="S68" i="44"/>
  <c r="AN18" i="44"/>
  <c r="AB18" i="44"/>
  <c r="P18" i="44"/>
  <c r="AN33" i="44"/>
  <c r="AT33" i="44" s="1"/>
  <c r="P33" i="44"/>
  <c r="AB33" i="44"/>
  <c r="AP64" i="44"/>
  <c r="AB64" i="44"/>
  <c r="P64" i="44"/>
  <c r="E68" i="44"/>
  <c r="AW33" i="43"/>
  <c r="AU33" i="43"/>
  <c r="AW23" i="43"/>
  <c r="AU23" i="43"/>
  <c r="AW63" i="43"/>
  <c r="AU63" i="43"/>
  <c r="AW61" i="43"/>
  <c r="AU61" i="43"/>
  <c r="AW38" i="43"/>
  <c r="AU38" i="43"/>
  <c r="AW27" i="43"/>
  <c r="AU27" i="43"/>
  <c r="AW64" i="43"/>
  <c r="AU64" i="43"/>
  <c r="AW32" i="43"/>
  <c r="AU32" i="43"/>
  <c r="AW40" i="43"/>
  <c r="AU40" i="43"/>
  <c r="AW65" i="43"/>
  <c r="AU65" i="43"/>
  <c r="AW25" i="43"/>
  <c r="AU25" i="43"/>
  <c r="AW41" i="43"/>
  <c r="AU41" i="43"/>
  <c r="AW66" i="43"/>
  <c r="AU66" i="43"/>
  <c r="AW34" i="43"/>
  <c r="AU34" i="43"/>
  <c r="AW42" i="43"/>
  <c r="AU42" i="43"/>
  <c r="AU6" i="43"/>
  <c r="AL26" i="43"/>
  <c r="AS26" i="43" s="1" a="1"/>
  <c r="AS26" i="43" s="1"/>
  <c r="AU39" i="43"/>
  <c r="AU29" i="43"/>
  <c r="AI58" i="43"/>
  <c r="S19" i="3" s="1"/>
  <c r="F19" i="3" s="1"/>
  <c r="AU62" i="43"/>
  <c r="AS3" i="43"/>
  <c r="AU31" i="43"/>
  <c r="AB58" i="43"/>
  <c r="AB68" i="43"/>
  <c r="P20" i="3" s="1"/>
  <c r="AC20" i="3" s="1"/>
  <c r="AU35" i="43"/>
  <c r="AS60" i="43" a="1"/>
  <c r="AS60" i="43" s="1"/>
  <c r="AL68" i="43"/>
  <c r="AN67" i="43"/>
  <c r="AT60" i="43"/>
  <c r="AT67" i="43" s="1"/>
  <c r="S70" i="43"/>
  <c r="AL28" i="43"/>
  <c r="AS28" i="43" s="1" a="1"/>
  <c r="AS28" i="43" s="1"/>
  <c r="AP67" i="43"/>
  <c r="AK60" i="38"/>
  <c r="AF20" i="3" l="1"/>
  <c r="AG20" i="3"/>
  <c r="AT60" i="44"/>
  <c r="AN67" i="44"/>
  <c r="AB58" i="44"/>
  <c r="AN57" i="44"/>
  <c r="AP57" i="44"/>
  <c r="AK58" i="44"/>
  <c r="F63" i="46"/>
  <c r="E64" i="46"/>
  <c r="F5" i="46"/>
  <c r="E6" i="46"/>
  <c r="M65" i="46"/>
  <c r="L66" i="46"/>
  <c r="M5" i="46"/>
  <c r="G5" i="46" s="1"/>
  <c r="L6" i="46"/>
  <c r="M62" i="45"/>
  <c r="L63" i="45"/>
  <c r="AI4" i="36"/>
  <c r="AI45" i="36"/>
  <c r="AL45" i="36" s="1"/>
  <c r="AI49" i="36"/>
  <c r="AL49" i="36" s="1"/>
  <c r="AL36" i="44"/>
  <c r="AS36" i="44" s="1" a="1"/>
  <c r="AS36" i="44" s="1"/>
  <c r="AW36" i="44" s="1"/>
  <c r="AI5" i="36"/>
  <c r="AI62" i="36"/>
  <c r="AL24" i="44"/>
  <c r="AS24" i="44" s="1" a="1"/>
  <c r="AS24" i="44" s="1"/>
  <c r="AW24" i="44" s="1"/>
  <c r="AU57" i="43"/>
  <c r="AA31" i="43"/>
  <c r="AA43" i="43"/>
  <c r="AA30" i="43"/>
  <c r="AA25" i="43"/>
  <c r="AA20" i="43"/>
  <c r="AA32" i="43"/>
  <c r="AA14" i="43"/>
  <c r="AA12" i="43"/>
  <c r="AA6" i="43"/>
  <c r="AA4" i="43"/>
  <c r="AA36" i="43"/>
  <c r="AA33" i="43"/>
  <c r="AA28" i="43"/>
  <c r="AA16" i="43"/>
  <c r="AA7" i="43"/>
  <c r="AI14" i="36"/>
  <c r="AI10" i="36"/>
  <c r="AA35" i="43"/>
  <c r="AA39" i="43"/>
  <c r="AA8" i="43"/>
  <c r="AA22" i="43"/>
  <c r="AD70" i="43"/>
  <c r="AU17" i="43"/>
  <c r="AA40" i="43"/>
  <c r="AU24" i="43"/>
  <c r="AU43" i="43"/>
  <c r="AI65" i="36"/>
  <c r="AA27" i="43"/>
  <c r="AA24" i="43"/>
  <c r="AA26" i="43"/>
  <c r="AA34" i="43"/>
  <c r="J70" i="44"/>
  <c r="AA17" i="43"/>
  <c r="AA42" i="43"/>
  <c r="AA9" i="43"/>
  <c r="AA3" i="43"/>
  <c r="AA58" i="43" s="1"/>
  <c r="AA70" i="43" s="1"/>
  <c r="AA21" i="43"/>
  <c r="AE20" i="3"/>
  <c r="AB20" i="3"/>
  <c r="AW30" i="43"/>
  <c r="AI63" i="36"/>
  <c r="AI61" i="36"/>
  <c r="AI68" i="36" s="1"/>
  <c r="AA18" i="43"/>
  <c r="AA29" i="43"/>
  <c r="AA13" i="43"/>
  <c r="AI35" i="36"/>
  <c r="AI18" i="36"/>
  <c r="AI37" i="36"/>
  <c r="AI64" i="36"/>
  <c r="AI38" i="36"/>
  <c r="AI27" i="36"/>
  <c r="AI7" i="36"/>
  <c r="AI39" i="36"/>
  <c r="AI29" i="36"/>
  <c r="AI13" i="36"/>
  <c r="AL21" i="44"/>
  <c r="AS21" i="44" s="1" a="1"/>
  <c r="AS21" i="44" s="1"/>
  <c r="AW21" i="44" s="1"/>
  <c r="AI41" i="36"/>
  <c r="AI25" i="36"/>
  <c r="AU36" i="43"/>
  <c r="AI6" i="36"/>
  <c r="AI40" i="36"/>
  <c r="AI30" i="36"/>
  <c r="AI12" i="36"/>
  <c r="AL20" i="44"/>
  <c r="AS20" i="44" s="1" a="1"/>
  <c r="AS20" i="44" s="1"/>
  <c r="AW20" i="44" s="1"/>
  <c r="AI31" i="36"/>
  <c r="AI16" i="36"/>
  <c r="AI15" i="36"/>
  <c r="AI42" i="36"/>
  <c r="AI9" i="36"/>
  <c r="AL4" i="44"/>
  <c r="AS4" i="44" s="1" a="1"/>
  <c r="AS4" i="44" s="1"/>
  <c r="AW4" i="44" s="1"/>
  <c r="AL8" i="44"/>
  <c r="AS8" i="44" s="1" a="1"/>
  <c r="AS8" i="44" s="1"/>
  <c r="AT8" i="44" s="1"/>
  <c r="AI22" i="36"/>
  <c r="AI26" i="36"/>
  <c r="AI66" i="36"/>
  <c r="AI33" i="36"/>
  <c r="AI32" i="36"/>
  <c r="AL34" i="44"/>
  <c r="AS34" i="44" s="1" a="1"/>
  <c r="AS34" i="44" s="1"/>
  <c r="AW34" i="44" s="1"/>
  <c r="AI23" i="36"/>
  <c r="AL58" i="43"/>
  <c r="AL70" i="43" s="1"/>
  <c r="E70" i="44"/>
  <c r="AB70" i="43"/>
  <c r="P19" i="3"/>
  <c r="AL13" i="44"/>
  <c r="AS13" i="44" s="1" a="1"/>
  <c r="AS13" i="44" s="1"/>
  <c r="AW13" i="44" s="1"/>
  <c r="AL41" i="44"/>
  <c r="AS41" i="44" s="1" a="1"/>
  <c r="AS41" i="44" s="1"/>
  <c r="AW41" i="44" s="1"/>
  <c r="AL43" i="44"/>
  <c r="AS43" i="44" s="1" a="1"/>
  <c r="AS43" i="44" s="1"/>
  <c r="AW43" i="44" s="1"/>
  <c r="AL16" i="44"/>
  <c r="AS16" i="44" s="1" a="1"/>
  <c r="AS16" i="44" s="1"/>
  <c r="AW16" i="44" s="1"/>
  <c r="AL26" i="44"/>
  <c r="AS26" i="44" s="1" a="1"/>
  <c r="AS26" i="44" s="1"/>
  <c r="AT26" i="44" s="1"/>
  <c r="S70" i="44"/>
  <c r="AL63" i="44"/>
  <c r="AS63" i="44" s="1" a="1"/>
  <c r="AS63" i="44" s="1"/>
  <c r="AW63" i="44" s="1"/>
  <c r="AL32" i="44"/>
  <c r="AS32" i="44" s="1" a="1"/>
  <c r="AS32" i="44" s="1"/>
  <c r="AW32" i="44" s="1"/>
  <c r="AL17" i="44"/>
  <c r="AS17" i="44" s="1" a="1"/>
  <c r="AS17" i="44" s="1"/>
  <c r="AW17" i="44" s="1"/>
  <c r="AL66" i="44"/>
  <c r="AS66" i="44" s="1" a="1"/>
  <c r="AS66" i="44" s="1"/>
  <c r="AW66" i="44" s="1"/>
  <c r="AL33" i="44"/>
  <c r="AS33" i="44" s="1" a="1"/>
  <c r="AS33" i="44" s="1"/>
  <c r="AW33" i="44" s="1"/>
  <c r="AL65" i="44"/>
  <c r="AS65" i="44" s="1" a="1"/>
  <c r="AS65" i="44" s="1"/>
  <c r="AL10" i="44"/>
  <c r="AS10" i="44" s="1" a="1"/>
  <c r="AS10" i="44" s="1"/>
  <c r="AW10" i="44" s="1"/>
  <c r="AL11" i="44"/>
  <c r="AS11" i="44" s="1" a="1"/>
  <c r="AS11" i="44" s="1"/>
  <c r="AW11" i="44" s="1"/>
  <c r="AL5" i="44"/>
  <c r="AS5" i="44" s="1" a="1"/>
  <c r="AS5" i="44" s="1"/>
  <c r="AU5" i="44" s="1"/>
  <c r="AL61" i="44"/>
  <c r="AS61" i="44" s="1" a="1"/>
  <c r="AS61" i="44" s="1"/>
  <c r="AW61" i="44" s="1"/>
  <c r="AL38" i="44"/>
  <c r="AS38" i="44" s="1" a="1"/>
  <c r="AS38" i="44" s="1"/>
  <c r="AU38" i="44" s="1"/>
  <c r="AL64" i="44"/>
  <c r="AS64" i="44" s="1" a="1"/>
  <c r="AS64" i="44" s="1"/>
  <c r="AI43" i="36"/>
  <c r="AL60" i="44"/>
  <c r="AS60" i="44" s="1" a="1"/>
  <c r="AS60" i="44" s="1"/>
  <c r="AW60" i="44" s="1"/>
  <c r="AI34" i="36"/>
  <c r="AL29" i="44"/>
  <c r="AS29" i="44" s="1" a="1"/>
  <c r="AS29" i="44" s="1"/>
  <c r="AU29" i="44" s="1"/>
  <c r="AL18" i="44"/>
  <c r="AS18" i="44" s="1" a="1"/>
  <c r="AS18" i="44" s="1"/>
  <c r="AW18" i="44" s="1"/>
  <c r="AU21" i="44"/>
  <c r="AL3" i="44"/>
  <c r="AP67" i="44"/>
  <c r="Z70" i="44"/>
  <c r="AT21" i="44"/>
  <c r="V70" i="44"/>
  <c r="AL28" i="44"/>
  <c r="AS28" i="44" s="1" a="1"/>
  <c r="AS28" i="44" s="1"/>
  <c r="AW28" i="44" s="1"/>
  <c r="AI28" i="36"/>
  <c r="AR70" i="44"/>
  <c r="AK70" i="44"/>
  <c r="AL7" i="44"/>
  <c r="AS7" i="44" s="1" a="1"/>
  <c r="AS7" i="44" s="1"/>
  <c r="AW7" i="44" s="1"/>
  <c r="AI8" i="36"/>
  <c r="AL19" i="44"/>
  <c r="AS19" i="44" s="1" a="1"/>
  <c r="AS19" i="44" s="1"/>
  <c r="AW19" i="44" s="1"/>
  <c r="AI19" i="36"/>
  <c r="AI36" i="36"/>
  <c r="F6" i="45"/>
  <c r="E7" i="45"/>
  <c r="M4" i="45"/>
  <c r="L5" i="45"/>
  <c r="F63" i="45"/>
  <c r="E64" i="45"/>
  <c r="Y70" i="44"/>
  <c r="AB68" i="44"/>
  <c r="AW3" i="43"/>
  <c r="AW58" i="43" s="1"/>
  <c r="AU3" i="43"/>
  <c r="AS67" i="43"/>
  <c r="AW60" i="43"/>
  <c r="AW68" i="43" s="1"/>
  <c r="AU60" i="43"/>
  <c r="AU67" i="43" s="1"/>
  <c r="AW28" i="43"/>
  <c r="AU28" i="43"/>
  <c r="AW26" i="43"/>
  <c r="AU26" i="43"/>
  <c r="J5" i="39"/>
  <c r="C5" i="39"/>
  <c r="Y16" i="3"/>
  <c r="X16" i="3"/>
  <c r="W16" i="3"/>
  <c r="S16" i="3"/>
  <c r="G16" i="3"/>
  <c r="Y15" i="3"/>
  <c r="Y34" i="3" s="1"/>
  <c r="X15" i="3"/>
  <c r="X34" i="3" s="1"/>
  <c r="W15" i="3"/>
  <c r="G15" i="3"/>
  <c r="G34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AT4" i="44" l="1"/>
  <c r="AU4" i="44"/>
  <c r="AU24" i="44"/>
  <c r="AT24" i="44"/>
  <c r="AU65" i="44"/>
  <c r="AT65" i="44"/>
  <c r="AW64" i="44"/>
  <c r="AT64" i="44"/>
  <c r="AT61" i="44"/>
  <c r="AT28" i="44"/>
  <c r="AT29" i="44"/>
  <c r="AL12" i="44"/>
  <c r="AS12" i="44" s="1" a="1"/>
  <c r="AS12" i="44" s="1"/>
  <c r="AU12" i="44" s="1"/>
  <c r="AL9" i="44"/>
  <c r="AS9" i="44" s="1" a="1"/>
  <c r="AS9" i="44" s="1"/>
  <c r="AW9" i="44" s="1"/>
  <c r="AL49" i="44"/>
  <c r="AS49" i="44" s="1" a="1"/>
  <c r="AS49" i="44" s="1"/>
  <c r="AU49" i="44" s="1"/>
  <c r="M6" i="46"/>
  <c r="G6" i="46" s="1"/>
  <c r="L7" i="46"/>
  <c r="L67" i="46"/>
  <c r="M66" i="46"/>
  <c r="E7" i="46"/>
  <c r="F6" i="46"/>
  <c r="E65" i="46"/>
  <c r="F64" i="46"/>
  <c r="M63" i="45"/>
  <c r="L64" i="45"/>
  <c r="AL42" i="44"/>
  <c r="AS42" i="44" s="1" a="1"/>
  <c r="AS42" i="44" s="1"/>
  <c r="AU42" i="44" s="1"/>
  <c r="AI55" i="36"/>
  <c r="AL55" i="36" s="1"/>
  <c r="AL55" i="44"/>
  <c r="AS55" i="44" s="1" a="1"/>
  <c r="AS55" i="44" s="1"/>
  <c r="AI46" i="36"/>
  <c r="AL46" i="36" s="1"/>
  <c r="AL46" i="44"/>
  <c r="AS46" i="44" s="1" a="1"/>
  <c r="AS46" i="44" s="1"/>
  <c r="AL39" i="44"/>
  <c r="AS39" i="44" s="1" a="1"/>
  <c r="AS39" i="44" s="1"/>
  <c r="AL62" i="44"/>
  <c r="AS62" i="44" s="1" a="1"/>
  <c r="AS62" i="44" s="1"/>
  <c r="AW62" i="44" s="1"/>
  <c r="AL31" i="44"/>
  <c r="AS31" i="44" s="1" a="1"/>
  <c r="AS31" i="44" s="1"/>
  <c r="AT31" i="44" s="1"/>
  <c r="AI52" i="36"/>
  <c r="AL52" i="36" s="1"/>
  <c r="AL52" i="44"/>
  <c r="AS52" i="44" s="1" a="1"/>
  <c r="AS52" i="44" s="1"/>
  <c r="AI50" i="36"/>
  <c r="AL50" i="36" s="1"/>
  <c r="AL50" i="44"/>
  <c r="AS50" i="44" s="1" a="1"/>
  <c r="AS50" i="44" s="1"/>
  <c r="AI56" i="36"/>
  <c r="AL56" i="36" s="1"/>
  <c r="AL56" i="44"/>
  <c r="AS56" i="44" s="1" a="1"/>
  <c r="AS56" i="44" s="1"/>
  <c r="AI44" i="36"/>
  <c r="AL44" i="36" s="1"/>
  <c r="AL44" i="44"/>
  <c r="AS44" i="44" s="1" a="1"/>
  <c r="AS44" i="44" s="1"/>
  <c r="AS3" i="44"/>
  <c r="AW3" i="44" s="1"/>
  <c r="AA32" i="44"/>
  <c r="AA50" i="44"/>
  <c r="AA46" i="44"/>
  <c r="AA45" i="44"/>
  <c r="AA55" i="44"/>
  <c r="AA54" i="44"/>
  <c r="AA52" i="44"/>
  <c r="AA53" i="44"/>
  <c r="AA44" i="44"/>
  <c r="AA48" i="44"/>
  <c r="AA47" i="44"/>
  <c r="AA49" i="44"/>
  <c r="AA51" i="44"/>
  <c r="AA56" i="44"/>
  <c r="AI54" i="36"/>
  <c r="AL54" i="36" s="1"/>
  <c r="AL54" i="44"/>
  <c r="AS54" i="44" s="1" a="1"/>
  <c r="AS54" i="44" s="1"/>
  <c r="AI51" i="36"/>
  <c r="AL51" i="36" s="1"/>
  <c r="AL51" i="44"/>
  <c r="AS51" i="44" s="1" a="1"/>
  <c r="AS51" i="44" s="1"/>
  <c r="AI24" i="36"/>
  <c r="AI48" i="36"/>
  <c r="AL48" i="36" s="1"/>
  <c r="AL48" i="44"/>
  <c r="AS48" i="44" s="1" a="1"/>
  <c r="AS48" i="44" s="1"/>
  <c r="AI53" i="36"/>
  <c r="AL53" i="36" s="1"/>
  <c r="AL53" i="44"/>
  <c r="AS53" i="44" s="1" a="1"/>
  <c r="AS53" i="44" s="1"/>
  <c r="AL45" i="44"/>
  <c r="AS45" i="44" s="1" a="1"/>
  <c r="AS45" i="44" s="1"/>
  <c r="AI3" i="36"/>
  <c r="AI47" i="36"/>
  <c r="AL47" i="36" s="1"/>
  <c r="AL47" i="44"/>
  <c r="AS47" i="44" s="1" a="1"/>
  <c r="AS47" i="44" s="1"/>
  <c r="AL35" i="44"/>
  <c r="AS35" i="44" s="1" a="1"/>
  <c r="AS35" i="44" s="1"/>
  <c r="AT35" i="44" s="1"/>
  <c r="AL14" i="44"/>
  <c r="AS14" i="44" s="1" a="1"/>
  <c r="AS14" i="44" s="1"/>
  <c r="AT14" i="44" s="1"/>
  <c r="AI21" i="36"/>
  <c r="AL37" i="44"/>
  <c r="AS37" i="44" s="1" a="1"/>
  <c r="AS37" i="44" s="1"/>
  <c r="AT37" i="44" s="1"/>
  <c r="AL15" i="44"/>
  <c r="AS15" i="44" s="1" a="1"/>
  <c r="AS15" i="44" s="1"/>
  <c r="AW15" i="44" s="1"/>
  <c r="AL6" i="44"/>
  <c r="AS6" i="44" s="1" a="1"/>
  <c r="AS6" i="44" s="1"/>
  <c r="AW6" i="44" s="1"/>
  <c r="AT20" i="44"/>
  <c r="AT16" i="44"/>
  <c r="AL22" i="44"/>
  <c r="AS22" i="44" s="1" a="1"/>
  <c r="AS22" i="44" s="1"/>
  <c r="AW22" i="44" s="1"/>
  <c r="AI20" i="36"/>
  <c r="AL27" i="44"/>
  <c r="AS27" i="44" s="1" a="1"/>
  <c r="AS27" i="44" s="1"/>
  <c r="AW27" i="44" s="1"/>
  <c r="AL30" i="44"/>
  <c r="AS30" i="44" s="1" a="1"/>
  <c r="AS30" i="44" s="1"/>
  <c r="AU20" i="44"/>
  <c r="AL25" i="44"/>
  <c r="AS25" i="44" s="1" a="1"/>
  <c r="AS25" i="44" s="1"/>
  <c r="AL40" i="44"/>
  <c r="AS40" i="44" s="1" a="1"/>
  <c r="AS40" i="44" s="1"/>
  <c r="AU34" i="44"/>
  <c r="AT34" i="44"/>
  <c r="AL23" i="44"/>
  <c r="AS23" i="44" s="1" a="1"/>
  <c r="AS23" i="44" s="1"/>
  <c r="AW23" i="44" s="1"/>
  <c r="AT41" i="44"/>
  <c r="AU13" i="44"/>
  <c r="AT13" i="44"/>
  <c r="AE19" i="3"/>
  <c r="AB19" i="3"/>
  <c r="AC19" i="3"/>
  <c r="AT43" i="44"/>
  <c r="AU41" i="44"/>
  <c r="AU26" i="44"/>
  <c r="AW26" i="44"/>
  <c r="AU16" i="44"/>
  <c r="AU43" i="44"/>
  <c r="AU63" i="44"/>
  <c r="AT5" i="44"/>
  <c r="AT17" i="44"/>
  <c r="AU17" i="44"/>
  <c r="AU9" i="44"/>
  <c r="AT9" i="44"/>
  <c r="AT32" i="44"/>
  <c r="AU32" i="44"/>
  <c r="AW12" i="44"/>
  <c r="AU10" i="44"/>
  <c r="AT10" i="44"/>
  <c r="AW65" i="44"/>
  <c r="AW38" i="44"/>
  <c r="AW37" i="44"/>
  <c r="AU33" i="44"/>
  <c r="AW5" i="44"/>
  <c r="AU11" i="44"/>
  <c r="AT11" i="44"/>
  <c r="AU66" i="44"/>
  <c r="AA10" i="44"/>
  <c r="AU18" i="44"/>
  <c r="AW8" i="44"/>
  <c r="AU61" i="44"/>
  <c r="AT7" i="44"/>
  <c r="AU64" i="44"/>
  <c r="AW29" i="44"/>
  <c r="AT18" i="44"/>
  <c r="AU60" i="44"/>
  <c r="AA34" i="44"/>
  <c r="AA3" i="44"/>
  <c r="AA38" i="44"/>
  <c r="AA29" i="44"/>
  <c r="AA43" i="44"/>
  <c r="AA30" i="44"/>
  <c r="AA28" i="44"/>
  <c r="AA4" i="44"/>
  <c r="AA25" i="44"/>
  <c r="AA36" i="44"/>
  <c r="AB70" i="44"/>
  <c r="AA14" i="44"/>
  <c r="AA24" i="44"/>
  <c r="AA21" i="44"/>
  <c r="AA12" i="44"/>
  <c r="AA20" i="44"/>
  <c r="AA16" i="44"/>
  <c r="AA22" i="44"/>
  <c r="AA8" i="44"/>
  <c r="AA41" i="44"/>
  <c r="AU8" i="44"/>
  <c r="AA19" i="44"/>
  <c r="AA18" i="44"/>
  <c r="AA11" i="44"/>
  <c r="AA42" i="44"/>
  <c r="AA23" i="44"/>
  <c r="AA26" i="44"/>
  <c r="AA17" i="44"/>
  <c r="AA39" i="44"/>
  <c r="AA15" i="44"/>
  <c r="AA13" i="44"/>
  <c r="AA9" i="44"/>
  <c r="AU7" i="44"/>
  <c r="AA6" i="44"/>
  <c r="AA27" i="44"/>
  <c r="AU19" i="44"/>
  <c r="AD70" i="44"/>
  <c r="AA31" i="44"/>
  <c r="AA35" i="44"/>
  <c r="AA5" i="44"/>
  <c r="AA33" i="44"/>
  <c r="AU36" i="44"/>
  <c r="AT36" i="44"/>
  <c r="AU28" i="44"/>
  <c r="AT19" i="44"/>
  <c r="AA40" i="44"/>
  <c r="E65" i="45"/>
  <c r="F64" i="45"/>
  <c r="M5" i="45"/>
  <c r="G5" i="45" s="1"/>
  <c r="L6" i="45"/>
  <c r="F7" i="45"/>
  <c r="E8" i="45"/>
  <c r="W34" i="3"/>
  <c r="AA37" i="44"/>
  <c r="AA7" i="44"/>
  <c r="AW70" i="4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AW49" i="44" l="1"/>
  <c r="AI58" i="36"/>
  <c r="AI70" i="36" s="1"/>
  <c r="G4" i="45"/>
  <c r="AT12" i="44"/>
  <c r="AT67" i="44"/>
  <c r="AU35" i="44"/>
  <c r="AW39" i="44"/>
  <c r="AT39" i="44"/>
  <c r="AW40" i="44"/>
  <c r="AT40" i="44"/>
  <c r="AU3" i="44"/>
  <c r="AW14" i="44"/>
  <c r="AU14" i="44"/>
  <c r="AT42" i="44"/>
  <c r="AW42" i="44"/>
  <c r="F65" i="46"/>
  <c r="E66" i="46"/>
  <c r="M67" i="46"/>
  <c r="L68" i="46"/>
  <c r="E8" i="46"/>
  <c r="F7" i="46"/>
  <c r="M7" i="46"/>
  <c r="G7" i="46" s="1"/>
  <c r="L8" i="46"/>
  <c r="M64" i="45"/>
  <c r="L65" i="45"/>
  <c r="AL68" i="44"/>
  <c r="AU27" i="44"/>
  <c r="AA58" i="44"/>
  <c r="AA70" i="44" s="1"/>
  <c r="AU40" i="44"/>
  <c r="AW55" i="44"/>
  <c r="AU55" i="44"/>
  <c r="AW44" i="44"/>
  <c r="AU44" i="44"/>
  <c r="AW48" i="44"/>
  <c r="AU48" i="44"/>
  <c r="AW68" i="44"/>
  <c r="AW46" i="44"/>
  <c r="AU46" i="44"/>
  <c r="AW50" i="44"/>
  <c r="AU50" i="44"/>
  <c r="AU37" i="44"/>
  <c r="AW31" i="44"/>
  <c r="AW45" i="44"/>
  <c r="AU45" i="44"/>
  <c r="AW54" i="44"/>
  <c r="AU54" i="44"/>
  <c r="AL58" i="44"/>
  <c r="AW52" i="44"/>
  <c r="AU52" i="44"/>
  <c r="AW47" i="44"/>
  <c r="AU47" i="44"/>
  <c r="AW56" i="44"/>
  <c r="AU56" i="44"/>
  <c r="AU39" i="44"/>
  <c r="AU62" i="44"/>
  <c r="AU67" i="44" s="1"/>
  <c r="AU31" i="44"/>
  <c r="AW51" i="44"/>
  <c r="AU51" i="44"/>
  <c r="AS67" i="44"/>
  <c r="AU15" i="44"/>
  <c r="AW53" i="44"/>
  <c r="AU53" i="44"/>
  <c r="AT3" i="44"/>
  <c r="AS57" i="44"/>
  <c r="AW35" i="44"/>
  <c r="AU6" i="44"/>
  <c r="AT15" i="44"/>
  <c r="AU22" i="44"/>
  <c r="AT6" i="44"/>
  <c r="AT22" i="44"/>
  <c r="AW25" i="44"/>
  <c r="AU25" i="44"/>
  <c r="AT25" i="44"/>
  <c r="AT27" i="44"/>
  <c r="AW30" i="44"/>
  <c r="AT30" i="44"/>
  <c r="AU30" i="44"/>
  <c r="AT23" i="44"/>
  <c r="AU23" i="44"/>
  <c r="AG19" i="3"/>
  <c r="AF19" i="3"/>
  <c r="AW58" i="44"/>
  <c r="F8" i="45"/>
  <c r="E9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AL70" i="44" l="1"/>
  <c r="AW70" i="44"/>
  <c r="AU57" i="44"/>
  <c r="AT57" i="44"/>
  <c r="L69" i="46"/>
  <c r="M68" i="46"/>
  <c r="M8" i="46"/>
  <c r="G8" i="46" s="1"/>
  <c r="L9" i="46"/>
  <c r="E9" i="46"/>
  <c r="F8" i="46"/>
  <c r="F66" i="46"/>
  <c r="E67" i="46"/>
  <c r="M65" i="45"/>
  <c r="L66" i="45"/>
  <c r="L8" i="45"/>
  <c r="M7" i="45"/>
  <c r="F66" i="45"/>
  <c r="E67" i="45"/>
  <c r="E10" i="45"/>
  <c r="F9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G6" i="45" l="1"/>
  <c r="M9" i="46"/>
  <c r="G9" i="46" s="1"/>
  <c r="L10" i="46"/>
  <c r="F67" i="46"/>
  <c r="E68" i="46"/>
  <c r="F9" i="46"/>
  <c r="E10" i="46"/>
  <c r="M69" i="46"/>
  <c r="L70" i="46"/>
  <c r="L67" i="45"/>
  <c r="M66" i="45"/>
  <c r="E11" i="45"/>
  <c r="F10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F68" i="46" l="1"/>
  <c r="E69" i="46"/>
  <c r="F10" i="46"/>
  <c r="E11" i="46"/>
  <c r="M70" i="46"/>
  <c r="L71" i="46"/>
  <c r="L11" i="46"/>
  <c r="M10" i="46"/>
  <c r="G10" i="46" s="1"/>
  <c r="M67" i="45"/>
  <c r="L68" i="45"/>
  <c r="F68" i="45"/>
  <c r="E69" i="45"/>
  <c r="M9" i="45"/>
  <c r="G9" i="45" s="1"/>
  <c r="L10" i="45"/>
  <c r="E12" i="45"/>
  <c r="F11" i="45"/>
  <c r="AD43" i="38"/>
  <c r="L12" i="46" l="1"/>
  <c r="M11" i="46"/>
  <c r="G11" i="46" s="1"/>
  <c r="M71" i="46"/>
  <c r="L72" i="46"/>
  <c r="F11" i="46"/>
  <c r="E12" i="46"/>
  <c r="F69" i="46"/>
  <c r="E70" i="46"/>
  <c r="M68" i="45"/>
  <c r="L69" i="45"/>
  <c r="F12" i="45"/>
  <c r="E13" i="45"/>
  <c r="M10" i="45"/>
  <c r="L11" i="45"/>
  <c r="F69" i="45"/>
  <c r="E70" i="45"/>
  <c r="V10" i="38"/>
  <c r="Y10" i="38"/>
  <c r="V11" i="38"/>
  <c r="V12" i="38"/>
  <c r="Y13" i="38"/>
  <c r="Y14" i="38"/>
  <c r="G10" i="45" l="1"/>
  <c r="G7" i="45"/>
  <c r="F12" i="46"/>
  <c r="E13" i="46"/>
  <c r="M72" i="46"/>
  <c r="L73" i="46"/>
  <c r="F70" i="46"/>
  <c r="E71" i="46"/>
  <c r="L13" i="46"/>
  <c r="M12" i="46"/>
  <c r="G12" i="46" s="1"/>
  <c r="L70" i="45"/>
  <c r="M69" i="45"/>
  <c r="E71" i="45"/>
  <c r="F70" i="45"/>
  <c r="M11" i="45"/>
  <c r="L12" i="45"/>
  <c r="F13" i="45"/>
  <c r="E14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M13" i="46" l="1"/>
  <c r="G13" i="46" s="1"/>
  <c r="L14" i="46"/>
  <c r="M73" i="46"/>
  <c r="L74" i="46"/>
  <c r="F13" i="46"/>
  <c r="E14" i="46"/>
  <c r="F71" i="46"/>
  <c r="E72" i="46"/>
  <c r="M70" i="45"/>
  <c r="L71" i="45"/>
  <c r="M12" i="45"/>
  <c r="L13" i="45"/>
  <c r="F14" i="45"/>
  <c r="E15" i="45"/>
  <c r="F71" i="45"/>
  <c r="E72" i="45"/>
  <c r="V7" i="38"/>
  <c r="Y7" i="38"/>
  <c r="V8" i="38"/>
  <c r="Y8" i="38"/>
  <c r="E73" i="46" l="1"/>
  <c r="F72" i="46"/>
  <c r="M74" i="46"/>
  <c r="L75" i="46"/>
  <c r="E15" i="46"/>
  <c r="F14" i="46"/>
  <c r="M14" i="46"/>
  <c r="G14" i="46" s="1"/>
  <c r="L15" i="46"/>
  <c r="L72" i="45"/>
  <c r="M71" i="45"/>
  <c r="F15" i="45"/>
  <c r="E16" i="45"/>
  <c r="L14" i="45"/>
  <c r="M13" i="45"/>
  <c r="E73" i="45"/>
  <c r="F72" i="45"/>
  <c r="V9" i="38"/>
  <c r="AD8" i="38"/>
  <c r="Y9" i="38"/>
  <c r="AD9" i="38" s="1"/>
  <c r="AD7" i="38"/>
  <c r="M15" i="46" l="1"/>
  <c r="G15" i="46" s="1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F16" i="45"/>
  <c r="E17" i="45"/>
  <c r="Y6" i="38"/>
  <c r="V6" i="38"/>
  <c r="Y5" i="38"/>
  <c r="AD5" i="38" s="1"/>
  <c r="V5" i="38"/>
  <c r="Y4" i="38"/>
  <c r="V4" i="38"/>
  <c r="L77" i="46" l="1"/>
  <c r="M76" i="46"/>
  <c r="F74" i="46"/>
  <c r="E75" i="46"/>
  <c r="E17" i="46"/>
  <c r="F16" i="46"/>
  <c r="M16" i="46"/>
  <c r="G16" i="46" s="1"/>
  <c r="L17" i="46"/>
  <c r="M73" i="45"/>
  <c r="L74" i="45"/>
  <c r="E18" i="45"/>
  <c r="F17" i="45"/>
  <c r="L16" i="45"/>
  <c r="M15" i="45"/>
  <c r="F74" i="45"/>
  <c r="E75" i="45"/>
  <c r="AD4" i="38"/>
  <c r="AD6" i="38"/>
  <c r="M17" i="46" l="1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19" i="45"/>
  <c r="F18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6" i="3" s="1"/>
  <c r="AH68" i="38"/>
  <c r="AG68" i="38"/>
  <c r="AF68" i="38"/>
  <c r="AE68" i="38"/>
  <c r="Q16" i="3" s="1"/>
  <c r="AC68" i="38"/>
  <c r="R16" i="3" s="1"/>
  <c r="X68" i="38"/>
  <c r="N16" i="3" s="1"/>
  <c r="W68" i="38"/>
  <c r="M16" i="3" s="1"/>
  <c r="U68" i="38"/>
  <c r="K16" i="3" s="1"/>
  <c r="T68" i="38"/>
  <c r="J16" i="3" s="1"/>
  <c r="R68" i="38"/>
  <c r="I16" i="3" s="1"/>
  <c r="Q68" i="38"/>
  <c r="H16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8" i="3" s="1"/>
  <c r="AH68" i="40"/>
  <c r="AG68" i="40"/>
  <c r="X18" i="3" s="1"/>
  <c r="AF68" i="40"/>
  <c r="W18" i="3" s="1"/>
  <c r="AE68" i="40"/>
  <c r="Q18" i="3" s="1"/>
  <c r="AC68" i="40"/>
  <c r="X68" i="40"/>
  <c r="N18" i="3" s="1"/>
  <c r="W68" i="40"/>
  <c r="M18" i="3" s="1"/>
  <c r="O18" i="3" s="1"/>
  <c r="U68" i="40"/>
  <c r="K18" i="3" s="1"/>
  <c r="T68" i="40"/>
  <c r="J18" i="3" s="1"/>
  <c r="R68" i="40"/>
  <c r="I18" i="3" s="1"/>
  <c r="Q68" i="40"/>
  <c r="H18" i="3" s="1"/>
  <c r="L68" i="40"/>
  <c r="G18" i="3" s="1"/>
  <c r="H68" i="40"/>
  <c r="G68" i="40"/>
  <c r="F68" i="40"/>
  <c r="AJ58" i="40"/>
  <c r="AH58" i="40"/>
  <c r="AH70" i="40" s="1"/>
  <c r="AG58" i="40"/>
  <c r="AF58" i="40"/>
  <c r="AE58" i="40"/>
  <c r="Q17" i="3" s="1"/>
  <c r="Q37" i="3" s="1"/>
  <c r="AC58" i="40"/>
  <c r="R17" i="3" s="1"/>
  <c r="R37" i="3" s="1"/>
  <c r="X58" i="40"/>
  <c r="W58" i="40"/>
  <c r="U58" i="40"/>
  <c r="T58" i="40"/>
  <c r="R58" i="40"/>
  <c r="Q58" i="40"/>
  <c r="L58" i="40"/>
  <c r="G17" i="3" s="1"/>
  <c r="G37" i="3" s="1"/>
  <c r="H58" i="40"/>
  <c r="G58" i="40"/>
  <c r="G70" i="40" s="1"/>
  <c r="F58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G8" i="45" l="1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7" i="3"/>
  <c r="N37" i="3" s="1"/>
  <c r="AC70" i="40"/>
  <c r="R18" i="3"/>
  <c r="P60" i="40"/>
  <c r="AL61" i="40"/>
  <c r="AS61" i="40" s="1" a="1"/>
  <c r="AS61" i="40" s="1"/>
  <c r="AW61" i="40" s="1"/>
  <c r="P62" i="40"/>
  <c r="AH18" i="3"/>
  <c r="Q70" i="40"/>
  <c r="H17" i="3"/>
  <c r="H37" i="3" s="1"/>
  <c r="AF70" i="40"/>
  <c r="W17" i="3"/>
  <c r="W37" i="3" s="1"/>
  <c r="R70" i="40"/>
  <c r="I17" i="3"/>
  <c r="I37" i="3" s="1"/>
  <c r="AG70" i="40"/>
  <c r="X17" i="3"/>
  <c r="X37" i="3" s="1"/>
  <c r="W70" i="40"/>
  <c r="M17" i="3"/>
  <c r="M37" i="3" s="1"/>
  <c r="T70" i="40"/>
  <c r="J17" i="3"/>
  <c r="J37" i="3" s="1"/>
  <c r="L18" i="3"/>
  <c r="Z18" i="3" s="1"/>
  <c r="P63" i="40"/>
  <c r="U70" i="40"/>
  <c r="K17" i="3"/>
  <c r="K37" i="3" s="1"/>
  <c r="AJ70" i="40"/>
  <c r="U17" i="3"/>
  <c r="U37" i="3" s="1"/>
  <c r="AL60" i="40"/>
  <c r="AS60" i="40" s="1" a="1"/>
  <c r="AS60" i="40" s="1"/>
  <c r="AW60" i="40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E20" i="45"/>
  <c r="F19" i="45"/>
  <c r="M17" i="45"/>
  <c r="G17" i="45" s="1"/>
  <c r="L18" i="45"/>
  <c r="F76" i="45"/>
  <c r="E77" i="45"/>
  <c r="O16" i="3"/>
  <c r="AK68" i="38"/>
  <c r="AL60" i="38"/>
  <c r="AL68" i="38" s="1"/>
  <c r="L16" i="3"/>
  <c r="Z16" i="3" s="1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L62" i="40"/>
  <c r="AS62" i="40" s="1" a="1"/>
  <c r="AS62" i="40" s="1"/>
  <c r="AP23" i="40"/>
  <c r="S58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L63" i="40"/>
  <c r="AS63" i="40" s="1" a="1"/>
  <c r="AS63" i="40" s="1"/>
  <c r="AW63" i="40" s="1"/>
  <c r="AP63" i="40"/>
  <c r="AL64" i="40"/>
  <c r="AS64" i="40" s="1" a="1"/>
  <c r="AS64" i="40" s="1"/>
  <c r="AW64" i="40" s="1"/>
  <c r="AP64" i="40"/>
  <c r="AL65" i="40"/>
  <c r="AS65" i="40" s="1" a="1"/>
  <c r="AS65" i="40" s="1"/>
  <c r="AW65" i="40" s="1"/>
  <c r="AP65" i="40"/>
  <c r="AL66" i="40"/>
  <c r="AS66" i="40" s="1" a="1"/>
  <c r="AS66" i="40" s="1"/>
  <c r="AW66" i="40" s="1"/>
  <c r="AP66" i="40"/>
  <c r="Y58" i="40"/>
  <c r="AD58" i="40" s="1"/>
  <c r="AN9" i="40"/>
  <c r="AN13" i="40"/>
  <c r="AN17" i="40"/>
  <c r="AN23" i="40"/>
  <c r="P24" i="40"/>
  <c r="AP21" i="40"/>
  <c r="H70" i="40"/>
  <c r="E68" i="40"/>
  <c r="L70" i="40"/>
  <c r="AE70" i="40"/>
  <c r="V68" i="40"/>
  <c r="AI68" i="40"/>
  <c r="S18" i="3" s="1"/>
  <c r="AN66" i="38"/>
  <c r="AT66" i="38" s="1"/>
  <c r="P60" i="38"/>
  <c r="P61" i="38"/>
  <c r="P62" i="38"/>
  <c r="P63" i="38"/>
  <c r="P64" i="38"/>
  <c r="P65" i="38"/>
  <c r="P66" i="38"/>
  <c r="AR68" i="38"/>
  <c r="E58" i="40"/>
  <c r="AP3" i="40"/>
  <c r="J3" i="40"/>
  <c r="J58" i="40" s="1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K58" i="40"/>
  <c r="V58" i="40"/>
  <c r="AP26" i="40"/>
  <c r="AP27" i="40"/>
  <c r="P27" i="40"/>
  <c r="Z58" i="40"/>
  <c r="AN27" i="40"/>
  <c r="AO67" i="40"/>
  <c r="AR68" i="40"/>
  <c r="J68" i="40"/>
  <c r="AQ67" i="40"/>
  <c r="AR67" i="40"/>
  <c r="S68" i="40"/>
  <c r="AK68" i="40"/>
  <c r="AK45" i="25"/>
  <c r="AK11" i="25" s="1"/>
  <c r="Z31" i="3"/>
  <c r="N38" i="3" l="1"/>
  <c r="F18" i="3"/>
  <c r="AR70" i="40"/>
  <c r="O17" i="3"/>
  <c r="AT61" i="40"/>
  <c r="AT64" i="40"/>
  <c r="AT65" i="40"/>
  <c r="AP57" i="40"/>
  <c r="AN57" i="40"/>
  <c r="AL50" i="40"/>
  <c r="AS50" i="40" s="1" a="1"/>
  <c r="AS50" i="40" s="1"/>
  <c r="AL54" i="40"/>
  <c r="AS54" i="40" s="1" a="1"/>
  <c r="AS54" i="40" s="1"/>
  <c r="AL49" i="40"/>
  <c r="AS49" i="40" s="1" a="1"/>
  <c r="AS49" i="40" s="1"/>
  <c r="AL52" i="40"/>
  <c r="AS52" i="40" s="1" a="1"/>
  <c r="AS52" i="40" s="1"/>
  <c r="AL55" i="40"/>
  <c r="AS55" i="40" s="1" a="1"/>
  <c r="AS55" i="40" s="1"/>
  <c r="AL44" i="40"/>
  <c r="AS44" i="40" s="1" a="1"/>
  <c r="AS44" i="40" s="1"/>
  <c r="AL45" i="40"/>
  <c r="AS45" i="40" s="1" a="1"/>
  <c r="AS45" i="40" s="1"/>
  <c r="AL46" i="40"/>
  <c r="AS46" i="40" s="1" a="1"/>
  <c r="AS46" i="40" s="1"/>
  <c r="AL48" i="40"/>
  <c r="AS48" i="40" s="1" a="1"/>
  <c r="AS48" i="40" s="1"/>
  <c r="AL51" i="40"/>
  <c r="AS51" i="40" s="1" a="1"/>
  <c r="AS51" i="40" s="1"/>
  <c r="AL47" i="40"/>
  <c r="AS47" i="40" s="1" a="1"/>
  <c r="AS47" i="40" s="1"/>
  <c r="AL56" i="40"/>
  <c r="AS56" i="40" s="1" a="1"/>
  <c r="AS56" i="40" s="1"/>
  <c r="AL53" i="40"/>
  <c r="AS53" i="40" s="1" a="1"/>
  <c r="AS53" i="40" s="1"/>
  <c r="L20" i="46"/>
  <c r="M19" i="46"/>
  <c r="G19" i="46" s="1"/>
  <c r="F77" i="46"/>
  <c r="E78" i="46"/>
  <c r="F19" i="46"/>
  <c r="E20" i="46"/>
  <c r="M79" i="46"/>
  <c r="L80" i="46"/>
  <c r="L77" i="45"/>
  <c r="M76" i="45"/>
  <c r="L17" i="3"/>
  <c r="S70" i="40"/>
  <c r="F77" i="45"/>
  <c r="E78" i="45"/>
  <c r="M18" i="45"/>
  <c r="G18" i="45" s="1"/>
  <c r="L19" i="45"/>
  <c r="F20" i="45"/>
  <c r="E21" i="45"/>
  <c r="F16" i="3"/>
  <c r="AH16" i="3"/>
  <c r="AK43" i="25"/>
  <c r="AK43" i="36" s="1"/>
  <c r="AK18" i="25"/>
  <c r="AK18" i="36" s="1"/>
  <c r="AK33" i="25"/>
  <c r="AK33" i="36" s="1"/>
  <c r="AK9" i="25"/>
  <c r="AK40" i="25"/>
  <c r="AK40" i="36" s="1"/>
  <c r="AK32" i="25"/>
  <c r="AK32" i="36" s="1"/>
  <c r="AK24" i="25"/>
  <c r="AK24" i="36" s="1"/>
  <c r="AK16" i="25"/>
  <c r="AK16" i="36" s="1"/>
  <c r="AK8" i="25"/>
  <c r="AK42" i="25"/>
  <c r="AK42" i="36" s="1"/>
  <c r="AK10" i="25"/>
  <c r="AK41" i="25"/>
  <c r="AK41" i="36" s="1"/>
  <c r="AK39" i="25"/>
  <c r="AK39" i="36" s="1"/>
  <c r="AK31" i="25"/>
  <c r="AK31" i="36" s="1"/>
  <c r="AK23" i="25"/>
  <c r="AK23" i="36" s="1"/>
  <c r="AK15" i="25"/>
  <c r="AK7" i="25"/>
  <c r="AK34" i="25"/>
  <c r="AK34" i="36" s="1"/>
  <c r="AK17" i="25"/>
  <c r="AK17" i="36" s="1"/>
  <c r="AK38" i="25"/>
  <c r="AK38" i="36" s="1"/>
  <c r="AK30" i="25"/>
  <c r="AK30" i="36" s="1"/>
  <c r="AK22" i="25"/>
  <c r="AK22" i="36" s="1"/>
  <c r="AK14" i="25"/>
  <c r="AK6" i="25"/>
  <c r="AK37" i="25"/>
  <c r="AK37" i="36" s="1"/>
  <c r="AK29" i="25"/>
  <c r="AK29" i="36" s="1"/>
  <c r="AK21" i="25"/>
  <c r="AK21" i="36" s="1"/>
  <c r="AK13" i="25"/>
  <c r="AK5" i="25"/>
  <c r="AK26" i="25"/>
  <c r="AK26" i="36" s="1"/>
  <c r="AK25" i="25"/>
  <c r="AK25" i="36" s="1"/>
  <c r="AK3" i="25"/>
  <c r="AK36" i="25"/>
  <c r="AK36" i="36" s="1"/>
  <c r="AK28" i="25"/>
  <c r="AK28" i="36" s="1"/>
  <c r="AK20" i="25"/>
  <c r="AK20" i="36" s="1"/>
  <c r="AK12" i="25"/>
  <c r="AK4" i="25"/>
  <c r="AK35" i="25"/>
  <c r="AK35" i="36" s="1"/>
  <c r="AK27" i="25"/>
  <c r="AK27" i="36" s="1"/>
  <c r="AK19" i="25"/>
  <c r="AK19" i="36" s="1"/>
  <c r="E68" i="38"/>
  <c r="J68" i="38"/>
  <c r="G70" i="38"/>
  <c r="AB68" i="38"/>
  <c r="P16" i="3" s="1"/>
  <c r="AE16" i="3" s="1"/>
  <c r="E70" i="40"/>
  <c r="AW62" i="40"/>
  <c r="AU62" i="40"/>
  <c r="AU60" i="40"/>
  <c r="AU64" i="40"/>
  <c r="AU63" i="40"/>
  <c r="AU61" i="40"/>
  <c r="AU65" i="40"/>
  <c r="Z70" i="40"/>
  <c r="AU66" i="40"/>
  <c r="AL25" i="40"/>
  <c r="AS25" i="40" s="1" a="1"/>
  <c r="AS25" i="40" s="1"/>
  <c r="AT25" i="40" s="1"/>
  <c r="AL13" i="40"/>
  <c r="AS13" i="40" s="1" a="1"/>
  <c r="AS13" i="40" s="1"/>
  <c r="AT13" i="40" s="1"/>
  <c r="AI3" i="40"/>
  <c r="AL20" i="40"/>
  <c r="AS20" i="40" s="1" a="1"/>
  <c r="AS20" i="40" s="1"/>
  <c r="AW20" i="40" s="1"/>
  <c r="AL21" i="40"/>
  <c r="AS21" i="40" s="1" a="1"/>
  <c r="AS21" i="40" s="1"/>
  <c r="AW21" i="40" s="1"/>
  <c r="AL14" i="40"/>
  <c r="AS14" i="40" s="1" a="1"/>
  <c r="AS14" i="40" s="1"/>
  <c r="AT14" i="40" s="1"/>
  <c r="AL28" i="40"/>
  <c r="AS28" i="40" s="1" a="1"/>
  <c r="AS28" i="40" s="1"/>
  <c r="AW28" i="40" s="1"/>
  <c r="AL15" i="40"/>
  <c r="AS15" i="40" s="1" a="1"/>
  <c r="AS15" i="40" s="1"/>
  <c r="AW15" i="40" s="1"/>
  <c r="AL42" i="40"/>
  <c r="AS42" i="40" s="1" a="1"/>
  <c r="AS42" i="40" s="1"/>
  <c r="AW42" i="40" s="1"/>
  <c r="AL40" i="40"/>
  <c r="AS40" i="40" s="1" a="1"/>
  <c r="AS40" i="40" s="1"/>
  <c r="AT40" i="40" s="1"/>
  <c r="AL38" i="40"/>
  <c r="AS38" i="40" s="1" a="1"/>
  <c r="AS38" i="40" s="1"/>
  <c r="AW38" i="40" s="1"/>
  <c r="AL36" i="40"/>
  <c r="AS36" i="40" s="1" a="1"/>
  <c r="AS36" i="40" s="1"/>
  <c r="AW36" i="40" s="1"/>
  <c r="AL34" i="40"/>
  <c r="AS34" i="40" s="1" a="1"/>
  <c r="AS34" i="40" s="1"/>
  <c r="AW34" i="40" s="1"/>
  <c r="AL32" i="40"/>
  <c r="AS32" i="40" s="1" a="1"/>
  <c r="AS32" i="40" s="1"/>
  <c r="AW32" i="40" s="1"/>
  <c r="AL30" i="40"/>
  <c r="AS30" i="40" s="1" a="1"/>
  <c r="AS30" i="40" s="1"/>
  <c r="AW30" i="40" s="1"/>
  <c r="AL26" i="40"/>
  <c r="AS26" i="40" s="1" a="1"/>
  <c r="AS26" i="40" s="1"/>
  <c r="AT26" i="40" s="1"/>
  <c r="AL16" i="40"/>
  <c r="AS16" i="40" s="1" a="1"/>
  <c r="AS16" i="40" s="1"/>
  <c r="AT16" i="40" s="1"/>
  <c r="AL5" i="40"/>
  <c r="AS5" i="40" s="1" a="1"/>
  <c r="AS5" i="40" s="1"/>
  <c r="AT5" i="40" s="1"/>
  <c r="AL24" i="40"/>
  <c r="AS24" i="40" s="1" a="1"/>
  <c r="AS24" i="40" s="1"/>
  <c r="AT24" i="40" s="1"/>
  <c r="AL17" i="40"/>
  <c r="AS17" i="40" s="1" a="1"/>
  <c r="AS17" i="40" s="1"/>
  <c r="AT17" i="40" s="1"/>
  <c r="AL9" i="40"/>
  <c r="AS9" i="40" s="1" a="1"/>
  <c r="AS9" i="40" s="1"/>
  <c r="AT9" i="40" s="1"/>
  <c r="AL8" i="40"/>
  <c r="AS8" i="40" s="1" a="1"/>
  <c r="AS8" i="40" s="1"/>
  <c r="AT8" i="40" s="1"/>
  <c r="AL7" i="40"/>
  <c r="AS7" i="40" s="1" a="1"/>
  <c r="AS7" i="40" s="1"/>
  <c r="AT7" i="40" s="1"/>
  <c r="AL6" i="40"/>
  <c r="AS6" i="40" s="1" a="1"/>
  <c r="AS6" i="40" s="1"/>
  <c r="AT6" i="40" s="1"/>
  <c r="AL4" i="40"/>
  <c r="AS4" i="40" s="1" a="1"/>
  <c r="AS4" i="40" s="1"/>
  <c r="AT4" i="40" s="1"/>
  <c r="AL27" i="40"/>
  <c r="AS27" i="40" s="1" a="1"/>
  <c r="AS27" i="40" s="1"/>
  <c r="AW27" i="40" s="1"/>
  <c r="AL22" i="40"/>
  <c r="AS22" i="40" s="1" a="1"/>
  <c r="AS22" i="40" s="1"/>
  <c r="AW22" i="40" s="1"/>
  <c r="AL18" i="40"/>
  <c r="AS18" i="40" s="1" a="1"/>
  <c r="AS18" i="40" s="1"/>
  <c r="AT18" i="40" s="1"/>
  <c r="AL10" i="40"/>
  <c r="AS10" i="40" s="1" a="1"/>
  <c r="AS10" i="40" s="1"/>
  <c r="AT10" i="40" s="1"/>
  <c r="AL23" i="40"/>
  <c r="AS23" i="40" s="1" a="1"/>
  <c r="AS23" i="40" s="1"/>
  <c r="AU23" i="40" s="1"/>
  <c r="AL43" i="40"/>
  <c r="AS43" i="40" s="1" a="1"/>
  <c r="AS43" i="40" s="1"/>
  <c r="AW43" i="40" s="1"/>
  <c r="AL41" i="40"/>
  <c r="AS41" i="40" s="1" a="1"/>
  <c r="AS41" i="40" s="1"/>
  <c r="AW41" i="40" s="1"/>
  <c r="AL39" i="40"/>
  <c r="AS39" i="40" s="1" a="1"/>
  <c r="AS39" i="40" s="1"/>
  <c r="AW39" i="40" s="1"/>
  <c r="AL37" i="40"/>
  <c r="AS37" i="40" s="1" a="1"/>
  <c r="AS37" i="40" s="1"/>
  <c r="AU37" i="40" s="1"/>
  <c r="AL35" i="40"/>
  <c r="AS35" i="40" s="1" a="1"/>
  <c r="AS35" i="40" s="1"/>
  <c r="AW35" i="40" s="1"/>
  <c r="AL33" i="40"/>
  <c r="AS33" i="40" s="1" a="1"/>
  <c r="AS33" i="40" s="1"/>
  <c r="AU33" i="40" s="1"/>
  <c r="AL31" i="40"/>
  <c r="AS31" i="40" s="1" a="1"/>
  <c r="AS31" i="40" s="1"/>
  <c r="AW31" i="40" s="1"/>
  <c r="AL29" i="40"/>
  <c r="AS29" i="40" s="1" a="1"/>
  <c r="AS29" i="40" s="1"/>
  <c r="AW29" i="40" s="1"/>
  <c r="AL19" i="40"/>
  <c r="AS19" i="40" s="1" a="1"/>
  <c r="AS19" i="40" s="1"/>
  <c r="AW19" i="40" s="1"/>
  <c r="AL11" i="40"/>
  <c r="AS11" i="40" s="1" a="1"/>
  <c r="AS11" i="40" s="1"/>
  <c r="AT11" i="40" s="1"/>
  <c r="AL12" i="40"/>
  <c r="AS12" i="40" s="1" a="1"/>
  <c r="AS12" i="40" s="1"/>
  <c r="AW12" i="40" s="1"/>
  <c r="AK70" i="40"/>
  <c r="J70" i="40"/>
  <c r="V70" i="40"/>
  <c r="AP67" i="40"/>
  <c r="AD68" i="38"/>
  <c r="Y70" i="40"/>
  <c r="AB68" i="40"/>
  <c r="P18" i="3" s="1"/>
  <c r="AT67" i="40"/>
  <c r="AW40" i="40"/>
  <c r="AB58" i="40"/>
  <c r="P17" i="3" s="1"/>
  <c r="P37" i="3" s="1"/>
  <c r="AL68" i="40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4" i="3"/>
  <c r="Y13" i="3"/>
  <c r="AH17" i="3" l="1"/>
  <c r="O37" i="3"/>
  <c r="P38" i="3"/>
  <c r="Z17" i="3"/>
  <c r="Z37" i="3" s="1"/>
  <c r="Z38" i="3" s="1"/>
  <c r="L37" i="3"/>
  <c r="AU40" i="40"/>
  <c r="AT31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U52" i="40"/>
  <c r="AW52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3" i="40"/>
  <c r="AU53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G20" i="46" s="1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8" i="3"/>
  <c r="AB18" i="3"/>
  <c r="AC18" i="3"/>
  <c r="AU38" i="40"/>
  <c r="AW37" i="40"/>
  <c r="AU20" i="40"/>
  <c r="AW23" i="40"/>
  <c r="AW33" i="40"/>
  <c r="AU28" i="40"/>
  <c r="AU30" i="40"/>
  <c r="AU34" i="40"/>
  <c r="AU29" i="40"/>
  <c r="AU21" i="40"/>
  <c r="AE17" i="3"/>
  <c r="AU31" i="40"/>
  <c r="F21" i="45"/>
  <c r="E22" i="45"/>
  <c r="M19" i="45"/>
  <c r="L20" i="45"/>
  <c r="E79" i="45"/>
  <c r="F78" i="45"/>
  <c r="Y43" i="3"/>
  <c r="AC16" i="3"/>
  <c r="AB16" i="3"/>
  <c r="AU22" i="40"/>
  <c r="AU32" i="40"/>
  <c r="AU35" i="40"/>
  <c r="AU43" i="40"/>
  <c r="AU67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AI58" i="40"/>
  <c r="S17" i="3" s="1"/>
  <c r="AL3" i="40"/>
  <c r="AW16" i="40"/>
  <c r="AU16" i="40"/>
  <c r="AU19" i="40"/>
  <c r="AW5" i="40"/>
  <c r="AU5" i="40"/>
  <c r="AW13" i="40"/>
  <c r="AU13" i="40"/>
  <c r="AD70" i="40"/>
  <c r="AA3" i="40"/>
  <c r="AS67" i="40"/>
  <c r="AW68" i="40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T38" i="3" l="1"/>
  <c r="V38" i="3"/>
  <c r="AA38" i="3"/>
  <c r="Y38" i="3"/>
  <c r="Q38" i="3"/>
  <c r="R38" i="3"/>
  <c r="X38" i="3"/>
  <c r="W38" i="3"/>
  <c r="U38" i="3"/>
  <c r="F17" i="3"/>
  <c r="S37" i="3"/>
  <c r="S38" i="3" s="1"/>
  <c r="G12" i="45"/>
  <c r="AA68" i="40"/>
  <c r="AA5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8" i="3"/>
  <c r="AG18" i="3"/>
  <c r="AC17" i="3"/>
  <c r="AB17" i="3"/>
  <c r="AB37" i="3" s="1"/>
  <c r="AB38" i="3" s="1"/>
  <c r="M20" i="45"/>
  <c r="G20" i="45" s="1"/>
  <c r="L21" i="45"/>
  <c r="F79" i="45"/>
  <c r="E80" i="45"/>
  <c r="F22" i="45"/>
  <c r="E23" i="45"/>
  <c r="AF16" i="3"/>
  <c r="AG16" i="3"/>
  <c r="AS3" i="40"/>
  <c r="AL58" i="40"/>
  <c r="AL70" i="40" s="1"/>
  <c r="AE58" i="35"/>
  <c r="AC37" i="3" l="1"/>
  <c r="AC38" i="3" s="1"/>
  <c r="AS57" i="40"/>
  <c r="AT3" i="40"/>
  <c r="AT57" i="40" s="1"/>
  <c r="E23" i="46"/>
  <c r="F22" i="46"/>
  <c r="E81" i="46"/>
  <c r="F80" i="46"/>
  <c r="L83" i="46"/>
  <c r="M82" i="46"/>
  <c r="M22" i="46"/>
  <c r="G22" i="46" s="1"/>
  <c r="L23" i="46"/>
  <c r="M79" i="45"/>
  <c r="L80" i="45"/>
  <c r="AG17" i="3"/>
  <c r="AF17" i="3"/>
  <c r="F23" i="45"/>
  <c r="E24" i="45"/>
  <c r="E81" i="45"/>
  <c r="F80" i="45"/>
  <c r="M21" i="45"/>
  <c r="L22" i="45"/>
  <c r="AU3" i="40"/>
  <c r="AU57" i="40" s="1"/>
  <c r="AW3" i="40"/>
  <c r="AW58" i="40" s="1"/>
  <c r="AW70" i="40" s="1"/>
  <c r="Q13" i="3"/>
  <c r="G21" i="45" l="1"/>
  <c r="G13" i="45"/>
  <c r="M23" i="46"/>
  <c r="G23" i="46" s="1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8" i="45"/>
  <c r="F24" i="45"/>
  <c r="E25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4" i="3"/>
  <c r="AH68" i="35"/>
  <c r="AG68" i="35"/>
  <c r="X14" i="3" s="1"/>
  <c r="AF68" i="35"/>
  <c r="W14" i="3" s="1"/>
  <c r="AE68" i="35"/>
  <c r="AC68" i="35"/>
  <c r="R14" i="3" s="1"/>
  <c r="X68" i="35"/>
  <c r="N14" i="3" s="1"/>
  <c r="W68" i="35"/>
  <c r="M14" i="3" s="1"/>
  <c r="U68" i="35"/>
  <c r="K14" i="3" s="1"/>
  <c r="T68" i="35"/>
  <c r="J14" i="3" s="1"/>
  <c r="R68" i="35"/>
  <c r="I14" i="3" s="1"/>
  <c r="Q68" i="35"/>
  <c r="H14" i="3" s="1"/>
  <c r="H68" i="35"/>
  <c r="G68" i="35"/>
  <c r="F68" i="35"/>
  <c r="G16" i="45" l="1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28" i="45"/>
  <c r="E29" i="45"/>
  <c r="F82" i="45"/>
  <c r="E83" i="45"/>
  <c r="F25" i="45"/>
  <c r="E26" i="45"/>
  <c r="L24" i="45"/>
  <c r="M23" i="45"/>
  <c r="AP25" i="38"/>
  <c r="AB25" i="38"/>
  <c r="AP24" i="38"/>
  <c r="AB24" i="38"/>
  <c r="AP26" i="38"/>
  <c r="AB26" i="38"/>
  <c r="Q14" i="3"/>
  <c r="AE70" i="35"/>
  <c r="AN26" i="38"/>
  <c r="AN25" i="38"/>
  <c r="AN24" i="38"/>
  <c r="P26" i="38"/>
  <c r="P25" i="38"/>
  <c r="P24" i="38"/>
  <c r="P24" i="35"/>
  <c r="AP24" i="35"/>
  <c r="L68" i="35"/>
  <c r="G14" i="3" s="1"/>
  <c r="O14" i="3"/>
  <c r="L14" i="3"/>
  <c r="Z14" i="3" s="1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5" i="3" s="1"/>
  <c r="Q34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19" i="45" l="1"/>
  <c r="L29" i="46"/>
  <c r="M28" i="46"/>
  <c r="G28" i="46" s="1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E27" i="45"/>
  <c r="F27" i="45" s="1"/>
  <c r="F26" i="45"/>
  <c r="F83" i="45"/>
  <c r="E84" i="45"/>
  <c r="F29" i="45"/>
  <c r="E30" i="45"/>
  <c r="M24" i="45"/>
  <c r="L25" i="45"/>
  <c r="L28" i="45"/>
  <c r="Q43" i="3"/>
  <c r="AE72" i="44" s="1"/>
  <c r="AP42" i="38"/>
  <c r="AB42" i="38"/>
  <c r="AP6" i="38"/>
  <c r="AB6" i="38"/>
  <c r="AN14" i="38"/>
  <c r="AB14" i="38"/>
  <c r="AP33" i="38"/>
  <c r="AB33" i="38"/>
  <c r="AP41" i="38"/>
  <c r="AB41" i="38"/>
  <c r="T70" i="38"/>
  <c r="J15" i="3"/>
  <c r="J34" i="3" s="1"/>
  <c r="AP23" i="38"/>
  <c r="AB23" i="38"/>
  <c r="R70" i="38"/>
  <c r="I15" i="3"/>
  <c r="I34" i="3" s="1"/>
  <c r="AN3" i="38"/>
  <c r="U70" i="38"/>
  <c r="K15" i="3"/>
  <c r="K34" i="3" s="1"/>
  <c r="AP34" i="38"/>
  <c r="AB34" i="38"/>
  <c r="AJ70" i="38"/>
  <c r="U15" i="3"/>
  <c r="U34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5" i="3"/>
  <c r="R34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5" i="3"/>
  <c r="H34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4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23" i="3"/>
  <c r="V23" i="3"/>
  <c r="Y12" i="3"/>
  <c r="X12" i="3"/>
  <c r="W12" i="3"/>
  <c r="S12" i="3"/>
  <c r="G12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24" i="45" l="1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G26" i="46" s="1"/>
  <c r="M29" i="46"/>
  <c r="G29" i="46" s="1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30" i="45"/>
  <c r="E31" i="45"/>
  <c r="F84" i="45"/>
  <c r="E85" i="45"/>
  <c r="M28" i="45"/>
  <c r="L29" i="45"/>
  <c r="M25" i="45"/>
  <c r="L26" i="45"/>
  <c r="W70" i="38"/>
  <c r="M15" i="3"/>
  <c r="M34" i="3" s="1"/>
  <c r="X70" i="38"/>
  <c r="N15" i="3"/>
  <c r="N34" i="3" s="1"/>
  <c r="L15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5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25" i="45" l="1"/>
  <c r="G22" i="45"/>
  <c r="E31" i="46"/>
  <c r="F30" i="46"/>
  <c r="M87" i="46"/>
  <c r="L88" i="46"/>
  <c r="M30" i="46"/>
  <c r="G30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35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6" i="45" s="1"/>
  <c r="L27" i="45"/>
  <c r="M27" i="45" s="1"/>
  <c r="G27" i="45" s="1"/>
  <c r="F31" i="45"/>
  <c r="E32" i="45"/>
  <c r="P34" i="3"/>
  <c r="Z15" i="3"/>
  <c r="Z34" i="3" s="1"/>
  <c r="L34" i="3"/>
  <c r="O15" i="3"/>
  <c r="AH15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5" i="3" s="1"/>
  <c r="S34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28" i="45" l="1"/>
  <c r="F86" i="46"/>
  <c r="E87" i="46"/>
  <c r="M31" i="46"/>
  <c r="G31" i="46" s="1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C45" i="39"/>
  <c r="D40" i="39" s="1"/>
  <c r="AW21" i="38"/>
  <c r="D7" i="39"/>
  <c r="D16" i="39"/>
  <c r="D39" i="39"/>
  <c r="D15" i="39"/>
  <c r="D31" i="39"/>
  <c r="L6" i="39"/>
  <c r="M5" i="39"/>
  <c r="G5" i="39" s="1"/>
  <c r="L31" i="45"/>
  <c r="M30" i="45"/>
  <c r="F32" i="45"/>
  <c r="E33" i="45"/>
  <c r="E87" i="45"/>
  <c r="F86" i="45"/>
  <c r="AE15" i="3"/>
  <c r="AC15" i="3"/>
  <c r="O34" i="3"/>
  <c r="G4" i="39"/>
  <c r="F15" i="3"/>
  <c r="AB15" i="3"/>
  <c r="AB34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E33" i="46" l="1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35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F33" i="45"/>
  <c r="E34" i="45"/>
  <c r="L32" i="45"/>
  <c r="M31" i="45"/>
  <c r="G31" i="45" s="1"/>
  <c r="AA35" i="3"/>
  <c r="T35" i="3"/>
  <c r="V35" i="3"/>
  <c r="Y35" i="3"/>
  <c r="S35" i="3"/>
  <c r="X35" i="3"/>
  <c r="W35" i="3"/>
  <c r="Q35" i="3"/>
  <c r="U35" i="3"/>
  <c r="R35" i="3"/>
  <c r="AF15" i="3"/>
  <c r="AG15" i="3"/>
  <c r="AD35" i="3"/>
  <c r="P35" i="3"/>
  <c r="Z35" i="3"/>
  <c r="AC34" i="3"/>
  <c r="AC35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L91" i="46" l="1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E35" i="45"/>
  <c r="F34" i="45"/>
  <c r="M32" i="45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32" i="45" l="1"/>
  <c r="G29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G33" i="45" s="1"/>
  <c r="L34" i="45"/>
  <c r="E36" i="45"/>
  <c r="F35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F35" i="46" l="1"/>
  <c r="E36" i="46"/>
  <c r="M92" i="46"/>
  <c r="L93" i="46"/>
  <c r="L36" i="46"/>
  <c r="M35" i="46"/>
  <c r="G35" i="46" s="1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36" i="45"/>
  <c r="E37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11" i="45" l="1"/>
  <c r="F91" i="46"/>
  <c r="E92" i="46"/>
  <c r="L37" i="46"/>
  <c r="M36" i="46"/>
  <c r="G36" i="46" s="1"/>
  <c r="F36" i="46"/>
  <c r="E37" i="46"/>
  <c r="M93" i="46"/>
  <c r="L94" i="46"/>
  <c r="M90" i="45"/>
  <c r="L91" i="45"/>
  <c r="F7" i="39"/>
  <c r="E8" i="39"/>
  <c r="M10" i="39"/>
  <c r="L11" i="39"/>
  <c r="F37" i="45"/>
  <c r="E38" i="45"/>
  <c r="F91" i="45"/>
  <c r="E92" i="45"/>
  <c r="M35" i="45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35" i="45" l="1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G36" i="45" s="1"/>
  <c r="L37" i="45"/>
  <c r="F38" i="45"/>
  <c r="E39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F93" i="46" l="1"/>
  <c r="E94" i="46"/>
  <c r="M38" i="46"/>
  <c r="G38" i="46" s="1"/>
  <c r="L39" i="46"/>
  <c r="E39" i="46"/>
  <c r="F38" i="46"/>
  <c r="M95" i="46"/>
  <c r="L96" i="46"/>
  <c r="M92" i="45"/>
  <c r="L93" i="45"/>
  <c r="E10" i="39"/>
  <c r="F9" i="39"/>
  <c r="M12" i="39"/>
  <c r="L13" i="39"/>
  <c r="F39" i="45"/>
  <c r="E40" i="45"/>
  <c r="L38" i="45"/>
  <c r="M37" i="45"/>
  <c r="G37" i="45" s="1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M96" i="46" l="1"/>
  <c r="L97" i="46"/>
  <c r="M39" i="46"/>
  <c r="G39" i="46" s="1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F40" i="45"/>
  <c r="E41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96" i="46" l="1"/>
  <c r="F95" i="46"/>
  <c r="E41" i="46"/>
  <c r="F40" i="46"/>
  <c r="M40" i="46"/>
  <c r="G40" i="46" s="1"/>
  <c r="L41" i="46"/>
  <c r="M97" i="46"/>
  <c r="L98" i="46"/>
  <c r="M94" i="45"/>
  <c r="L95" i="45"/>
  <c r="E12" i="39"/>
  <c r="F11" i="39"/>
  <c r="L15" i="39"/>
  <c r="M14" i="39"/>
  <c r="E42" i="45"/>
  <c r="F41" i="45"/>
  <c r="F95" i="45"/>
  <c r="E96" i="45"/>
  <c r="L40" i="45"/>
  <c r="M39" i="45"/>
  <c r="M62" i="39"/>
  <c r="L63" i="39"/>
  <c r="F60" i="39"/>
  <c r="E61" i="39"/>
  <c r="G13" i="37"/>
  <c r="G11" i="37"/>
  <c r="M62" i="37"/>
  <c r="L63" i="37"/>
  <c r="M14" i="37"/>
  <c r="L15" i="37"/>
  <c r="F59" i="37"/>
  <c r="E60" i="37"/>
  <c r="G14" i="45" l="1"/>
  <c r="L99" i="46"/>
  <c r="M98" i="46"/>
  <c r="M41" i="46"/>
  <c r="G41" i="46" s="1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L41" i="45"/>
  <c r="E43" i="45"/>
  <c r="F42" i="45"/>
  <c r="M63" i="39"/>
  <c r="L64" i="39"/>
  <c r="F61" i="39"/>
  <c r="E62" i="39"/>
  <c r="F60" i="37"/>
  <c r="E61" i="37"/>
  <c r="M15" i="37"/>
  <c r="L16" i="37"/>
  <c r="M63" i="37"/>
  <c r="L64" i="37"/>
  <c r="G40" i="45" l="1"/>
  <c r="G30" i="45"/>
  <c r="F97" i="46"/>
  <c r="E98" i="46"/>
  <c r="F42" i="46"/>
  <c r="E43" i="46"/>
  <c r="L43" i="46"/>
  <c r="M42" i="46"/>
  <c r="G42" i="46" s="1"/>
  <c r="M99" i="46"/>
  <c r="L100" i="46"/>
  <c r="M96" i="45"/>
  <c r="L97" i="45"/>
  <c r="F13" i="39"/>
  <c r="E14" i="39"/>
  <c r="M16" i="39"/>
  <c r="L17" i="39"/>
  <c r="M41" i="45"/>
  <c r="G41" i="45" s="1"/>
  <c r="L42" i="45"/>
  <c r="E44" i="45"/>
  <c r="F43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F44" i="45" l="1"/>
  <c r="E45" i="45"/>
  <c r="M100" i="46"/>
  <c r="L101" i="46"/>
  <c r="F43" i="46"/>
  <c r="E44" i="46"/>
  <c r="L44" i="46"/>
  <c r="M43" i="46"/>
  <c r="G43" i="46" s="1"/>
  <c r="F98" i="46"/>
  <c r="E99" i="46"/>
  <c r="M97" i="45"/>
  <c r="L98" i="45"/>
  <c r="E15" i="39"/>
  <c r="F14" i="39"/>
  <c r="M17" i="39"/>
  <c r="L18" i="39"/>
  <c r="F98" i="45"/>
  <c r="E99" i="45"/>
  <c r="M42" i="45"/>
  <c r="L43" i="45"/>
  <c r="F63" i="39"/>
  <c r="E64" i="39"/>
  <c r="M65" i="39"/>
  <c r="L66" i="39"/>
  <c r="G15" i="37"/>
  <c r="F62" i="37"/>
  <c r="E63" i="37"/>
  <c r="M65" i="37"/>
  <c r="L66" i="37"/>
  <c r="M17" i="37"/>
  <c r="L18" i="37"/>
  <c r="G42" i="45" l="1"/>
  <c r="G34" i="45"/>
  <c r="E46" i="45"/>
  <c r="F45" i="45"/>
  <c r="F44" i="46"/>
  <c r="E45" i="46"/>
  <c r="L45" i="46"/>
  <c r="M44" i="46"/>
  <c r="G44" i="46" s="1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3" i="45" l="1"/>
  <c r="G38" i="45"/>
  <c r="M44" i="45"/>
  <c r="L45" i="45"/>
  <c r="E47" i="45"/>
  <c r="F46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G44" i="45" l="1"/>
  <c r="G39" i="45"/>
  <c r="M45" i="45"/>
  <c r="G45" i="45" s="1"/>
  <c r="L46" i="45"/>
  <c r="F47" i="45"/>
  <c r="E48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L47" i="45" l="1"/>
  <c r="M46" i="45"/>
  <c r="G46" i="45" s="1"/>
  <c r="F48" i="45"/>
  <c r="E49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5" i="36"/>
  <c r="AD25" i="36" s="1"/>
  <c r="Y26" i="25"/>
  <c r="AD26" i="25" s="1"/>
  <c r="Y24" i="36"/>
  <c r="Y25" i="25"/>
  <c r="AD25" i="25" s="1"/>
  <c r="S25" i="25"/>
  <c r="AN25" i="25" s="1"/>
  <c r="AT25" i="25" s="1"/>
  <c r="Y26" i="36"/>
  <c r="AD26" i="36" s="1"/>
  <c r="V26" i="25"/>
  <c r="AQ25" i="25"/>
  <c r="V24" i="36"/>
  <c r="AQ24" i="25"/>
  <c r="V26" i="36"/>
  <c r="V25" i="36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2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31" i="3"/>
  <c r="V31" i="3"/>
  <c r="AA31" i="3"/>
  <c r="P70" i="36"/>
  <c r="O70" i="36"/>
  <c r="N70" i="36"/>
  <c r="M70" i="36"/>
  <c r="K70" i="36"/>
  <c r="I70" i="36"/>
  <c r="AE68" i="36"/>
  <c r="AC68" i="36"/>
  <c r="X68" i="36"/>
  <c r="W68" i="36"/>
  <c r="U68" i="36"/>
  <c r="T68" i="36"/>
  <c r="R68" i="36"/>
  <c r="Q68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R66" i="36"/>
  <c r="AQ66" i="36"/>
  <c r="AO66" i="36"/>
  <c r="Z66" i="36"/>
  <c r="Y66" i="36"/>
  <c r="V66" i="36"/>
  <c r="S66" i="36"/>
  <c r="AP66" i="36" s="1"/>
  <c r="O66" i="36"/>
  <c r="E66" i="36"/>
  <c r="J66" i="36" s="1"/>
  <c r="AR65" i="36"/>
  <c r="AQ65" i="36"/>
  <c r="AO65" i="36"/>
  <c r="Z65" i="36"/>
  <c r="Y65" i="36"/>
  <c r="V65" i="36"/>
  <c r="S65" i="36"/>
  <c r="O65" i="36"/>
  <c r="E65" i="36"/>
  <c r="J65" i="36" s="1"/>
  <c r="AR64" i="36"/>
  <c r="AQ64" i="36"/>
  <c r="AO64" i="36"/>
  <c r="Z64" i="36"/>
  <c r="Y64" i="36"/>
  <c r="AD64" i="36" s="1"/>
  <c r="V64" i="36"/>
  <c r="S64" i="36"/>
  <c r="AN64" i="36" s="1"/>
  <c r="O64" i="36"/>
  <c r="E64" i="36"/>
  <c r="J64" i="36" s="1"/>
  <c r="AR63" i="36"/>
  <c r="AQ63" i="36"/>
  <c r="AO63" i="36"/>
  <c r="Z63" i="36"/>
  <c r="Y63" i="36"/>
  <c r="AD63" i="36" s="1"/>
  <c r="V63" i="36"/>
  <c r="S63" i="36"/>
  <c r="P63" i="36" s="1"/>
  <c r="O63" i="36"/>
  <c r="E63" i="36"/>
  <c r="J63" i="36" s="1"/>
  <c r="AR62" i="36"/>
  <c r="AQ62" i="36"/>
  <c r="AO62" i="36"/>
  <c r="Z62" i="36"/>
  <c r="Y62" i="36"/>
  <c r="V62" i="36"/>
  <c r="S62" i="36"/>
  <c r="AP62" i="36" s="1"/>
  <c r="O62" i="36"/>
  <c r="E62" i="36"/>
  <c r="J62" i="36" s="1"/>
  <c r="AR61" i="36"/>
  <c r="AQ61" i="36"/>
  <c r="AO61" i="36"/>
  <c r="Z61" i="36"/>
  <c r="Y61" i="36"/>
  <c r="AD61" i="36" s="1"/>
  <c r="V61" i="36"/>
  <c r="S61" i="36"/>
  <c r="AB61" i="36" s="1"/>
  <c r="O61" i="36"/>
  <c r="E61" i="36"/>
  <c r="J61" i="36" s="1"/>
  <c r="AR60" i="36"/>
  <c r="AQ60" i="36"/>
  <c r="AO60" i="36"/>
  <c r="Z60" i="36"/>
  <c r="Y60" i="36"/>
  <c r="V60" i="36"/>
  <c r="S60" i="36"/>
  <c r="P60" i="36" s="1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3" i="3"/>
  <c r="U43" i="3" s="1"/>
  <c r="AJ72" i="44" s="1"/>
  <c r="AH58" i="35"/>
  <c r="AH70" i="35" s="1"/>
  <c r="AG58" i="35"/>
  <c r="X13" i="3" s="1"/>
  <c r="X43" i="3" s="1"/>
  <c r="AG72" i="44" s="1"/>
  <c r="AF58" i="35"/>
  <c r="W13" i="3" s="1"/>
  <c r="W43" i="3" s="1"/>
  <c r="AF72" i="44" s="1"/>
  <c r="AC58" i="35"/>
  <c r="U58" i="35"/>
  <c r="K13" i="3" s="1"/>
  <c r="K43" i="3" s="1"/>
  <c r="U72" i="44" s="1"/>
  <c r="T58" i="35"/>
  <c r="R58" i="35"/>
  <c r="I13" i="3" s="1"/>
  <c r="I43" i="3" s="1"/>
  <c r="R72" i="44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M47" i="45" l="1"/>
  <c r="G47" i="45" s="1"/>
  <c r="L48" i="45"/>
  <c r="E50" i="45"/>
  <c r="F49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3" i="3"/>
  <c r="G43" i="3" s="1"/>
  <c r="L72" i="44" s="1"/>
  <c r="E68" i="35"/>
  <c r="K7" i="34"/>
  <c r="F103" i="45"/>
  <c r="E104" i="45"/>
  <c r="AR68" i="36"/>
  <c r="AD24" i="36"/>
  <c r="AL61" i="36"/>
  <c r="AS61" i="36" s="1" a="1"/>
  <c r="AS61" i="36" s="1"/>
  <c r="AW61" i="36" s="1"/>
  <c r="AN66" i="36"/>
  <c r="AT66" i="36" s="1"/>
  <c r="AB62" i="36"/>
  <c r="AL62" i="36" s="1"/>
  <c r="AS62" i="36" s="1" a="1"/>
  <c r="AS62" i="36" s="1"/>
  <c r="AW62" i="36" s="1"/>
  <c r="AN62" i="36"/>
  <c r="AT62" i="36" s="1"/>
  <c r="AB66" i="36"/>
  <c r="AL66" i="36" s="1"/>
  <c r="AS66" i="36" s="1" a="1"/>
  <c r="AS66" i="36" s="1"/>
  <c r="AW66" i="36" s="1"/>
  <c r="P67" i="36"/>
  <c r="AP67" i="36"/>
  <c r="AB60" i="36"/>
  <c r="AL60" i="36" s="1"/>
  <c r="AS60" i="36" s="1" a="1"/>
  <c r="AS60" i="36" s="1"/>
  <c r="AU60" i="36" s="1"/>
  <c r="AD60" i="36"/>
  <c r="P62" i="36"/>
  <c r="P66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3" i="3"/>
  <c r="R43" i="3" s="1"/>
  <c r="AC72" i="44" s="1"/>
  <c r="Q70" i="35"/>
  <c r="H13" i="3"/>
  <c r="H43" i="3" s="1"/>
  <c r="Q72" i="44" s="1"/>
  <c r="T70" i="35"/>
  <c r="J13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S24" i="36"/>
  <c r="AQ24" i="36"/>
  <c r="AR24" i="36"/>
  <c r="S25" i="36"/>
  <c r="AR25" i="36"/>
  <c r="AQ25" i="36"/>
  <c r="AR26" i="36"/>
  <c r="AQ26" i="36"/>
  <c r="S26" i="36"/>
  <c r="AP26" i="36" s="1"/>
  <c r="J24" i="36"/>
  <c r="J25" i="36"/>
  <c r="J25" i="24"/>
  <c r="AB24" i="25"/>
  <c r="AN24" i="25"/>
  <c r="AT24" i="25" s="1"/>
  <c r="P24" i="25"/>
  <c r="AP24" i="25"/>
  <c r="AG45" i="25"/>
  <c r="AG102" i="25" s="1"/>
  <c r="G70" i="36"/>
  <c r="AE70" i="36"/>
  <c r="AJ45" i="25"/>
  <c r="AJ102" i="25" s="1"/>
  <c r="AF45" i="25"/>
  <c r="AF102" i="25" s="1"/>
  <c r="AH45" i="25"/>
  <c r="AH102" i="25" s="1"/>
  <c r="X45" i="24"/>
  <c r="X102" i="24" s="1"/>
  <c r="N12" i="3" s="1"/>
  <c r="O12" i="3" s="1"/>
  <c r="AE45" i="25"/>
  <c r="AE102" i="25" s="1"/>
  <c r="F70" i="36"/>
  <c r="AD65" i="36"/>
  <c r="V68" i="36"/>
  <c r="AO57" i="36"/>
  <c r="AD62" i="36"/>
  <c r="H70" i="36"/>
  <c r="J68" i="36"/>
  <c r="S68" i="36"/>
  <c r="AN60" i="36"/>
  <c r="AP60" i="36"/>
  <c r="AB63" i="36"/>
  <c r="AL63" i="36" s="1"/>
  <c r="AS63" i="36" s="1" a="1"/>
  <c r="AS63" i="36" s="1"/>
  <c r="AW63" i="36" s="1"/>
  <c r="AN63" i="36"/>
  <c r="AT63" i="36" s="1"/>
  <c r="AP63" i="36"/>
  <c r="P65" i="36"/>
  <c r="AP65" i="36"/>
  <c r="AN65" i="36"/>
  <c r="AB65" i="36"/>
  <c r="AL65" i="36" s="1"/>
  <c r="AD66" i="36"/>
  <c r="P64" i="36"/>
  <c r="Z68" i="36"/>
  <c r="AP61" i="36"/>
  <c r="P61" i="36"/>
  <c r="AN61" i="36"/>
  <c r="AB64" i="36"/>
  <c r="AL64" i="36" s="1"/>
  <c r="AS64" i="36" s="1" a="1"/>
  <c r="AS64" i="36" s="1"/>
  <c r="AW64" i="36" s="1"/>
  <c r="E68" i="36"/>
  <c r="AP64" i="36"/>
  <c r="AB67" i="36"/>
  <c r="AL67" i="36" s="1"/>
  <c r="AS67" i="36" s="1" a="1"/>
  <c r="AS67" i="36" s="1"/>
  <c r="AW67" i="36" s="1"/>
  <c r="Y68" i="36"/>
  <c r="AD68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M48" i="45" l="1"/>
  <c r="G48" i="45" s="1"/>
  <c r="L49" i="45"/>
  <c r="E51" i="45"/>
  <c r="F50" i="45"/>
  <c r="AT61" i="36"/>
  <c r="AT64" i="36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AB26" i="36"/>
  <c r="AL26" i="36" s="1"/>
  <c r="AS26" i="36" s="1" a="1"/>
  <c r="AS26" i="36" s="1"/>
  <c r="AU66" i="36"/>
  <c r="AU64" i="36"/>
  <c r="AU63" i="36"/>
  <c r="AU62" i="36"/>
  <c r="AU61" i="36"/>
  <c r="AN26" i="36"/>
  <c r="L13" i="3"/>
  <c r="J43" i="3"/>
  <c r="T72" i="44" s="1"/>
  <c r="K45" i="34"/>
  <c r="W70" i="35"/>
  <c r="M13" i="3"/>
  <c r="M43" i="3" s="1"/>
  <c r="W72" i="44" s="1"/>
  <c r="X70" i="35"/>
  <c r="N13" i="3"/>
  <c r="N43" i="3" s="1"/>
  <c r="X72" i="44" s="1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4" i="3" s="1"/>
  <c r="AU66" i="35"/>
  <c r="AU64" i="35"/>
  <c r="AU63" i="35"/>
  <c r="AU61" i="35"/>
  <c r="AL60" i="35"/>
  <c r="AI68" i="35"/>
  <c r="S14" i="3" s="1"/>
  <c r="F14" i="3" s="1"/>
  <c r="E70" i="35"/>
  <c r="AL8" i="35"/>
  <c r="AL42" i="35"/>
  <c r="AL28" i="35"/>
  <c r="AB58" i="35"/>
  <c r="P13" i="3" s="1"/>
  <c r="AL20" i="35"/>
  <c r="AL19" i="35"/>
  <c r="AL65" i="35"/>
  <c r="AS65" i="35" s="1" a="1"/>
  <c r="AS65" i="35" s="1"/>
  <c r="AK70" i="35"/>
  <c r="AU40" i="35"/>
  <c r="AL33" i="35"/>
  <c r="AI58" i="35"/>
  <c r="S13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N25" i="36"/>
  <c r="AP25" i="36"/>
  <c r="AB25" i="36"/>
  <c r="AP24" i="36"/>
  <c r="AB24" i="36"/>
  <c r="AN24" i="36"/>
  <c r="AL21" i="35"/>
  <c r="AS65" i="36" a="1"/>
  <c r="AS65" i="36" s="1"/>
  <c r="AT65" i="36" s="1"/>
  <c r="AL68" i="36"/>
  <c r="AB68" i="36"/>
  <c r="AW60" i="36"/>
  <c r="AT60" i="36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1" i="3"/>
  <c r="X11" i="3"/>
  <c r="W11" i="3"/>
  <c r="S11" i="3"/>
  <c r="G11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L50" i="45" l="1"/>
  <c r="M49" i="45"/>
  <c r="G49" i="45" s="1"/>
  <c r="E52" i="45"/>
  <c r="F51" i="45"/>
  <c r="S43" i="3"/>
  <c r="AI72" i="44" s="1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AT26" i="36"/>
  <c r="AW65" i="36"/>
  <c r="AW68" i="36" s="1"/>
  <c r="AU65" i="36"/>
  <c r="AW26" i="36"/>
  <c r="AU26" i="36"/>
  <c r="AL24" i="36"/>
  <c r="AS24" i="36" s="1" a="1"/>
  <c r="AS24" i="36" s="1"/>
  <c r="AU24" i="36" s="1"/>
  <c r="AL25" i="36"/>
  <c r="AS25" i="36" s="1" a="1"/>
  <c r="AS25" i="36" s="1"/>
  <c r="AU25" i="36" s="1"/>
  <c r="P43" i="3"/>
  <c r="AB72" i="44" s="1"/>
  <c r="Z13" i="3"/>
  <c r="Z43" i="3" s="1"/>
  <c r="AK72" i="44" s="1"/>
  <c r="L43" i="3"/>
  <c r="O13" i="3"/>
  <c r="AE14" i="3"/>
  <c r="AC14" i="3"/>
  <c r="AB14" i="3"/>
  <c r="F13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M50" i="45" l="1"/>
  <c r="G50" i="45" s="1"/>
  <c r="L51" i="45"/>
  <c r="E53" i="45"/>
  <c r="F52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AL73" i="44"/>
  <c r="F106" i="45"/>
  <c r="E107" i="45"/>
  <c r="AT25" i="36"/>
  <c r="AT24" i="36"/>
  <c r="AW25" i="36"/>
  <c r="AW24" i="36"/>
  <c r="AE13" i="3"/>
  <c r="O43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3" i="3"/>
  <c r="AC13" i="3"/>
  <c r="AD13" i="3" s="1"/>
  <c r="AH13" i="3"/>
  <c r="AF14" i="3"/>
  <c r="AG14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Y22" i="36"/>
  <c r="Y23" i="36"/>
  <c r="V22" i="36"/>
  <c r="V23" i="36"/>
  <c r="AR22" i="36"/>
  <c r="AQ22" i="36"/>
  <c r="S22" i="36"/>
  <c r="AQ23" i="36"/>
  <c r="S23" i="36"/>
  <c r="AR23" i="36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L52" i="45" l="1"/>
  <c r="M51" i="45"/>
  <c r="G51" i="45" s="1"/>
  <c r="E54" i="45"/>
  <c r="F53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3" i="3"/>
  <c r="G11" i="39"/>
  <c r="AG13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AB22" i="36"/>
  <c r="AP22" i="36"/>
  <c r="AN22" i="36"/>
  <c r="AD23" i="36"/>
  <c r="AP23" i="36"/>
  <c r="AN23" i="36"/>
  <c r="AB23" i="36"/>
  <c r="AD22" i="36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L53" i="45" l="1"/>
  <c r="M52" i="45"/>
  <c r="G52" i="45" s="1"/>
  <c r="E55" i="45"/>
  <c r="F54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AQ28" i="36"/>
  <c r="S28" i="36"/>
  <c r="AR28" i="36"/>
  <c r="Y28" i="25"/>
  <c r="AD28" i="25" s="1"/>
  <c r="Y28" i="36"/>
  <c r="S20" i="36"/>
  <c r="AR20" i="36"/>
  <c r="AQ20" i="36"/>
  <c r="V19" i="25"/>
  <c r="V19" i="36"/>
  <c r="Y19" i="25"/>
  <c r="Y19" i="36"/>
  <c r="V27" i="25"/>
  <c r="V27" i="36"/>
  <c r="Y18" i="25"/>
  <c r="AD18" i="25" s="1"/>
  <c r="Y18" i="36"/>
  <c r="S29" i="36"/>
  <c r="AR29" i="36"/>
  <c r="AQ29" i="36"/>
  <c r="AR16" i="36"/>
  <c r="AQ16" i="36"/>
  <c r="S16" i="36"/>
  <c r="AR19" i="36"/>
  <c r="AQ19" i="36"/>
  <c r="S19" i="36"/>
  <c r="Y29" i="25"/>
  <c r="AD29" i="25" s="1"/>
  <c r="Y29" i="36"/>
  <c r="S21" i="36"/>
  <c r="AR21" i="36"/>
  <c r="AQ21" i="36"/>
  <c r="Y21" i="25"/>
  <c r="AD21" i="25" s="1"/>
  <c r="Y21" i="36"/>
  <c r="Y20" i="25"/>
  <c r="AD20" i="25" s="1"/>
  <c r="Y20" i="36"/>
  <c r="V18" i="25"/>
  <c r="V18" i="36"/>
  <c r="V17" i="25"/>
  <c r="V17" i="36"/>
  <c r="V29" i="25"/>
  <c r="V29" i="36"/>
  <c r="S17" i="36"/>
  <c r="AQ17" i="36"/>
  <c r="AR17" i="36"/>
  <c r="AR18" i="36"/>
  <c r="AQ18" i="36"/>
  <c r="S18" i="36"/>
  <c r="AR27" i="36"/>
  <c r="AQ27" i="36"/>
  <c r="S27" i="36"/>
  <c r="V28" i="25"/>
  <c r="V28" i="36"/>
  <c r="Y27" i="25"/>
  <c r="Y27" i="36"/>
  <c r="Y16" i="25"/>
  <c r="AD16" i="25" s="1"/>
  <c r="Y16" i="36"/>
  <c r="V20" i="25"/>
  <c r="V20" i="36"/>
  <c r="V16" i="25"/>
  <c r="V16" i="36"/>
  <c r="Y17" i="25"/>
  <c r="AD17" i="25" s="1"/>
  <c r="Y17" i="36"/>
  <c r="V21" i="25"/>
  <c r="V21" i="36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M53" i="45" l="1"/>
  <c r="G53" i="45" s="1"/>
  <c r="L54" i="45"/>
  <c r="E56" i="45"/>
  <c r="F55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AD18" i="36"/>
  <c r="AB27" i="36"/>
  <c r="AL27" i="36" s="1"/>
  <c r="AP27" i="36"/>
  <c r="AN27" i="36"/>
  <c r="AB21" i="36"/>
  <c r="AN21" i="36"/>
  <c r="AP21" i="36"/>
  <c r="AN16" i="36"/>
  <c r="AB16" i="36"/>
  <c r="AL16" i="36" s="1"/>
  <c r="AP16" i="36"/>
  <c r="AN20" i="36"/>
  <c r="AP20" i="36"/>
  <c r="AB20" i="36"/>
  <c r="AD28" i="36"/>
  <c r="AD16" i="36"/>
  <c r="AP17" i="36"/>
  <c r="AB17" i="36"/>
  <c r="AL17" i="36" s="1"/>
  <c r="AS17" i="36" s="1" a="1"/>
  <c r="AS17" i="36" s="1"/>
  <c r="AN17" i="36"/>
  <c r="AD20" i="36"/>
  <c r="AD19" i="36"/>
  <c r="AN18" i="36"/>
  <c r="AB18" i="36"/>
  <c r="AP18" i="36"/>
  <c r="AD29" i="36"/>
  <c r="AD17" i="36"/>
  <c r="AD27" i="36"/>
  <c r="AD21" i="36"/>
  <c r="AN28" i="36"/>
  <c r="AP28" i="36"/>
  <c r="AB28" i="36"/>
  <c r="AB19" i="36"/>
  <c r="AP19" i="36"/>
  <c r="AN19" i="36"/>
  <c r="AP29" i="36"/>
  <c r="AB29" i="36"/>
  <c r="AN29" i="36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L55" i="45" l="1"/>
  <c r="M54" i="45"/>
  <c r="G54" i="45" s="1"/>
  <c r="F56" i="45"/>
  <c r="E57" i="45"/>
  <c r="F57" i="45" s="1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AT17" i="36"/>
  <c r="AS16" i="36" a="1"/>
  <c r="AS16" i="36" s="1"/>
  <c r="AT16" i="36" s="1"/>
  <c r="AL28" i="36"/>
  <c r="AS28" i="36" s="1" a="1"/>
  <c r="AS28" i="36" s="1"/>
  <c r="AL29" i="36"/>
  <c r="AS29" i="36" s="1" a="1"/>
  <c r="AS29" i="36" s="1"/>
  <c r="AT29" i="36" s="1"/>
  <c r="AL18" i="36"/>
  <c r="AS18" i="36" s="1" a="1"/>
  <c r="AS18" i="36" s="1"/>
  <c r="AU18" i="36" s="1"/>
  <c r="AS27" i="36" a="1"/>
  <c r="AS27" i="36" s="1"/>
  <c r="AW27" i="36" s="1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AW17" i="36"/>
  <c r="AU17" i="36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M55" i="45" l="1"/>
  <c r="G55" i="45" s="1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AU16" i="36"/>
  <c r="AW16" i="36"/>
  <c r="F111" i="45"/>
  <c r="E112" i="45"/>
  <c r="AT18" i="36"/>
  <c r="AW29" i="36"/>
  <c r="AU29" i="36"/>
  <c r="AU28" i="36"/>
  <c r="AT28" i="36"/>
  <c r="AW28" i="36"/>
  <c r="AU27" i="36"/>
  <c r="AW18" i="36"/>
  <c r="AT27" i="36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M56" i="45" l="1"/>
  <c r="G56" i="45" s="1"/>
  <c r="L57" i="45"/>
  <c r="M57" i="45" s="1"/>
  <c r="G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M112" i="45" l="1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E34" i="39" l="1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M37" i="39" l="1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36" i="39" l="1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M39" i="39" l="1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38" i="39" l="1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M41" i="39" l="1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0" i="39" l="1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L44" i="39" l="1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E42" i="39" l="1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K17" i="13"/>
  <c r="AB22" i="3"/>
  <c r="AB43" i="3" s="1"/>
  <c r="AC22" i="3"/>
  <c r="AC43" i="3" s="1"/>
  <c r="AL72" i="44" s="1"/>
  <c r="E43" i="39" l="1"/>
  <c r="F42" i="39"/>
  <c r="F18" i="34"/>
  <c r="E19" i="34"/>
  <c r="AD44" i="3"/>
  <c r="AD43" i="3"/>
  <c r="AK7" i="13"/>
  <c r="AK7" i="36" s="1"/>
  <c r="AK3" i="13"/>
  <c r="AK3" i="36" s="1"/>
  <c r="AK58" i="36" s="1"/>
  <c r="AK70" i="36" s="1"/>
  <c r="G16" i="34"/>
  <c r="AK14" i="13"/>
  <c r="AK14" i="36" s="1"/>
  <c r="AK6" i="13"/>
  <c r="AK6" i="36" s="1"/>
  <c r="AK13" i="13"/>
  <c r="AK13" i="36" s="1"/>
  <c r="AK5" i="13"/>
  <c r="AK5" i="36" s="1"/>
  <c r="AK12" i="13"/>
  <c r="AK12" i="36" s="1"/>
  <c r="AK4" i="13"/>
  <c r="AK4" i="36" s="1"/>
  <c r="AK11" i="13"/>
  <c r="AK11" i="36" s="1"/>
  <c r="AK10" i="13"/>
  <c r="AK10" i="36" s="1"/>
  <c r="AK9" i="13"/>
  <c r="AK9" i="36" s="1"/>
  <c r="AK8" i="13"/>
  <c r="AK8" i="36" s="1"/>
  <c r="AK15" i="13"/>
  <c r="AK15" i="36" s="1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0" i="3"/>
  <c r="S10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2" i="3" s="1"/>
  <c r="AH45" i="24"/>
  <c r="AH102" i="24" s="1"/>
  <c r="AG45" i="24"/>
  <c r="AG102" i="24" s="1"/>
  <c r="AF102" i="24"/>
  <c r="AE45" i="24"/>
  <c r="AE102" i="24" s="1"/>
  <c r="Q12" i="3" s="1"/>
  <c r="AC45" i="24"/>
  <c r="AC102" i="24" s="1"/>
  <c r="R12" i="3" s="1"/>
  <c r="U45" i="24"/>
  <c r="U102" i="24" s="1"/>
  <c r="K12" i="3" s="1"/>
  <c r="T45" i="24"/>
  <c r="T102" i="24" s="1"/>
  <c r="J12" i="3" s="1"/>
  <c r="L12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1" i="3" s="1"/>
  <c r="AH45" i="23"/>
  <c r="AF102" i="23"/>
  <c r="AE45" i="23"/>
  <c r="AE102" i="23" s="1"/>
  <c r="Q11" i="3" s="1"/>
  <c r="AC45" i="23"/>
  <c r="X45" i="23"/>
  <c r="X102" i="23" s="1"/>
  <c r="N11" i="3" s="1"/>
  <c r="W45" i="23"/>
  <c r="U45" i="23"/>
  <c r="U102" i="23" s="1"/>
  <c r="K11" i="3" s="1"/>
  <c r="T45" i="23"/>
  <c r="R45" i="23"/>
  <c r="I11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0" i="3" s="1"/>
  <c r="H45" i="22"/>
  <c r="G45" i="22"/>
  <c r="F45" i="22"/>
  <c r="E44" i="39" l="1"/>
  <c r="F44" i="39" s="1"/>
  <c r="F43" i="39"/>
  <c r="G17" i="34"/>
  <c r="F19" i="34"/>
  <c r="E20" i="34"/>
  <c r="Y31" i="36"/>
  <c r="AD31" i="36" s="1"/>
  <c r="V36" i="36"/>
  <c r="F12" i="3"/>
  <c r="F89" i="39"/>
  <c r="E90" i="39"/>
  <c r="L92" i="39"/>
  <c r="M91" i="39"/>
  <c r="L26" i="34"/>
  <c r="M25" i="34"/>
  <c r="M91" i="37"/>
  <c r="L92" i="37"/>
  <c r="F88" i="37"/>
  <c r="E89" i="37"/>
  <c r="Y37" i="36"/>
  <c r="AD37" i="36" s="1"/>
  <c r="Q102" i="24"/>
  <c r="H12" i="3"/>
  <c r="R102" i="24"/>
  <c r="I12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Y32" i="36"/>
  <c r="AD32" i="36" s="1"/>
  <c r="Y35" i="36"/>
  <c r="AD35" i="36" s="1"/>
  <c r="L12" i="30"/>
  <c r="M11" i="30"/>
  <c r="G11" i="30" s="1"/>
  <c r="V41" i="36"/>
  <c r="V38" i="36"/>
  <c r="V35" i="36"/>
  <c r="Y33" i="36"/>
  <c r="AD33" i="36" s="1"/>
  <c r="V42" i="36"/>
  <c r="V43" i="36"/>
  <c r="V40" i="36"/>
  <c r="Y40" i="36"/>
  <c r="AD40" i="36" s="1"/>
  <c r="Y41" i="36"/>
  <c r="Z39" i="36"/>
  <c r="O39" i="25"/>
  <c r="Y38" i="36"/>
  <c r="V37" i="36"/>
  <c r="Z36" i="36"/>
  <c r="O36" i="25"/>
  <c r="J11" i="24"/>
  <c r="J11" i="36"/>
  <c r="Y42" i="36"/>
  <c r="AR40" i="25"/>
  <c r="AQ34" i="25"/>
  <c r="AR31" i="25"/>
  <c r="Y43" i="36"/>
  <c r="Z40" i="36"/>
  <c r="O40" i="25"/>
  <c r="AQ37" i="25"/>
  <c r="Z34" i="25"/>
  <c r="Z34" i="36"/>
  <c r="O34" i="25"/>
  <c r="V32" i="36"/>
  <c r="Z31" i="36"/>
  <c r="O31" i="25"/>
  <c r="Y30" i="36"/>
  <c r="E9" i="25"/>
  <c r="J9" i="36"/>
  <c r="Y39" i="36"/>
  <c r="Z37" i="36"/>
  <c r="O37" i="25"/>
  <c r="Y36" i="36"/>
  <c r="S41" i="36"/>
  <c r="AR41" i="36"/>
  <c r="AQ41" i="36"/>
  <c r="S38" i="36"/>
  <c r="AR38" i="36"/>
  <c r="AQ38" i="36"/>
  <c r="AR35" i="36"/>
  <c r="AQ35" i="36"/>
  <c r="S35" i="36"/>
  <c r="V33" i="36"/>
  <c r="S32" i="36"/>
  <c r="AQ32" i="36"/>
  <c r="AR32" i="36"/>
  <c r="V30" i="36"/>
  <c r="E43" i="25"/>
  <c r="J43" i="25" s="1"/>
  <c r="E37" i="25"/>
  <c r="J37" i="25" s="1"/>
  <c r="J37" i="36"/>
  <c r="AR42" i="25"/>
  <c r="Z41" i="36"/>
  <c r="O41" i="25"/>
  <c r="V39" i="36"/>
  <c r="Z38" i="25"/>
  <c r="Z38" i="36"/>
  <c r="O38" i="25"/>
  <c r="Z35" i="36"/>
  <c r="O35" i="25"/>
  <c r="Y34" i="36"/>
  <c r="Z32" i="36"/>
  <c r="O32" i="25"/>
  <c r="S43" i="36"/>
  <c r="AR43" i="36"/>
  <c r="AQ43" i="36"/>
  <c r="E36" i="25"/>
  <c r="J36" i="25" s="1"/>
  <c r="J36" i="36"/>
  <c r="Z42" i="36"/>
  <c r="O42" i="25"/>
  <c r="AQ33" i="36"/>
  <c r="S33" i="36"/>
  <c r="AR33" i="36"/>
  <c r="AQ30" i="36"/>
  <c r="S30" i="36"/>
  <c r="AR30" i="36"/>
  <c r="Z43" i="25"/>
  <c r="Z43" i="36"/>
  <c r="O43" i="25"/>
  <c r="S39" i="36"/>
  <c r="AR39" i="36"/>
  <c r="AQ39" i="36"/>
  <c r="AQ36" i="36"/>
  <c r="S36" i="36"/>
  <c r="AR36" i="36"/>
  <c r="V34" i="36"/>
  <c r="Z33" i="36"/>
  <c r="O33" i="25"/>
  <c r="V31" i="36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1" i="3" s="1"/>
  <c r="O11" i="3" s="1"/>
  <c r="S39" i="25"/>
  <c r="Q102" i="23"/>
  <c r="H11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1" i="3" s="1"/>
  <c r="L11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1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1" i="34" l="1"/>
  <c r="F20" i="34"/>
  <c r="G20" i="34"/>
  <c r="AL23" i="36"/>
  <c r="AS23" i="36" s="1" a="1"/>
  <c r="AS23" i="36" s="1"/>
  <c r="AL19" i="36"/>
  <c r="AS19" i="36" s="1" a="1"/>
  <c r="AS19" i="36" s="1"/>
  <c r="AL21" i="36"/>
  <c r="AS21" i="36" s="1" a="1"/>
  <c r="AS21" i="36" s="1"/>
  <c r="AL20" i="36"/>
  <c r="AS20" i="36" s="1" a="1"/>
  <c r="AS20" i="36" s="1"/>
  <c r="AL22" i="36"/>
  <c r="AS22" i="36" s="1" a="1"/>
  <c r="AS22" i="36" s="1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43" i="36"/>
  <c r="AN43" i="36"/>
  <c r="AB43" i="36"/>
  <c r="AL43" i="36" s="1"/>
  <c r="AB38" i="36"/>
  <c r="AL38" i="36" s="1"/>
  <c r="AP38" i="36"/>
  <c r="AN38" i="36"/>
  <c r="AP39" i="25"/>
  <c r="P39" i="25"/>
  <c r="J4" i="36"/>
  <c r="J70" i="36" s="1"/>
  <c r="E70" i="36"/>
  <c r="AP36" i="36"/>
  <c r="AN36" i="36"/>
  <c r="AB36" i="36"/>
  <c r="AP32" i="36"/>
  <c r="AB32" i="36"/>
  <c r="AN32" i="36"/>
  <c r="AD42" i="36"/>
  <c r="AL15" i="24"/>
  <c r="AS15" i="24" s="1" a="1"/>
  <c r="AS15" i="24" s="1"/>
  <c r="AW15" i="24" s="1"/>
  <c r="AB30" i="36"/>
  <c r="AL30" i="36" s="1"/>
  <c r="AP30" i="36"/>
  <c r="AN30" i="36"/>
  <c r="AD43" i="36"/>
  <c r="AL6" i="24"/>
  <c r="AS6" i="24" s="1" a="1"/>
  <c r="AS6" i="24" s="1"/>
  <c r="AW6" i="24" s="1"/>
  <c r="AD34" i="36"/>
  <c r="AN35" i="36"/>
  <c r="AB35" i="36"/>
  <c r="AP35" i="36"/>
  <c r="AB41" i="36"/>
  <c r="AL41" i="36" s="1"/>
  <c r="AS41" i="36" s="1" a="1"/>
  <c r="AS41" i="36" s="1"/>
  <c r="AP41" i="36"/>
  <c r="AN41" i="36"/>
  <c r="AR31" i="36"/>
  <c r="AQ31" i="36"/>
  <c r="S31" i="36"/>
  <c r="AD38" i="36"/>
  <c r="AL12" i="24"/>
  <c r="AS12" i="24" s="1" a="1"/>
  <c r="AS12" i="24" s="1"/>
  <c r="AD36" i="36"/>
  <c r="AD30" i="36"/>
  <c r="AB41" i="25"/>
  <c r="P41" i="25"/>
  <c r="AP31" i="25"/>
  <c r="P31" i="25"/>
  <c r="AP39" i="36"/>
  <c r="AB39" i="36"/>
  <c r="AL39" i="36" s="1"/>
  <c r="AB33" i="36"/>
  <c r="AL33" i="36" s="1"/>
  <c r="AN33" i="36"/>
  <c r="AP33" i="36"/>
  <c r="S34" i="36"/>
  <c r="AQ34" i="36"/>
  <c r="AR34" i="36"/>
  <c r="AL10" i="24"/>
  <c r="AS10" i="24" s="1" a="1"/>
  <c r="AS10" i="24" s="1"/>
  <c r="AP42" i="25"/>
  <c r="P42" i="25"/>
  <c r="AP30" i="25"/>
  <c r="P30" i="25"/>
  <c r="AQ37" i="36"/>
  <c r="S37" i="36"/>
  <c r="AR37" i="36"/>
  <c r="AD41" i="36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AR42" i="36"/>
  <c r="S42" i="36"/>
  <c r="AQ42" i="36"/>
  <c r="AN39" i="36"/>
  <c r="AD39" i="36"/>
  <c r="S40" i="36"/>
  <c r="AR40" i="36"/>
  <c r="AQ40" i="36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1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F21" i="34" l="1"/>
  <c r="E22" i="34"/>
  <c r="AL35" i="36"/>
  <c r="AS35" i="36" s="1" a="1"/>
  <c r="AS35" i="36" s="1"/>
  <c r="AL36" i="36"/>
  <c r="AS36" i="36" s="1" a="1"/>
  <c r="AS36" i="36" s="1"/>
  <c r="AS33" i="36" a="1"/>
  <c r="AS33" i="36" s="1"/>
  <c r="AW33" i="36" s="1"/>
  <c r="AS38" i="36" a="1"/>
  <c r="AS38" i="36" s="1"/>
  <c r="AT38" i="36" s="1"/>
  <c r="AS39" i="36" a="1"/>
  <c r="AS39" i="36" s="1"/>
  <c r="AT39" i="36" s="1"/>
  <c r="AS30" i="36" a="1"/>
  <c r="AS30" i="36" s="1"/>
  <c r="AW30" i="36" s="1"/>
  <c r="AS43" i="36" a="1"/>
  <c r="AS43" i="36" s="1"/>
  <c r="AT43" i="36" s="1"/>
  <c r="AL32" i="36"/>
  <c r="AS32" i="36" s="1" a="1"/>
  <c r="AS32" i="36" s="1"/>
  <c r="AT22" i="36"/>
  <c r="AW22" i="36"/>
  <c r="AU22" i="36"/>
  <c r="AT20" i="36"/>
  <c r="AU20" i="36"/>
  <c r="AW20" i="36"/>
  <c r="AT21" i="36"/>
  <c r="AU21" i="36"/>
  <c r="AW21" i="36"/>
  <c r="AU19" i="36"/>
  <c r="AW19" i="36"/>
  <c r="AT19" i="36"/>
  <c r="AT23" i="36"/>
  <c r="AW23" i="36"/>
  <c r="AU23" i="36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2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P40" i="36"/>
  <c r="AN40" i="36"/>
  <c r="AB40" i="36"/>
  <c r="AW41" i="36"/>
  <c r="AU41" i="36"/>
  <c r="AN31" i="36"/>
  <c r="AB31" i="36"/>
  <c r="AP31" i="36"/>
  <c r="AU30" i="24"/>
  <c r="AP37" i="36"/>
  <c r="AB37" i="36"/>
  <c r="AN37" i="36"/>
  <c r="AT41" i="36"/>
  <c r="AN42" i="36"/>
  <c r="AB42" i="36"/>
  <c r="AP42" i="36"/>
  <c r="AB34" i="36"/>
  <c r="AP34" i="36"/>
  <c r="AN34" i="36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1" i="3" s="1"/>
  <c r="E5" i="19"/>
  <c r="E11" i="19"/>
  <c r="E13" i="19"/>
  <c r="E6" i="19"/>
  <c r="E7" i="19"/>
  <c r="E8" i="19"/>
  <c r="E14" i="19"/>
  <c r="E15" i="19"/>
  <c r="AT42" i="25" l="1"/>
  <c r="AW42" i="25"/>
  <c r="AW16" i="25"/>
  <c r="AW25" i="25"/>
  <c r="AW27" i="25"/>
  <c r="AU27" i="25"/>
  <c r="AW28" i="25"/>
  <c r="AU38" i="36"/>
  <c r="AW38" i="36"/>
  <c r="F22" i="34"/>
  <c r="E23" i="34"/>
  <c r="AU43" i="36"/>
  <c r="AW43" i="36"/>
  <c r="AT30" i="36"/>
  <c r="AU30" i="36"/>
  <c r="AU39" i="36"/>
  <c r="AW39" i="36"/>
  <c r="AT32" i="36"/>
  <c r="AU32" i="36"/>
  <c r="AW32" i="36"/>
  <c r="AU36" i="36"/>
  <c r="AT36" i="36"/>
  <c r="AW36" i="36"/>
  <c r="AU35" i="36"/>
  <c r="AT35" i="36"/>
  <c r="AW35" i="36"/>
  <c r="AL42" i="36"/>
  <c r="AS42" i="36" s="1" a="1"/>
  <c r="AS42" i="36" s="1"/>
  <c r="AL31" i="36"/>
  <c r="AS31" i="36" s="1" a="1"/>
  <c r="AS31" i="36" s="1"/>
  <c r="AT33" i="36"/>
  <c r="AL37" i="36"/>
  <c r="AS37" i="36" s="1" a="1"/>
  <c r="AS37" i="36" s="1"/>
  <c r="AU33" i="36"/>
  <c r="AL40" i="36"/>
  <c r="AS40" i="36" s="1" a="1"/>
  <c r="AS40" i="36" s="1"/>
  <c r="AL34" i="36"/>
  <c r="AS34" i="36" s="1" a="1"/>
  <c r="AS34" i="36" s="1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2" i="3"/>
  <c r="AF12" i="3" s="1"/>
  <c r="AB12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1" i="3"/>
  <c r="AF11" i="3" s="1"/>
  <c r="AB11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28" i="3"/>
  <c r="T28" i="3"/>
  <c r="AA28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0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9" i="3"/>
  <c r="Y31" i="3" s="1"/>
  <c r="S9" i="3"/>
  <c r="S31" i="3" s="1"/>
  <c r="AE11" i="3"/>
  <c r="AH11" i="3"/>
  <c r="AE12" i="3"/>
  <c r="AH12" i="3"/>
  <c r="AE22" i="3"/>
  <c r="AF22" i="3"/>
  <c r="AG22" i="3"/>
  <c r="AH22" i="3"/>
  <c r="AA23" i="3"/>
  <c r="E24" i="34" l="1"/>
  <c r="F23" i="34"/>
  <c r="AU34" i="36"/>
  <c r="AT34" i="36"/>
  <c r="AW34" i="36"/>
  <c r="AW40" i="36"/>
  <c r="AU40" i="36"/>
  <c r="AT40" i="36"/>
  <c r="AT37" i="36"/>
  <c r="AW37" i="36"/>
  <c r="AU37" i="36"/>
  <c r="AW31" i="36"/>
  <c r="AU31" i="36"/>
  <c r="AT31" i="36"/>
  <c r="AW42" i="36"/>
  <c r="AU42" i="36"/>
  <c r="AT42" i="36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1" i="3"/>
  <c r="F93" i="39"/>
  <c r="E94" i="39"/>
  <c r="M95" i="39"/>
  <c r="L96" i="39"/>
  <c r="M95" i="37"/>
  <c r="L96" i="37"/>
  <c r="F92" i="37"/>
  <c r="E93" i="37"/>
  <c r="AG12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Z15" i="36"/>
  <c r="O15" i="25"/>
  <c r="Z7" i="36"/>
  <c r="O7" i="25"/>
  <c r="Z14" i="36"/>
  <c r="O14" i="25"/>
  <c r="Z6" i="36"/>
  <c r="O6" i="25"/>
  <c r="Z13" i="36"/>
  <c r="O13" i="25"/>
  <c r="Z5" i="36"/>
  <c r="O5" i="25"/>
  <c r="Z12" i="25"/>
  <c r="Z12" i="36"/>
  <c r="O12" i="25"/>
  <c r="Z4" i="36"/>
  <c r="O4" i="25"/>
  <c r="Z11" i="36"/>
  <c r="O11" i="25"/>
  <c r="Z10" i="25"/>
  <c r="Z10" i="36"/>
  <c r="O10" i="25"/>
  <c r="Z9" i="25"/>
  <c r="Z9" i="36"/>
  <c r="O9" i="25"/>
  <c r="O3" i="25"/>
  <c r="Z8" i="36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0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J8" i="16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G21" i="34" l="1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Z3" i="36"/>
  <c r="L70" i="36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Z58" i="36" l="1"/>
  <c r="Z70" i="36" s="1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9" i="3" s="1"/>
  <c r="AH45" i="19"/>
  <c r="AH102" i="19" s="1"/>
  <c r="AG45" i="19"/>
  <c r="AG102" i="19" s="1"/>
  <c r="X9" i="3" s="1"/>
  <c r="X31" i="3" s="1"/>
  <c r="AF45" i="19"/>
  <c r="AE45" i="19"/>
  <c r="AE102" i="19" s="1"/>
  <c r="Q9" i="3" s="1"/>
  <c r="AC45" i="19"/>
  <c r="AC102" i="19" s="1"/>
  <c r="R9" i="3" s="1"/>
  <c r="X45" i="19"/>
  <c r="X102" i="19" s="1"/>
  <c r="N9" i="3" s="1"/>
  <c r="W45" i="19"/>
  <c r="W102" i="19" s="1"/>
  <c r="M9" i="3" s="1"/>
  <c r="U45" i="19"/>
  <c r="U102" i="19" s="1"/>
  <c r="K9" i="3" s="1"/>
  <c r="T45" i="19"/>
  <c r="T102" i="19" s="1"/>
  <c r="J9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26" i="34" l="1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9" i="3"/>
  <c r="AN7" i="19"/>
  <c r="L9" i="3"/>
  <c r="V45" i="19"/>
  <c r="P10" i="19"/>
  <c r="AN6" i="19"/>
  <c r="P11" i="19"/>
  <c r="R102" i="19"/>
  <c r="I9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9" i="3"/>
  <c r="P3" i="19"/>
  <c r="S45" i="19"/>
  <c r="AB3" i="19"/>
  <c r="L102" i="19"/>
  <c r="G9" i="3"/>
  <c r="G31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Q4" i="3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9" i="3"/>
  <c r="W31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9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K9" i="16"/>
  <c r="K8" i="16"/>
  <c r="K6" i="16"/>
  <c r="K5" i="16"/>
  <c r="K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9" i="3"/>
  <c r="AB9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9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9" i="3"/>
  <c r="AE9" i="3"/>
  <c r="K10" i="16"/>
  <c r="K12" i="16"/>
  <c r="K14" i="16"/>
  <c r="K7" i="16"/>
  <c r="K13" i="16"/>
  <c r="K15" i="16"/>
  <c r="K16" i="16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L4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E33" i="34" l="1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9" i="3"/>
  <c r="AG9" i="3"/>
  <c r="AW45" i="19"/>
  <c r="K17" i="16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F33" i="34" l="1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M5" i="16"/>
  <c r="L6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Y10" i="13"/>
  <c r="AD10" i="13" s="1"/>
  <c r="Z17" i="13"/>
  <c r="Z74" i="13" s="1"/>
  <c r="S12" i="13"/>
  <c r="S15" i="13"/>
  <c r="V13" i="13"/>
  <c r="Y11" i="13"/>
  <c r="AD11" i="13" s="1"/>
  <c r="V10" i="13"/>
  <c r="Y15" i="13"/>
  <c r="AD15" i="13" s="1"/>
  <c r="AQ10" i="13"/>
  <c r="V14" i="13"/>
  <c r="Y12" i="13"/>
  <c r="AD12" i="13" s="1"/>
  <c r="AQ12" i="13"/>
  <c r="AR10" i="13"/>
  <c r="S10" i="13"/>
  <c r="V15" i="13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E35" i="34" l="1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G4" i="16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L7" i="16"/>
  <c r="M6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E36" i="34" l="1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M7" i="16"/>
  <c r="G7" i="16" s="1"/>
  <c r="L8" i="16"/>
  <c r="F25" i="16"/>
  <c r="E26" i="16"/>
  <c r="F25" i="15"/>
  <c r="E26" i="15"/>
  <c r="L27" i="15"/>
  <c r="M26" i="15"/>
  <c r="S7" i="13"/>
  <c r="S9" i="13"/>
  <c r="Y7" i="13"/>
  <c r="V7" i="13"/>
  <c r="Y8" i="13"/>
  <c r="AD8" i="13" s="1"/>
  <c r="S8" i="13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E37" i="34" l="1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J5" i="13"/>
  <c r="AE5" i="13"/>
  <c r="AC5" i="13"/>
  <c r="W5" i="13"/>
  <c r="Y5" i="13" s="1"/>
  <c r="T5" i="13"/>
  <c r="V5" i="13" s="1"/>
  <c r="AJ4" i="13"/>
  <c r="AE4" i="13"/>
  <c r="AC4" i="13"/>
  <c r="W4" i="13"/>
  <c r="Y4" i="13" s="1"/>
  <c r="T4" i="13"/>
  <c r="V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E38" i="34" l="1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6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M27" i="16"/>
  <c r="L28" i="16"/>
  <c r="M9" i="16"/>
  <c r="G9" i="16" s="1"/>
  <c r="L10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F38" i="34" l="1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F28" i="15"/>
  <c r="E29" i="15"/>
  <c r="M29" i="15"/>
  <c r="L30" i="15"/>
  <c r="M26" i="14"/>
  <c r="L27" i="14"/>
  <c r="L9" i="14"/>
  <c r="M8" i="14"/>
  <c r="G7" i="14" s="1"/>
  <c r="F26" i="14"/>
  <c r="E27" i="14"/>
  <c r="AK74" i="13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E40" i="34" l="1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10" i="16"/>
  <c r="G6" i="16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M29" i="16"/>
  <c r="L30" i="16"/>
  <c r="L12" i="16"/>
  <c r="M11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F40" i="34" l="1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E42" i="34" l="1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M13" i="16"/>
  <c r="G13" i="16" s="1"/>
  <c r="L14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E43" i="34" l="1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L15" i="16"/>
  <c r="M14" i="16"/>
  <c r="G14" i="16" s="1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E44" i="34" l="1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M15" i="16"/>
  <c r="L16" i="16"/>
  <c r="M16" i="16" s="1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6" i="3"/>
  <c r="S6" i="3"/>
  <c r="Y5" i="3"/>
  <c r="S5" i="3"/>
  <c r="M33" i="30" l="1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6" i="16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S23" i="3" s="1"/>
  <c r="F21" i="30" l="1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28" i="3"/>
  <c r="Y23" i="3"/>
  <c r="S28" i="3"/>
  <c r="AI72" i="36"/>
  <c r="AI73" i="36" s="1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L8" i="3" l="1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5" i="3"/>
  <c r="AD5" i="10"/>
  <c r="AN6" i="10"/>
  <c r="AD4" i="10"/>
  <c r="AN7" i="10"/>
  <c r="AN11" i="10"/>
  <c r="AN8" i="10"/>
  <c r="AN12" i="10"/>
  <c r="O8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5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F5" i="3" l="1"/>
  <c r="F8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C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B4" i="3" l="1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B5" i="3" l="1"/>
  <c r="AC5" i="3"/>
  <c r="AC8" i="3"/>
  <c r="AB8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L40" i="30" l="1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E28" i="30" l="1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G41" i="30" l="1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E30" i="30" l="1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F30" i="30" l="1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31" i="30" l="1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E33" i="30" l="1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33" i="30" l="1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E35" i="30" l="1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35" i="30" l="1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36" i="30" l="1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F37" i="30" l="1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E39" i="30" l="1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7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H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B7" i="3" l="1"/>
  <c r="AC7" i="3"/>
  <c r="AE7" i="3"/>
  <c r="AA72" i="9"/>
  <c r="AA74" i="9" s="1"/>
  <c r="AA17" i="9"/>
  <c r="AS16" i="9"/>
  <c r="AW3" i="9"/>
  <c r="AU3" i="9"/>
  <c r="AU16" i="9" s="1"/>
  <c r="AF7" i="3" l="1"/>
  <c r="AG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28" i="3" l="1"/>
  <c r="X23" i="3"/>
  <c r="AG72" i="36" s="1"/>
  <c r="X28" i="3"/>
  <c r="AQ71" i="8"/>
  <c r="AN20" i="8"/>
  <c r="AT20" i="8" s="1"/>
  <c r="S72" i="8"/>
  <c r="L74" i="8"/>
  <c r="G6" i="3"/>
  <c r="V72" i="8"/>
  <c r="AF74" i="8"/>
  <c r="W6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5" i="3"/>
  <c r="AE4" i="3"/>
  <c r="AE5" i="3"/>
  <c r="W28" i="3" l="1"/>
  <c r="W23" i="3"/>
  <c r="AF72" i="36" s="1"/>
  <c r="G28" i="3"/>
  <c r="G23" i="3"/>
  <c r="L72" i="36" s="1"/>
  <c r="AW11" i="13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G5" i="3"/>
  <c r="AH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5" i="3"/>
  <c r="AE8" i="3"/>
  <c r="AS3" i="13" l="1"/>
  <c r="AL17" i="13"/>
  <c r="AL72" i="8"/>
  <c r="AS19" i="8" a="1"/>
  <c r="AS19" i="8" s="1"/>
  <c r="AG8" i="3"/>
  <c r="AF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AW15" i="8"/>
  <c r="P9" i="8"/>
  <c r="AP9" i="8"/>
  <c r="AN9" i="8"/>
  <c r="AB9" i="8"/>
  <c r="AL9" i="8" s="1"/>
  <c r="AD7" i="8"/>
  <c r="R17" i="8"/>
  <c r="X17" i="8"/>
  <c r="X74" i="8" s="1"/>
  <c r="N6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28" i="3" l="1"/>
  <c r="K28" i="3"/>
  <c r="R74" i="8"/>
  <c r="I6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AR5" i="8"/>
  <c r="AQ5" i="8"/>
  <c r="J9" i="7"/>
  <c r="AD4" i="8"/>
  <c r="J28" i="3" l="1"/>
  <c r="H28" i="3"/>
  <c r="I28" i="3"/>
  <c r="M28" i="3"/>
  <c r="N29" i="3" s="1"/>
  <c r="Q28" i="3"/>
  <c r="AU9" i="8"/>
  <c r="AW7" i="8"/>
  <c r="AU8" i="8"/>
  <c r="AT8" i="8"/>
  <c r="L6" i="3"/>
  <c r="J17" i="7"/>
  <c r="K12" i="7" s="1"/>
  <c r="AW9" i="8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AK3" i="8"/>
  <c r="AK17" i="8" s="1"/>
  <c r="AK74" i="8" s="1"/>
  <c r="V17" i="8"/>
  <c r="V74" i="8" s="1"/>
  <c r="L28" i="3" l="1"/>
  <c r="R28" i="3"/>
  <c r="O28" i="3"/>
  <c r="AN16" i="8"/>
  <c r="AS6" i="8" a="1"/>
  <c r="AS6" i="8" s="1"/>
  <c r="AW6" i="8" s="1"/>
  <c r="C6" i="7"/>
  <c r="AS5" i="8" a="1"/>
  <c r="AS5" i="8" s="1"/>
  <c r="AW5" i="8" s="1"/>
  <c r="C10" i="7"/>
  <c r="AH6" i="3"/>
  <c r="F6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6" i="3" s="1"/>
  <c r="AC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29" i="3" l="1"/>
  <c r="T29" i="3"/>
  <c r="Z29" i="3"/>
  <c r="AA29" i="3"/>
  <c r="Y29" i="3"/>
  <c r="S29" i="3"/>
  <c r="X29" i="3"/>
  <c r="U29" i="3"/>
  <c r="W29" i="3"/>
  <c r="R29" i="3"/>
  <c r="Q29" i="3"/>
  <c r="AB6" i="3"/>
  <c r="P28" i="3"/>
  <c r="P29" i="3" s="1"/>
  <c r="Z28" i="3"/>
  <c r="C5" i="7"/>
  <c r="AU5" i="8"/>
  <c r="AU6" i="8"/>
  <c r="AU4" i="8"/>
  <c r="C17" i="7"/>
  <c r="D10" i="7" s="1"/>
  <c r="L5" i="7"/>
  <c r="M4" i="7"/>
  <c r="G4" i="7" s="1"/>
  <c r="AE6" i="3"/>
  <c r="K17" i="7"/>
  <c r="AA17" i="8"/>
  <c r="AL17" i="8"/>
  <c r="AL74" i="8" s="1"/>
  <c r="AS3" i="8"/>
  <c r="AA72" i="8"/>
  <c r="AC28" i="3" l="1"/>
  <c r="AF6" i="3"/>
  <c r="AD4" i="3"/>
  <c r="AG6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D29" i="3" l="1"/>
  <c r="AD28" i="3"/>
  <c r="AC29" i="3"/>
  <c r="AL75" i="1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0" i="36"/>
  <c r="Y15" i="25"/>
  <c r="Y15" i="36"/>
  <c r="V14" i="25"/>
  <c r="V14" i="36"/>
  <c r="V11" i="25"/>
  <c r="V11" i="36"/>
  <c r="V13" i="25"/>
  <c r="V13" i="36"/>
  <c r="Y11" i="25"/>
  <c r="Y11" i="36"/>
  <c r="V10" i="25"/>
  <c r="V10" i="36"/>
  <c r="AQ13" i="36"/>
  <c r="S13" i="36"/>
  <c r="AR13" i="36"/>
  <c r="Y13" i="25"/>
  <c r="AD13" i="25" s="1"/>
  <c r="Y13" i="36"/>
  <c r="V12" i="25"/>
  <c r="V12" i="36"/>
  <c r="Y12" i="25"/>
  <c r="Y12" i="36"/>
  <c r="S10" i="36"/>
  <c r="AQ10" i="36"/>
  <c r="AR10" i="36"/>
  <c r="V15" i="25"/>
  <c r="V15" i="36"/>
  <c r="AR14" i="36"/>
  <c r="AQ14" i="36"/>
  <c r="S14" i="36"/>
  <c r="S15" i="36"/>
  <c r="AQ15" i="36"/>
  <c r="AR15" i="36"/>
  <c r="Y14" i="25"/>
  <c r="Y14" i="36"/>
  <c r="AQ11" i="36"/>
  <c r="AR11" i="36"/>
  <c r="S11" i="36"/>
  <c r="S12" i="36"/>
  <c r="AR12" i="36"/>
  <c r="AQ12" i="36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B12" i="36" l="1"/>
  <c r="AL12" i="36" s="1"/>
  <c r="AS12" i="36" s="1" a="1"/>
  <c r="AS12" i="36" s="1"/>
  <c r="AP12" i="36"/>
  <c r="AN12" i="36"/>
  <c r="AB15" i="36"/>
  <c r="AL15" i="36" s="1"/>
  <c r="AP15" i="36"/>
  <c r="AN15" i="36"/>
  <c r="AP10" i="36"/>
  <c r="AB10" i="36"/>
  <c r="AL10" i="36" s="1"/>
  <c r="AN10" i="36"/>
  <c r="AN13" i="36"/>
  <c r="AB13" i="36"/>
  <c r="AL13" i="36" s="1"/>
  <c r="AP13" i="36"/>
  <c r="AB11" i="36"/>
  <c r="AP11" i="36"/>
  <c r="AN11" i="36"/>
  <c r="AB14" i="36"/>
  <c r="AL14" i="36" s="1"/>
  <c r="AP14" i="36"/>
  <c r="AN14" i="36"/>
  <c r="AD12" i="36"/>
  <c r="AD14" i="36"/>
  <c r="AD11" i="36"/>
  <c r="AD15" i="36"/>
  <c r="AS15" i="36" a="1"/>
  <c r="AS15" i="36" s="1"/>
  <c r="AD13" i="36"/>
  <c r="AD10" i="36"/>
  <c r="AS13" i="22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36" l="1" a="1"/>
  <c r="AS13" i="36" s="1"/>
  <c r="AW13" i="36" s="1"/>
  <c r="AS10" i="36" a="1"/>
  <c r="AS10" i="36" s="1"/>
  <c r="AW10" i="36" s="1"/>
  <c r="AS14" i="36" a="1"/>
  <c r="AS14" i="36" s="1"/>
  <c r="AW14" i="36" s="1"/>
  <c r="AL11" i="36"/>
  <c r="AS11" i="36" s="1" a="1"/>
  <c r="AS11" i="36" s="1"/>
  <c r="AS13" i="25" a="1"/>
  <c r="AS13" i="25" s="1"/>
  <c r="C15" i="37"/>
  <c r="AS12" i="25" a="1"/>
  <c r="AS12" i="25" s="1"/>
  <c r="AT12" i="25" s="1"/>
  <c r="C11" i="37"/>
  <c r="AS15" i="25" a="1"/>
  <c r="AS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8" i="36"/>
  <c r="AQ7" i="36"/>
  <c r="S7" i="36"/>
  <c r="AR7" i="36"/>
  <c r="AT15" i="36"/>
  <c r="Y7" i="25"/>
  <c r="AD7" i="25" s="1"/>
  <c r="Y7" i="36"/>
  <c r="Y9" i="25"/>
  <c r="Y9" i="36"/>
  <c r="AR9" i="36"/>
  <c r="S9" i="36"/>
  <c r="AQ9" i="36"/>
  <c r="V9" i="25"/>
  <c r="V9" i="36"/>
  <c r="S8" i="36"/>
  <c r="AR8" i="36"/>
  <c r="AQ8" i="36"/>
  <c r="V8" i="25"/>
  <c r="V8" i="36"/>
  <c r="AW12" i="36"/>
  <c r="AU12" i="36"/>
  <c r="AT12" i="36"/>
  <c r="V7" i="25"/>
  <c r="V7" i="36"/>
  <c r="AU15" i="36"/>
  <c r="AW15" i="36"/>
  <c r="AW11" i="22"/>
  <c r="AU15" i="22"/>
  <c r="AU10" i="22"/>
  <c r="AT10" i="22"/>
  <c r="AW12" i="22"/>
  <c r="AU12" i="22"/>
  <c r="AT15" i="22"/>
  <c r="AT15" i="25"/>
  <c r="AT13" i="25"/>
  <c r="R45" i="22"/>
  <c r="R3" i="25"/>
  <c r="X45" i="22"/>
  <c r="X102" i="22" s="1"/>
  <c r="N10" i="3" s="1"/>
  <c r="X3" i="25"/>
  <c r="AW14" i="25"/>
  <c r="AD9" i="22"/>
  <c r="AD7" i="22"/>
  <c r="AW15" i="25"/>
  <c r="AU15" i="25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0" i="3" s="1"/>
  <c r="K31" i="3" s="1"/>
  <c r="U3" i="25"/>
  <c r="AW13" i="25"/>
  <c r="AU13" i="25"/>
  <c r="AD8" i="22"/>
  <c r="AT14" i="25"/>
  <c r="AR8" i="25"/>
  <c r="S8" i="25"/>
  <c r="P8" i="25" s="1"/>
  <c r="AQ8" i="25"/>
  <c r="AW12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0" i="3" s="1"/>
  <c r="AW11" i="25" l="1"/>
  <c r="AU11" i="25"/>
  <c r="AT13" i="36"/>
  <c r="AU13" i="36"/>
  <c r="AU10" i="36"/>
  <c r="AT10" i="36"/>
  <c r="AW11" i="36"/>
  <c r="AT11" i="36"/>
  <c r="AU11" i="36"/>
  <c r="AT14" i="36"/>
  <c r="AU14" i="36"/>
  <c r="AU10" i="25"/>
  <c r="AT10" i="25"/>
  <c r="N23" i="3"/>
  <c r="X72" i="36" s="1"/>
  <c r="N31" i="3"/>
  <c r="U23" i="3"/>
  <c r="AJ72" i="36" s="1"/>
  <c r="U31" i="3"/>
  <c r="AJ104" i="25" s="1"/>
  <c r="K23" i="3"/>
  <c r="U45" i="25"/>
  <c r="U102" i="25" s="1"/>
  <c r="U70" i="36"/>
  <c r="AD8" i="36"/>
  <c r="X45" i="25"/>
  <c r="X102" i="25" s="1"/>
  <c r="X70" i="36"/>
  <c r="AN9" i="36"/>
  <c r="AP9" i="36"/>
  <c r="AB9" i="36"/>
  <c r="AD7" i="36"/>
  <c r="R70" i="36"/>
  <c r="AD9" i="36"/>
  <c r="AB8" i="36"/>
  <c r="AL8" i="36" s="1"/>
  <c r="AP8" i="36"/>
  <c r="AN8" i="36"/>
  <c r="AB7" i="36"/>
  <c r="AP7" i="36"/>
  <c r="AN7" i="36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0" i="3" s="1"/>
  <c r="M31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0" i="3" s="1"/>
  <c r="J31" i="3" s="1"/>
  <c r="V3" i="22"/>
  <c r="T3" i="25"/>
  <c r="Y6" i="22"/>
  <c r="W6" i="25"/>
  <c r="AT9" i="22"/>
  <c r="S5" i="22"/>
  <c r="J11" i="32" s="1"/>
  <c r="AE45" i="22"/>
  <c r="AE102" i="22" s="1"/>
  <c r="Q10" i="3" s="1"/>
  <c r="Y5" i="22"/>
  <c r="W5" i="25"/>
  <c r="I10" i="3"/>
  <c r="R102" i="22"/>
  <c r="AL7" i="36" l="1"/>
  <c r="AS7" i="36" s="1" a="1"/>
  <c r="AS7" i="36" s="1"/>
  <c r="AS8" i="36" a="1"/>
  <c r="AS8" i="36" s="1"/>
  <c r="AW8" i="36" s="1"/>
  <c r="AL9" i="36"/>
  <c r="AS9" i="36" s="1" a="1"/>
  <c r="AS9" i="36" s="1"/>
  <c r="N32" i="3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23" i="3"/>
  <c r="AE72" i="36" s="1"/>
  <c r="Q31" i="3"/>
  <c r="J36" i="32"/>
  <c r="K4" i="32" s="1"/>
  <c r="K11" i="32"/>
  <c r="K8" i="32"/>
  <c r="X104" i="25"/>
  <c r="I23" i="3"/>
  <c r="R72" i="36" s="1"/>
  <c r="I31" i="3"/>
  <c r="R104" i="25" s="1"/>
  <c r="AK102" i="25"/>
  <c r="AC45" i="25"/>
  <c r="AC102" i="25" s="1"/>
  <c r="AR6" i="36"/>
  <c r="AQ6" i="36"/>
  <c r="S6" i="36"/>
  <c r="AR5" i="36"/>
  <c r="AQ5" i="36"/>
  <c r="S5" i="36"/>
  <c r="V4" i="25"/>
  <c r="V4" i="36"/>
  <c r="V6" i="25"/>
  <c r="V6" i="36"/>
  <c r="V3" i="36"/>
  <c r="Y5" i="25"/>
  <c r="AD5" i="25" s="1"/>
  <c r="Y5" i="36"/>
  <c r="AQ3" i="36"/>
  <c r="AR3" i="36"/>
  <c r="S3" i="36"/>
  <c r="Y6" i="25"/>
  <c r="Y6" i="36"/>
  <c r="AR4" i="36"/>
  <c r="AQ4" i="36"/>
  <c r="S4" i="36"/>
  <c r="V5" i="25"/>
  <c r="V5" i="36"/>
  <c r="Y3" i="36"/>
  <c r="Y4" i="25"/>
  <c r="Y4" i="36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0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0" i="3"/>
  <c r="J23" i="3"/>
  <c r="O10" i="3"/>
  <c r="O31" i="3" s="1"/>
  <c r="M23" i="3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AW8" i="25"/>
  <c r="S3" i="25"/>
  <c r="P3" i="25" s="1"/>
  <c r="AQ3" i="25"/>
  <c r="AR3" i="25"/>
  <c r="Q45" i="25"/>
  <c r="AU7" i="25" l="1"/>
  <c r="AT8" i="25"/>
  <c r="AW7" i="25"/>
  <c r="Y58" i="36"/>
  <c r="V58" i="36"/>
  <c r="S58" i="36"/>
  <c r="AT9" i="36"/>
  <c r="AW9" i="36"/>
  <c r="AU9" i="36"/>
  <c r="AW7" i="36"/>
  <c r="AT7" i="36"/>
  <c r="AU7" i="36"/>
  <c r="AU8" i="36"/>
  <c r="AT8" i="36"/>
  <c r="AT9" i="25"/>
  <c r="AU9" i="25"/>
  <c r="L4" i="32"/>
  <c r="U32" i="3"/>
  <c r="AA32" i="3"/>
  <c r="X32" i="3"/>
  <c r="V32" i="3"/>
  <c r="T32" i="3"/>
  <c r="S32" i="3"/>
  <c r="Y32" i="3"/>
  <c r="W32" i="3"/>
  <c r="H23" i="3"/>
  <c r="Q72" i="36" s="1"/>
  <c r="H31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Q57" i="36"/>
  <c r="AE104" i="25"/>
  <c r="Q32" i="3"/>
  <c r="L31" i="3"/>
  <c r="N25" i="3"/>
  <c r="W72" i="36"/>
  <c r="AR57" i="36"/>
  <c r="AP3" i="36"/>
  <c r="AB3" i="36"/>
  <c r="S70" i="36"/>
  <c r="AB4" i="36"/>
  <c r="AL4" i="36" s="1"/>
  <c r="AP4" i="36"/>
  <c r="AN4" i="36"/>
  <c r="AD5" i="36"/>
  <c r="AD4" i="36"/>
  <c r="AB5" i="36"/>
  <c r="AP5" i="36"/>
  <c r="AN5" i="36"/>
  <c r="AC70" i="36"/>
  <c r="AD6" i="36"/>
  <c r="T70" i="36"/>
  <c r="W70" i="36"/>
  <c r="V70" i="36"/>
  <c r="AN3" i="36"/>
  <c r="AD3" i="36"/>
  <c r="Y70" i="36"/>
  <c r="Q70" i="36"/>
  <c r="AR70" i="36" s="1"/>
  <c r="AR58" i="36"/>
  <c r="AB6" i="36"/>
  <c r="AP6" i="36"/>
  <c r="AN6" i="36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0" i="3"/>
  <c r="F10" i="3" s="1"/>
  <c r="F23" i="3" s="1"/>
  <c r="AD102" i="22"/>
  <c r="AP44" i="22"/>
  <c r="S45" i="25"/>
  <c r="S102" i="25" s="1"/>
  <c r="AP3" i="25"/>
  <c r="AB3" i="25"/>
  <c r="AN3" i="25"/>
  <c r="AH10" i="3"/>
  <c r="O23" i="3"/>
  <c r="AP5" i="25"/>
  <c r="AN5" i="25"/>
  <c r="AB5" i="25"/>
  <c r="AL5" i="25" s="1"/>
  <c r="V45" i="25"/>
  <c r="V102" i="25" s="1"/>
  <c r="AA6" i="22"/>
  <c r="AA4" i="22"/>
  <c r="AB45" i="22"/>
  <c r="AB102" i="22" s="1"/>
  <c r="P10" i="3" s="1"/>
  <c r="P31" i="3" s="1"/>
  <c r="L23" i="3"/>
  <c r="AL3" i="36" l="1"/>
  <c r="AB58" i="36"/>
  <c r="AA53" i="36"/>
  <c r="AA45" i="36"/>
  <c r="AA48" i="36"/>
  <c r="AA44" i="36"/>
  <c r="AA49" i="36"/>
  <c r="AA56" i="36"/>
  <c r="AA52" i="36"/>
  <c r="AA55" i="36"/>
  <c r="AA50" i="36"/>
  <c r="AA51" i="36"/>
  <c r="AA47" i="36"/>
  <c r="AA54" i="36"/>
  <c r="AA46" i="36"/>
  <c r="AL6" i="36"/>
  <c r="AS6" i="36" s="1" a="1"/>
  <c r="AS6" i="36" s="1"/>
  <c r="AS4" i="36" a="1"/>
  <c r="AS4" i="36" s="1"/>
  <c r="AT4" i="36" s="1"/>
  <c r="AL5" i="36"/>
  <c r="AS5" i="25" a="1"/>
  <c r="AS5" i="25" s="1"/>
  <c r="C12" i="37"/>
  <c r="AS4" i="25" a="1"/>
  <c r="AS4" i="25" s="1"/>
  <c r="AT4" i="25" s="1"/>
  <c r="C4" i="37"/>
  <c r="AS6" i="25" a="1"/>
  <c r="AS6" i="25" s="1"/>
  <c r="C8" i="37"/>
  <c r="Z23" i="3"/>
  <c r="AK72" i="36" s="1"/>
  <c r="AA25" i="36"/>
  <c r="AA26" i="36"/>
  <c r="AA24" i="36"/>
  <c r="E4" i="32"/>
  <c r="P32" i="3"/>
  <c r="AB104" i="25"/>
  <c r="R23" i="3"/>
  <c r="AC72" i="36" s="1"/>
  <c r="R31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32" i="3"/>
  <c r="AK104" i="25"/>
  <c r="L5" i="32"/>
  <c r="M4" i="32"/>
  <c r="G4" i="32" s="1"/>
  <c r="AA67" i="36"/>
  <c r="AA65" i="36"/>
  <c r="AA60" i="36"/>
  <c r="AA62" i="36"/>
  <c r="AA66" i="36"/>
  <c r="AA61" i="36"/>
  <c r="AA63" i="36"/>
  <c r="AA64" i="36"/>
  <c r="AA22" i="36"/>
  <c r="AA23" i="36"/>
  <c r="AA28" i="36"/>
  <c r="AA20" i="36"/>
  <c r="AA18" i="36"/>
  <c r="AA16" i="36"/>
  <c r="AA19" i="36"/>
  <c r="AA17" i="36"/>
  <c r="AA27" i="36"/>
  <c r="AA21" i="36"/>
  <c r="AA29" i="36"/>
  <c r="AA37" i="36"/>
  <c r="AA35" i="36"/>
  <c r="AA31" i="36"/>
  <c r="AA32" i="36"/>
  <c r="AA40" i="36"/>
  <c r="AA33" i="36"/>
  <c r="AA43" i="36"/>
  <c r="AA38" i="36"/>
  <c r="AA42" i="36"/>
  <c r="AA34" i="36"/>
  <c r="AA36" i="36"/>
  <c r="AA39" i="36"/>
  <c r="AA30" i="36"/>
  <c r="AA41" i="36"/>
  <c r="AA11" i="36"/>
  <c r="AA15" i="36"/>
  <c r="AA10" i="36"/>
  <c r="AA12" i="36"/>
  <c r="AA14" i="36"/>
  <c r="AA13" i="36"/>
  <c r="AA8" i="36"/>
  <c r="AA7" i="36"/>
  <c r="AA9" i="36"/>
  <c r="AA5" i="36"/>
  <c r="AD58" i="36"/>
  <c r="AS3" i="36"/>
  <c r="AT3" i="36" s="1"/>
  <c r="AD70" i="36"/>
  <c r="AN57" i="36"/>
  <c r="AA4" i="36"/>
  <c r="AB70" i="36"/>
  <c r="AA3" i="36"/>
  <c r="AA6" i="36"/>
  <c r="AP57" i="36"/>
  <c r="AT5" i="22"/>
  <c r="AU6" i="22"/>
  <c r="AW6" i="22"/>
  <c r="AB10" i="3"/>
  <c r="AW5" i="22"/>
  <c r="AL3" i="25"/>
  <c r="AT3" i="22"/>
  <c r="AT44" i="22" s="1"/>
  <c r="AW3" i="22"/>
  <c r="AU3" i="22"/>
  <c r="AU44" i="22" s="1"/>
  <c r="AS44" i="22"/>
  <c r="AA100" i="22"/>
  <c r="AW5" i="25"/>
  <c r="AU5" i="25"/>
  <c r="AT6" i="25"/>
  <c r="AT5" i="25"/>
  <c r="AN44" i="25"/>
  <c r="Y102" i="25"/>
  <c r="AD45" i="25"/>
  <c r="AE10" i="3"/>
  <c r="P23" i="3"/>
  <c r="AB72" i="36" s="1"/>
  <c r="AB45" i="25"/>
  <c r="AB102" i="25" s="1"/>
  <c r="AU4" i="25"/>
  <c r="AU6" i="25"/>
  <c r="AW6" i="25"/>
  <c r="AA45" i="22"/>
  <c r="W25" i="3"/>
  <c r="AH23" i="3"/>
  <c r="T25" i="3"/>
  <c r="X25" i="3"/>
  <c r="Y25" i="3"/>
  <c r="V25" i="3"/>
  <c r="S25" i="3"/>
  <c r="W26" i="3"/>
  <c r="U25" i="3"/>
  <c r="Q25" i="3"/>
  <c r="AP44" i="25"/>
  <c r="AC10" i="3"/>
  <c r="AW4" i="25" l="1"/>
  <c r="AA58" i="36"/>
  <c r="AL58" i="36"/>
  <c r="AL70" i="36" s="1"/>
  <c r="AW4" i="36"/>
  <c r="AU4" i="36"/>
  <c r="AW6" i="36"/>
  <c r="AT6" i="36"/>
  <c r="AU6" i="36"/>
  <c r="AS5" i="36" a="1"/>
  <c r="AS5" i="36" s="1"/>
  <c r="Z25" i="3"/>
  <c r="AL45" i="25"/>
  <c r="AL102" i="25" s="1"/>
  <c r="C5" i="37"/>
  <c r="AC31" i="3"/>
  <c r="AD9" i="3"/>
  <c r="R25" i="3"/>
  <c r="AA26" i="25"/>
  <c r="AA25" i="25"/>
  <c r="AA24" i="25"/>
  <c r="AB23" i="3"/>
  <c r="AB31" i="3"/>
  <c r="M5" i="32"/>
  <c r="G5" i="32" s="1"/>
  <c r="L6" i="32"/>
  <c r="AC104" i="25"/>
  <c r="R32" i="3"/>
  <c r="F4" i="32"/>
  <c r="E5" i="32"/>
  <c r="AA68" i="36"/>
  <c r="AW3" i="36"/>
  <c r="AU3" i="36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E23" i="3"/>
  <c r="P25" i="3"/>
  <c r="AC23" i="3"/>
  <c r="AF10" i="3"/>
  <c r="AG10" i="3"/>
  <c r="AD23" i="3"/>
  <c r="AA102" i="22"/>
  <c r="AU5" i="36" l="1"/>
  <c r="AT5" i="36"/>
  <c r="AT57" i="36" s="1"/>
  <c r="AW5" i="36"/>
  <c r="AW58" i="36" s="1"/>
  <c r="AW70" i="36" s="1"/>
  <c r="AS57" i="36"/>
  <c r="AU57" i="36"/>
  <c r="AL72" i="36"/>
  <c r="AL73" i="36" s="1"/>
  <c r="AD26" i="3"/>
  <c r="AC32" i="3"/>
  <c r="AL104" i="25"/>
  <c r="AD32" i="3"/>
  <c r="AD31" i="3"/>
  <c r="C45" i="37"/>
  <c r="D5" i="37" s="1"/>
  <c r="L7" i="32"/>
  <c r="M6" i="32"/>
  <c r="G6" i="32" s="1"/>
  <c r="E6" i="32"/>
  <c r="F5" i="32"/>
  <c r="AA70" i="36"/>
  <c r="AW3" i="25"/>
  <c r="AW45" i="25" s="1"/>
  <c r="AW102" i="25" s="1"/>
  <c r="AU3" i="25"/>
  <c r="AU44" i="25" s="1"/>
  <c r="AS44" i="25"/>
  <c r="AA45" i="25"/>
  <c r="AF23" i="3"/>
  <c r="AD25" i="3"/>
  <c r="AG23" i="3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<sst xmlns="http://schemas.openxmlformats.org/spreadsheetml/2006/main" count="3596" uniqueCount="277">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</sst>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71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6" fontId="13" fillId="0" borderId="25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" fontId="9" fillId="0" borderId="42" xfId="4" applyNumberFormat="1" applyFont="1" applyFill="1" applyBorder="1"/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5" fontId="11" fillId="9" borderId="52" xfId="1" applyNumberFormat="1" applyFont="1" applyFill="1" applyBorder="1" applyAlignment="1">
      <alignment horizontal="center" vertical="center"/>
    </xf>
    <xf numFmtId="166" fontId="9" fillId="0" borderId="53" xfId="4" applyNumberFormat="1" applyFont="1" applyFill="1" applyBorder="1"/>
    <xf numFmtId="49" fontId="9" fillId="13" borderId="54" xfId="0" applyNumberFormat="1" applyFont="1" applyFill="1" applyBorder="1"/>
    <xf numFmtId="49" fontId="9" fillId="13" borderId="54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17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4" xfId="4" applyNumberFormat="1" applyFont="1" applyFill="1" applyBorder="1"/>
    <xf numFmtId="4" fontId="9" fillId="0" borderId="17" xfId="4" applyNumberFormat="1" applyFont="1" applyFill="1" applyBorder="1"/>
    <xf numFmtId="4" fontId="9" fillId="13" borderId="54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6" xfId="4" applyNumberFormat="1" applyFont="1" applyBorder="1"/>
    <xf numFmtId="43" fontId="9" fillId="0" borderId="56" xfId="4" applyNumberFormat="1" applyFont="1" applyBorder="1"/>
    <xf numFmtId="4" fontId="9" fillId="0" borderId="6" xfId="4" applyNumberFormat="1" applyFont="1" applyBorder="1"/>
    <xf numFmtId="4" fontId="9" fillId="0" borderId="56" xfId="4" applyNumberFormat="1" applyFont="1" applyBorder="1"/>
    <xf numFmtId="3" fontId="9" fillId="0" borderId="56" xfId="4" applyNumberFormat="1" applyFont="1" applyBorder="1"/>
    <xf numFmtId="3" fontId="9" fillId="0" borderId="56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4" fontId="9" fillId="0" borderId="0" xfId="2" applyNumberFormat="1" applyFont="1" applyBorder="1" applyAlignment="1">
      <alignment horizontal="center" vertical="center"/>
    </xf>
    <xf numFmtId="2" fontId="3" fillId="0" borderId="29" xfId="0" applyNumberFormat="1" applyFont="1" applyBorder="1"/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E18" sqref="E18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23" t="s">
        <v>0</v>
      </c>
      <c r="C2" s="424" t="s">
        <v>1</v>
      </c>
      <c r="D2" s="424"/>
      <c r="E2" s="424"/>
      <c r="F2" s="424" t="s">
        <v>2</v>
      </c>
      <c r="G2" s="424"/>
      <c r="H2" s="424"/>
      <c r="I2" s="425" t="s">
        <v>3</v>
      </c>
      <c r="J2" s="422"/>
      <c r="O2" s="1"/>
    </row>
    <row r="3" spans="2:15" ht="31">
      <c r="B3" s="423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426"/>
      <c r="J3" s="422"/>
    </row>
    <row r="4" spans="2:15" ht="15.5">
      <c r="B4" s="4" t="s">
        <v>135</v>
      </c>
      <c r="C4" s="187"/>
      <c r="D4" s="187"/>
      <c r="E4" s="188"/>
      <c r="F4" s="187">
        <v>277607349</v>
      </c>
      <c r="G4" s="220">
        <v>4738</v>
      </c>
      <c r="H4" s="188" t="s">
        <v>135</v>
      </c>
      <c r="I4" s="209" t="s">
        <v>41</v>
      </c>
    </row>
    <row r="5" spans="2:15" ht="15.5">
      <c r="B5" s="4" t="s">
        <v>136</v>
      </c>
      <c r="C5" s="187"/>
      <c r="D5" s="218"/>
      <c r="E5" s="188"/>
      <c r="F5" s="218">
        <v>279228154</v>
      </c>
      <c r="G5" s="219">
        <v>6535</v>
      </c>
      <c r="H5" s="188" t="s">
        <v>136</v>
      </c>
      <c r="I5" s="209" t="s">
        <v>42</v>
      </c>
    </row>
    <row r="6" spans="2:15" ht="15.5">
      <c r="B6" s="3" t="s">
        <v>140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141</v>
      </c>
      <c r="C7" s="218">
        <v>281290485</v>
      </c>
      <c r="D7" s="220">
        <v>5916</v>
      </c>
      <c r="E7" s="260" t="s">
        <v>142</v>
      </c>
      <c r="F7" s="218">
        <v>281290488</v>
      </c>
      <c r="G7" s="220">
        <v>2033</v>
      </c>
      <c r="H7" s="260" t="s">
        <v>141</v>
      </c>
      <c r="I7" s="261" t="s">
        <v>44</v>
      </c>
    </row>
    <row r="8" spans="2:15" ht="15.5">
      <c r="B8" s="417" t="s">
        <v>145</v>
      </c>
      <c r="C8" s="218">
        <v>282283796</v>
      </c>
      <c r="D8" s="220">
        <v>12613</v>
      </c>
      <c r="E8" s="260" t="s">
        <v>144</v>
      </c>
      <c r="F8" s="218">
        <v>282343451</v>
      </c>
      <c r="G8" s="220">
        <v>9553</v>
      </c>
      <c r="H8" s="260" t="s">
        <v>148</v>
      </c>
      <c r="I8" s="421">
        <v>5</v>
      </c>
    </row>
    <row r="9" spans="2:15" ht="15.5">
      <c r="B9" s="418"/>
      <c r="C9" s="218">
        <v>282375547</v>
      </c>
      <c r="D9" s="220">
        <v>1000</v>
      </c>
      <c r="E9" s="260" t="s">
        <v>146</v>
      </c>
      <c r="F9" s="218">
        <v>282385566</v>
      </c>
      <c r="G9" s="220">
        <v>79</v>
      </c>
      <c r="H9" s="260" t="s">
        <v>146</v>
      </c>
      <c r="I9" s="421"/>
    </row>
    <row r="10" spans="2:15" ht="15.5">
      <c r="B10" s="3" t="s">
        <v>169</v>
      </c>
      <c r="C10" s="218">
        <v>283356234</v>
      </c>
      <c r="D10" s="220">
        <v>9526</v>
      </c>
      <c r="E10" s="260" t="s">
        <v>170</v>
      </c>
      <c r="F10" s="218">
        <v>283392061</v>
      </c>
      <c r="G10" s="220">
        <v>17308</v>
      </c>
      <c r="H10" s="260" t="s">
        <v>169</v>
      </c>
      <c r="I10" s="261" t="s">
        <v>153</v>
      </c>
    </row>
    <row r="11" spans="2:15" ht="15.5">
      <c r="B11" s="3" t="s">
        <v>194</v>
      </c>
      <c r="C11" s="218">
        <v>284419876</v>
      </c>
      <c r="D11" s="220">
        <v>16968</v>
      </c>
      <c r="E11" s="260" t="s">
        <v>196</v>
      </c>
      <c r="F11" s="218">
        <v>284354982</v>
      </c>
      <c r="G11" s="220">
        <v>25029</v>
      </c>
      <c r="H11" s="260" t="s">
        <v>194</v>
      </c>
      <c r="I11" s="261" t="s">
        <v>154</v>
      </c>
    </row>
    <row r="12" spans="2:15" ht="15.5">
      <c r="B12" s="3" t="s">
        <v>195</v>
      </c>
      <c r="C12" s="218">
        <v>285375130</v>
      </c>
      <c r="D12" s="220">
        <v>19000</v>
      </c>
      <c r="E12" s="260" t="s">
        <v>197</v>
      </c>
      <c r="F12" s="218">
        <v>285375131</v>
      </c>
      <c r="G12" s="220">
        <v>43359</v>
      </c>
      <c r="H12" s="260" t="s">
        <v>151</v>
      </c>
      <c r="I12" s="261" t="s">
        <v>155</v>
      </c>
    </row>
    <row r="13" spans="2:15" ht="15.5">
      <c r="B13" s="417" t="s">
        <v>213</v>
      </c>
      <c r="C13" s="218">
        <v>286365345</v>
      </c>
      <c r="D13" s="220">
        <v>20188</v>
      </c>
      <c r="E13" s="260" t="s">
        <v>214</v>
      </c>
      <c r="F13" s="218">
        <v>286438626</v>
      </c>
      <c r="G13" s="220">
        <v>41519</v>
      </c>
      <c r="H13" s="260" t="s">
        <v>215</v>
      </c>
      <c r="I13" s="419" t="s">
        <v>156</v>
      </c>
    </row>
    <row r="14" spans="2:15" ht="15.5">
      <c r="B14" s="418"/>
      <c r="C14" s="218"/>
      <c r="D14" s="220"/>
      <c r="E14" s="260"/>
      <c r="F14" s="218">
        <v>286502032</v>
      </c>
      <c r="G14" s="220">
        <v>8252</v>
      </c>
      <c r="H14" s="260" t="s">
        <v>216</v>
      </c>
      <c r="I14" s="420"/>
    </row>
    <row r="15" spans="2:15" ht="15.5">
      <c r="B15" s="3" t="s">
        <v>235</v>
      </c>
      <c r="C15" s="218">
        <v>287719816</v>
      </c>
      <c r="D15" s="220">
        <v>55356</v>
      </c>
      <c r="E15" s="260" t="s">
        <v>233</v>
      </c>
      <c r="F15" s="218">
        <v>287759820</v>
      </c>
      <c r="G15" s="220">
        <v>14284</v>
      </c>
      <c r="H15" s="260" t="s">
        <v>234</v>
      </c>
      <c r="I15" s="289" t="s">
        <v>222</v>
      </c>
    </row>
    <row r="16" spans="2:15" ht="15.5">
      <c r="B16" s="3" t="s">
        <v>240</v>
      </c>
      <c r="C16" s="218">
        <v>288712526</v>
      </c>
      <c r="D16" s="220">
        <v>117662</v>
      </c>
      <c r="E16" s="260" t="s">
        <v>240</v>
      </c>
      <c r="F16" s="218"/>
      <c r="G16" s="220"/>
      <c r="H16" s="260"/>
      <c r="I16" s="325">
        <v>11</v>
      </c>
    </row>
    <row r="17" spans="2:9" ht="15.5">
      <c r="B17" s="3" t="s">
        <v>274</v>
      </c>
      <c r="C17" s="218">
        <v>289759802</v>
      </c>
      <c r="D17" s="220">
        <v>121051</v>
      </c>
      <c r="E17" s="260" t="s">
        <v>274</v>
      </c>
      <c r="F17" s="218"/>
      <c r="G17" s="220"/>
      <c r="H17" s="260"/>
      <c r="I17" s="355" t="s">
        <v>255</v>
      </c>
    </row>
    <row r="18" spans="2:9" ht="15.5">
      <c r="B18" s="3" t="s">
        <v>275</v>
      </c>
      <c r="C18" s="218"/>
      <c r="D18" s="220"/>
      <c r="E18" s="260"/>
      <c r="F18" s="218"/>
      <c r="G18" s="220"/>
      <c r="H18" s="260"/>
      <c r="I18" s="414" t="s">
        <v>259</v>
      </c>
    </row>
    <row r="33" spans="8:8">
      <c r="H33" t="s">
        <v>147</v>
      </c>
    </row>
  </sheetData>
  <mergeCells count="9">
    <mergeCell ref="B13:B14"/>
    <mergeCell ref="I13:I14"/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44"/>
  <sheetViews>
    <sheetView tabSelected="1" zoomScale="50" zoomScaleNormal="50" workbookViewId="0">
      <pane xSplit="5" ySplit="3" topLeftCell="P19" activePane="bottomRight" state="frozen"/>
      <selection pane="topRight" activeCell="F1" sqref="F1"/>
      <selection pane="bottomLeft" activeCell="A4" sqref="A4"/>
      <selection pane="bottomRight" activeCell="AF35" sqref="AF35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442" t="s">
        <v>12</v>
      </c>
      <c r="C2" s="443"/>
      <c r="D2" s="443"/>
      <c r="E2" s="444" t="s">
        <v>13</v>
      </c>
      <c r="F2" s="446" t="s">
        <v>14</v>
      </c>
      <c r="G2" s="448" t="s">
        <v>15</v>
      </c>
      <c r="H2" s="449"/>
      <c r="I2" s="450"/>
      <c r="J2" s="451" t="s">
        <v>16</v>
      </c>
      <c r="K2" s="451"/>
      <c r="L2" s="451"/>
      <c r="M2" s="452" t="s">
        <v>17</v>
      </c>
      <c r="N2" s="452"/>
      <c r="O2" s="452"/>
      <c r="P2" s="430" t="s">
        <v>18</v>
      </c>
      <c r="Q2" s="428" t="s">
        <v>19</v>
      </c>
      <c r="R2" s="428" t="s">
        <v>20</v>
      </c>
      <c r="S2" s="428" t="s">
        <v>21</v>
      </c>
      <c r="T2" s="428" t="s">
        <v>22</v>
      </c>
      <c r="U2" s="428" t="s">
        <v>23</v>
      </c>
      <c r="V2" s="428" t="s">
        <v>24</v>
      </c>
      <c r="W2" s="428" t="s">
        <v>25</v>
      </c>
      <c r="X2" s="430" t="s">
        <v>26</v>
      </c>
      <c r="Y2" s="432" t="s">
        <v>27</v>
      </c>
      <c r="Z2" s="428" t="s">
        <v>28</v>
      </c>
      <c r="AA2" s="428" t="s">
        <v>29</v>
      </c>
      <c r="AB2" s="453" t="s">
        <v>192</v>
      </c>
      <c r="AC2" s="434" t="s">
        <v>193</v>
      </c>
      <c r="AD2" s="436" t="s">
        <v>31</v>
      </c>
      <c r="AE2" s="438" t="s">
        <v>32</v>
      </c>
      <c r="AF2" s="427" t="s">
        <v>33</v>
      </c>
      <c r="AG2" s="427" t="s">
        <v>34</v>
      </c>
      <c r="AH2" s="427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445"/>
      <c r="F3" s="447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431"/>
      <c r="Q3" s="429"/>
      <c r="R3" s="429"/>
      <c r="S3" s="429"/>
      <c r="T3" s="429"/>
      <c r="U3" s="429"/>
      <c r="V3" s="429"/>
      <c r="W3" s="429"/>
      <c r="X3" s="431"/>
      <c r="Y3" s="433"/>
      <c r="Z3" s="429"/>
      <c r="AA3" s="429"/>
      <c r="AB3" s="454"/>
      <c r="AC3" s="435"/>
      <c r="AD3" s="437"/>
      <c r="AE3" s="438"/>
      <c r="AF3" s="427"/>
      <c r="AG3" s="427"/>
      <c r="AH3" s="427"/>
    </row>
    <row r="4" spans="1:34" s="18" customFormat="1" ht="25.75" customHeight="1">
      <c r="B4" s="30" t="s">
        <v>121</v>
      </c>
      <c r="C4" s="19" t="s">
        <v>125</v>
      </c>
      <c r="D4" s="28" t="s">
        <v>41</v>
      </c>
      <c r="E4" s="48"/>
      <c r="F4" s="47">
        <f t="shared" ref="F4:F5" si="0">IFERROR(O4-SUM(Q4:W4)+AA4,0)</f>
        <v>29279.639999999996</v>
      </c>
      <c r="G4" s="33">
        <f>'Юнит 1'!L$17</f>
        <v>66</v>
      </c>
      <c r="H4" s="33">
        <f>'Юнит 1'!Q$17</f>
        <v>45</v>
      </c>
      <c r="I4" s="33">
        <f>'Юнит 1'!R$17</f>
        <v>0</v>
      </c>
      <c r="J4" s="20">
        <f>'Юнит 1'!T$74</f>
        <v>46145.63</v>
      </c>
      <c r="K4" s="21">
        <f>'Юнит 1'!U$74</f>
        <v>0</v>
      </c>
      <c r="L4" s="22">
        <f t="shared" ref="L4:L5" si="1">IFERROR(J4+K4,0)</f>
        <v>46145.63</v>
      </c>
      <c r="M4" s="20">
        <f>'Юнит 1'!W$74</f>
        <v>54988.62000000001</v>
      </c>
      <c r="N4" s="21">
        <f>'Юнит 1'!X$74</f>
        <v>0</v>
      </c>
      <c r="O4" s="285">
        <f t="shared" ref="O4:O5" si="2">IFERROR(M4+N4,0)</f>
        <v>54988.62000000001</v>
      </c>
      <c r="P4" s="225">
        <f>'Юнит 1'!AB$74</f>
        <v>5712.2100000000009</v>
      </c>
      <c r="Q4" s="227">
        <f>'Юнит 1'!AE$74</f>
        <v>4543.050000000002</v>
      </c>
      <c r="R4" s="21">
        <f>'Юнит 1'!AC$74</f>
        <v>19854.220000000008</v>
      </c>
      <c r="S4" s="23">
        <f>'Юнит 1'!AI$74</f>
        <v>1049.6300000000001</v>
      </c>
      <c r="T4" s="21"/>
      <c r="U4" s="21">
        <f>'Юнит 1'!AJ$74</f>
        <v>0</v>
      </c>
      <c r="V4" s="225">
        <v>262.08</v>
      </c>
      <c r="W4" s="24">
        <f>'Юнит 1'!AF$74</f>
        <v>0</v>
      </c>
      <c r="X4" s="25">
        <f>'Юнит 1'!AG$74</f>
        <v>4738</v>
      </c>
      <c r="Y4" s="25">
        <f>'Юнит 1'!AH84</f>
        <v>0</v>
      </c>
      <c r="Z4" s="249">
        <v>457.89</v>
      </c>
      <c r="AA4" s="25"/>
      <c r="AB4" s="287">
        <f>O4-SUM(P4:Y4)+AA4</f>
        <v>18829.429999999993</v>
      </c>
      <c r="AC4" s="34">
        <f>O4-SUM(P4:Z4)+AA4</f>
        <v>18371.539999999994</v>
      </c>
      <c r="AD4" s="439">
        <f>SUM(AC4:AC8)</f>
        <v>67154.079999999987</v>
      </c>
      <c r="AE4" s="9">
        <f t="shared" ref="AE4:AE8" si="3">P4/O4</f>
        <v>0.10387985732320615</v>
      </c>
      <c r="AF4" s="9">
        <f t="shared" ref="AF4:AF6" si="4">AC4/P4</f>
        <v>3.2161877802111603</v>
      </c>
      <c r="AG4" s="9">
        <f t="shared" ref="AG4:AG23" si="5">AC4/O4</f>
        <v>0.3340971277329744</v>
      </c>
      <c r="AH4" s="9">
        <f t="shared" ref="AH4:AH8" si="6">(W4+X4+Y4)/O4</f>
        <v>8.6163282511908815E-2</v>
      </c>
    </row>
    <row r="5" spans="1:34" s="18" customFormat="1" ht="25.75" customHeight="1">
      <c r="B5" s="30" t="s">
        <v>122</v>
      </c>
      <c r="C5" s="26" t="s">
        <v>126</v>
      </c>
      <c r="D5" s="27" t="s">
        <v>42</v>
      </c>
      <c r="E5" s="49"/>
      <c r="F5" s="47">
        <f t="shared" si="0"/>
        <v>25524.230000000003</v>
      </c>
      <c r="G5" s="33">
        <f>'Юнит 2'!L$17</f>
        <v>86</v>
      </c>
      <c r="H5" s="33">
        <f>'Юнит 2'!Q$17</f>
        <v>43</v>
      </c>
      <c r="I5" s="33">
        <f>'Юнит 2'!R$17</f>
        <v>-1</v>
      </c>
      <c r="J5" s="20">
        <f>'Юнит 2'!T$74</f>
        <v>43245.32</v>
      </c>
      <c r="K5" s="21">
        <f>'Юнит 2'!U$74</f>
        <v>-931</v>
      </c>
      <c r="L5" s="22">
        <f t="shared" si="1"/>
        <v>42314.32</v>
      </c>
      <c r="M5" s="20">
        <f>'Юнит 2'!W$74</f>
        <v>52197.86</v>
      </c>
      <c r="N5" s="21">
        <f>'Юнит 2'!X$74</f>
        <v>-1199</v>
      </c>
      <c r="O5" s="285">
        <f t="shared" si="2"/>
        <v>50998.86</v>
      </c>
      <c r="P5" s="225">
        <f>'Юнит 2'!AB$74</f>
        <v>5562.9000000000005</v>
      </c>
      <c r="Q5" s="23">
        <f>'Юнит 2'!AE$74</f>
        <v>5752.8</v>
      </c>
      <c r="R5" s="21">
        <f>'Юнит 2'!AC$74</f>
        <v>18463.039999999997</v>
      </c>
      <c r="S5" s="23">
        <f>'Юнит 2'!AI$74</f>
        <v>1083.1099999999999</v>
      </c>
      <c r="T5" s="21"/>
      <c r="U5" s="21">
        <f>'Юнит 2'!AJ$74</f>
        <v>0</v>
      </c>
      <c r="V5" s="225">
        <v>175.68</v>
      </c>
      <c r="W5" s="24">
        <f>'Юнит 2'!AF$74</f>
        <v>0</v>
      </c>
      <c r="X5" s="25">
        <f>'Юнит 2'!AG$74</f>
        <v>6535</v>
      </c>
      <c r="Y5" s="25">
        <f>'Юнит 2'!AH85</f>
        <v>0</v>
      </c>
      <c r="Z5" s="249">
        <v>416.28</v>
      </c>
      <c r="AA5" s="25"/>
      <c r="AB5" s="287">
        <f t="shared" ref="AB5:AB22" si="7">O5-SUM(P5:Y5)+AA5</f>
        <v>13426.330000000002</v>
      </c>
      <c r="AC5" s="34">
        <f t="shared" ref="AC5:AC22" si="8">O5-SUM(P5:Z5)+AA5</f>
        <v>13010.050000000003</v>
      </c>
      <c r="AD5" s="440"/>
      <c r="AE5" s="9">
        <f t="shared" si="3"/>
        <v>0.10907890882266781</v>
      </c>
      <c r="AF5" s="9">
        <f t="shared" si="4"/>
        <v>2.3387172158406591</v>
      </c>
      <c r="AG5" s="9">
        <f t="shared" si="5"/>
        <v>0.25510472194868677</v>
      </c>
      <c r="AH5" s="9">
        <f t="shared" si="6"/>
        <v>0.12814011921050783</v>
      </c>
    </row>
    <row r="6" spans="1:34" s="18" customFormat="1" ht="25.75" customHeight="1">
      <c r="B6" s="30" t="s">
        <v>123</v>
      </c>
      <c r="C6" s="31" t="s">
        <v>127</v>
      </c>
      <c r="D6" s="32" t="s">
        <v>43</v>
      </c>
      <c r="E6" s="48"/>
      <c r="F6" s="47">
        <f t="shared" ref="F6" si="9">IFERROR(O6-SUM(Q6:W6)+AA6,0)</f>
        <v>25982.83</v>
      </c>
      <c r="G6" s="33">
        <f>'Юнит 3'!L$17</f>
        <v>62</v>
      </c>
      <c r="H6" s="33">
        <f>'Юнит 3'!Q$17</f>
        <v>49</v>
      </c>
      <c r="I6" s="33">
        <f>'Юнит 3'!R$17</f>
        <v>-1</v>
      </c>
      <c r="J6" s="20">
        <f>'Юнит 3'!T$74</f>
        <v>45785.47</v>
      </c>
      <c r="K6" s="21">
        <f>'Юнит 3'!U$74</f>
        <v>-948</v>
      </c>
      <c r="L6" s="22">
        <f t="shared" ref="L6" si="10">IFERROR(J6+K6,0)</f>
        <v>44837.47</v>
      </c>
      <c r="M6" s="20">
        <f>'Юнит 3'!W$74</f>
        <v>56919.740000000005</v>
      </c>
      <c r="N6" s="21">
        <f>'Юнит 3'!X$74</f>
        <v>-1174</v>
      </c>
      <c r="O6" s="285">
        <f t="shared" ref="O6" si="11">IFERROR(M6+N6,0)</f>
        <v>55745.740000000005</v>
      </c>
      <c r="P6" s="225">
        <f>'Юнит 3'!AB$74</f>
        <v>6528.420000000001</v>
      </c>
      <c r="Q6" s="23">
        <f>'Юнит 3'!AE$74</f>
        <v>6055.25</v>
      </c>
      <c r="R6" s="21">
        <f>'Юнит 3'!AC$74</f>
        <v>19306.860000000004</v>
      </c>
      <c r="S6" s="23">
        <f>'Юнит 3'!AI$74</f>
        <v>1361.68</v>
      </c>
      <c r="T6" s="21"/>
      <c r="U6" s="21">
        <f>'Юнит 3'!AJ$74</f>
        <v>0</v>
      </c>
      <c r="V6" s="225">
        <v>117.12</v>
      </c>
      <c r="W6" s="24">
        <f>'Юнит 3'!AF$74</f>
        <v>2922</v>
      </c>
      <c r="X6" s="25">
        <f>'Юнит 3'!AG$74</f>
        <v>3464</v>
      </c>
      <c r="Y6" s="25">
        <f>'Юнит 3'!AH86</f>
        <v>0</v>
      </c>
      <c r="Z6" s="249">
        <v>467.24</v>
      </c>
      <c r="AA6" s="25"/>
      <c r="AB6" s="287">
        <f t="shared" si="7"/>
        <v>15990.409999999996</v>
      </c>
      <c r="AC6" s="34">
        <f t="shared" si="8"/>
        <v>15523.169999999998</v>
      </c>
      <c r="AD6" s="440"/>
      <c r="AE6" s="9">
        <f t="shared" si="3"/>
        <v>0.11711065276019299</v>
      </c>
      <c r="AF6" s="9">
        <f t="shared" si="4"/>
        <v>2.3777835984817148</v>
      </c>
      <c r="AG6" s="9">
        <f t="shared" si="5"/>
        <v>0.27846378934067423</v>
      </c>
      <c r="AH6" s="9">
        <f t="shared" si="6"/>
        <v>0.11455583870624014</v>
      </c>
    </row>
    <row r="7" spans="1:34" s="18" customFormat="1" ht="25.5" customHeight="1">
      <c r="B7" s="30" t="s">
        <v>124</v>
      </c>
      <c r="C7" s="31" t="s">
        <v>129</v>
      </c>
      <c r="D7" s="32" t="s">
        <v>44</v>
      </c>
      <c r="E7" s="48"/>
      <c r="F7" s="47">
        <f t="shared" ref="F7:F8" si="12">IFERROR(O7-SUM(Q7:W7)+AA7,0)</f>
        <v>22836.85</v>
      </c>
      <c r="G7" s="33">
        <f>'Юнит 4'!L$17</f>
        <v>86</v>
      </c>
      <c r="H7" s="33">
        <f>'Юнит 4'!Q$17</f>
        <v>49</v>
      </c>
      <c r="I7" s="33">
        <f>'Юнит 4'!R$17</f>
        <v>-2</v>
      </c>
      <c r="J7" s="20">
        <f>'Юнит 4'!T$74</f>
        <v>44338.880000000005</v>
      </c>
      <c r="K7" s="21">
        <f>'Юнит 4'!U$74</f>
        <v>-1888</v>
      </c>
      <c r="L7" s="22">
        <f t="shared" ref="L7:L9" si="13">IFERROR(J7+K7,0)</f>
        <v>42450.880000000005</v>
      </c>
      <c r="M7" s="20">
        <f>'Юнит 4'!W$74</f>
        <v>59321.67</v>
      </c>
      <c r="N7" s="21">
        <f>'Юнит 4'!X$74</f>
        <v>-2412</v>
      </c>
      <c r="O7" s="285">
        <f t="shared" ref="O7:O9" si="14">IFERROR(M7+N7,0)</f>
        <v>56909.67</v>
      </c>
      <c r="P7" s="225">
        <f>'Юнит 4'!AB$74</f>
        <v>6764.5200000000013</v>
      </c>
      <c r="Q7" s="23">
        <f>'Юнит 4'!AE$74</f>
        <v>6115.35</v>
      </c>
      <c r="R7" s="21">
        <f>'Юнит 4'!AC$74</f>
        <v>20543.919999999998</v>
      </c>
      <c r="S7" s="23">
        <f>'Юнит 4'!AI$74</f>
        <v>1438.99</v>
      </c>
      <c r="T7" s="21"/>
      <c r="U7" s="21">
        <f>'Юнит 4'!AJ$74</f>
        <v>0</v>
      </c>
      <c r="V7" s="225">
        <v>58.56</v>
      </c>
      <c r="W7" s="24">
        <f>'Юнит 4'!AF$74</f>
        <v>5916</v>
      </c>
      <c r="X7" s="25">
        <f>'Юнит 4'!AG$74</f>
        <v>2033</v>
      </c>
      <c r="Y7" s="25">
        <f>'Юнит 4'!AH87</f>
        <v>0</v>
      </c>
      <c r="Z7" s="249">
        <v>456.13</v>
      </c>
      <c r="AA7" s="25"/>
      <c r="AB7" s="287">
        <f t="shared" si="7"/>
        <v>14039.330000000002</v>
      </c>
      <c r="AC7" s="34">
        <f t="shared" si="8"/>
        <v>13583.200000000004</v>
      </c>
      <c r="AD7" s="440"/>
      <c r="AE7" s="9">
        <f t="shared" ref="AE7" si="15">P7/O7</f>
        <v>0.11886415788388865</v>
      </c>
      <c r="AF7" s="9">
        <f>AC7/P7</f>
        <v>2.0080064808737355</v>
      </c>
      <c r="AG7" s="9">
        <f t="shared" ref="AG7" si="16">AC7/O7</f>
        <v>0.23867999937444734</v>
      </c>
      <c r="AH7" s="9">
        <f t="shared" ref="AH7" si="17">(W7+X7+Y7)/O7</f>
        <v>0.13967749241912666</v>
      </c>
    </row>
    <row r="8" spans="1:34" s="18" customFormat="1" ht="25.5" customHeight="1" thickBot="1">
      <c r="B8" s="35" t="s">
        <v>128</v>
      </c>
      <c r="C8" s="36" t="s">
        <v>130</v>
      </c>
      <c r="D8" s="37" t="s">
        <v>45</v>
      </c>
      <c r="E8" s="49"/>
      <c r="F8" s="38">
        <f t="shared" si="12"/>
        <v>26541.809999999998</v>
      </c>
      <c r="G8" s="39">
        <f>'Юнит 5'!L$17</f>
        <v>157</v>
      </c>
      <c r="H8" s="39">
        <f>'Юнит 5'!Q$17</f>
        <v>70</v>
      </c>
      <c r="I8" s="39">
        <f>'Юнит 5'!R$17</f>
        <v>-1</v>
      </c>
      <c r="J8" s="40">
        <f>'Юнит 5'!T$74</f>
        <v>53707.42</v>
      </c>
      <c r="K8" s="41">
        <f>'Юнит 5'!U$74</f>
        <v>-813</v>
      </c>
      <c r="L8" s="42">
        <f t="shared" si="13"/>
        <v>52894.42</v>
      </c>
      <c r="M8" s="40">
        <f>'Юнит 5'!W$74</f>
        <v>80352</v>
      </c>
      <c r="N8" s="41">
        <f>'Юнит 5'!X$74</f>
        <v>-1238</v>
      </c>
      <c r="O8" s="286">
        <f t="shared" si="14"/>
        <v>79114</v>
      </c>
      <c r="P8" s="226">
        <f>'Юнит 5'!AB$74</f>
        <v>9760.3200000000015</v>
      </c>
      <c r="Q8" s="43">
        <f>'Юнит 5'!AE$74</f>
        <v>8509.6</v>
      </c>
      <c r="R8" s="41">
        <f>'Юнит 5'!AC$74</f>
        <v>28720.66</v>
      </c>
      <c r="S8" s="43">
        <f>'Юнит 5'!AI$74</f>
        <v>1377.57</v>
      </c>
      <c r="T8" s="41"/>
      <c r="U8" s="41">
        <f>'Юнит 5'!AJ$74</f>
        <v>0</v>
      </c>
      <c r="V8" s="226">
        <v>351.36</v>
      </c>
      <c r="W8" s="44">
        <f>'Юнит 5'!AF$74</f>
        <v>13613</v>
      </c>
      <c r="X8" s="45">
        <f>'Юнит 5'!AG$74</f>
        <v>9632</v>
      </c>
      <c r="Y8" s="45">
        <f>'Юнит 5'!AH88</f>
        <v>0</v>
      </c>
      <c r="Z8" s="250">
        <v>483.37</v>
      </c>
      <c r="AA8" s="45"/>
      <c r="AB8" s="288">
        <f t="shared" si="7"/>
        <v>7149.4899999999907</v>
      </c>
      <c r="AC8" s="46">
        <f>O8-SUM(P8:Z8)+AA8</f>
        <v>6666.1199999999953</v>
      </c>
      <c r="AD8" s="441"/>
      <c r="AE8" s="9">
        <f t="shared" si="3"/>
        <v>0.12337032636448671</v>
      </c>
      <c r="AF8" s="9">
        <f>AC8/P8</f>
        <v>0.68298170551785131</v>
      </c>
      <c r="AG8" s="9">
        <f t="shared" si="5"/>
        <v>8.4259675910711068E-2</v>
      </c>
      <c r="AH8" s="9">
        <f t="shared" si="6"/>
        <v>0.29381651793614277</v>
      </c>
    </row>
    <row r="9" spans="1:34" s="18" customFormat="1" ht="25.5" customHeight="1">
      <c r="A9" s="237"/>
      <c r="B9" s="238" t="s">
        <v>157</v>
      </c>
      <c r="C9" s="239" t="s">
        <v>149</v>
      </c>
      <c r="D9" s="48" t="s">
        <v>153</v>
      </c>
      <c r="E9" s="47"/>
      <c r="F9" s="47">
        <f t="shared" ref="F9" si="18">IFERROR(O9-SUM(Q9:W9)+AA9,0)</f>
        <v>59865</v>
      </c>
      <c r="G9" s="33">
        <f>'Юнит 6'!L$45</f>
        <v>286</v>
      </c>
      <c r="H9" s="33">
        <f>'Юнит 6'!Q$45</f>
        <v>118</v>
      </c>
      <c r="I9" s="33">
        <f>'Юнит 6'!R$45</f>
        <v>-1</v>
      </c>
      <c r="J9" s="20">
        <f>'Юнит 6'!T$102</f>
        <v>85982.959999999992</v>
      </c>
      <c r="K9" s="21">
        <f>'Юнит 6'!U$102</f>
        <v>-777</v>
      </c>
      <c r="L9" s="22">
        <f t="shared" si="13"/>
        <v>85205.959999999992</v>
      </c>
      <c r="M9" s="20">
        <f>'Юнит 6'!W$102</f>
        <v>132376.93</v>
      </c>
      <c r="N9" s="21">
        <f>'Юнит 6'!X$102</f>
        <v>-1238</v>
      </c>
      <c r="O9" s="285">
        <f t="shared" si="14"/>
        <v>131138.93</v>
      </c>
      <c r="P9" s="225">
        <f>'Юнит 6'!AB$102</f>
        <v>15974.009999999998</v>
      </c>
      <c r="Q9" s="227">
        <f>'Юнит 6'!AE$102</f>
        <v>12544.649999999998</v>
      </c>
      <c r="R9" s="21">
        <f>'Юнит 6'!AC$102</f>
        <v>47795.469999999994</v>
      </c>
      <c r="S9" s="23">
        <f>'Юнит 6'!AI$102</f>
        <v>1261.4100000000001</v>
      </c>
      <c r="T9" s="21"/>
      <c r="U9" s="21">
        <f>'Юнит 6'!AJ$102</f>
        <v>0</v>
      </c>
      <c r="V9" s="225">
        <v>146.4</v>
      </c>
      <c r="W9" s="24">
        <f>'Юнит 6'!AF$102</f>
        <v>9526</v>
      </c>
      <c r="X9" s="25">
        <f>'Юнит 6'!AG$102</f>
        <v>17308</v>
      </c>
      <c r="Y9" s="25">
        <f>'Юнит 6'!AH117</f>
        <v>0</v>
      </c>
      <c r="Z9" s="249">
        <v>922.79</v>
      </c>
      <c r="AA9" s="25"/>
      <c r="AB9" s="287">
        <f>O9-SUM(P9:Y9)+AA9</f>
        <v>26582.990000000005</v>
      </c>
      <c r="AC9" s="34">
        <f>O9-SUM(P9:Z9)+AA9</f>
        <v>25660.200000000012</v>
      </c>
      <c r="AD9" s="439">
        <f>SUM(AC9:AC12)</f>
        <v>265557.06000000006</v>
      </c>
      <c r="AE9" s="9">
        <f t="shared" ref="AE9:AE22" si="19">P9/O9</f>
        <v>0.12180982413079014</v>
      </c>
      <c r="AF9" s="9">
        <f t="shared" ref="AF9:AF22" si="20">AC9/P9</f>
        <v>1.6063718502742901</v>
      </c>
      <c r="AG9" s="9">
        <f t="shared" ref="AG9:AG22" si="21">AC9/O9</f>
        <v>0.19567187257056323</v>
      </c>
      <c r="AH9" s="9">
        <f t="shared" ref="AH9:AH22" si="22">(W9+X9+Y9)/O9</f>
        <v>0.20462268526973645</v>
      </c>
    </row>
    <row r="10" spans="1:34" s="18" customFormat="1" ht="25.5" customHeight="1">
      <c r="B10" s="30" t="s">
        <v>158</v>
      </c>
      <c r="C10" s="26" t="s">
        <v>150</v>
      </c>
      <c r="D10" s="27" t="s">
        <v>154</v>
      </c>
      <c r="E10" s="49"/>
      <c r="F10" s="47">
        <f t="shared" ref="F10" si="23">IFERROR(O10-SUM(Q10:W10)+AA10,0)</f>
        <v>105982.03999999998</v>
      </c>
      <c r="G10" s="33">
        <f>'Юнит 7'!L$45</f>
        <v>388</v>
      </c>
      <c r="H10" s="33">
        <f>'Юнит 7'!Q$45</f>
        <v>212</v>
      </c>
      <c r="I10" s="33">
        <f>'Юнит 7'!R$45</f>
        <v>-2</v>
      </c>
      <c r="J10" s="20">
        <f>'Юнит 7'!T$102</f>
        <v>149383.20000000001</v>
      </c>
      <c r="K10" s="21">
        <f>'Юнит 7'!U$102</f>
        <v>-1458</v>
      </c>
      <c r="L10" s="22">
        <f t="shared" ref="L10" si="24">IFERROR(J10+K10,0)</f>
        <v>147925.20000000001</v>
      </c>
      <c r="M10" s="20">
        <f>'Юнит 7'!W$102</f>
        <v>234275.74</v>
      </c>
      <c r="N10" s="21">
        <f>'Юнит 7'!X$102</f>
        <v>-2388</v>
      </c>
      <c r="O10" s="285">
        <f t="shared" ref="O10" si="25">IFERROR(M10+N10,0)</f>
        <v>231887.74</v>
      </c>
      <c r="P10" s="225">
        <f>'Юнит 7'!AB$102</f>
        <v>27919.799999999996</v>
      </c>
      <c r="Q10" s="227">
        <f>'Юнит 7'!AE$102</f>
        <v>22767.799999999996</v>
      </c>
      <c r="R10" s="21">
        <f>'Юнит 7'!AC$102</f>
        <v>84374.680000000022</v>
      </c>
      <c r="S10" s="23">
        <f>'Юнит 7'!AI$102</f>
        <v>1132.46</v>
      </c>
      <c r="T10" s="21">
        <v>165</v>
      </c>
      <c r="U10" s="21">
        <f>'Юнит 7'!AJ$102</f>
        <v>0</v>
      </c>
      <c r="V10" s="225">
        <v>497.76</v>
      </c>
      <c r="W10" s="24">
        <f>'Юнит 7'!AF$102</f>
        <v>16968</v>
      </c>
      <c r="X10" s="25">
        <f>'Юнит 7'!AG$102</f>
        <v>25029</v>
      </c>
      <c r="Y10" s="25">
        <f>'Юнит 7'!AH118</f>
        <v>0</v>
      </c>
      <c r="Z10" s="249">
        <v>1478.16</v>
      </c>
      <c r="AA10" s="25"/>
      <c r="AB10" s="287">
        <f t="shared" si="7"/>
        <v>53033.239999999962</v>
      </c>
      <c r="AC10" s="34">
        <f t="shared" si="8"/>
        <v>51555.079999999958</v>
      </c>
      <c r="AD10" s="440"/>
      <c r="AE10" s="9">
        <f t="shared" si="19"/>
        <v>0.12040222566315924</v>
      </c>
      <c r="AF10" s="9">
        <f t="shared" si="20"/>
        <v>1.8465418806724965</v>
      </c>
      <c r="AG10" s="9">
        <f t="shared" si="21"/>
        <v>0.22232775221320436</v>
      </c>
      <c r="AH10" s="9">
        <f t="shared" si="22"/>
        <v>0.18110918671250151</v>
      </c>
    </row>
    <row r="11" spans="1:34" s="18" customFormat="1" ht="25.5" customHeight="1">
      <c r="B11" s="30" t="s">
        <v>159</v>
      </c>
      <c r="C11" s="26" t="s">
        <v>151</v>
      </c>
      <c r="D11" s="27" t="s">
        <v>155</v>
      </c>
      <c r="E11" s="49"/>
      <c r="F11" s="47">
        <f t="shared" ref="F11:F16" si="26">IFERROR(O11-SUM(Q11:W11)+AA11,0)</f>
        <v>168699.24</v>
      </c>
      <c r="G11" s="33">
        <f>'Юнит 8'!L$45</f>
        <v>640</v>
      </c>
      <c r="H11" s="33">
        <f>'Юнит 8'!Q$45</f>
        <v>332</v>
      </c>
      <c r="I11" s="33">
        <f>'Юнит 8'!R$45</f>
        <v>-3</v>
      </c>
      <c r="J11" s="20">
        <f>'Юнит 8'!T$102</f>
        <v>231517.83</v>
      </c>
      <c r="K11" s="21">
        <f>'Юнит 8'!U$102</f>
        <v>-2178</v>
      </c>
      <c r="L11" s="22">
        <f t="shared" ref="L11" si="27">IFERROR(J11+K11,0)</f>
        <v>229339.83</v>
      </c>
      <c r="M11" s="20">
        <f>'Юнит 8'!W$102</f>
        <v>360665.46</v>
      </c>
      <c r="N11" s="21">
        <f>'Юнит 8'!X$102</f>
        <v>-3466</v>
      </c>
      <c r="O11" s="285">
        <f t="shared" ref="O11:O16" si="28">IFERROR(M11+N11,0)</f>
        <v>357199.46</v>
      </c>
      <c r="P11" s="225">
        <f>'Юнит 8'!AB$102</f>
        <v>44360.02999999997</v>
      </c>
      <c r="Q11" s="227">
        <f>'Юнит 8'!AE$102</f>
        <v>32716.079999999987</v>
      </c>
      <c r="R11" s="21">
        <f>'Юнит 8'!AC$102</f>
        <v>132861.28000000003</v>
      </c>
      <c r="S11" s="23">
        <f>'Юнит 8'!AI$102</f>
        <v>1284.6600000000001</v>
      </c>
      <c r="T11" s="21">
        <v>1905</v>
      </c>
      <c r="U11" s="21">
        <f>'Юнит 8'!AJ$102</f>
        <v>294</v>
      </c>
      <c r="V11" s="225">
        <v>439.2</v>
      </c>
      <c r="W11" s="24">
        <f>'Юнит 8'!AF$102</f>
        <v>19000</v>
      </c>
      <c r="X11" s="25">
        <f>'Юнит 8'!AG$102</f>
        <v>43359</v>
      </c>
      <c r="Y11" s="25">
        <f>'Юнит 8'!AH119</f>
        <v>0</v>
      </c>
      <c r="Z11" s="249">
        <v>2261.2600000000002</v>
      </c>
      <c r="AA11" s="25"/>
      <c r="AB11" s="287">
        <f t="shared" si="7"/>
        <v>80980.210000000021</v>
      </c>
      <c r="AC11" s="34">
        <f t="shared" si="8"/>
        <v>78718.950000000012</v>
      </c>
      <c r="AD11" s="440"/>
      <c r="AE11" s="9">
        <f t="shared" si="19"/>
        <v>0.12418840162860259</v>
      </c>
      <c r="AF11" s="9">
        <f t="shared" si="20"/>
        <v>1.7745468161315505</v>
      </c>
      <c r="AG11" s="9">
        <f t="shared" si="21"/>
        <v>0.22037813271050299</v>
      </c>
      <c r="AH11" s="9">
        <f t="shared" si="22"/>
        <v>0.17457753155617872</v>
      </c>
    </row>
    <row r="12" spans="1:34" s="18" customFormat="1" ht="25.5" customHeight="1" thickBot="1">
      <c r="B12" s="233" t="s">
        <v>160</v>
      </c>
      <c r="C12" s="36" t="s">
        <v>152</v>
      </c>
      <c r="D12" s="37" t="s">
        <v>156</v>
      </c>
      <c r="E12" s="236"/>
      <c r="F12" s="38">
        <f t="shared" si="26"/>
        <v>214108.03000000012</v>
      </c>
      <c r="G12" s="39">
        <f>'Юнит 9'!L$45</f>
        <v>632</v>
      </c>
      <c r="H12" s="39">
        <f>'Юнит 9'!Q$45</f>
        <v>399</v>
      </c>
      <c r="I12" s="39">
        <f>'Юнит 9'!R$45</f>
        <v>-9</v>
      </c>
      <c r="J12" s="40">
        <f>'Юнит 9'!T$102</f>
        <v>296481.40000000008</v>
      </c>
      <c r="K12" s="41">
        <f>'Юнит 9'!U$102</f>
        <v>-6522</v>
      </c>
      <c r="L12" s="42">
        <f t="shared" ref="L12:L14" si="29">IFERROR(J12+K12,0)</f>
        <v>289959.40000000008</v>
      </c>
      <c r="M12" s="40">
        <f>'Юнит 9'!W$102</f>
        <v>464446.44</v>
      </c>
      <c r="N12" s="41">
        <f>'Юнит 9'!X$102</f>
        <v>-10316</v>
      </c>
      <c r="O12" s="286">
        <f t="shared" si="28"/>
        <v>454130.44</v>
      </c>
      <c r="P12" s="226">
        <f>'Юнит 9'!AB$102</f>
        <v>51789.50999999998</v>
      </c>
      <c r="Q12" s="280">
        <f>'Юнит 9'!AE$102</f>
        <v>45998.579999999973</v>
      </c>
      <c r="R12" s="41">
        <f>'Юнит 9'!AC$102</f>
        <v>171766.48999999993</v>
      </c>
      <c r="S12" s="43">
        <f>'Юнит 9'!AI$102</f>
        <v>1545.78</v>
      </c>
      <c r="T12" s="41">
        <v>465</v>
      </c>
      <c r="U12" s="41">
        <f>'Юнит 9'!AJ$102</f>
        <v>0</v>
      </c>
      <c r="V12" s="226">
        <v>58.56</v>
      </c>
      <c r="W12" s="44">
        <f>'Юнит 9'!AF$102</f>
        <v>20188</v>
      </c>
      <c r="X12" s="45">
        <f>'Юнит 9'!AG$102</f>
        <v>49771</v>
      </c>
      <c r="Y12" s="45">
        <f>'Юнит 9'!AH120</f>
        <v>0</v>
      </c>
      <c r="Z12" s="250">
        <v>2924.69</v>
      </c>
      <c r="AA12" s="45"/>
      <c r="AB12" s="288">
        <f t="shared" ref="AB12" si="30">O12-SUM(P12:Y12)+AA12</f>
        <v>112547.52000000008</v>
      </c>
      <c r="AC12" s="46">
        <f t="shared" ref="AC12" si="31">O12-SUM(P12:Z12)+AA12</f>
        <v>109622.83000000007</v>
      </c>
      <c r="AD12" s="441"/>
      <c r="AE12" s="9">
        <f t="shared" si="19"/>
        <v>0.11404104512351117</v>
      </c>
      <c r="AF12" s="9">
        <f t="shared" si="20"/>
        <v>2.1166995015013681</v>
      </c>
      <c r="AG12" s="9">
        <f t="shared" si="21"/>
        <v>0.2413906233636311</v>
      </c>
      <c r="AH12" s="9">
        <f t="shared" si="22"/>
        <v>0.15405045299319728</v>
      </c>
    </row>
    <row r="13" spans="1:34" s="18" customFormat="1" ht="25.5" customHeight="1">
      <c r="B13" s="305" t="s">
        <v>219</v>
      </c>
      <c r="C13" s="306" t="s">
        <v>221</v>
      </c>
      <c r="D13" s="290" t="s">
        <v>222</v>
      </c>
      <c r="E13" s="48"/>
      <c r="F13" s="311">
        <f t="shared" si="26"/>
        <v>183388.28000000003</v>
      </c>
      <c r="G13" s="312">
        <f>'Юнит 10'!L$58</f>
        <v>833</v>
      </c>
      <c r="H13" s="312">
        <f>'Юнит 10'!Q$58</f>
        <v>382</v>
      </c>
      <c r="I13" s="312">
        <f>'Юнит 10'!R$58</f>
        <v>-8</v>
      </c>
      <c r="J13" s="313">
        <f>'Юнит 10'!T$58</f>
        <v>300005.61999999994</v>
      </c>
      <c r="K13" s="314">
        <f>'Юнит 10'!U$58</f>
        <v>-6272.41</v>
      </c>
      <c r="L13" s="315">
        <f t="shared" si="29"/>
        <v>293733.20999999996</v>
      </c>
      <c r="M13" s="313">
        <f>'Юнит 10'!W$58</f>
        <v>466843.39</v>
      </c>
      <c r="N13" s="314">
        <f>'Юнит 10'!X$58</f>
        <v>-9947.9500000000007</v>
      </c>
      <c r="O13" s="316">
        <f t="shared" si="28"/>
        <v>456895.44</v>
      </c>
      <c r="P13" s="317">
        <f>'Юнит 10'!AB$58</f>
        <v>49184.919999999991</v>
      </c>
      <c r="Q13" s="318">
        <f>'Юнит 10'!AE$58</f>
        <v>46676.690000000031</v>
      </c>
      <c r="R13" s="314">
        <f>'Юнит 10'!AC$58</f>
        <v>172521.43999999994</v>
      </c>
      <c r="S13" s="319">
        <f>'Юнит 10'!AI$58</f>
        <v>2108.0300000000002</v>
      </c>
      <c r="T13" s="314">
        <v>735</v>
      </c>
      <c r="U13" s="314">
        <f>'Юнит 10'!AJ$58</f>
        <v>30</v>
      </c>
      <c r="V13" s="317"/>
      <c r="W13" s="320">
        <f>'Юнит 10'!AF$58</f>
        <v>51436</v>
      </c>
      <c r="X13" s="321">
        <f>'Юнит 10'!AG$58</f>
        <v>14284</v>
      </c>
      <c r="Y13" s="321">
        <f>'Юнит 10'!AH134</f>
        <v>0</v>
      </c>
      <c r="Z13" s="322">
        <f t="shared" ref="Z13:Z20" si="32">IFERROR((L13)*0.01,0)</f>
        <v>2937.3320999999996</v>
      </c>
      <c r="AA13" s="321"/>
      <c r="AB13" s="323">
        <f t="shared" ref="AB13:AB14" si="33">O13-SUM(P13:Y13)+AA13</f>
        <v>119919.36000000004</v>
      </c>
      <c r="AC13" s="324">
        <f t="shared" ref="AC13:AC14" si="34">O13-SUM(P13:Z13)+AA13</f>
        <v>116982.02790000004</v>
      </c>
      <c r="AD13" s="439">
        <f>SUM(AC13:AC20)</f>
        <v>688145.04509999999</v>
      </c>
      <c r="AE13" s="9">
        <f t="shared" ref="AE13:AE14" si="35">P13/O13</f>
        <v>0.10765027552036849</v>
      </c>
      <c r="AF13" s="9">
        <f t="shared" ref="AF13:AF14" si="36">AC13/P13</f>
        <v>2.3784124869980485</v>
      </c>
      <c r="AG13" s="9">
        <f t="shared" ref="AG13:AG14" si="37">AC13/O13</f>
        <v>0.2560367595264248</v>
      </c>
      <c r="AH13" s="9">
        <f t="shared" ref="AH13:AH14" si="38">(W13+X13+Y13)/O13</f>
        <v>0.14384034999342518</v>
      </c>
    </row>
    <row r="14" spans="1:34" s="18" customFormat="1" ht="25.5" customHeight="1">
      <c r="A14" s="304"/>
      <c r="B14" s="307" t="s">
        <v>220</v>
      </c>
      <c r="C14" s="19" t="s">
        <v>221</v>
      </c>
      <c r="D14" s="310">
        <v>10</v>
      </c>
      <c r="E14" s="308"/>
      <c r="F14" s="235">
        <f t="shared" si="26"/>
        <v>-3920</v>
      </c>
      <c r="G14" s="33">
        <f>'Юнит 10'!L$68</f>
        <v>2</v>
      </c>
      <c r="H14" s="33">
        <f>'Юнит 10'!Q$68</f>
        <v>0</v>
      </c>
      <c r="I14" s="33">
        <f>'Юнит 10'!R$68</f>
        <v>0</v>
      </c>
      <c r="J14" s="20">
        <f>'Юнит 10'!T$68</f>
        <v>0</v>
      </c>
      <c r="K14" s="21">
        <f>'Юнит 10'!U$68</f>
        <v>0</v>
      </c>
      <c r="L14" s="22">
        <f t="shared" si="29"/>
        <v>0</v>
      </c>
      <c r="M14" s="20">
        <f>'Юнит 10'!W$68</f>
        <v>0</v>
      </c>
      <c r="N14" s="21">
        <f>'Юнит 10'!X$68</f>
        <v>0</v>
      </c>
      <c r="O14" s="285">
        <f t="shared" si="28"/>
        <v>0</v>
      </c>
      <c r="P14" s="225">
        <f>'Юнит 10'!AB$68</f>
        <v>0</v>
      </c>
      <c r="Q14" s="227">
        <f>'Юнит 10'!AE$68</f>
        <v>0</v>
      </c>
      <c r="R14" s="21">
        <f>'Юнит 10'!AC$68</f>
        <v>0</v>
      </c>
      <c r="S14" s="23">
        <f>'Юнит 10'!AI$68</f>
        <v>0</v>
      </c>
      <c r="T14" s="21"/>
      <c r="U14" s="21">
        <f>'Юнит 10'!AJ$68</f>
        <v>0</v>
      </c>
      <c r="V14" s="225"/>
      <c r="W14" s="24">
        <f>'Юнит 10'!AF$68</f>
        <v>3920</v>
      </c>
      <c r="X14" s="25">
        <f>'Юнит 10'!AG$68</f>
        <v>0</v>
      </c>
      <c r="Y14" s="25">
        <f>'Юнит 10'!AH135</f>
        <v>0</v>
      </c>
      <c r="Z14" s="251">
        <f t="shared" si="32"/>
        <v>0</v>
      </c>
      <c r="AA14" s="25"/>
      <c r="AB14" s="287">
        <f t="shared" si="33"/>
        <v>-3920</v>
      </c>
      <c r="AC14" s="34">
        <f t="shared" si="34"/>
        <v>-3920</v>
      </c>
      <c r="AD14" s="440"/>
      <c r="AE14" s="354" t="e">
        <f t="shared" si="35"/>
        <v>#DIV/0!</v>
      </c>
      <c r="AF14" s="354" t="e">
        <f t="shared" si="36"/>
        <v>#DIV/0!</v>
      </c>
      <c r="AG14" s="354" t="e">
        <f t="shared" si="37"/>
        <v>#DIV/0!</v>
      </c>
      <c r="AH14" s="354" t="e">
        <f t="shared" si="38"/>
        <v>#DIV/0!</v>
      </c>
    </row>
    <row r="15" spans="1:34" s="18" customFormat="1" ht="25.5" customHeight="1">
      <c r="A15" s="304"/>
      <c r="B15" s="333" t="s">
        <v>250</v>
      </c>
      <c r="C15" s="334" t="s">
        <v>239</v>
      </c>
      <c r="D15" s="290" t="s">
        <v>241</v>
      </c>
      <c r="E15" s="48"/>
      <c r="F15" s="335">
        <f t="shared" si="26"/>
        <v>370668.60999999987</v>
      </c>
      <c r="G15" s="336">
        <f>'Юнит 11'!L$58</f>
        <v>1503</v>
      </c>
      <c r="H15" s="336">
        <f>'Юнит 11'!Q$58</f>
        <v>797</v>
      </c>
      <c r="I15" s="336">
        <f>'Юнит 11'!R$58</f>
        <v>-13</v>
      </c>
      <c r="J15" s="337">
        <f>'Юнит 11'!T$58</f>
        <v>612594.65000000026</v>
      </c>
      <c r="K15" s="338">
        <f>'Юнит 11'!U$58</f>
        <v>-10314</v>
      </c>
      <c r="L15" s="339">
        <f t="shared" ref="L15:L16" si="39">IFERROR(J15+K15,0)</f>
        <v>602280.65000000026</v>
      </c>
      <c r="M15" s="337">
        <f>'Юнит 11'!W$58</f>
        <v>943118.98999999976</v>
      </c>
      <c r="N15" s="338">
        <f>'Юнит 11'!X$58</f>
        <v>-15997</v>
      </c>
      <c r="O15" s="340">
        <f t="shared" si="28"/>
        <v>927121.98999999976</v>
      </c>
      <c r="P15" s="341">
        <f>'Юнит 11'!AB$58</f>
        <v>103751.89999999997</v>
      </c>
      <c r="Q15" s="342">
        <f>'Юнит 11'!AE$58</f>
        <v>97317.480000000083</v>
      </c>
      <c r="R15" s="338">
        <f>'Юнит 11'!AC$58</f>
        <v>349180.57999999973</v>
      </c>
      <c r="S15" s="343">
        <f>'Юнит 11'!AI$58</f>
        <v>1851.2800000000002</v>
      </c>
      <c r="T15" s="338">
        <v>165</v>
      </c>
      <c r="U15" s="338">
        <f>'Юнит 11'!AJ$58</f>
        <v>0</v>
      </c>
      <c r="V15" s="341">
        <v>2357.04</v>
      </c>
      <c r="W15" s="344">
        <f>'Юнит 11'!AF$58</f>
        <v>105582</v>
      </c>
      <c r="X15" s="345">
        <f>'Юнит 11'!AG$58</f>
        <v>0</v>
      </c>
      <c r="Y15" s="345">
        <f>'Юнит 11'!AH136</f>
        <v>0</v>
      </c>
      <c r="Z15" s="346">
        <f t="shared" si="32"/>
        <v>6022.8065000000024</v>
      </c>
      <c r="AA15" s="345"/>
      <c r="AB15" s="347">
        <f t="shared" ref="AB15:AB16" si="40">O15-SUM(P15:Y15)+AA15</f>
        <v>266916.70999999996</v>
      </c>
      <c r="AC15" s="348">
        <f t="shared" ref="AC15:AC16" si="41">O15-SUM(P15:Z15)+AA15</f>
        <v>260893.90350000001</v>
      </c>
      <c r="AD15" s="440"/>
      <c r="AE15" s="354">
        <f t="shared" ref="AE15:AE16" si="42">P15/O15</f>
        <v>0.1119074955821078</v>
      </c>
      <c r="AF15" s="354">
        <f t="shared" ref="AF15:AF16" si="43">AC15/P15</f>
        <v>2.5145939833391013</v>
      </c>
      <c r="AG15" s="354">
        <f t="shared" ref="AG15:AG16" si="44">AC15/O15</f>
        <v>0.28140191508131535</v>
      </c>
      <c r="AH15" s="354">
        <f t="shared" ref="AH15:AH16" si="45">(W15+X15+Y15)/O15</f>
        <v>0.11388145372325817</v>
      </c>
    </row>
    <row r="16" spans="1:34" s="18" customFormat="1" ht="25.5" customHeight="1">
      <c r="A16" s="304"/>
      <c r="B16" s="349" t="s">
        <v>251</v>
      </c>
      <c r="C16" s="350" t="s">
        <v>239</v>
      </c>
      <c r="D16" s="310" t="s">
        <v>241</v>
      </c>
      <c r="E16" s="308"/>
      <c r="F16" s="235">
        <f t="shared" si="26"/>
        <v>-12473.82</v>
      </c>
      <c r="G16" s="33">
        <f>'Юнит 11'!L$68</f>
        <v>16</v>
      </c>
      <c r="H16" s="33">
        <f>'Юнит 11'!Q$68</f>
        <v>0</v>
      </c>
      <c r="I16" s="33">
        <f>'Юнит 11'!R$68</f>
        <v>0</v>
      </c>
      <c r="J16" s="20">
        <f>'Юнит 11'!T$68</f>
        <v>0</v>
      </c>
      <c r="K16" s="21">
        <f>'Юнит 11'!U$68</f>
        <v>0</v>
      </c>
      <c r="L16" s="22">
        <f t="shared" si="39"/>
        <v>0</v>
      </c>
      <c r="M16" s="20">
        <f>'Юнит 11'!W$68</f>
        <v>0</v>
      </c>
      <c r="N16" s="21">
        <f>'Юнит 11'!X$68</f>
        <v>0</v>
      </c>
      <c r="O16" s="285">
        <f t="shared" si="28"/>
        <v>0</v>
      </c>
      <c r="P16" s="225">
        <f>'Юнит 11'!AB$68</f>
        <v>0</v>
      </c>
      <c r="Q16" s="227">
        <f>'Юнит 11'!AE$68</f>
        <v>198.82</v>
      </c>
      <c r="R16" s="21">
        <f>'Юнит 11'!AC$68</f>
        <v>0</v>
      </c>
      <c r="S16" s="23">
        <f>'Юнит 11'!AI$68</f>
        <v>0</v>
      </c>
      <c r="T16" s="21">
        <v>195</v>
      </c>
      <c r="U16" s="21">
        <f>'Юнит 11'!AJ$68</f>
        <v>0</v>
      </c>
      <c r="V16" s="225"/>
      <c r="W16" s="24">
        <f>'Юнит 11'!AF$68</f>
        <v>12080</v>
      </c>
      <c r="X16" s="25">
        <f>'Юнит 11'!AG$68</f>
        <v>0</v>
      </c>
      <c r="Y16" s="25">
        <f>'Юнит 11'!AH137</f>
        <v>0</v>
      </c>
      <c r="Z16" s="251">
        <f t="shared" si="32"/>
        <v>0</v>
      </c>
      <c r="AA16" s="25"/>
      <c r="AB16" s="287">
        <f t="shared" si="40"/>
        <v>-12473.82</v>
      </c>
      <c r="AC16" s="34">
        <f t="shared" si="41"/>
        <v>-12473.82</v>
      </c>
      <c r="AD16" s="440"/>
      <c r="AE16" s="354" t="e">
        <f t="shared" si="42"/>
        <v>#DIV/0!</v>
      </c>
      <c r="AF16" s="354" t="e">
        <f t="shared" si="43"/>
        <v>#DIV/0!</v>
      </c>
      <c r="AG16" s="354" t="e">
        <f t="shared" si="44"/>
        <v>#DIV/0!</v>
      </c>
      <c r="AH16" s="354" t="e">
        <f t="shared" si="45"/>
        <v>#DIV/0!</v>
      </c>
    </row>
    <row r="17" spans="1:34" s="18" customFormat="1" ht="25.5" customHeight="1">
      <c r="A17" s="304"/>
      <c r="B17" s="333" t="s">
        <v>252</v>
      </c>
      <c r="C17" s="334" t="s">
        <v>254</v>
      </c>
      <c r="D17" s="290" t="s">
        <v>255</v>
      </c>
      <c r="E17" s="49"/>
      <c r="F17" s="335">
        <f t="shared" ref="F17:F18" si="46">IFERROR(O17-SUM(Q17:W17)+AA17,0)</f>
        <v>460743.48848780489</v>
      </c>
      <c r="G17" s="336">
        <f>'Юнит 12'!L$58</f>
        <v>1912</v>
      </c>
      <c r="H17" s="336">
        <f>'Юнит 12'!Q$58</f>
        <v>947</v>
      </c>
      <c r="I17" s="336">
        <f>'Юнит 12'!R$58</f>
        <v>-22</v>
      </c>
      <c r="J17" s="337">
        <f>'Юнит 12'!T$58</f>
        <v>770335.74000000011</v>
      </c>
      <c r="K17" s="338">
        <f>'Юнит 12'!U$58</f>
        <v>-17585.11</v>
      </c>
      <c r="L17" s="339">
        <f t="shared" ref="L17:L18" si="47">IFERROR(J17+K17,0)</f>
        <v>752750.63000000012</v>
      </c>
      <c r="M17" s="337">
        <f>'Юнит 12'!W$58</f>
        <v>1160661.75</v>
      </c>
      <c r="N17" s="338">
        <f>'Юнит 12'!X$58</f>
        <v>-26564.080000000002</v>
      </c>
      <c r="O17" s="340">
        <f t="shared" ref="O17:O18" si="48">IFERROR(M17+N17,0)</f>
        <v>1134097.67</v>
      </c>
      <c r="P17" s="341">
        <f>'Юнит 12'!AB$58</f>
        <v>122764.06000000001</v>
      </c>
      <c r="Q17" s="342">
        <f>'Юнит 12'!AE$58</f>
        <v>116519.86999999998</v>
      </c>
      <c r="R17" s="338">
        <f>'Юнит 12'!AC$58</f>
        <v>428981.73999999993</v>
      </c>
      <c r="S17" s="343">
        <f>'Юнит 12'!AI$58</f>
        <v>2973.3315121951227</v>
      </c>
      <c r="T17" s="338">
        <v>300</v>
      </c>
      <c r="U17" s="338">
        <f>'Юнит 12'!AJ$58</f>
        <v>0</v>
      </c>
      <c r="V17" s="341">
        <v>3528.24</v>
      </c>
      <c r="W17" s="344">
        <f>'Юнит 12'!AF$58</f>
        <v>121051</v>
      </c>
      <c r="X17" s="345">
        <f>'Юнит 12'!AG$58</f>
        <v>0</v>
      </c>
      <c r="Y17" s="345">
        <f>'Юнит 12'!AH138</f>
        <v>0</v>
      </c>
      <c r="Z17" s="346">
        <f t="shared" si="32"/>
        <v>7527.5063000000009</v>
      </c>
      <c r="AA17" s="345"/>
      <c r="AB17" s="347">
        <f t="shared" ref="AB17:AB18" si="49">O17-SUM(P17:Y17)+AA17</f>
        <v>337979.42848780483</v>
      </c>
      <c r="AC17" s="348">
        <f t="shared" ref="AC17:AC18" si="50">O17-SUM(P17:Z17)+AA17</f>
        <v>330451.92218780483</v>
      </c>
      <c r="AD17" s="440"/>
      <c r="AE17" s="354">
        <f t="shared" ref="AE17:AE20" si="51">P17/O17</f>
        <v>0.10824822521679285</v>
      </c>
      <c r="AF17" s="354">
        <f t="shared" ref="AF17:AF20" si="52">AC17/P17</f>
        <v>2.6917643664424653</v>
      </c>
      <c r="AG17" s="354">
        <f t="shared" ref="AG17:AG20" si="53">AC17/O17</f>
        <v>0.29137871536920174</v>
      </c>
      <c r="AH17" s="354">
        <f t="shared" ref="AH17:AH20" si="54">(W17+X17+Y17)/O17</f>
        <v>0.10673772039404684</v>
      </c>
    </row>
    <row r="18" spans="1:34" s="18" customFormat="1" ht="25.5" customHeight="1">
      <c r="A18" s="304"/>
      <c r="B18" s="349" t="s">
        <v>253</v>
      </c>
      <c r="C18" s="350" t="s">
        <v>254</v>
      </c>
      <c r="D18" s="310" t="s">
        <v>255</v>
      </c>
      <c r="E18" s="308"/>
      <c r="F18" s="235">
        <f t="shared" si="46"/>
        <v>-2556.9684878048774</v>
      </c>
      <c r="G18" s="33">
        <f>'Юнит 12'!L$68</f>
        <v>4</v>
      </c>
      <c r="H18" s="33">
        <f>'Юнит 12'!Q$68</f>
        <v>3</v>
      </c>
      <c r="I18" s="33">
        <f>'Юнит 12'!R$68</f>
        <v>0</v>
      </c>
      <c r="J18" s="20">
        <f>'Юнит 12'!T$68</f>
        <v>4468</v>
      </c>
      <c r="K18" s="21">
        <f>'Юнит 12'!U$68</f>
        <v>0</v>
      </c>
      <c r="L18" s="22">
        <f t="shared" si="47"/>
        <v>4468</v>
      </c>
      <c r="M18" s="20">
        <f>'Юнит 12'!W$68</f>
        <v>6680</v>
      </c>
      <c r="N18" s="21">
        <f>'Юнит 12'!X$68</f>
        <v>0</v>
      </c>
      <c r="O18" s="285">
        <f t="shared" si="48"/>
        <v>6680</v>
      </c>
      <c r="P18" s="225">
        <f>'Юнит 12'!AB$68</f>
        <v>1187.3399999999999</v>
      </c>
      <c r="Q18" s="227">
        <f>'Юнит 12'!AE$68</f>
        <v>2459.75</v>
      </c>
      <c r="R18" s="21">
        <f>'Юнит 12'!AC$68</f>
        <v>2953.15</v>
      </c>
      <c r="S18" s="23">
        <f>'Юнит 12'!AI$68</f>
        <v>3.788487804878049</v>
      </c>
      <c r="T18" s="21">
        <v>75</v>
      </c>
      <c r="U18" s="21">
        <f>'Юнит 12'!AJ$68</f>
        <v>3745.2799999999997</v>
      </c>
      <c r="V18" s="225"/>
      <c r="W18" s="24">
        <f>'Юнит 12'!AF$68</f>
        <v>0</v>
      </c>
      <c r="X18" s="25">
        <f>'Юнит 12'!AG$68</f>
        <v>0</v>
      </c>
      <c r="Y18" s="25">
        <f>'Юнит 12'!AH139</f>
        <v>0</v>
      </c>
      <c r="Z18" s="251">
        <f t="shared" si="32"/>
        <v>44.68</v>
      </c>
      <c r="AA18" s="25"/>
      <c r="AB18" s="287">
        <f t="shared" si="49"/>
        <v>-3744.3084878048776</v>
      </c>
      <c r="AC18" s="34">
        <f t="shared" si="50"/>
        <v>-3788.9884878048779</v>
      </c>
      <c r="AD18" s="440"/>
      <c r="AE18" s="354">
        <f t="shared" si="51"/>
        <v>0.17774550898203592</v>
      </c>
      <c r="AF18" s="354">
        <f t="shared" si="52"/>
        <v>-3.1911571140573702</v>
      </c>
      <c r="AG18" s="354">
        <f t="shared" si="53"/>
        <v>-0.56721384547977216</v>
      </c>
      <c r="AH18" s="354">
        <f t="shared" si="54"/>
        <v>0</v>
      </c>
    </row>
    <row r="19" spans="1:34" s="18" customFormat="1" ht="25.5" customHeight="1">
      <c r="A19" s="304"/>
      <c r="B19" s="333" t="s">
        <v>256</v>
      </c>
      <c r="C19" s="334" t="s">
        <v>258</v>
      </c>
      <c r="D19" s="290" t="s">
        <v>259</v>
      </c>
      <c r="E19" s="48"/>
      <c r="F19" s="392">
        <f t="shared" ref="F19:F20" si="55">IFERROR(O19-SUM(Q19:W19)+AA19,0)</f>
        <v>0</v>
      </c>
      <c r="G19" s="393">
        <f>'Юнит 13'!L$58</f>
        <v>0</v>
      </c>
      <c r="H19" s="393">
        <f>'Юнит 13'!Q$58</f>
        <v>0</v>
      </c>
      <c r="I19" s="393">
        <f>'Юнит 13'!R$58</f>
        <v>0</v>
      </c>
      <c r="J19" s="394">
        <f>'Юнит 13'!T$58</f>
        <v>0</v>
      </c>
      <c r="K19" s="395">
        <f>'Юнит 13'!U$58</f>
        <v>0</v>
      </c>
      <c r="L19" s="396">
        <f t="shared" ref="L19:L20" si="56">IFERROR(J19+K19,0)</f>
        <v>0</v>
      </c>
      <c r="M19" s="394">
        <f>'Юнит 13'!W$58</f>
        <v>0</v>
      </c>
      <c r="N19" s="395">
        <f>'Юнит 13'!X$58</f>
        <v>0</v>
      </c>
      <c r="O19" s="397">
        <f t="shared" ref="O19:O20" si="57">IFERROR(M19+N19,0)</f>
        <v>0</v>
      </c>
      <c r="P19" s="398">
        <f>'Юнит 13'!AB$58</f>
        <v>0</v>
      </c>
      <c r="Q19" s="399">
        <f>'Юнит 13'!AE$58</f>
        <v>0</v>
      </c>
      <c r="R19" s="395">
        <f>'Юнит 13'!AC$58</f>
        <v>0</v>
      </c>
      <c r="S19" s="400">
        <f>'Юнит 13'!AI$58</f>
        <v>0</v>
      </c>
      <c r="T19" s="395"/>
      <c r="U19" s="395">
        <f>'Юнит 13'!AJ$58</f>
        <v>0</v>
      </c>
      <c r="V19" s="398"/>
      <c r="W19" s="401">
        <f>'Юнит 13'!AF$58</f>
        <v>0</v>
      </c>
      <c r="X19" s="402">
        <f>'Юнит 13'!AG$58</f>
        <v>0</v>
      </c>
      <c r="Y19" s="402">
        <f>'Юнит 13'!AH140</f>
        <v>0</v>
      </c>
      <c r="Z19" s="403">
        <f t="shared" si="32"/>
        <v>0</v>
      </c>
      <c r="AA19" s="402"/>
      <c r="AB19" s="404">
        <f t="shared" ref="AB19:AB20" si="58">O19-SUM(P19:Y19)+AA19</f>
        <v>0</v>
      </c>
      <c r="AC19" s="405">
        <f t="shared" ref="AC19:AC20" si="59">O19-SUM(P19:Z19)+AA19</f>
        <v>0</v>
      </c>
      <c r="AD19" s="440"/>
      <c r="AE19" s="354" t="e">
        <f t="shared" si="51"/>
        <v>#DIV/0!</v>
      </c>
      <c r="AF19" s="354" t="e">
        <f t="shared" si="52"/>
        <v>#DIV/0!</v>
      </c>
      <c r="AG19" s="354" t="e">
        <f t="shared" si="53"/>
        <v>#DIV/0!</v>
      </c>
      <c r="AH19" s="354" t="e">
        <f t="shared" si="54"/>
        <v>#DIV/0!</v>
      </c>
    </row>
    <row r="20" spans="1:34" s="18" customFormat="1" ht="25.5" customHeight="1" thickBot="1">
      <c r="A20" s="304"/>
      <c r="B20" s="370" t="s">
        <v>257</v>
      </c>
      <c r="C20" s="371" t="s">
        <v>258</v>
      </c>
      <c r="D20" s="372" t="s">
        <v>259</v>
      </c>
      <c r="E20" s="236"/>
      <c r="F20" s="373">
        <f t="shared" si="55"/>
        <v>0</v>
      </c>
      <c r="G20" s="374">
        <f>'Юнит 13'!L$68</f>
        <v>0</v>
      </c>
      <c r="H20" s="374">
        <f>'Юнит 13'!Q$68</f>
        <v>0</v>
      </c>
      <c r="I20" s="374">
        <f>'Юнит 13'!R$68</f>
        <v>0</v>
      </c>
      <c r="J20" s="375">
        <f>'Юнит 13'!T$68</f>
        <v>0</v>
      </c>
      <c r="K20" s="376">
        <f>'Юнит 13'!U$68</f>
        <v>0</v>
      </c>
      <c r="L20" s="377">
        <f t="shared" si="56"/>
        <v>0</v>
      </c>
      <c r="M20" s="375">
        <f>'Юнит 13'!W$68</f>
        <v>0</v>
      </c>
      <c r="N20" s="376">
        <f>'Юнит 13'!X$68</f>
        <v>0</v>
      </c>
      <c r="O20" s="378">
        <f t="shared" si="57"/>
        <v>0</v>
      </c>
      <c r="P20" s="379">
        <f>'Юнит 13'!AB$68</f>
        <v>0</v>
      </c>
      <c r="Q20" s="380">
        <f>'Юнит 13'!AE$68</f>
        <v>0</v>
      </c>
      <c r="R20" s="376">
        <f>'Юнит 13'!AC$68</f>
        <v>0</v>
      </c>
      <c r="S20" s="381">
        <f>'Юнит 13'!AI$68</f>
        <v>0</v>
      </c>
      <c r="T20" s="376"/>
      <c r="U20" s="376">
        <f>'Юнит 13'!AJ$68</f>
        <v>0</v>
      </c>
      <c r="V20" s="379"/>
      <c r="W20" s="382">
        <f>'Юнит 13'!AF$68</f>
        <v>0</v>
      </c>
      <c r="X20" s="383">
        <f>'Юнит 13'!AG$68</f>
        <v>0</v>
      </c>
      <c r="Y20" s="383">
        <f>'Юнит 13'!AH141</f>
        <v>0</v>
      </c>
      <c r="Z20" s="384">
        <f t="shared" si="32"/>
        <v>0</v>
      </c>
      <c r="AA20" s="383"/>
      <c r="AB20" s="385">
        <f t="shared" si="58"/>
        <v>0</v>
      </c>
      <c r="AC20" s="386">
        <f t="shared" si="59"/>
        <v>0</v>
      </c>
      <c r="AD20" s="441"/>
      <c r="AE20" s="354" t="e">
        <f t="shared" si="51"/>
        <v>#DIV/0!</v>
      </c>
      <c r="AF20" s="354" t="e">
        <f t="shared" si="52"/>
        <v>#DIV/0!</v>
      </c>
      <c r="AG20" s="354" t="e">
        <f t="shared" si="53"/>
        <v>#DIV/0!</v>
      </c>
      <c r="AH20" s="354" t="e">
        <f t="shared" si="54"/>
        <v>#DIV/0!</v>
      </c>
    </row>
    <row r="21" spans="1:34" s="18" customFormat="1" ht="25.5" customHeight="1">
      <c r="A21" s="304"/>
      <c r="B21" s="303"/>
      <c r="C21" s="292"/>
      <c r="D21" s="292"/>
      <c r="E21" s="48"/>
      <c r="F21" s="291"/>
      <c r="G21" s="292"/>
      <c r="H21" s="292"/>
      <c r="I21" s="292"/>
      <c r="J21" s="293"/>
      <c r="K21" s="294"/>
      <c r="L21" s="295"/>
      <c r="M21" s="293"/>
      <c r="N21" s="294"/>
      <c r="O21" s="296"/>
      <c r="P21" s="297"/>
      <c r="Q21" s="298"/>
      <c r="R21" s="294"/>
      <c r="S21" s="299"/>
      <c r="T21" s="294"/>
      <c r="U21" s="294"/>
      <c r="V21" s="297"/>
      <c r="W21" s="300"/>
      <c r="X21" s="301"/>
      <c r="Y21" s="345"/>
      <c r="Z21" s="309"/>
      <c r="AA21" s="345"/>
      <c r="AB21" s="302"/>
      <c r="AC21" s="348"/>
      <c r="AD21" s="369"/>
      <c r="AE21" s="9"/>
      <c r="AF21" s="9"/>
      <c r="AG21" s="9"/>
      <c r="AH21" s="9"/>
    </row>
    <row r="22" spans="1:34" s="18" customFormat="1" ht="25.5" customHeight="1" thickBot="1">
      <c r="B22" s="233"/>
      <c r="C22" s="387"/>
      <c r="D22" s="388"/>
      <c r="E22" s="236"/>
      <c r="F22" s="373"/>
      <c r="G22" s="374"/>
      <c r="H22" s="374"/>
      <c r="I22" s="374"/>
      <c r="J22" s="375"/>
      <c r="K22" s="376"/>
      <c r="L22" s="377"/>
      <c r="M22" s="375"/>
      <c r="N22" s="376"/>
      <c r="O22" s="377"/>
      <c r="P22" s="379"/>
      <c r="Q22" s="381"/>
      <c r="R22" s="376"/>
      <c r="S22" s="381"/>
      <c r="T22" s="376"/>
      <c r="U22" s="376"/>
      <c r="V22" s="379"/>
      <c r="W22" s="382"/>
      <c r="X22" s="389"/>
      <c r="Y22" s="383"/>
      <c r="Z22" s="390"/>
      <c r="AA22" s="383"/>
      <c r="AB22" s="391">
        <f t="shared" si="7"/>
        <v>0</v>
      </c>
      <c r="AC22" s="386">
        <f t="shared" si="8"/>
        <v>0</v>
      </c>
      <c r="AD22" s="234"/>
      <c r="AE22" s="9" t="e">
        <f t="shared" si="19"/>
        <v>#DIV/0!</v>
      </c>
      <c r="AF22" s="9" t="e">
        <f t="shared" si="20"/>
        <v>#DIV/0!</v>
      </c>
      <c r="AG22" s="9" t="e">
        <f t="shared" si="21"/>
        <v>#DIV/0!</v>
      </c>
      <c r="AH22" s="9" t="e">
        <f t="shared" si="22"/>
        <v>#DIV/0!</v>
      </c>
    </row>
    <row r="23" spans="1:34" ht="22" customHeight="1" thickBot="1">
      <c r="B23" s="50" t="s">
        <v>30</v>
      </c>
      <c r="C23" s="51"/>
      <c r="D23" s="52"/>
      <c r="E23" s="53"/>
      <c r="F23" s="54">
        <f t="shared" ref="F23:AD23" si="60">SUM(F4:F22)</f>
        <v>1674669.26</v>
      </c>
      <c r="G23" s="55">
        <f t="shared" si="60"/>
        <v>6673</v>
      </c>
      <c r="H23" s="55">
        <f t="shared" si="60"/>
        <v>3446</v>
      </c>
      <c r="I23" s="55">
        <f t="shared" si="60"/>
        <v>-63</v>
      </c>
      <c r="J23" s="54">
        <f t="shared" si="60"/>
        <v>2683992.1200000006</v>
      </c>
      <c r="K23" s="54">
        <f t="shared" si="60"/>
        <v>-49686.520000000004</v>
      </c>
      <c r="L23" s="54">
        <f t="shared" si="60"/>
        <v>2634305.6000000006</v>
      </c>
      <c r="M23" s="54">
        <f t="shared" si="60"/>
        <v>4072848.59</v>
      </c>
      <c r="N23" s="54">
        <f t="shared" si="60"/>
        <v>-75940.03</v>
      </c>
      <c r="O23" s="54">
        <f t="shared" si="60"/>
        <v>3996908.5599999996</v>
      </c>
      <c r="P23" s="54">
        <f t="shared" si="60"/>
        <v>451259.93999999994</v>
      </c>
      <c r="Q23" s="54">
        <f t="shared" si="60"/>
        <v>408175.77000000008</v>
      </c>
      <c r="R23" s="54">
        <f t="shared" si="60"/>
        <v>1497323.5299999996</v>
      </c>
      <c r="S23" s="54">
        <f>SUM(S4:S22)</f>
        <v>18471.72</v>
      </c>
      <c r="T23" s="54">
        <f>SUM(T4:T22)</f>
        <v>4005</v>
      </c>
      <c r="U23" s="54">
        <f t="shared" si="60"/>
        <v>4069.2799999999997</v>
      </c>
      <c r="V23" s="54">
        <f>SUM(V4:V22)</f>
        <v>7992</v>
      </c>
      <c r="W23" s="54">
        <f t="shared" si="60"/>
        <v>382202</v>
      </c>
      <c r="X23" s="54">
        <f t="shared" si="60"/>
        <v>176153</v>
      </c>
      <c r="Y23" s="54">
        <f t="shared" si="60"/>
        <v>0</v>
      </c>
      <c r="Z23" s="252">
        <f t="shared" si="60"/>
        <v>26400.134900000005</v>
      </c>
      <c r="AA23" s="54">
        <f t="shared" si="60"/>
        <v>0</v>
      </c>
      <c r="AB23" s="252">
        <f t="shared" si="60"/>
        <v>1047256.3200000001</v>
      </c>
      <c r="AC23" s="54">
        <f>SUM(AC4:AC22)</f>
        <v>1020856.1851</v>
      </c>
      <c r="AD23" s="54">
        <f t="shared" si="60"/>
        <v>1020856.1851</v>
      </c>
      <c r="AE23" s="56">
        <f>P23/O23</f>
        <v>0.11290224262723689</v>
      </c>
      <c r="AF23" s="56">
        <f t="shared" ref="AF23" si="61">AC23/P23</f>
        <v>2.2622353428934998</v>
      </c>
      <c r="AG23" s="56">
        <f t="shared" si="5"/>
        <v>0.25541144356327233</v>
      </c>
      <c r="AH23" s="56">
        <f>(W23+X23+Y23)/O23</f>
        <v>0.1396967160039308</v>
      </c>
    </row>
    <row r="24" spans="1:34" ht="13.5" customHeight="1">
      <c r="B24" s="57"/>
      <c r="C24" s="57"/>
      <c r="D24" s="29"/>
      <c r="E24" s="58"/>
      <c r="F24" s="59"/>
      <c r="G24" s="59"/>
      <c r="H24" s="59"/>
      <c r="I24" s="59"/>
      <c r="J24" s="59"/>
      <c r="K24" s="59"/>
      <c r="L24" s="59"/>
      <c r="M24" s="60" t="s">
        <v>46</v>
      </c>
      <c r="N24" s="60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6"/>
      <c r="AF24" s="56"/>
      <c r="AG24" s="56"/>
      <c r="AH24" s="56"/>
    </row>
    <row r="25" spans="1:34" s="7" customFormat="1">
      <c r="B25" s="61"/>
      <c r="C25" s="61"/>
      <c r="E25" s="62"/>
      <c r="F25" s="63"/>
      <c r="G25" s="64"/>
      <c r="H25" s="64"/>
      <c r="I25" s="64"/>
      <c r="J25" s="64"/>
      <c r="K25" s="64"/>
      <c r="L25" s="64"/>
      <c r="M25" s="60"/>
      <c r="N25" s="65">
        <f>-N23/M23</f>
        <v>1.8645434103898274E-2</v>
      </c>
      <c r="O25" s="66"/>
      <c r="P25" s="228">
        <f t="shared" ref="P25:Z25" si="62">P23/$O$23</f>
        <v>0.11290224262723689</v>
      </c>
      <c r="Q25" s="228">
        <f t="shared" si="62"/>
        <v>0.10212286918067501</v>
      </c>
      <c r="R25" s="228">
        <f t="shared" si="62"/>
        <v>0.37462041163133331</v>
      </c>
      <c r="S25" s="228">
        <f t="shared" si="62"/>
        <v>4.6215017738609468E-3</v>
      </c>
      <c r="T25" s="228">
        <f t="shared" si="62"/>
        <v>1.0020244245967939E-3</v>
      </c>
      <c r="U25" s="228">
        <f t="shared" si="62"/>
        <v>1.0181068540632313E-3</v>
      </c>
      <c r="V25" s="228">
        <f t="shared" si="62"/>
        <v>1.9995453686336025E-3</v>
      </c>
      <c r="W25" s="228">
        <f t="shared" si="62"/>
        <v>9.5624404277089597E-2</v>
      </c>
      <c r="X25" s="228">
        <f t="shared" si="62"/>
        <v>4.4072311726841208E-2</v>
      </c>
      <c r="Y25" s="228">
        <f t="shared" si="62"/>
        <v>0</v>
      </c>
      <c r="Z25" s="228">
        <f t="shared" si="62"/>
        <v>6.6051385723970646E-3</v>
      </c>
      <c r="AA25" s="67"/>
      <c r="AB25" s="67"/>
      <c r="AD25" s="228">
        <f>AC23/P23</f>
        <v>2.2622353428934998</v>
      </c>
      <c r="AE25" s="11" t="s">
        <v>33</v>
      </c>
      <c r="AF25" s="68"/>
      <c r="AG25" s="68"/>
      <c r="AH25" s="68"/>
    </row>
    <row r="26" spans="1:34" s="7" customFormat="1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44">
        <f>(W23+X23)/O23</f>
        <v>0.1396967160039308</v>
      </c>
      <c r="X26" s="6"/>
      <c r="Y26" s="6"/>
      <c r="Z26" s="6"/>
      <c r="AA26" s="6"/>
      <c r="AB26" s="6"/>
      <c r="AC26" s="6"/>
      <c r="AD26" s="228">
        <f>AC23/O23</f>
        <v>0.25541144356327233</v>
      </c>
      <c r="AE26" s="69" t="s">
        <v>34</v>
      </c>
      <c r="AF26" s="68"/>
      <c r="AG26" s="68"/>
      <c r="AH26" s="68"/>
    </row>
    <row r="27" spans="1:34" s="7" customFormat="1">
      <c r="B27" s="360"/>
      <c r="C27" s="360"/>
      <c r="D27" s="361"/>
      <c r="E27" s="362"/>
      <c r="F27" s="363"/>
      <c r="G27" s="364"/>
      <c r="H27" s="364"/>
      <c r="I27" s="364"/>
      <c r="J27" s="363"/>
      <c r="K27" s="363"/>
      <c r="L27" s="363"/>
      <c r="M27" s="365"/>
      <c r="N27" s="65"/>
      <c r="O27" s="66"/>
      <c r="P27" s="228"/>
      <c r="Q27" s="228"/>
      <c r="R27" s="228"/>
      <c r="S27" s="228"/>
      <c r="T27" s="228"/>
      <c r="U27" s="228"/>
      <c r="V27" s="228"/>
      <c r="W27" s="228"/>
      <c r="X27" s="228"/>
      <c r="Y27" s="366"/>
      <c r="Z27" s="228"/>
      <c r="AA27" s="367"/>
      <c r="AB27" s="367"/>
      <c r="AD27" s="228"/>
      <c r="AE27" s="368"/>
      <c r="AF27" s="68"/>
      <c r="AG27" s="68"/>
      <c r="AH27" s="68"/>
    </row>
    <row r="28" spans="1:34">
      <c r="B28" s="240" t="s">
        <v>168</v>
      </c>
      <c r="F28" s="71"/>
      <c r="G28" s="241">
        <f>SUM(G4:G8)</f>
        <v>457</v>
      </c>
      <c r="H28" s="241">
        <f t="shared" ref="H28:AC28" si="63">SUM(H4:H8)</f>
        <v>256</v>
      </c>
      <c r="I28" s="241">
        <f t="shared" si="63"/>
        <v>-5</v>
      </c>
      <c r="J28" s="242">
        <f t="shared" si="63"/>
        <v>233222.71999999997</v>
      </c>
      <c r="K28" s="242">
        <f t="shared" si="63"/>
        <v>-4580</v>
      </c>
      <c r="L28" s="242">
        <f t="shared" si="63"/>
        <v>228642.71999999997</v>
      </c>
      <c r="M28" s="242">
        <f t="shared" si="63"/>
        <v>303779.89</v>
      </c>
      <c r="N28" s="242">
        <f t="shared" si="63"/>
        <v>-6023</v>
      </c>
      <c r="O28" s="242">
        <f t="shared" si="63"/>
        <v>297756.89</v>
      </c>
      <c r="P28" s="242">
        <f t="shared" si="63"/>
        <v>34328.370000000003</v>
      </c>
      <c r="Q28" s="242">
        <f t="shared" si="63"/>
        <v>30976.050000000003</v>
      </c>
      <c r="R28" s="242">
        <f t="shared" si="63"/>
        <v>106888.70000000001</v>
      </c>
      <c r="S28" s="242">
        <f t="shared" si="63"/>
        <v>6310.98</v>
      </c>
      <c r="T28" s="242">
        <f t="shared" si="63"/>
        <v>0</v>
      </c>
      <c r="U28" s="242">
        <f t="shared" si="63"/>
        <v>0</v>
      </c>
      <c r="V28" s="242">
        <f>SUM(V4:V8)</f>
        <v>964.80000000000007</v>
      </c>
      <c r="W28" s="242">
        <f t="shared" si="63"/>
        <v>22451</v>
      </c>
      <c r="X28" s="242">
        <f t="shared" si="63"/>
        <v>26402</v>
      </c>
      <c r="Y28" s="242">
        <f t="shared" si="63"/>
        <v>0</v>
      </c>
      <c r="Z28" s="242">
        <f t="shared" si="63"/>
        <v>2280.91</v>
      </c>
      <c r="AA28" s="242">
        <f t="shared" si="63"/>
        <v>0</v>
      </c>
      <c r="AB28" s="242"/>
      <c r="AC28" s="242">
        <f t="shared" si="63"/>
        <v>67154.079999999987</v>
      </c>
      <c r="AD28" s="228">
        <f>AC28/P28</f>
        <v>1.9562268759046813</v>
      </c>
    </row>
    <row r="29" spans="1:34">
      <c r="F29" s="71"/>
      <c r="G29" s="71"/>
      <c r="H29" s="71"/>
      <c r="I29" s="71"/>
      <c r="J29" s="71"/>
      <c r="K29" s="71"/>
      <c r="L29" s="71"/>
      <c r="M29" s="71"/>
      <c r="N29" s="243">
        <f>-N28/M28</f>
        <v>1.982685555650178E-2</v>
      </c>
      <c r="O29" s="66"/>
      <c r="P29" s="244">
        <f t="shared" ref="P29:AA29" si="64">P28/$O$28</f>
        <v>0.11528992662436796</v>
      </c>
      <c r="Q29" s="244">
        <f t="shared" si="64"/>
        <v>0.10403134584056141</v>
      </c>
      <c r="R29" s="244">
        <f t="shared" si="64"/>
        <v>0.35897977037575857</v>
      </c>
      <c r="S29" s="244">
        <f t="shared" si="64"/>
        <v>2.1195076291937356E-2</v>
      </c>
      <c r="T29" s="244">
        <f t="shared" si="64"/>
        <v>0</v>
      </c>
      <c r="U29" s="244">
        <f t="shared" si="64"/>
        <v>0</v>
      </c>
      <c r="V29" s="244">
        <f t="shared" si="64"/>
        <v>3.2402272874357332E-3</v>
      </c>
      <c r="W29" s="244">
        <f t="shared" si="64"/>
        <v>7.5400438256861158E-2</v>
      </c>
      <c r="X29" s="244">
        <f t="shared" si="64"/>
        <v>8.866965261492353E-2</v>
      </c>
      <c r="Y29" s="244">
        <f t="shared" si="64"/>
        <v>0</v>
      </c>
      <c r="Z29" s="244">
        <f t="shared" si="64"/>
        <v>7.6603097244869788E-3</v>
      </c>
      <c r="AA29" s="244">
        <f t="shared" si="64"/>
        <v>0</v>
      </c>
      <c r="AB29" s="244"/>
      <c r="AC29" s="244">
        <f>AC28/O28</f>
        <v>0.22553325298366725</v>
      </c>
      <c r="AD29" s="228">
        <f>AC28/O28</f>
        <v>0.22553325298366725</v>
      </c>
    </row>
    <row r="30" spans="1:34" ht="15.5">
      <c r="F30" s="71"/>
      <c r="G30" s="71"/>
      <c r="H30" s="71"/>
      <c r="I30" s="71"/>
      <c r="J30" s="71"/>
      <c r="K30" s="71"/>
      <c r="L30" s="71"/>
      <c r="M30" s="73"/>
      <c r="N30" s="71"/>
      <c r="O30" s="71"/>
      <c r="P30" s="74"/>
      <c r="Q30" s="75"/>
      <c r="R30" s="71"/>
      <c r="S30" s="71"/>
      <c r="T30" s="71"/>
      <c r="AD30" s="228"/>
    </row>
    <row r="31" spans="1:34">
      <c r="B31" s="240" t="s">
        <v>205</v>
      </c>
      <c r="F31" s="71"/>
      <c r="G31" s="241">
        <f>SUM(G9:G12)</f>
        <v>1946</v>
      </c>
      <c r="H31" s="241">
        <f t="shared" ref="H31:AC31" si="65">SUM(H9:H12)</f>
        <v>1061</v>
      </c>
      <c r="I31" s="241">
        <f t="shared" si="65"/>
        <v>-15</v>
      </c>
      <c r="J31" s="242">
        <f t="shared" si="65"/>
        <v>763365.39000000013</v>
      </c>
      <c r="K31" s="242">
        <f>SUM(K9:K12)</f>
        <v>-10935</v>
      </c>
      <c r="L31" s="242">
        <f t="shared" si="65"/>
        <v>752430.39000000013</v>
      </c>
      <c r="M31" s="242">
        <f t="shared" si="65"/>
        <v>1191764.57</v>
      </c>
      <c r="N31" s="242">
        <f t="shared" si="65"/>
        <v>-17408</v>
      </c>
      <c r="O31" s="242">
        <f t="shared" si="65"/>
        <v>1174356.57</v>
      </c>
      <c r="P31" s="242">
        <f t="shared" si="65"/>
        <v>140043.34999999995</v>
      </c>
      <c r="Q31" s="242">
        <f t="shared" si="65"/>
        <v>114027.10999999996</v>
      </c>
      <c r="R31" s="242">
        <f t="shared" si="65"/>
        <v>436797.92</v>
      </c>
      <c r="S31" s="242">
        <f t="shared" si="65"/>
        <v>5224.3099999999995</v>
      </c>
      <c r="T31" s="242">
        <f t="shared" si="65"/>
        <v>2535</v>
      </c>
      <c r="U31" s="242">
        <f t="shared" si="65"/>
        <v>294</v>
      </c>
      <c r="V31" s="242">
        <f t="shared" si="65"/>
        <v>1141.9199999999998</v>
      </c>
      <c r="W31" s="242">
        <f t="shared" si="65"/>
        <v>65682</v>
      </c>
      <c r="X31" s="242">
        <f t="shared" si="65"/>
        <v>135467</v>
      </c>
      <c r="Y31" s="242">
        <f t="shared" si="65"/>
        <v>0</v>
      </c>
      <c r="Z31" s="242">
        <f>SUM(Z9:Z12)</f>
        <v>7586.9</v>
      </c>
      <c r="AA31" s="242">
        <f t="shared" si="65"/>
        <v>0</v>
      </c>
      <c r="AB31" s="242">
        <f t="shared" si="65"/>
        <v>273143.96000000008</v>
      </c>
      <c r="AC31" s="242">
        <f t="shared" si="65"/>
        <v>265557.06000000006</v>
      </c>
      <c r="AD31" s="228">
        <f>AC31/P31</f>
        <v>1.8962489829042233</v>
      </c>
    </row>
    <row r="32" spans="1:34">
      <c r="F32" s="71"/>
      <c r="G32" s="71"/>
      <c r="H32" s="71"/>
      <c r="I32" s="71"/>
      <c r="J32" s="71"/>
      <c r="K32" s="71"/>
      <c r="L32" s="71"/>
      <c r="M32" s="71"/>
      <c r="N32" s="243">
        <f>-N31/M31</f>
        <v>1.4606911833265859E-2</v>
      </c>
      <c r="O32" s="66"/>
      <c r="P32" s="244">
        <f t="shared" ref="P32:AA32" si="66">P31/$O$31</f>
        <v>0.11925113170695673</v>
      </c>
      <c r="Q32" s="244">
        <f t="shared" si="66"/>
        <v>9.7097519537869104E-2</v>
      </c>
      <c r="R32" s="244">
        <f t="shared" si="66"/>
        <v>0.37194658859020985</v>
      </c>
      <c r="S32" s="244">
        <f t="shared" si="66"/>
        <v>4.4486573613668288E-3</v>
      </c>
      <c r="T32" s="244">
        <f t="shared" si="66"/>
        <v>2.1586288736818665E-3</v>
      </c>
      <c r="U32" s="244">
        <f t="shared" si="66"/>
        <v>2.5034985753943537E-4</v>
      </c>
      <c r="V32" s="244">
        <f t="shared" si="66"/>
        <v>9.7237928340623131E-4</v>
      </c>
      <c r="W32" s="244">
        <f t="shared" si="66"/>
        <v>5.5930201846616311E-2</v>
      </c>
      <c r="X32" s="244">
        <f t="shared" si="66"/>
        <v>0.11535423180712481</v>
      </c>
      <c r="Y32" s="244">
        <f t="shared" si="66"/>
        <v>0</v>
      </c>
      <c r="Z32" s="244">
        <f t="shared" si="66"/>
        <v>6.4604739257344973E-3</v>
      </c>
      <c r="AA32" s="244">
        <f t="shared" si="66"/>
        <v>0</v>
      </c>
      <c r="AB32" s="244"/>
      <c r="AC32" s="244">
        <f>AC31/O31</f>
        <v>0.22612983720949426</v>
      </c>
      <c r="AD32" s="228">
        <f>AC31/O31</f>
        <v>0.22612983720949426</v>
      </c>
    </row>
    <row r="33" spans="2:30">
      <c r="F33" s="71"/>
      <c r="G33" s="71"/>
      <c r="H33" s="71"/>
      <c r="I33" s="71"/>
      <c r="J33" s="71"/>
      <c r="K33" s="71"/>
      <c r="L33" s="71"/>
      <c r="M33" s="71"/>
      <c r="N33" s="243"/>
      <c r="O33" s="66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28"/>
    </row>
    <row r="34" spans="2:30">
      <c r="B34" s="6" t="s">
        <v>242</v>
      </c>
      <c r="F34" s="71"/>
      <c r="G34" s="352">
        <f>G15</f>
        <v>1503</v>
      </c>
      <c r="H34" s="352">
        <f t="shared" ref="H34:AC34" si="67">H15</f>
        <v>797</v>
      </c>
      <c r="I34" s="352">
        <f t="shared" si="67"/>
        <v>-13</v>
      </c>
      <c r="J34" s="353">
        <f t="shared" si="67"/>
        <v>612594.65000000026</v>
      </c>
      <c r="K34" s="353">
        <f t="shared" si="67"/>
        <v>-10314</v>
      </c>
      <c r="L34" s="353">
        <f t="shared" si="67"/>
        <v>602280.65000000026</v>
      </c>
      <c r="M34" s="353">
        <f t="shared" si="67"/>
        <v>943118.98999999976</v>
      </c>
      <c r="N34" s="353">
        <f t="shared" si="67"/>
        <v>-15997</v>
      </c>
      <c r="O34" s="353">
        <f t="shared" si="67"/>
        <v>927121.98999999976</v>
      </c>
      <c r="P34" s="353">
        <f t="shared" si="67"/>
        <v>103751.89999999997</v>
      </c>
      <c r="Q34" s="353">
        <f t="shared" si="67"/>
        <v>97317.480000000083</v>
      </c>
      <c r="R34" s="353">
        <f t="shared" si="67"/>
        <v>349180.57999999973</v>
      </c>
      <c r="S34" s="353">
        <f t="shared" si="67"/>
        <v>1851.2800000000002</v>
      </c>
      <c r="T34" s="353">
        <f t="shared" si="67"/>
        <v>165</v>
      </c>
      <c r="U34" s="353">
        <f t="shared" si="67"/>
        <v>0</v>
      </c>
      <c r="V34" s="353">
        <f t="shared" si="67"/>
        <v>2357.04</v>
      </c>
      <c r="W34" s="353">
        <f t="shared" si="67"/>
        <v>105582</v>
      </c>
      <c r="X34" s="353">
        <f t="shared" si="67"/>
        <v>0</v>
      </c>
      <c r="Y34" s="353">
        <f t="shared" si="67"/>
        <v>0</v>
      </c>
      <c r="Z34" s="353">
        <f t="shared" si="67"/>
        <v>6022.8065000000024</v>
      </c>
      <c r="AA34" s="353">
        <f t="shared" si="67"/>
        <v>0</v>
      </c>
      <c r="AB34" s="353">
        <f t="shared" si="67"/>
        <v>266916.70999999996</v>
      </c>
      <c r="AC34" s="353">
        <f t="shared" si="67"/>
        <v>260893.90350000001</v>
      </c>
      <c r="AD34" s="228">
        <f>AC15/P15</f>
        <v>2.5145939833391013</v>
      </c>
    </row>
    <row r="35" spans="2:30">
      <c r="F35" s="71"/>
      <c r="G35" s="71"/>
      <c r="H35" s="71"/>
      <c r="I35" s="71"/>
      <c r="J35" s="71"/>
      <c r="K35" s="71"/>
      <c r="L35" s="71"/>
      <c r="M35" s="72"/>
      <c r="N35" s="244">
        <f>-N34/$M$34</f>
        <v>1.6961804575687744E-2</v>
      </c>
      <c r="O35" s="244"/>
      <c r="P35" s="244">
        <f>P34/$O$34</f>
        <v>0.1119074955821078</v>
      </c>
      <c r="Q35" s="244">
        <f>Q34/$O$34</f>
        <v>0.10496728699100331</v>
      </c>
      <c r="R35" s="244">
        <f t="shared" ref="R35:AC35" si="68">R34/$O$34</f>
        <v>0.37662851681470721</v>
      </c>
      <c r="S35" s="244">
        <f>S34/$O$34</f>
        <v>1.996803031281785E-3</v>
      </c>
      <c r="T35" s="244">
        <f t="shared" si="68"/>
        <v>1.7797010725632777E-4</v>
      </c>
      <c r="U35" s="244">
        <f t="shared" si="68"/>
        <v>0</v>
      </c>
      <c r="V35" s="244">
        <f t="shared" si="68"/>
        <v>2.5423191612573017E-3</v>
      </c>
      <c r="W35" s="244">
        <f>W34/$O$34</f>
        <v>0.11388145372325817</v>
      </c>
      <c r="X35" s="244">
        <f t="shared" si="68"/>
        <v>0</v>
      </c>
      <c r="Y35" s="244">
        <f t="shared" si="68"/>
        <v>0</v>
      </c>
      <c r="Z35" s="244">
        <f t="shared" si="68"/>
        <v>6.4962395078127788E-3</v>
      </c>
      <c r="AA35" s="244">
        <f t="shared" si="68"/>
        <v>0</v>
      </c>
      <c r="AB35" s="244">
        <f t="shared" si="68"/>
        <v>0.28789815458912804</v>
      </c>
      <c r="AC35" s="244">
        <f t="shared" si="68"/>
        <v>0.28140191508131535</v>
      </c>
      <c r="AD35" s="228">
        <f>AC15/O15</f>
        <v>0.28140191508131535</v>
      </c>
    </row>
    <row r="36" spans="2:30">
      <c r="F36" s="71"/>
      <c r="G36" s="71"/>
      <c r="H36" s="71"/>
      <c r="I36" s="71"/>
      <c r="J36" s="71"/>
      <c r="K36" s="71"/>
      <c r="L36" s="71"/>
      <c r="M36" s="72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28"/>
    </row>
    <row r="37" spans="2:30">
      <c r="B37" s="6" t="s">
        <v>276</v>
      </c>
      <c r="F37" s="71"/>
      <c r="G37" s="352">
        <f>G17</f>
        <v>1912</v>
      </c>
      <c r="H37" s="352">
        <f>H17</f>
        <v>947</v>
      </c>
      <c r="I37" s="352">
        <f t="shared" ref="I37:AC37" si="69">I17</f>
        <v>-22</v>
      </c>
      <c r="J37" s="353">
        <f t="shared" si="69"/>
        <v>770335.74000000011</v>
      </c>
      <c r="K37" s="353">
        <f t="shared" si="69"/>
        <v>-17585.11</v>
      </c>
      <c r="L37" s="353">
        <f t="shared" si="69"/>
        <v>752750.63000000012</v>
      </c>
      <c r="M37" s="353">
        <f t="shared" si="69"/>
        <v>1160661.75</v>
      </c>
      <c r="N37" s="353">
        <f t="shared" si="69"/>
        <v>-26564.080000000002</v>
      </c>
      <c r="O37" s="353">
        <f>O17</f>
        <v>1134097.67</v>
      </c>
      <c r="P37" s="353">
        <f t="shared" si="69"/>
        <v>122764.06000000001</v>
      </c>
      <c r="Q37" s="353">
        <f t="shared" si="69"/>
        <v>116519.86999999998</v>
      </c>
      <c r="R37" s="353">
        <f t="shared" si="69"/>
        <v>428981.73999999993</v>
      </c>
      <c r="S37" s="353">
        <f t="shared" si="69"/>
        <v>2973.3315121951227</v>
      </c>
      <c r="T37" s="353">
        <f t="shared" si="69"/>
        <v>300</v>
      </c>
      <c r="U37" s="353">
        <f t="shared" si="69"/>
        <v>0</v>
      </c>
      <c r="V37" s="353">
        <f t="shared" si="69"/>
        <v>3528.24</v>
      </c>
      <c r="W37" s="353">
        <f t="shared" si="69"/>
        <v>121051</v>
      </c>
      <c r="X37" s="353">
        <f t="shared" si="69"/>
        <v>0</v>
      </c>
      <c r="Y37" s="353">
        <f t="shared" si="69"/>
        <v>0</v>
      </c>
      <c r="Z37" s="353">
        <f t="shared" si="69"/>
        <v>7527.5063000000009</v>
      </c>
      <c r="AA37" s="353">
        <f t="shared" si="69"/>
        <v>0</v>
      </c>
      <c r="AB37" s="353">
        <f t="shared" si="69"/>
        <v>337979.42848780483</v>
      </c>
      <c r="AC37" s="353">
        <f t="shared" si="69"/>
        <v>330451.92218780483</v>
      </c>
      <c r="AD37" s="228">
        <f>AC17/P17</f>
        <v>2.6917643664424653</v>
      </c>
    </row>
    <row r="38" spans="2:30">
      <c r="F38" s="71"/>
      <c r="G38" s="71"/>
      <c r="H38" s="71"/>
      <c r="I38" s="71"/>
      <c r="J38" s="71"/>
      <c r="K38" s="71"/>
      <c r="L38" s="71"/>
      <c r="M38" s="72"/>
      <c r="N38" s="415">
        <f>-N37/$M$37</f>
        <v>2.2887012516781914E-2</v>
      </c>
      <c r="O38" s="244"/>
      <c r="P38" s="244">
        <f t="shared" ref="P38:AC38" si="70">P37/$O$37</f>
        <v>0.10824822521679285</v>
      </c>
      <c r="Q38" s="244">
        <f t="shared" si="70"/>
        <v>0.10274235904214492</v>
      </c>
      <c r="R38" s="244">
        <f t="shared" si="70"/>
        <v>0.37825819710924896</v>
      </c>
      <c r="S38" s="244">
        <f t="shared" si="70"/>
        <v>2.6217596516137122E-3</v>
      </c>
      <c r="T38" s="244">
        <f t="shared" si="70"/>
        <v>2.6452748112955739E-4</v>
      </c>
      <c r="U38" s="244">
        <f t="shared" si="70"/>
        <v>0</v>
      </c>
      <c r="V38" s="244">
        <f t="shared" si="70"/>
        <v>3.1110548000684987E-3</v>
      </c>
      <c r="W38" s="244">
        <f t="shared" si="70"/>
        <v>0.10673772039404684</v>
      </c>
      <c r="X38" s="244">
        <f t="shared" si="70"/>
        <v>0</v>
      </c>
      <c r="Y38" s="244">
        <f t="shared" si="70"/>
        <v>0</v>
      </c>
      <c r="Z38" s="244">
        <f t="shared" si="70"/>
        <v>6.6374409357529158E-3</v>
      </c>
      <c r="AA38" s="244">
        <f t="shared" si="70"/>
        <v>0</v>
      </c>
      <c r="AB38" s="244">
        <f t="shared" si="70"/>
        <v>0.29801615630495465</v>
      </c>
      <c r="AC38" s="244">
        <f t="shared" si="70"/>
        <v>0.29137871536920174</v>
      </c>
      <c r="AD38" s="228">
        <f>AC17/O17</f>
        <v>0.29137871536920174</v>
      </c>
    </row>
    <row r="39" spans="2:30">
      <c r="F39" s="71"/>
      <c r="G39" s="71"/>
      <c r="H39" s="71"/>
      <c r="I39" s="71"/>
      <c r="J39" s="71"/>
      <c r="K39" s="71"/>
      <c r="L39" s="71"/>
      <c r="M39" s="72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28"/>
    </row>
    <row r="40" spans="2:30">
      <c r="F40" s="71"/>
      <c r="G40" s="71"/>
      <c r="H40" s="71"/>
      <c r="I40" s="71"/>
      <c r="J40" s="71"/>
      <c r="K40" s="71"/>
      <c r="L40" s="71"/>
      <c r="M40" s="72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28"/>
    </row>
    <row r="41" spans="2:30">
      <c r="F41" s="71"/>
      <c r="G41" s="71"/>
      <c r="H41" s="71"/>
      <c r="I41" s="71"/>
      <c r="J41" s="71"/>
      <c r="K41" s="71"/>
      <c r="L41" s="71"/>
      <c r="M41" s="72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28"/>
    </row>
    <row r="42" spans="2:30"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AD42" s="228"/>
    </row>
    <row r="43" spans="2:30">
      <c r="B43" s="240" t="s">
        <v>249</v>
      </c>
      <c r="F43" s="70"/>
      <c r="G43" s="241">
        <f>SUM(G13:G22)</f>
        <v>4270</v>
      </c>
      <c r="H43" s="241">
        <f t="shared" ref="H43:AC43" si="71">SUM(H13:H22)</f>
        <v>2129</v>
      </c>
      <c r="I43" s="241">
        <f t="shared" si="71"/>
        <v>-43</v>
      </c>
      <c r="J43" s="242">
        <f t="shared" si="71"/>
        <v>1687404.0100000002</v>
      </c>
      <c r="K43" s="242">
        <f t="shared" si="71"/>
        <v>-34171.520000000004</v>
      </c>
      <c r="L43" s="242">
        <f t="shared" si="71"/>
        <v>1653232.4900000002</v>
      </c>
      <c r="M43" s="242">
        <f t="shared" si="71"/>
        <v>2577304.13</v>
      </c>
      <c r="N43" s="242">
        <f t="shared" si="71"/>
        <v>-52509.03</v>
      </c>
      <c r="O43" s="242">
        <f t="shared" si="71"/>
        <v>2524795.0999999996</v>
      </c>
      <c r="P43" s="242">
        <f t="shared" si="71"/>
        <v>276888.21999999997</v>
      </c>
      <c r="Q43" s="242">
        <f t="shared" si="71"/>
        <v>263172.6100000001</v>
      </c>
      <c r="R43" s="242">
        <f t="shared" si="71"/>
        <v>953636.90999999957</v>
      </c>
      <c r="S43" s="242">
        <f t="shared" si="71"/>
        <v>6936.4300000000012</v>
      </c>
      <c r="T43" s="242">
        <f t="shared" si="71"/>
        <v>1470</v>
      </c>
      <c r="U43" s="242">
        <f t="shared" si="71"/>
        <v>3775.2799999999997</v>
      </c>
      <c r="V43" s="242">
        <f t="shared" si="71"/>
        <v>5885.28</v>
      </c>
      <c r="W43" s="242">
        <f t="shared" si="71"/>
        <v>294069</v>
      </c>
      <c r="X43" s="242">
        <f t="shared" si="71"/>
        <v>14284</v>
      </c>
      <c r="Y43" s="242">
        <f t="shared" si="71"/>
        <v>0</v>
      </c>
      <c r="Z43" s="242">
        <f t="shared" si="71"/>
        <v>16532.324900000003</v>
      </c>
      <c r="AA43" s="242">
        <f t="shared" si="71"/>
        <v>0</v>
      </c>
      <c r="AB43" s="242">
        <f t="shared" si="71"/>
        <v>704677.37</v>
      </c>
      <c r="AC43" s="242">
        <f t="shared" si="71"/>
        <v>688145.04509999999</v>
      </c>
      <c r="AD43" s="228">
        <f>AC43/P43</f>
        <v>2.4852810462648072</v>
      </c>
    </row>
    <row r="44" spans="2:30">
      <c r="AD44" s="228">
        <f>AC43/O43</f>
        <v>0.2725548085466421</v>
      </c>
    </row>
  </sheetData>
  <mergeCells count="28">
    <mergeCell ref="AD13:AD20"/>
    <mergeCell ref="AD9:AD12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8"/>
    <mergeCell ref="AB2:AB3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3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9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9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9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6 AF8:AF24">
    <cfRule type="dataBar" priority="3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6 AG8:AG24">
    <cfRule type="dataBar" priority="3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6 AH8:AH24">
    <cfRule type="dataBar" priority="3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7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7">
    <cfRule type="dataBar" priority="9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7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8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8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8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8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8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8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8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8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8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8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7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7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7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7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7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7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7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7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7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7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7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7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7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7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7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6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6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6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6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6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6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6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6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6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6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6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6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6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6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6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6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22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2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2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2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2"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2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2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2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2">
    <cfRule type="dataBar" priority="5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2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2">
    <cfRule type="dataBar" priority="5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2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2">
    <cfRule type="dataBar" priority="5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2"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2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2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2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5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2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2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2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2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2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2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2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2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2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2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2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2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2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2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2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9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0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0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0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0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0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0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0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0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0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0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0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0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0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0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0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0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0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0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0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0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0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0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0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0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0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0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0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0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0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0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1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1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1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1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1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1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1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1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1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1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1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1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1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1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1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1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1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1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1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1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1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1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1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1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1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1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1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1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1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2 Q21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2 Q21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21 R12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2 Q21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21 R12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2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2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2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2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2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21 O12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2 O21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2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21 L12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2 L21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2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2 O21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2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2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2 L21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2 L21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2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2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2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2 L21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2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2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2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2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2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2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2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3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3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3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3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3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3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3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3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3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3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3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3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3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3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3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3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3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3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3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3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3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3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3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3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3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3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3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3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3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3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3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4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4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4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4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4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4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4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4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4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4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4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4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4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4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4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4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4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4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4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4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4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4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4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4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4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4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4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4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4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4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5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5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5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5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5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5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5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5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5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5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5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5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5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5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5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5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5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5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5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5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5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5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5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5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5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5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5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5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5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5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5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5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6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6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6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6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6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6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6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6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6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6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6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6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6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6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6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6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6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6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6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6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6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6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6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6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6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6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6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6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6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6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6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6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7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7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7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7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7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7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7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7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7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7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7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7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7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7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7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7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7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7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7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7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7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7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7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7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7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7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7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7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7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7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7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7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8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8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8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8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8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8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8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8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8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8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8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8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8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8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8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8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8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8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8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8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8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8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8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8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8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8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8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8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8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8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8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8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1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19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19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19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19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1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19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1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1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19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19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19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19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19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19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1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19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1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1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1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19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1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1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19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19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1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1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1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19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1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1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19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0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AF8:AF24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AG8:AG24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AH8:AH24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Q21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Q21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 R12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 Q21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R12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 O12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 O21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 L12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 L21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 O21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 L21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 L21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 L21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topLeftCell="A49" zoomScale="80" zoomScaleNormal="80" workbookViewId="0">
      <selection activeCell="D122" sqref="D12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44" si="0">C4/C$58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35" si="1">VLOOKUP(B$4:B$57,I$4:M$57,5,0)</f>
        <v>#DIV/0!</v>
      </c>
      <c r="I4" s="99" t="s">
        <v>92</v>
      </c>
      <c r="J4" s="196"/>
      <c r="K4" s="197" t="e">
        <f t="shared" ref="K4:K44" si="2">J4/J$58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57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57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57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57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201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201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202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202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203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203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171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171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172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172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173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173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174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174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175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175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210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210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211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211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212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212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198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198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199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199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200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200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176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176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177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177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178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178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179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179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180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180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181</v>
      </c>
      <c r="C36" s="196"/>
      <c r="D36" s="197" t="e">
        <f t="shared" si="0"/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ref="G36:G57" si="7">VLOOKUP(B$4:B$57,I$4:M$57,5,0)</f>
        <v>#DIV/0!</v>
      </c>
      <c r="I36" s="99" t="s">
        <v>181</v>
      </c>
      <c r="J36" s="196"/>
      <c r="K36" s="197" t="e">
        <f t="shared" si="2"/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182</v>
      </c>
      <c r="C37" s="196"/>
      <c r="D37" s="197" t="e">
        <f t="shared" si="0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7"/>
        <v>#DIV/0!</v>
      </c>
      <c r="I37" s="99" t="s">
        <v>182</v>
      </c>
      <c r="J37" s="196"/>
      <c r="K37" s="197" t="e">
        <f t="shared" si="2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183</v>
      </c>
      <c r="C38" s="196"/>
      <c r="D38" s="197" t="e">
        <f t="shared" si="0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7"/>
        <v>#DIV/0!</v>
      </c>
      <c r="I38" s="99" t="s">
        <v>183</v>
      </c>
      <c r="J38" s="196"/>
      <c r="K38" s="197" t="e">
        <f t="shared" si="2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184</v>
      </c>
      <c r="C39" s="196"/>
      <c r="D39" s="197" t="e">
        <f t="shared" si="0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7"/>
        <v>#DIV/0!</v>
      </c>
      <c r="I39" s="99" t="s">
        <v>184</v>
      </c>
      <c r="J39" s="196"/>
      <c r="K39" s="197" t="e">
        <f t="shared" si="2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185</v>
      </c>
      <c r="C40" s="196"/>
      <c r="D40" s="197" t="e">
        <f t="shared" si="0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7"/>
        <v>#DIV/0!</v>
      </c>
      <c r="I40" s="99" t="s">
        <v>185</v>
      </c>
      <c r="J40" s="196"/>
      <c r="K40" s="197" t="e">
        <f t="shared" si="2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186</v>
      </c>
      <c r="C41" s="196"/>
      <c r="D41" s="197" t="e">
        <f t="shared" si="0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7"/>
        <v>#DIV/0!</v>
      </c>
      <c r="I41" s="99" t="s">
        <v>186</v>
      </c>
      <c r="J41" s="196"/>
      <c r="K41" s="197" t="e">
        <f t="shared" si="2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187</v>
      </c>
      <c r="C42" s="196"/>
      <c r="D42" s="197" t="e">
        <f t="shared" si="0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7"/>
        <v>#DIV/0!</v>
      </c>
      <c r="I42" s="99" t="s">
        <v>187</v>
      </c>
      <c r="J42" s="196"/>
      <c r="K42" s="197" t="e">
        <f t="shared" si="2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188</v>
      </c>
      <c r="C43" s="196"/>
      <c r="D43" s="197" t="e">
        <f t="shared" si="0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7"/>
        <v>#DIV/0!</v>
      </c>
      <c r="I43" s="99" t="s">
        <v>188</v>
      </c>
      <c r="J43" s="196"/>
      <c r="K43" s="197" t="e">
        <f t="shared" si="2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189</v>
      </c>
      <c r="C44" s="196"/>
      <c r="D44" s="197" t="e">
        <f t="shared" si="0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7"/>
        <v>#DIV/0!</v>
      </c>
      <c r="I44" s="99" t="s">
        <v>189</v>
      </c>
      <c r="J44" s="196"/>
      <c r="K44" s="197" t="e">
        <f t="shared" si="2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261</v>
      </c>
      <c r="C45" s="196"/>
      <c r="D45" s="197" t="e">
        <f t="shared" ref="D45:D57" si="8">C45/C$58</f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7"/>
        <v>#DIV/0!</v>
      </c>
      <c r="I45" s="262" t="s">
        <v>261</v>
      </c>
      <c r="J45" s="196"/>
      <c r="K45" s="197" t="e">
        <f t="shared" ref="K45:K57" si="9">J45/J$58</f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262</v>
      </c>
      <c r="C46" s="196"/>
      <c r="D46" s="197" t="e">
        <f t="shared" si="8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7"/>
        <v>#DIV/0!</v>
      </c>
      <c r="I46" s="262" t="s">
        <v>262</v>
      </c>
      <c r="J46" s="196"/>
      <c r="K46" s="197" t="e">
        <f t="shared" si="9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263</v>
      </c>
      <c r="C47" s="196"/>
      <c r="D47" s="197" t="e">
        <f t="shared" si="8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7"/>
        <v>#DIV/0!</v>
      </c>
      <c r="I47" s="262" t="s">
        <v>263</v>
      </c>
      <c r="J47" s="196"/>
      <c r="K47" s="197" t="e">
        <f t="shared" si="9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264</v>
      </c>
      <c r="C48" s="196"/>
      <c r="D48" s="197" t="e">
        <f t="shared" si="8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7"/>
        <v>#DIV/0!</v>
      </c>
      <c r="I48" s="262" t="s">
        <v>264</v>
      </c>
      <c r="J48" s="196"/>
      <c r="K48" s="197" t="e">
        <f t="shared" si="9"/>
        <v>#DIV/0!</v>
      </c>
      <c r="L48" s="197" t="e">
        <f t="shared" si="6"/>
        <v>#DIV/0!</v>
      </c>
      <c r="M48" s="198" t="e">
        <f t="shared" si="4"/>
        <v>#DIV/0!</v>
      </c>
    </row>
    <row r="49" spans="2:16" outlineLevel="1">
      <c r="B49" s="262" t="s">
        <v>265</v>
      </c>
      <c r="C49" s="196"/>
      <c r="D49" s="197" t="e">
        <f>C49/C$58</f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7"/>
        <v>#DIV/0!</v>
      </c>
      <c r="I49" s="262" t="s">
        <v>265</v>
      </c>
      <c r="J49" s="196"/>
      <c r="K49" s="197" t="e">
        <f t="shared" si="9"/>
        <v>#DIV/0!</v>
      </c>
      <c r="L49" s="197" t="e">
        <f t="shared" si="6"/>
        <v>#DIV/0!</v>
      </c>
      <c r="M49" s="198" t="e">
        <f t="shared" si="4"/>
        <v>#DIV/0!</v>
      </c>
    </row>
    <row r="50" spans="2:16" outlineLevel="1">
      <c r="B50" s="262" t="s">
        <v>266</v>
      </c>
      <c r="C50" s="196"/>
      <c r="D50" s="197" t="e">
        <f t="shared" si="8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7"/>
        <v>#DIV/0!</v>
      </c>
      <c r="I50" s="262" t="s">
        <v>266</v>
      </c>
      <c r="J50" s="196"/>
      <c r="K50" s="197" t="e">
        <f>J50/J$58</f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6" outlineLevel="1">
      <c r="B51" s="262" t="s">
        <v>267</v>
      </c>
      <c r="C51" s="196"/>
      <c r="D51" s="197" t="e">
        <f t="shared" si="8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7"/>
        <v>#DIV/0!</v>
      </c>
      <c r="I51" s="262" t="s">
        <v>267</v>
      </c>
      <c r="J51" s="196"/>
      <c r="K51" s="197" t="e">
        <f t="shared" si="9"/>
        <v>#DIV/0!</v>
      </c>
      <c r="L51" s="197" t="e">
        <f t="shared" si="6"/>
        <v>#DIV/0!</v>
      </c>
      <c r="M51" s="198" t="e">
        <f t="shared" si="4"/>
        <v>#DIV/0!</v>
      </c>
    </row>
    <row r="52" spans="2:16" outlineLevel="1">
      <c r="B52" s="262" t="s">
        <v>268</v>
      </c>
      <c r="C52" s="196"/>
      <c r="D52" s="197" t="e">
        <f t="shared" si="8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7"/>
        <v>#DIV/0!</v>
      </c>
      <c r="I52" s="262" t="s">
        <v>268</v>
      </c>
      <c r="J52" s="196"/>
      <c r="K52" s="197" t="e">
        <f t="shared" si="9"/>
        <v>#DIV/0!</v>
      </c>
      <c r="L52" s="197" t="e">
        <f t="shared" si="6"/>
        <v>#DIV/0!</v>
      </c>
      <c r="M52" s="198" t="e">
        <f t="shared" si="4"/>
        <v>#DIV/0!</v>
      </c>
    </row>
    <row r="53" spans="2:16" outlineLevel="1">
      <c r="B53" s="262" t="s">
        <v>269</v>
      </c>
      <c r="C53" s="196"/>
      <c r="D53" s="197" t="e">
        <f t="shared" si="8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7"/>
        <v>#DIV/0!</v>
      </c>
      <c r="I53" s="262" t="s">
        <v>269</v>
      </c>
      <c r="J53" s="196"/>
      <c r="K53" s="197" t="e">
        <f t="shared" si="9"/>
        <v>#DIV/0!</v>
      </c>
      <c r="L53" s="197" t="e">
        <f t="shared" si="6"/>
        <v>#DIV/0!</v>
      </c>
      <c r="M53" s="198" t="e">
        <f t="shared" si="4"/>
        <v>#DIV/0!</v>
      </c>
    </row>
    <row r="54" spans="2:16" outlineLevel="1">
      <c r="B54" s="262" t="s">
        <v>270</v>
      </c>
      <c r="C54" s="196"/>
      <c r="D54" s="197" t="e">
        <f t="shared" si="8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7"/>
        <v>#DIV/0!</v>
      </c>
      <c r="I54" s="262" t="s">
        <v>270</v>
      </c>
      <c r="J54" s="196"/>
      <c r="K54" s="197" t="e">
        <f t="shared" si="9"/>
        <v>#DIV/0!</v>
      </c>
      <c r="L54" s="197" t="e">
        <f t="shared" si="6"/>
        <v>#DIV/0!</v>
      </c>
      <c r="M54" s="198" t="e">
        <f t="shared" si="4"/>
        <v>#DIV/0!</v>
      </c>
    </row>
    <row r="55" spans="2:16" outlineLevel="1">
      <c r="B55" s="262" t="s">
        <v>271</v>
      </c>
      <c r="C55" s="196"/>
      <c r="D55" s="197" t="e">
        <f t="shared" si="8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7"/>
        <v>#DIV/0!</v>
      </c>
      <c r="I55" s="262" t="s">
        <v>271</v>
      </c>
      <c r="J55" s="196"/>
      <c r="K55" s="197" t="e">
        <f t="shared" si="9"/>
        <v>#DIV/0!</v>
      </c>
      <c r="L55" s="197" t="e">
        <f t="shared" si="6"/>
        <v>#DIV/0!</v>
      </c>
      <c r="M55" s="198" t="e">
        <f t="shared" si="4"/>
        <v>#DIV/0!</v>
      </c>
    </row>
    <row r="56" spans="2:16" outlineLevel="1">
      <c r="B56" s="262" t="s">
        <v>272</v>
      </c>
      <c r="C56" s="196"/>
      <c r="D56" s="197" t="e">
        <f t="shared" si="8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7"/>
        <v>#DIV/0!</v>
      </c>
      <c r="I56" s="262" t="s">
        <v>272</v>
      </c>
      <c r="J56" s="196"/>
      <c r="K56" s="197" t="e">
        <f t="shared" si="9"/>
        <v>#DIV/0!</v>
      </c>
      <c r="L56" s="197" t="e">
        <f t="shared" si="6"/>
        <v>#DIV/0!</v>
      </c>
      <c r="M56" s="198" t="e">
        <f t="shared" si="4"/>
        <v>#DIV/0!</v>
      </c>
    </row>
    <row r="57" spans="2:16" outlineLevel="1">
      <c r="B57" s="262" t="s">
        <v>273</v>
      </c>
      <c r="C57" s="196"/>
      <c r="D57" s="197" t="e">
        <f t="shared" si="8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7"/>
        <v>#DIV/0!</v>
      </c>
      <c r="I57" s="262" t="s">
        <v>273</v>
      </c>
      <c r="J57" s="196"/>
      <c r="K57" s="197" t="e">
        <f t="shared" si="9"/>
        <v>#DIV/0!</v>
      </c>
      <c r="L57" s="197" t="e">
        <f t="shared" si="6"/>
        <v>#DIV/0!</v>
      </c>
      <c r="M57" s="198" t="e">
        <f t="shared" si="4"/>
        <v>#DIV/0!</v>
      </c>
    </row>
    <row r="58" spans="2:16" outlineLevel="1">
      <c r="C58" s="203">
        <f>SUM(C4:C44)</f>
        <v>0</v>
      </c>
      <c r="D58" s="204" t="e">
        <f>SUM(D4:D44)</f>
        <v>#DIV/0!</v>
      </c>
      <c r="J58" s="203">
        <f>SUM(J4:J44)</f>
        <v>0</v>
      </c>
      <c r="K58" s="204" t="e">
        <f>SUM(K4:K44)</f>
        <v>#DIV/0!</v>
      </c>
    </row>
    <row r="60" spans="2:16" ht="16" hidden="1" outlineLevel="1" thickBot="1">
      <c r="B60" s="458"/>
      <c r="C60" s="459"/>
      <c r="D60" s="459"/>
      <c r="E60" s="459"/>
      <c r="F60" s="459"/>
      <c r="G60" s="459"/>
      <c r="H60" s="459"/>
      <c r="I60" s="459"/>
      <c r="J60" s="459"/>
      <c r="K60" s="459"/>
      <c r="L60" s="459"/>
      <c r="M60" s="460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mergeCells count="2">
    <mergeCell ref="B2:M2"/>
    <mergeCell ref="B60:M60"/>
  </mergeCells>
  <conditionalFormatting sqref="M62:M113 K62:K113 D62:D113 G4:G57 D4:D57 K4:K57 M4:M57">
    <cfRule type="cellIs" dxfId="259" priority="10" operator="equal">
      <formula>"C"</formula>
    </cfRule>
    <cfRule type="cellIs" dxfId="258" priority="11" operator="equal">
      <formula>"B"</formula>
    </cfRule>
    <cfRule type="cellIs" dxfId="257" priority="12" operator="equal">
      <formula>"A"</formula>
    </cfRule>
  </conditionalFormatting>
  <conditionalFormatting sqref="G62:G113">
    <cfRule type="cellIs" dxfId="256" priority="7" operator="equal">
      <formula>"C"</formula>
    </cfRule>
    <cfRule type="cellIs" dxfId="255" priority="8" operator="equal">
      <formula>"B"</formula>
    </cfRule>
    <cfRule type="cellIs" dxfId="254" priority="9" operator="equal">
      <formula>"A"</formula>
    </cfRule>
  </conditionalFormatting>
  <conditionalFormatting sqref="F4:F57">
    <cfRule type="cellIs" dxfId="253" priority="4" operator="equal">
      <formula>"C"</formula>
    </cfRule>
    <cfRule type="cellIs" dxfId="252" priority="5" operator="equal">
      <formula>"B"</formula>
    </cfRule>
    <cfRule type="cellIs" dxfId="251" priority="6" operator="equal">
      <formula>"A"</formula>
    </cfRule>
  </conditionalFormatting>
  <conditionalFormatting sqref="F62:F113">
    <cfRule type="cellIs" dxfId="250" priority="1" operator="equal">
      <formula>"C"</formula>
    </cfRule>
    <cfRule type="cellIs" dxfId="249" priority="2" operator="equal">
      <formula>"B"</formula>
    </cfRule>
    <cfRule type="cellIs" dxfId="248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0.36810085185676755</v>
      </c>
      <c r="E4" s="197">
        <f>D4</f>
        <v>0.36810085185676755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0.10997071497716561</v>
      </c>
      <c r="E5" s="197">
        <f>E4+D5</f>
        <v>0.47807156683393315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9.39499078929074E-2</v>
      </c>
      <c r="E6" s="197">
        <f t="shared" ref="E6:E44" si="5">E5+D6</f>
        <v>0.57202147472684051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172</v>
      </c>
      <c r="C7" s="196">
        <f>'Юнит 12'!AL20</f>
        <v>23606.429982926828</v>
      </c>
      <c r="D7" s="197">
        <f t="shared" si="0"/>
        <v>6.7999776760856639E-2</v>
      </c>
      <c r="E7" s="197">
        <f t="shared" si="5"/>
        <v>0.64002125148769717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5.9562714148155761E-2</v>
      </c>
      <c r="E8" s="197">
        <f t="shared" si="5"/>
        <v>0.6995839656358529</v>
      </c>
      <c r="F8" s="198" t="str">
        <f t="shared" si="3"/>
        <v>A</v>
      </c>
      <c r="G8" s="198" t="str">
        <f t="shared" si="1"/>
        <v>A</v>
      </c>
      <c r="I8" s="99" t="s">
        <v>172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5.5842269885646639E-2</v>
      </c>
      <c r="E9" s="197">
        <f t="shared" si="5"/>
        <v>0.75542623552149957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4.5357788484941673E-2</v>
      </c>
      <c r="E10" s="197">
        <f t="shared" si="5"/>
        <v>0.80078402400644122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171</v>
      </c>
      <c r="C11" s="196">
        <f>'Юнит 12'!AL19</f>
        <v>9290.4055853658556</v>
      </c>
      <c r="D11" s="197">
        <f t="shared" si="0"/>
        <v>2.6761585986512956E-2</v>
      </c>
      <c r="E11" s="197">
        <f t="shared" si="5"/>
        <v>0.82754560999295412</v>
      </c>
      <c r="F11" s="198" t="str">
        <f t="shared" si="3"/>
        <v>B</v>
      </c>
      <c r="G11" s="198" t="str">
        <f t="shared" si="1"/>
        <v>A</v>
      </c>
      <c r="I11" s="99" t="s">
        <v>202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177</v>
      </c>
      <c r="C12" s="196">
        <f>'Юнит 12'!AL31</f>
        <v>7940.4738000000016</v>
      </c>
      <c r="D12" s="197">
        <f t="shared" si="0"/>
        <v>2.2873024263556422E-2</v>
      </c>
      <c r="E12" s="197">
        <f t="shared" si="5"/>
        <v>0.85041863425651054</v>
      </c>
      <c r="F12" s="198" t="str">
        <f t="shared" si="3"/>
        <v>B</v>
      </c>
      <c r="G12" s="198" t="str">
        <f t="shared" si="1"/>
        <v>B</v>
      </c>
      <c r="I12" s="99" t="s">
        <v>171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175</v>
      </c>
      <c r="C13" s="196">
        <f>'Юнит 12'!AL23</f>
        <v>7629.0001951219519</v>
      </c>
      <c r="D13" s="197">
        <f t="shared" si="0"/>
        <v>2.197580534422279E-2</v>
      </c>
      <c r="E13" s="197">
        <f t="shared" si="5"/>
        <v>0.87239443960073337</v>
      </c>
      <c r="F13" s="198" t="str">
        <f t="shared" si="3"/>
        <v>B</v>
      </c>
      <c r="G13" s="198" t="str">
        <f t="shared" si="1"/>
        <v>B</v>
      </c>
      <c r="I13" s="99" t="s">
        <v>175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180</v>
      </c>
      <c r="C14" s="196">
        <f>'Юнит 12'!AL34</f>
        <v>7130.7920804878058</v>
      </c>
      <c r="D14" s="197">
        <f t="shared" si="0"/>
        <v>2.0540686158472498E-2</v>
      </c>
      <c r="E14" s="197">
        <f t="shared" si="5"/>
        <v>0.89293512575920586</v>
      </c>
      <c r="F14" s="198" t="str">
        <f t="shared" si="3"/>
        <v>B</v>
      </c>
      <c r="G14" s="198" t="str">
        <f t="shared" si="1"/>
        <v>B</v>
      </c>
      <c r="I14" s="99" t="s">
        <v>177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176</v>
      </c>
      <c r="C15" s="196">
        <f>'Юнит 12'!AL30</f>
        <v>4296.4329268292686</v>
      </c>
      <c r="D15" s="197">
        <f t="shared" si="0"/>
        <v>1.2376139895091471E-2</v>
      </c>
      <c r="E15" s="197">
        <f t="shared" si="5"/>
        <v>0.90531126565429731</v>
      </c>
      <c r="F15" s="198" t="str">
        <f t="shared" si="3"/>
        <v>B</v>
      </c>
      <c r="G15" s="198" t="str">
        <f t="shared" si="1"/>
        <v>B</v>
      </c>
      <c r="I15" s="99" t="s">
        <v>201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203</v>
      </c>
      <c r="C16" s="196">
        <f>'Юнит 12'!AL18</f>
        <v>4291.8394634146343</v>
      </c>
      <c r="D16" s="197">
        <f t="shared" si="0"/>
        <v>1.2362908140566106E-2</v>
      </c>
      <c r="E16" s="197">
        <f t="shared" si="5"/>
        <v>0.91767417379486338</v>
      </c>
      <c r="F16" s="198" t="str">
        <f t="shared" si="3"/>
        <v>B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1.0343792788747029E-2</v>
      </c>
      <c r="E17" s="197">
        <f t="shared" si="5"/>
        <v>0.92801796658361035</v>
      </c>
      <c r="F17" s="198" t="str">
        <f t="shared" si="3"/>
        <v>B</v>
      </c>
      <c r="G17" s="198" t="str">
        <f t="shared" si="1"/>
        <v>B</v>
      </c>
      <c r="I17" s="99" t="s">
        <v>180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173</v>
      </c>
      <c r="C18" s="196">
        <f>'Юнит 12'!AL21</f>
        <v>3250.7053878048778</v>
      </c>
      <c r="D18" s="197">
        <f t="shared" si="0"/>
        <v>9.3638572560915123E-3</v>
      </c>
      <c r="E18" s="197">
        <f t="shared" si="5"/>
        <v>0.93738182383970181</v>
      </c>
      <c r="F18" s="198" t="str">
        <f t="shared" si="3"/>
        <v>B</v>
      </c>
      <c r="G18" s="198" t="str">
        <f t="shared" si="1"/>
        <v>C</v>
      </c>
      <c r="I18" s="99" t="s">
        <v>210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8.921138875197427E-3</v>
      </c>
      <c r="E19" s="197">
        <f t="shared" si="5"/>
        <v>0.94630296271489922</v>
      </c>
      <c r="F19" s="198" t="str">
        <f t="shared" si="3"/>
        <v>B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7.4416196747954799E-3</v>
      </c>
      <c r="E20" s="197">
        <f t="shared" si="5"/>
        <v>0.95374458238969473</v>
      </c>
      <c r="F20" s="198" t="str">
        <f t="shared" si="3"/>
        <v>C</v>
      </c>
      <c r="G20" s="198" t="str">
        <f t="shared" si="1"/>
        <v>B</v>
      </c>
      <c r="I20" s="99" t="s">
        <v>176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7.4008253926430758E-3</v>
      </c>
      <c r="E21" s="197">
        <f t="shared" si="5"/>
        <v>0.96114540778233781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198</v>
      </c>
      <c r="C22" s="196">
        <f>'Юнит 12'!AL27</f>
        <v>2198.3771707317073</v>
      </c>
      <c r="D22" s="197">
        <f t="shared" si="0"/>
        <v>6.3325609570797714E-3</v>
      </c>
      <c r="E22" s="197">
        <f t="shared" si="5"/>
        <v>0.9674779687394176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211</v>
      </c>
      <c r="C23" s="196">
        <f>'Юнит 12'!AL25</f>
        <v>2015.4120975609756</v>
      </c>
      <c r="D23" s="197">
        <f t="shared" si="0"/>
        <v>5.8055187851104462E-3</v>
      </c>
      <c r="E23" s="197">
        <f t="shared" si="5"/>
        <v>0.97328348752452809</v>
      </c>
      <c r="F23" s="198" t="str">
        <f t="shared" si="3"/>
        <v>C</v>
      </c>
      <c r="G23" s="198" t="str">
        <f t="shared" si="1"/>
        <v>C</v>
      </c>
      <c r="I23" s="99" t="s">
        <v>203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212</v>
      </c>
      <c r="C24" s="196">
        <f>'Юнит 12'!AL26</f>
        <v>1987.8120975609759</v>
      </c>
      <c r="D24" s="197">
        <f t="shared" si="0"/>
        <v>5.7260152837357355E-3</v>
      </c>
      <c r="E24" s="197">
        <f t="shared" si="5"/>
        <v>0.97900950280826382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185</v>
      </c>
      <c r="C25" s="196">
        <f>'Юнит 12'!AL39</f>
        <v>1415.8346341463423</v>
      </c>
      <c r="D25" s="197">
        <f t="shared" si="0"/>
        <v>4.0783989413846833E-3</v>
      </c>
      <c r="E25" s="197">
        <f t="shared" si="5"/>
        <v>0.98308790174964855</v>
      </c>
      <c r="F25" s="198" t="str">
        <f t="shared" si="3"/>
        <v>C</v>
      </c>
      <c r="G25" s="198" t="str">
        <f t="shared" si="1"/>
        <v>C</v>
      </c>
      <c r="I25" s="99" t="s">
        <v>173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186</v>
      </c>
      <c r="C26" s="196">
        <f>'Юнит 12'!AL40</f>
        <v>996.27585365853668</v>
      </c>
      <c r="D26" s="197">
        <f t="shared" si="0"/>
        <v>2.8698340109033658E-3</v>
      </c>
      <c r="E26" s="197">
        <f t="shared" si="5"/>
        <v>0.9859577357605519</v>
      </c>
      <c r="F26" s="198" t="str">
        <f t="shared" si="3"/>
        <v>C</v>
      </c>
      <c r="G26" s="198" t="str">
        <f t="shared" si="1"/>
        <v>C</v>
      </c>
      <c r="I26" s="99" t="s">
        <v>198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199</v>
      </c>
      <c r="C27" s="196">
        <f>'Юнит 12'!AL28</f>
        <v>839.5999999999998</v>
      </c>
      <c r="D27" s="197">
        <f t="shared" si="0"/>
        <v>2.4185195563118616E-3</v>
      </c>
      <c r="E27" s="197">
        <f t="shared" si="5"/>
        <v>0.98837625531686379</v>
      </c>
      <c r="F27" s="198" t="str">
        <f t="shared" si="3"/>
        <v>C</v>
      </c>
      <c r="G27" s="198" t="str">
        <f t="shared" si="1"/>
        <v>C</v>
      </c>
      <c r="I27" s="99" t="s">
        <v>211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182</v>
      </c>
      <c r="C28" s="196">
        <f>'Юнит 12'!AL36</f>
        <v>821.24858536585384</v>
      </c>
      <c r="D28" s="197">
        <f t="shared" si="0"/>
        <v>2.3656571752033936E-3</v>
      </c>
      <c r="E28" s="197">
        <f>E24+D28</f>
        <v>0.98137515998346725</v>
      </c>
      <c r="F28" s="198" t="str">
        <f t="shared" si="3"/>
        <v>C</v>
      </c>
      <c r="G28" s="198" t="str">
        <f t="shared" si="1"/>
        <v>C</v>
      </c>
      <c r="I28" s="99" t="s">
        <v>212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174</v>
      </c>
      <c r="C29" s="196">
        <f>'Юнит 12'!AL22</f>
        <v>694.2606829268293</v>
      </c>
      <c r="D29" s="197">
        <f t="shared" si="0"/>
        <v>1.9998606941840943E-3</v>
      </c>
      <c r="E29" s="197">
        <f t="shared" si="5"/>
        <v>0.98337502067765137</v>
      </c>
      <c r="F29" s="198" t="str">
        <f t="shared" si="3"/>
        <v>C</v>
      </c>
      <c r="G29" s="198" t="str">
        <f t="shared" si="1"/>
        <v>C</v>
      </c>
      <c r="I29" s="99" t="s">
        <v>178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181</v>
      </c>
      <c r="C30" s="196">
        <f>'Юнит 12'!AL35</f>
        <v>588.62858536585361</v>
      </c>
      <c r="D30" s="197">
        <f t="shared" si="0"/>
        <v>1.6955809255734915E-3</v>
      </c>
      <c r="E30" s="197">
        <f t="shared" si="5"/>
        <v>0.9850706016032249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200</v>
      </c>
      <c r="C31" s="196">
        <f>'Юнит 12'!AL29</f>
        <v>495.70000000000005</v>
      </c>
      <c r="D31" s="197">
        <f t="shared" si="0"/>
        <v>1.4278944069363868E-3</v>
      </c>
      <c r="E31" s="197">
        <f t="shared" si="5"/>
        <v>0.98649849601016126</v>
      </c>
      <c r="F31" s="198" t="str">
        <f t="shared" si="3"/>
        <v>C</v>
      </c>
      <c r="G31" s="198" t="str">
        <f t="shared" si="1"/>
        <v>C</v>
      </c>
      <c r="I31" s="99" t="s">
        <v>189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1.4003850432360789E-3</v>
      </c>
      <c r="E32" s="197">
        <f t="shared" si="5"/>
        <v>0.98789888105339729</v>
      </c>
      <c r="F32" s="198" t="str">
        <f t="shared" si="3"/>
        <v>C</v>
      </c>
      <c r="G32" s="198" t="str">
        <f t="shared" si="1"/>
        <v>C</v>
      </c>
      <c r="I32" s="99" t="s">
        <v>199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188</v>
      </c>
      <c r="C33" s="196">
        <f>'Юнит 12'!AL42</f>
        <v>388.23726829268304</v>
      </c>
      <c r="D33" s="197">
        <f t="shared" si="0"/>
        <v>1.1183413838196155E-3</v>
      </c>
      <c r="E33" s="197">
        <f t="shared" si="5"/>
        <v>0.9890172224372169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210</v>
      </c>
      <c r="C34" s="196">
        <f>'Юнит 12'!AL24</f>
        <v>302.65229756097744</v>
      </c>
      <c r="D34" s="197">
        <f t="shared" si="0"/>
        <v>8.7180859982603732E-4</v>
      </c>
      <c r="E34" s="197">
        <f t="shared" si="5"/>
        <v>0.98988903103704295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178</v>
      </c>
      <c r="C35" s="196">
        <f>'Юнит 12'!AL32</f>
        <v>258.35810731707363</v>
      </c>
      <c r="D35" s="197">
        <f t="shared" si="0"/>
        <v>7.4421645435690975E-4</v>
      </c>
      <c r="E35" s="197">
        <f t="shared" si="5"/>
        <v>0.99063324749139992</v>
      </c>
      <c r="F35" s="198" t="str">
        <f t="shared" si="3"/>
        <v>C</v>
      </c>
      <c r="G35" s="198" t="str">
        <f t="shared" si="1"/>
        <v>C</v>
      </c>
      <c r="I35" s="99" t="s">
        <v>174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179</v>
      </c>
      <c r="C36" s="196">
        <f>'Юнит 12'!AL33</f>
        <v>0</v>
      </c>
      <c r="D36" s="197">
        <f t="shared" si="0"/>
        <v>0</v>
      </c>
      <c r="E36" s="197">
        <f t="shared" si="5"/>
        <v>0.99063324749139992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181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261</v>
      </c>
      <c r="C37" s="196">
        <f>'Юнит 12'!AL44</f>
        <v>0</v>
      </c>
      <c r="D37" s="197">
        <f t="shared" si="0"/>
        <v>0</v>
      </c>
      <c r="E37" s="197">
        <f t="shared" si="5"/>
        <v>0.99063324749139992</v>
      </c>
      <c r="F37" s="198" t="str">
        <f t="shared" si="3"/>
        <v>C</v>
      </c>
      <c r="G37" s="198" t="str">
        <f t="shared" si="7"/>
        <v>C</v>
      </c>
      <c r="I37" s="99" t="s">
        <v>182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262</v>
      </c>
      <c r="C38" s="196">
        <f>'Юнит 12'!AL45</f>
        <v>0</v>
      </c>
      <c r="D38" s="197">
        <f t="shared" si="0"/>
        <v>0</v>
      </c>
      <c r="E38" s="197">
        <f t="shared" si="5"/>
        <v>0.99063324749139992</v>
      </c>
      <c r="F38" s="198" t="str">
        <f t="shared" si="3"/>
        <v>C</v>
      </c>
      <c r="G38" s="198" t="str">
        <f t="shared" si="7"/>
        <v>C</v>
      </c>
      <c r="I38" s="99" t="s">
        <v>187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263</v>
      </c>
      <c r="C39" s="196">
        <f>'Юнит 12'!AL46</f>
        <v>0</v>
      </c>
      <c r="D39" s="197">
        <f t="shared" si="0"/>
        <v>0</v>
      </c>
      <c r="E39" s="197">
        <f t="shared" si="5"/>
        <v>0.99063324749139992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264</v>
      </c>
      <c r="C40" s="196">
        <f>'Юнит 12'!AL47</f>
        <v>0</v>
      </c>
      <c r="D40" s="197">
        <f t="shared" si="0"/>
        <v>0</v>
      </c>
      <c r="E40" s="197">
        <f t="shared" si="5"/>
        <v>0.99063324749139992</v>
      </c>
      <c r="F40" s="198" t="str">
        <f t="shared" si="3"/>
        <v>C</v>
      </c>
      <c r="G40" s="198" t="str">
        <f t="shared" si="7"/>
        <v>C</v>
      </c>
      <c r="I40" s="99" t="s">
        <v>200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265</v>
      </c>
      <c r="C41" s="196">
        <f>'Юнит 12'!AL48</f>
        <v>0</v>
      </c>
      <c r="D41" s="197">
        <f t="shared" si="0"/>
        <v>0</v>
      </c>
      <c r="E41" s="197">
        <f t="shared" si="5"/>
        <v>0.99063324749139992</v>
      </c>
      <c r="F41" s="198" t="str">
        <f t="shared" si="3"/>
        <v>C</v>
      </c>
      <c r="G41" s="198" t="str">
        <f t="shared" si="7"/>
        <v>C</v>
      </c>
      <c r="I41" s="99" t="s">
        <v>188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266</v>
      </c>
      <c r="C42" s="196">
        <f>'Юнит 12'!AL49</f>
        <v>0</v>
      </c>
      <c r="D42" s="197">
        <f t="shared" si="0"/>
        <v>0</v>
      </c>
      <c r="E42" s="197">
        <f t="shared" si="5"/>
        <v>0.99063324749139992</v>
      </c>
      <c r="F42" s="198" t="str">
        <f t="shared" si="3"/>
        <v>C</v>
      </c>
      <c r="G42" s="198" t="str">
        <f t="shared" si="7"/>
        <v>C</v>
      </c>
      <c r="I42" s="99" t="s">
        <v>179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267</v>
      </c>
      <c r="C43" s="196">
        <f>'Юнит 12'!AL50</f>
        <v>0</v>
      </c>
      <c r="D43" s="197">
        <f t="shared" si="0"/>
        <v>0</v>
      </c>
      <c r="E43" s="197">
        <f t="shared" si="5"/>
        <v>0.99063324749139992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268</v>
      </c>
      <c r="C44" s="196">
        <f>'Юнит 12'!AL51</f>
        <v>0</v>
      </c>
      <c r="D44" s="197">
        <f t="shared" si="0"/>
        <v>0</v>
      </c>
      <c r="E44" s="197">
        <f t="shared" si="5"/>
        <v>0.99063324749139992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269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0.99063324749139992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261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270</v>
      </c>
      <c r="C46" s="196">
        <f>'Юнит 12'!AL53</f>
        <v>0</v>
      </c>
      <c r="D46" s="197">
        <f t="shared" si="8"/>
        <v>0</v>
      </c>
      <c r="E46" s="197">
        <f t="shared" si="9"/>
        <v>0.99063324749139992</v>
      </c>
      <c r="F46" s="198" t="str">
        <f t="shared" si="10"/>
        <v>C</v>
      </c>
      <c r="G46" s="198" t="str">
        <f t="shared" si="7"/>
        <v>C</v>
      </c>
      <c r="I46" s="262" t="s">
        <v>262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271</v>
      </c>
      <c r="C47" s="196">
        <f>'Юнит 12'!AL54</f>
        <v>0</v>
      </c>
      <c r="D47" s="197">
        <f t="shared" si="8"/>
        <v>0</v>
      </c>
      <c r="E47" s="197">
        <f t="shared" si="9"/>
        <v>0.99063324749139992</v>
      </c>
      <c r="F47" s="198" t="str">
        <f t="shared" si="10"/>
        <v>C</v>
      </c>
      <c r="G47" s="198" t="str">
        <f t="shared" si="7"/>
        <v>C</v>
      </c>
      <c r="I47" s="262" t="s">
        <v>263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272</v>
      </c>
      <c r="C48" s="196">
        <f>'Юнит 12'!AL55</f>
        <v>0</v>
      </c>
      <c r="D48" s="197">
        <f t="shared" si="8"/>
        <v>0</v>
      </c>
      <c r="E48" s="197">
        <f t="shared" si="9"/>
        <v>0.99063324749139992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264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273</v>
      </c>
      <c r="C49" s="196">
        <f>'Юнит 12'!AL56</f>
        <v>0</v>
      </c>
      <c r="D49" s="197">
        <f>C49/C$58</f>
        <v>0</v>
      </c>
      <c r="E49" s="197">
        <f>E48+D49</f>
        <v>0.99063324749139992</v>
      </c>
      <c r="F49" s="198" t="str">
        <f t="shared" si="10"/>
        <v>C</v>
      </c>
      <c r="G49" s="198" t="str">
        <f t="shared" si="7"/>
        <v>C</v>
      </c>
      <c r="I49" s="262" t="s">
        <v>265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184</v>
      </c>
      <c r="C50" s="196">
        <f>'Юнит 12'!AL38</f>
        <v>-6.314146341463414</v>
      </c>
      <c r="D50" s="197">
        <f t="shared" si="8"/>
        <v>-1.8188287765893599E-5</v>
      </c>
      <c r="E50" s="197">
        <f t="shared" si="9"/>
        <v>0.99061505920363402</v>
      </c>
      <c r="F50" s="198" t="str">
        <f t="shared" si="10"/>
        <v>C</v>
      </c>
      <c r="G50" s="198" t="str">
        <f t="shared" si="7"/>
        <v>C</v>
      </c>
      <c r="I50" s="262" t="s">
        <v>266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12'!AL37</f>
        <v>-10.102634146341464</v>
      </c>
      <c r="D51" s="197">
        <f t="shared" si="8"/>
        <v>-2.9101260425429761E-5</v>
      </c>
      <c r="E51" s="197">
        <f t="shared" si="9"/>
        <v>0.99058595794320858</v>
      </c>
      <c r="F51" s="198" t="str">
        <f t="shared" si="10"/>
        <v>C</v>
      </c>
      <c r="G51" s="198" t="str">
        <f t="shared" si="7"/>
        <v>C</v>
      </c>
      <c r="I51" s="262" t="s">
        <v>267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-5.8333790152705089E-4</v>
      </c>
      <c r="E52" s="197">
        <f t="shared" si="9"/>
        <v>0.99000262004168149</v>
      </c>
      <c r="F52" s="198" t="str">
        <f t="shared" si="10"/>
        <v>C</v>
      </c>
      <c r="G52" s="198" t="str">
        <f t="shared" si="7"/>
        <v>C</v>
      </c>
      <c r="I52" s="262" t="s">
        <v>268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187</v>
      </c>
      <c r="C53" s="196">
        <f>'Юнит 12'!AL41</f>
        <v>-227.89414634146337</v>
      </c>
      <c r="D53" s="197">
        <f t="shared" si="8"/>
        <v>-6.5646313684591072E-4</v>
      </c>
      <c r="E53" s="197">
        <f t="shared" si="9"/>
        <v>0.98934615690483563</v>
      </c>
      <c r="F53" s="198" t="str">
        <f t="shared" si="10"/>
        <v>C</v>
      </c>
      <c r="G53" s="198" t="str">
        <f t="shared" si="7"/>
        <v>C</v>
      </c>
      <c r="I53" s="262" t="s">
        <v>269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-3.0582767002593301E-3</v>
      </c>
      <c r="E54" s="197">
        <f t="shared" si="9"/>
        <v>0.98628788020457625</v>
      </c>
      <c r="F54" s="198" t="str">
        <f t="shared" si="10"/>
        <v>C</v>
      </c>
      <c r="G54" s="198" t="str">
        <f t="shared" si="7"/>
        <v>B</v>
      </c>
      <c r="I54" s="262" t="s">
        <v>270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189</v>
      </c>
      <c r="C55" s="196">
        <f>'Юнит 12'!AL43</f>
        <v>-1604.0011219512201</v>
      </c>
      <c r="D55" s="197">
        <f t="shared" si="8"/>
        <v>-4.620424108843728E-3</v>
      </c>
      <c r="E55" s="197">
        <f t="shared" si="9"/>
        <v>0.98166745609573247</v>
      </c>
      <c r="F55" s="198" t="str">
        <f t="shared" si="10"/>
        <v>C</v>
      </c>
      <c r="G55" s="198" t="str">
        <f t="shared" si="7"/>
        <v>C</v>
      </c>
      <c r="I55" s="262" t="s">
        <v>271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202</v>
      </c>
      <c r="C56" s="196">
        <f>'Юнит 12'!AL17</f>
        <v>-1975.8600000000006</v>
      </c>
      <c r="D56" s="197">
        <f t="shared" si="8"/>
        <v>-5.69158652993611E-3</v>
      </c>
      <c r="E56" s="197">
        <f t="shared" si="9"/>
        <v>0.97597586956579641</v>
      </c>
      <c r="F56" s="198" t="str">
        <f t="shared" si="10"/>
        <v>C</v>
      </c>
      <c r="G56" s="198" t="str">
        <f t="shared" si="7"/>
        <v>A</v>
      </c>
      <c r="I56" s="262" t="s">
        <v>272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201</v>
      </c>
      <c r="C57" s="196">
        <f>'Юнит 12'!AL16</f>
        <v>-7785.9845731707364</v>
      </c>
      <c r="D57" s="197">
        <f t="shared" si="8"/>
        <v>-2.2428008522339084E-2</v>
      </c>
      <c r="E57" s="197">
        <f t="shared" si="9"/>
        <v>0.95354786104345735</v>
      </c>
      <c r="F57" s="198" t="str">
        <f t="shared" si="10"/>
        <v>C</v>
      </c>
      <c r="G57" s="198" t="str">
        <f t="shared" si="7"/>
        <v>B</v>
      </c>
      <c r="I57" s="262" t="s">
        <v>273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SUM(C4:C44)</f>
        <v>347154.52178536594</v>
      </c>
      <c r="D58" s="204">
        <f>SUM(D4:D44)</f>
        <v>0.99999999999999989</v>
      </c>
      <c r="J58" s="203">
        <f>SUM(J4:J44)</f>
        <v>925</v>
      </c>
      <c r="K58" s="204">
        <f>SUM(K4:K44)</f>
        <v>0.99999999999999978</v>
      </c>
    </row>
    <row r="60" spans="2:16" ht="16" hidden="1" outlineLevel="1" thickBot="1">
      <c r="B60" s="458"/>
      <c r="C60" s="459"/>
      <c r="D60" s="459"/>
      <c r="E60" s="459"/>
      <c r="F60" s="459"/>
      <c r="G60" s="459"/>
      <c r="H60" s="459"/>
      <c r="I60" s="459"/>
      <c r="J60" s="459"/>
      <c r="K60" s="459"/>
      <c r="L60" s="459"/>
      <c r="M60" s="460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47" priority="10" operator="equal">
      <formula>"C"</formula>
    </cfRule>
    <cfRule type="cellIs" dxfId="246" priority="11" operator="equal">
      <formula>"B"</formula>
    </cfRule>
    <cfRule type="cellIs" dxfId="245" priority="12" operator="equal">
      <formula>"A"</formula>
    </cfRule>
  </conditionalFormatting>
  <conditionalFormatting sqref="G62:G113">
    <cfRule type="cellIs" dxfId="244" priority="7" operator="equal">
      <formula>"C"</formula>
    </cfRule>
    <cfRule type="cellIs" dxfId="243" priority="8" operator="equal">
      <formula>"B"</formula>
    </cfRule>
    <cfRule type="cellIs" dxfId="242" priority="9" operator="equal">
      <formula>"A"</formula>
    </cfRule>
  </conditionalFormatting>
  <conditionalFormatting sqref="F4:F57">
    <cfRule type="cellIs" dxfId="241" priority="4" operator="equal">
      <formula>"C"</formula>
    </cfRule>
    <cfRule type="cellIs" dxfId="240" priority="5" operator="equal">
      <formula>"B"</formula>
    </cfRule>
    <cfRule type="cellIs" dxfId="239" priority="6" operator="equal">
      <formula>"A"</formula>
    </cfRule>
  </conditionalFormatting>
  <conditionalFormatting sqref="F62:F113">
    <cfRule type="cellIs" dxfId="238" priority="1" operator="equal">
      <formula>"C"</formula>
    </cfRule>
    <cfRule type="cellIs" dxfId="237" priority="2" operator="equal">
      <formula>"B"</formula>
    </cfRule>
    <cfRule type="cellIs" dxfId="236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16" zoomScale="80" zoomScaleNormal="80" workbookViewId="0">
      <selection activeCell="G13" sqref="G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171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172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177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171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172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177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175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180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180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203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175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176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201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187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203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173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178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187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211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210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181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176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211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183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202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188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202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198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183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200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212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179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198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186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174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189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199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174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184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199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182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200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185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179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189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182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212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184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210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185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178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186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51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458"/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60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35" priority="10" operator="equal">
      <formula>"C"</formula>
    </cfRule>
    <cfRule type="cellIs" dxfId="234" priority="11" operator="equal">
      <formula>"B"</formula>
    </cfRule>
    <cfRule type="cellIs" dxfId="233" priority="12" operator="equal">
      <formula>"A"</formula>
    </cfRule>
  </conditionalFormatting>
  <conditionalFormatting sqref="G49:G100">
    <cfRule type="cellIs" dxfId="232" priority="7" operator="equal">
      <formula>"C"</formula>
    </cfRule>
    <cfRule type="cellIs" dxfId="231" priority="8" operator="equal">
      <formula>"B"</formula>
    </cfRule>
    <cfRule type="cellIs" dxfId="230" priority="9" operator="equal">
      <formula>"A"</formula>
    </cfRule>
  </conditionalFormatting>
  <conditionalFormatting sqref="F4:F44">
    <cfRule type="cellIs" dxfId="229" priority="4" operator="equal">
      <formula>"C"</formula>
    </cfRule>
    <cfRule type="cellIs" dxfId="228" priority="5" operator="equal">
      <formula>"B"</formula>
    </cfRule>
    <cfRule type="cellIs" dxfId="227" priority="6" operator="equal">
      <formula>"A"</formula>
    </cfRule>
  </conditionalFormatting>
  <conditionalFormatting sqref="F49:F100">
    <cfRule type="cellIs" dxfId="226" priority="1" operator="equal">
      <formula>"C"</formula>
    </cfRule>
    <cfRule type="cellIs" dxfId="225" priority="2" operator="equal">
      <formula>"B"</formula>
    </cfRule>
    <cfRule type="cellIs" dxfId="224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172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172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171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175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177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180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182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177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175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174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187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201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212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198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178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181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176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174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210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173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198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199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182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200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187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211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173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176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202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181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179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183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203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189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188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183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202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184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203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185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180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199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186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200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212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179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189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184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178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185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201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186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210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458"/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60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23" priority="10" operator="equal">
      <formula>"C"</formula>
    </cfRule>
    <cfRule type="cellIs" dxfId="222" priority="11" operator="equal">
      <formula>"B"</formula>
    </cfRule>
    <cfRule type="cellIs" dxfId="221" priority="12" operator="equal">
      <formula>"A"</formula>
    </cfRule>
  </conditionalFormatting>
  <conditionalFormatting sqref="G49:G100">
    <cfRule type="cellIs" dxfId="220" priority="7" operator="equal">
      <formula>"C"</formula>
    </cfRule>
    <cfRule type="cellIs" dxfId="219" priority="8" operator="equal">
      <formula>"B"</formula>
    </cfRule>
    <cfRule type="cellIs" dxfId="218" priority="9" operator="equal">
      <formula>"A"</formula>
    </cfRule>
  </conditionalFormatting>
  <conditionalFormatting sqref="F4:F44">
    <cfRule type="cellIs" dxfId="217" priority="4" operator="equal">
      <formula>"C"</formula>
    </cfRule>
    <cfRule type="cellIs" dxfId="216" priority="5" operator="equal">
      <formula>"B"</formula>
    </cfRule>
    <cfRule type="cellIs" dxfId="215" priority="6" operator="equal">
      <formula>"A"</formula>
    </cfRule>
  </conditionalFormatting>
  <conditionalFormatting sqref="F49:F100">
    <cfRule type="cellIs" dxfId="214" priority="1" operator="equal">
      <formula>"C"</formula>
    </cfRule>
    <cfRule type="cellIs" dxfId="213" priority="2" operator="equal">
      <formula>"B"</formula>
    </cfRule>
    <cfRule type="cellIs" dxfId="212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199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199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174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171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172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175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177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183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174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198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184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188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176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198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173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187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201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181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175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203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179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211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183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184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212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202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202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176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186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178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200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210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185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182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188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201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173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179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200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178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180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187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181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185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186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189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203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171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210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172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211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180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212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177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189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458"/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60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11" priority="10" operator="equal">
      <formula>"C"</formula>
    </cfRule>
    <cfRule type="cellIs" dxfId="210" priority="11" operator="equal">
      <formula>"B"</formula>
    </cfRule>
    <cfRule type="cellIs" dxfId="209" priority="12" operator="equal">
      <formula>"A"</formula>
    </cfRule>
  </conditionalFormatting>
  <conditionalFormatting sqref="G49:G100">
    <cfRule type="cellIs" dxfId="208" priority="7" operator="equal">
      <formula>"C"</formula>
    </cfRule>
    <cfRule type="cellIs" dxfId="207" priority="8" operator="equal">
      <formula>"B"</formula>
    </cfRule>
    <cfRule type="cellIs" dxfId="206" priority="9" operator="equal">
      <formula>"A"</formula>
    </cfRule>
  </conditionalFormatting>
  <conditionalFormatting sqref="F4:F44">
    <cfRule type="cellIs" dxfId="205" priority="4" operator="equal">
      <formula>"C"</formula>
    </cfRule>
    <cfRule type="cellIs" dxfId="204" priority="5" operator="equal">
      <formula>"B"</formula>
    </cfRule>
    <cfRule type="cellIs" dxfId="203" priority="6" operator="equal">
      <formula>"A"</formula>
    </cfRule>
  </conditionalFormatting>
  <conditionalFormatting sqref="F49:F100">
    <cfRule type="cellIs" dxfId="202" priority="1" operator="equal">
      <formula>"C"</formula>
    </cfRule>
    <cfRule type="cellIs" dxfId="201" priority="2" operator="equal">
      <formula>"B"</formula>
    </cfRule>
    <cfRule type="cellIs" dxfId="20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199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199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172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174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171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175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198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182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174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175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179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198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183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177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173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184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176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184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179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202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182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181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183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173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203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176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211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178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188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185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212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201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200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202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201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203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171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210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186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211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185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212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210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200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187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180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189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181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172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186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180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187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178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188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177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189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458"/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60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199" priority="10" operator="equal">
      <formula>"C"</formula>
    </cfRule>
    <cfRule type="cellIs" dxfId="198" priority="11" operator="equal">
      <formula>"B"</formula>
    </cfRule>
    <cfRule type="cellIs" dxfId="197" priority="12" operator="equal">
      <formula>"A"</formula>
    </cfRule>
  </conditionalFormatting>
  <conditionalFormatting sqref="G49:G100">
    <cfRule type="cellIs" dxfId="196" priority="7" operator="equal">
      <formula>"C"</formula>
    </cfRule>
    <cfRule type="cellIs" dxfId="195" priority="8" operator="equal">
      <formula>"B"</formula>
    </cfRule>
    <cfRule type="cellIs" dxfId="194" priority="9" operator="equal">
      <formula>"A"</formula>
    </cfRule>
  </conditionalFormatting>
  <conditionalFormatting sqref="F4:F44">
    <cfRule type="cellIs" dxfId="193" priority="4" operator="equal">
      <formula>"C"</formula>
    </cfRule>
    <cfRule type="cellIs" dxfId="192" priority="5" operator="equal">
      <formula>"B"</formula>
    </cfRule>
    <cfRule type="cellIs" dxfId="191" priority="6" operator="equal">
      <formula>"A"</formula>
    </cfRule>
  </conditionalFormatting>
  <conditionalFormatting sqref="F49:F100">
    <cfRule type="cellIs" dxfId="190" priority="1" operator="equal">
      <formula>"C"</formula>
    </cfRule>
    <cfRule type="cellIs" dxfId="189" priority="2" operator="equal">
      <formula>"B"</formula>
    </cfRule>
    <cfRule type="cellIs" dxfId="188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178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187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174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188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201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184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171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199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177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181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202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172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186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174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176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184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179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188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183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203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173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198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198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200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200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176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175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178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202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179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199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180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187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181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201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183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185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185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189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186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182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203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177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173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180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175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172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182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171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189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458"/>
      <c r="C44" s="459"/>
      <c r="D44" s="459"/>
      <c r="E44" s="459"/>
      <c r="F44" s="459"/>
      <c r="G44" s="459"/>
      <c r="H44" s="459"/>
      <c r="I44" s="459"/>
      <c r="J44" s="459"/>
      <c r="K44" s="459"/>
      <c r="L44" s="459"/>
      <c r="M44" s="460"/>
      <c r="O44" s="205"/>
      <c r="P44" s="205"/>
    </row>
    <row r="45" spans="2:16" ht="23.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187" priority="10" operator="equal">
      <formula>"C"</formula>
    </cfRule>
    <cfRule type="cellIs" dxfId="186" priority="11" operator="equal">
      <formula>"B"</formula>
    </cfRule>
    <cfRule type="cellIs" dxfId="185" priority="12" operator="equal">
      <formula>"A"</formula>
    </cfRule>
  </conditionalFormatting>
  <conditionalFormatting sqref="G46:G97">
    <cfRule type="cellIs" dxfId="184" priority="7" operator="equal">
      <formula>"C"</formula>
    </cfRule>
    <cfRule type="cellIs" dxfId="183" priority="8" operator="equal">
      <formula>"B"</formula>
    </cfRule>
    <cfRule type="cellIs" dxfId="182" priority="9" operator="equal">
      <formula>"A"</formula>
    </cfRule>
  </conditionalFormatting>
  <conditionalFormatting sqref="F4:F41">
    <cfRule type="cellIs" dxfId="181" priority="4" operator="equal">
      <formula>"C"</formula>
    </cfRule>
    <cfRule type="cellIs" dxfId="180" priority="5" operator="equal">
      <formula>"B"</formula>
    </cfRule>
    <cfRule type="cellIs" dxfId="179" priority="6" operator="equal">
      <formula>"A"</formula>
    </cfRule>
  </conditionalFormatting>
  <conditionalFormatting sqref="F46:F97">
    <cfRule type="cellIs" dxfId="178" priority="1" operator="equal">
      <formula>"C"</formula>
    </cfRule>
    <cfRule type="cellIs" dxfId="177" priority="2" operator="equal">
      <formula>"B"</formula>
    </cfRule>
    <cfRule type="cellIs" dxfId="176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171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172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173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171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174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172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175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173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176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174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178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175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180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176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181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177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183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178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186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179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188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180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189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181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177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182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183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182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187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185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184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186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185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187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179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189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458"/>
      <c r="C38" s="459"/>
      <c r="D38" s="459"/>
      <c r="E38" s="459"/>
      <c r="F38" s="459"/>
      <c r="G38" s="459"/>
      <c r="H38" s="459"/>
      <c r="I38" s="459"/>
      <c r="J38" s="459"/>
      <c r="K38" s="459"/>
      <c r="L38" s="459"/>
      <c r="M38" s="460"/>
      <c r="O38" s="205"/>
      <c r="P38" s="205"/>
    </row>
    <row r="39" spans="2:16" ht="23.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175" priority="10" operator="equal">
      <formula>"C"</formula>
    </cfRule>
    <cfRule type="cellIs" dxfId="174" priority="11" operator="equal">
      <formula>"B"</formula>
    </cfRule>
    <cfRule type="cellIs" dxfId="173" priority="12" operator="equal">
      <formula>"A"</formula>
    </cfRule>
  </conditionalFormatting>
  <conditionalFormatting sqref="G40:G91">
    <cfRule type="cellIs" dxfId="172" priority="7" operator="equal">
      <formula>"C"</formula>
    </cfRule>
    <cfRule type="cellIs" dxfId="171" priority="8" operator="equal">
      <formula>"B"</formula>
    </cfRule>
    <cfRule type="cellIs" dxfId="170" priority="9" operator="equal">
      <formula>"A"</formula>
    </cfRule>
  </conditionalFormatting>
  <conditionalFormatting sqref="F40:F91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458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60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6" priority="10" operator="equal">
      <formula>"C"</formula>
    </cfRule>
    <cfRule type="cellIs" dxfId="165" priority="11" operator="equal">
      <formula>"B"</formula>
    </cfRule>
    <cfRule type="cellIs" dxfId="164" priority="12" operator="equal">
      <formula>"A"</formula>
    </cfRule>
  </conditionalFormatting>
  <conditionalFormatting sqref="G21:G72">
    <cfRule type="cellIs" dxfId="163" priority="7" operator="equal">
      <formula>"C"</formula>
    </cfRule>
    <cfRule type="cellIs" dxfId="162" priority="8" operator="equal">
      <formula>"B"</formula>
    </cfRule>
    <cfRule type="cellIs" dxfId="161" priority="9" operator="equal">
      <formula>"A"</formula>
    </cfRule>
  </conditionalFormatting>
  <conditionalFormatting sqref="F4:F16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F21:F72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458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60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54" priority="10" operator="equal">
      <formula>"C"</formula>
    </cfRule>
    <cfRule type="cellIs" dxfId="153" priority="11" operator="equal">
      <formula>"B"</formula>
    </cfRule>
    <cfRule type="cellIs" dxfId="152" priority="12" operator="equal">
      <formula>"A"</formula>
    </cfRule>
  </conditionalFormatting>
  <conditionalFormatting sqref="G21:G72">
    <cfRule type="cellIs" dxfId="151" priority="7" operator="equal">
      <formula>"C"</formula>
    </cfRule>
    <cfRule type="cellIs" dxfId="150" priority="8" operator="equal">
      <formula>"B"</formula>
    </cfRule>
    <cfRule type="cellIs" dxfId="149" priority="9" operator="equal">
      <formula>"A"</formula>
    </cfRule>
  </conditionalFormatting>
  <conditionalFormatting sqref="F4:F16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F21:F72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458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60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42" priority="10" operator="equal">
      <formula>"C"</formula>
    </cfRule>
    <cfRule type="cellIs" dxfId="141" priority="11" operator="equal">
      <formula>"B"</formula>
    </cfRule>
    <cfRule type="cellIs" dxfId="140" priority="12" operator="equal">
      <formula>"A"</formula>
    </cfRule>
  </conditionalFormatting>
  <conditionalFormatting sqref="G21:G72">
    <cfRule type="cellIs" dxfId="139" priority="7" operator="equal">
      <formula>"C"</formula>
    </cfRule>
    <cfRule type="cellIs" dxfId="138" priority="8" operator="equal">
      <formula>"B"</formula>
    </cfRule>
    <cfRule type="cellIs" dxfId="137" priority="9" operator="equal">
      <formula>"A"</formula>
    </cfRule>
  </conditionalFormatting>
  <conditionalFormatting sqref="F4:F16">
    <cfRule type="cellIs" dxfId="136" priority="4" operator="equal">
      <formula>"C"</formula>
    </cfRule>
    <cfRule type="cellIs" dxfId="135" priority="5" operator="equal">
      <formula>"B"</formula>
    </cfRule>
    <cfRule type="cellIs" dxfId="134" priority="6" operator="equal">
      <formula>"A"</formula>
    </cfRule>
  </conditionalFormatting>
  <conditionalFormatting sqref="F21:F72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458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60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30" priority="10" operator="equal">
      <formula>"C"</formula>
    </cfRule>
    <cfRule type="cellIs" dxfId="129" priority="11" operator="equal">
      <formula>"B"</formula>
    </cfRule>
    <cfRule type="cellIs" dxfId="128" priority="12" operator="equal">
      <formula>"A"</formula>
    </cfRule>
  </conditionalFormatting>
  <conditionalFormatting sqref="G21:G72">
    <cfRule type="cellIs" dxfId="127" priority="7" operator="equal">
      <formula>"C"</formula>
    </cfRule>
    <cfRule type="cellIs" dxfId="126" priority="8" operator="equal">
      <formula>"B"</formula>
    </cfRule>
    <cfRule type="cellIs" dxfId="125" priority="9" operator="equal">
      <formula>"A"</formula>
    </cfRule>
  </conditionalFormatting>
  <conditionalFormatting sqref="F4:F16">
    <cfRule type="cellIs" dxfId="124" priority="4" operator="equal">
      <formula>"C"</formula>
    </cfRule>
    <cfRule type="cellIs" dxfId="123" priority="5" operator="equal">
      <formula>"B"</formula>
    </cfRule>
    <cfRule type="cellIs" dxfId="122" priority="6" operator="equal">
      <formula>"A"</formula>
    </cfRule>
  </conditionalFormatting>
  <conditionalFormatting sqref="F21:F72">
    <cfRule type="cellIs" dxfId="121" priority="1" operator="equal">
      <formula>"C"</formula>
    </cfRule>
    <cfRule type="cellIs" dxfId="120" priority="2" operator="equal">
      <formula>"B"</formula>
    </cfRule>
    <cfRule type="cellIs" dxfId="119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458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60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18" priority="10" operator="equal">
      <formula>"C"</formula>
    </cfRule>
    <cfRule type="cellIs" dxfId="117" priority="11" operator="equal">
      <formula>"B"</formula>
    </cfRule>
    <cfRule type="cellIs" dxfId="116" priority="12" operator="equal">
      <formula>"A"</formula>
    </cfRule>
  </conditionalFormatting>
  <conditionalFormatting sqref="G21:G72">
    <cfRule type="cellIs" dxfId="115" priority="7" operator="equal">
      <formula>"C"</formula>
    </cfRule>
    <cfRule type="cellIs" dxfId="114" priority="8" operator="equal">
      <formula>"B"</formula>
    </cfRule>
    <cfRule type="cellIs" dxfId="113" priority="9" operator="equal">
      <formula>"A"</formula>
    </cfRule>
  </conditionalFormatting>
  <conditionalFormatting sqref="F4:F16">
    <cfRule type="cellIs" dxfId="112" priority="4" operator="equal">
      <formula>"C"</formula>
    </cfRule>
    <cfRule type="cellIs" dxfId="111" priority="5" operator="equal">
      <formula>"B"</formula>
    </cfRule>
    <cfRule type="cellIs" dxfId="110" priority="6" operator="equal">
      <formula>"A"</formula>
    </cfRule>
  </conditionalFormatting>
  <conditionalFormatting sqref="F21:F72">
    <cfRule type="cellIs" dxfId="109" priority="1" operator="equal">
      <formula>"C"</formula>
    </cfRule>
    <cfRule type="cellIs" dxfId="108" priority="2" operator="equal">
      <formula>"B"</formula>
    </cfRule>
    <cfRule type="cellIs" dxfId="107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458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60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06" priority="10" operator="equal">
      <formula>"C"</formula>
    </cfRule>
    <cfRule type="cellIs" dxfId="105" priority="11" operator="equal">
      <formula>"B"</formula>
    </cfRule>
    <cfRule type="cellIs" dxfId="104" priority="12" operator="equal">
      <formula>"A"</formula>
    </cfRule>
  </conditionalFormatting>
  <conditionalFormatting sqref="G21:G72">
    <cfRule type="cellIs" dxfId="103" priority="7" operator="equal">
      <formula>"C"</formula>
    </cfRule>
    <cfRule type="cellIs" dxfId="102" priority="8" operator="equal">
      <formula>"B"</formula>
    </cfRule>
    <cfRule type="cellIs" dxfId="101" priority="9" operator="equal">
      <formula>"A"</formula>
    </cfRule>
  </conditionalFormatting>
  <conditionalFormatting sqref="F4:F16">
    <cfRule type="cellIs" dxfId="100" priority="4" operator="equal">
      <formula>"C"</formula>
    </cfRule>
    <cfRule type="cellIs" dxfId="99" priority="5" operator="equal">
      <formula>"B"</formula>
    </cfRule>
    <cfRule type="cellIs" dxfId="98" priority="6" operator="equal">
      <formula>"A"</formula>
    </cfRule>
  </conditionalFormatting>
  <conditionalFormatting sqref="F21:F72">
    <cfRule type="cellIs" dxfId="97" priority="1" operator="equal">
      <formula>"C"</formula>
    </cfRule>
    <cfRule type="cellIs" dxfId="96" priority="2" operator="equal">
      <formula>"B"</formula>
    </cfRule>
    <cfRule type="cellIs" dxfId="95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111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1'!AL8</f>
        <v>15664.998095999996</v>
      </c>
      <c r="D4" s="197">
        <f t="shared" ref="D4:D16" si="0">C4/C$17</f>
        <v>0.84084556857718584</v>
      </c>
      <c r="E4" s="197">
        <f>D4</f>
        <v>0.84084556857718584</v>
      </c>
      <c r="F4" s="198" t="str">
        <f>IF(AND(E4&lt;=0),"C",IF(E4&lt;=0.8,"A",IF(E4&lt;=0.95,"B","C")))</f>
        <v>B</v>
      </c>
      <c r="G4" s="198" t="str">
        <f>VLOOKUP(B$4:B$16,I$4:M$16,5,0)</f>
        <v>A</v>
      </c>
      <c r="I4" s="99" t="s">
        <v>98</v>
      </c>
      <c r="J4" s="196">
        <f>'Юнит 1'!S8</f>
        <v>35</v>
      </c>
      <c r="K4" s="197">
        <f t="shared" ref="K4:K16" si="1">J4/J$17</f>
        <v>0.77777777777777779</v>
      </c>
      <c r="L4" s="197">
        <f>K4</f>
        <v>0.77777777777777779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1'!AL6</f>
        <v>1928.043872</v>
      </c>
      <c r="D5" s="197">
        <f t="shared" si="0"/>
        <v>0.10349105284650903</v>
      </c>
      <c r="E5" s="197">
        <f>E4+D5</f>
        <v>0.9443366214236949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C</v>
      </c>
      <c r="I5" s="99" t="s">
        <v>92</v>
      </c>
      <c r="J5" s="196">
        <f>'Юнит 1'!S3</f>
        <v>4</v>
      </c>
      <c r="K5" s="197">
        <f t="shared" si="1"/>
        <v>8.8888888888888892E-2</v>
      </c>
      <c r="L5" s="197">
        <f>L4+K5</f>
        <v>0.8666666666666667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1'!AL3</f>
        <v>1194.2556520000003</v>
      </c>
      <c r="D6" s="197">
        <f t="shared" si="0"/>
        <v>6.4103714956012234E-2</v>
      </c>
      <c r="E6" s="197">
        <f t="shared" ref="E6:E16" si="5">E5+D6</f>
        <v>1.0084403363797072</v>
      </c>
      <c r="F6" s="198" t="str">
        <f t="shared" si="2"/>
        <v>C</v>
      </c>
      <c r="G6" s="198" t="str">
        <f t="shared" si="3"/>
        <v>B</v>
      </c>
      <c r="I6" s="99" t="s">
        <v>96</v>
      </c>
      <c r="J6" s="196">
        <f>'Юнит 1'!S6</f>
        <v>4</v>
      </c>
      <c r="K6" s="197">
        <f t="shared" si="1"/>
        <v>8.8888888888888892E-2</v>
      </c>
      <c r="L6" s="197">
        <f t="shared" ref="L6:L16" si="6">L5+K6</f>
        <v>0.9555555555555556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1'!AL11</f>
        <v>478.82606799999996</v>
      </c>
      <c r="D7" s="197">
        <f t="shared" si="0"/>
        <v>2.5701808256194142E-2</v>
      </c>
      <c r="E7" s="197">
        <f t="shared" si="5"/>
        <v>1.0341421446359014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1'!S9</f>
        <v>1</v>
      </c>
      <c r="K7" s="197">
        <f t="shared" si="1"/>
        <v>2.2222222222222223E-2</v>
      </c>
      <c r="L7" s="197">
        <f t="shared" si="6"/>
        <v>0.97777777777777786</v>
      </c>
      <c r="M7" s="198" t="str">
        <f t="shared" si="4"/>
        <v>C</v>
      </c>
    </row>
    <row r="8" spans="2:17" outlineLevel="1">
      <c r="B8" s="99" t="s">
        <v>103</v>
      </c>
      <c r="C8" s="196">
        <f>'Юнит 1'!AL13</f>
        <v>-5.0382240000000005</v>
      </c>
      <c r="D8" s="197">
        <f t="shared" si="0"/>
        <v>-2.7043529133788824E-4</v>
      </c>
      <c r="E8" s="197">
        <f t="shared" si="5"/>
        <v>1.0338717093445635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1'!S11</f>
        <v>1</v>
      </c>
      <c r="K8" s="197">
        <f t="shared" si="1"/>
        <v>2.2222222222222223E-2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1'!AL15</f>
        <v>-15.534524000000001</v>
      </c>
      <c r="D9" s="197">
        <f t="shared" si="0"/>
        <v>-8.3384214829182218E-4</v>
      </c>
      <c r="E9" s="197">
        <f t="shared" si="5"/>
        <v>1.0330378671962717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1'!AL10</f>
        <v>-17.633784000000002</v>
      </c>
      <c r="D10" s="197">
        <f t="shared" si="0"/>
        <v>-9.4652351968260902E-4</v>
      </c>
      <c r="E10" s="197">
        <f t="shared" si="5"/>
        <v>1.0320913436765891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1'!AL12</f>
        <v>-19.313192000000001</v>
      </c>
      <c r="D11" s="197">
        <f t="shared" si="0"/>
        <v>-1.0366686167952383E-3</v>
      </c>
      <c r="E11" s="197">
        <f t="shared" si="5"/>
        <v>1.0310546750597938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1'!AL14</f>
        <v>-27.290380000000006</v>
      </c>
      <c r="D12" s="197">
        <f t="shared" si="0"/>
        <v>-1.4648578280802283E-3</v>
      </c>
      <c r="E12" s="197">
        <f t="shared" si="5"/>
        <v>1.0295898172317135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1'!AL4</f>
        <v>-120.23796800000002</v>
      </c>
      <c r="D13" s="197">
        <f t="shared" si="0"/>
        <v>-6.453978605547449E-3</v>
      </c>
      <c r="E13" s="197">
        <f t="shared" si="5"/>
        <v>1.023135838626166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1'!AL7</f>
        <v>-120.23796800000002</v>
      </c>
      <c r="D14" s="197">
        <f t="shared" si="0"/>
        <v>-6.453978605547449E-3</v>
      </c>
      <c r="E14" s="197">
        <f t="shared" si="5"/>
        <v>1.0166818600206184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1'!AL9</f>
        <v>-151.66003999999987</v>
      </c>
      <c r="D15" s="197">
        <f t="shared" si="0"/>
        <v>-8.1406120691965567E-3</v>
      </c>
      <c r="E15" s="197">
        <f t="shared" si="5"/>
        <v>1.008541247951422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1'!AL5</f>
        <v>-159.123908</v>
      </c>
      <c r="D16" s="197">
        <f t="shared" si="0"/>
        <v>-8.5412479514216377E-3</v>
      </c>
      <c r="E16" s="197">
        <f t="shared" si="5"/>
        <v>1.0000000000000004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18630.053699999989</v>
      </c>
      <c r="D17" s="204">
        <f>SUM(D4:D16)</f>
        <v>1.0000000000000004</v>
      </c>
      <c r="J17" s="203">
        <f>SUM(J4:J16)</f>
        <v>45</v>
      </c>
      <c r="K17" s="204">
        <f>SUM(K4:K16)</f>
        <v>1</v>
      </c>
    </row>
    <row r="19" spans="2:16" ht="16" hidden="1" outlineLevel="1" thickBot="1">
      <c r="B19" s="458"/>
      <c r="C19" s="459"/>
      <c r="D19" s="459"/>
      <c r="E19" s="459"/>
      <c r="F19" s="459"/>
      <c r="G19" s="459"/>
      <c r="H19" s="459"/>
      <c r="I19" s="459"/>
      <c r="J19" s="459"/>
      <c r="K19" s="459"/>
      <c r="L19" s="459"/>
      <c r="M19" s="460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94" priority="10" operator="equal">
      <formula>"C"</formula>
    </cfRule>
    <cfRule type="cellIs" dxfId="93" priority="11" operator="equal">
      <formula>"B"</formula>
    </cfRule>
    <cfRule type="cellIs" dxfId="92" priority="12" operator="equal">
      <formula>"A"</formula>
    </cfRule>
  </conditionalFormatting>
  <conditionalFormatting sqref="G21:G72">
    <cfRule type="cellIs" dxfId="91" priority="7" operator="equal">
      <formula>"C"</formula>
    </cfRule>
    <cfRule type="cellIs" dxfId="90" priority="8" operator="equal">
      <formula>"B"</formula>
    </cfRule>
    <cfRule type="cellIs" dxfId="89" priority="9" operator="equal">
      <formula>"A"</formula>
    </cfRule>
  </conditionalFormatting>
  <conditionalFormatting sqref="F4:F16">
    <cfRule type="cellIs" dxfId="88" priority="4" operator="equal">
      <formula>"C"</formula>
    </cfRule>
    <cfRule type="cellIs" dxfId="87" priority="5" operator="equal">
      <formula>"B"</formula>
    </cfRule>
    <cfRule type="cellIs" dxfId="86" priority="6" operator="equal">
      <formula>"A"</formula>
    </cfRule>
  </conditionalFormatting>
  <conditionalFormatting sqref="F21:F72">
    <cfRule type="cellIs" dxfId="85" priority="1" operator="equal">
      <formula>"C"</formula>
    </cfRule>
    <cfRule type="cellIs" dxfId="84" priority="2" operator="equal">
      <formula>"B"</formula>
    </cfRule>
    <cfRule type="cellIs" dxfId="83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F54" activePane="bottomRight" state="frozen"/>
      <selection pane="topRight" activeCell="D1" sqref="D1"/>
      <selection pane="bottomLeft" activeCell="A3" sqref="A3"/>
      <selection pane="bottomRight" activeCell="AJ74" sqref="AJ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208</v>
      </c>
      <c r="B1" s="77"/>
      <c r="C1" s="76"/>
      <c r="D1" s="76"/>
      <c r="E1" s="78"/>
      <c r="F1" s="464" t="s">
        <v>47</v>
      </c>
      <c r="G1" s="464"/>
      <c r="H1" s="464"/>
      <c r="K1" s="265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267"/>
      <c r="Z1" s="80"/>
      <c r="AA1" s="80"/>
      <c r="AB1" s="80"/>
      <c r="AC1" s="215"/>
      <c r="AD1" s="216"/>
      <c r="AE1" s="215"/>
      <c r="AF1" s="468"/>
      <c r="AG1" s="468"/>
      <c r="AH1" s="266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206</v>
      </c>
      <c r="M2" s="87" t="s">
        <v>64</v>
      </c>
      <c r="N2" s="87" t="s">
        <v>207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</f>
        <v>1045</v>
      </c>
      <c r="M3" s="98"/>
      <c r="N3" s="98"/>
      <c r="O3" s="189"/>
      <c r="P3" s="101"/>
      <c r="Q3" s="98">
        <f>ЯНВАРЬ!Q3+ФЕВРАЛЬ!Q3+МАРТ!Q3</f>
        <v>566</v>
      </c>
      <c r="R3" s="98">
        <f>ЯНВАРЬ!R3+ФЕВРАЛЬ!R3+МАРТ!R3</f>
        <v>-12</v>
      </c>
      <c r="S3" s="101">
        <f>Q3+R3</f>
        <v>554</v>
      </c>
      <c r="T3" s="98">
        <f>ЯНВАРЬ!T3+ФЕВРАЛЬ!T3+МАРТ!T3</f>
        <v>470975.26</v>
      </c>
      <c r="U3" s="98">
        <f>ЯНВАРЬ!U3+ФЕВРАЛЬ!U3+МАРТ!U3</f>
        <v>-9977.41</v>
      </c>
      <c r="V3" s="101">
        <f>T3+U3</f>
        <v>460997.85000000003</v>
      </c>
      <c r="W3" s="98">
        <f>ЯНВАРЬ!W3+ФЕВРАЛЬ!W3+МАРТ!W3</f>
        <v>722356.54999999981</v>
      </c>
      <c r="X3" s="98">
        <f>ЯНВАРЬ!X3+ФЕВРАЛЬ!X3+МАРТ!X3</f>
        <v>-15295.95</v>
      </c>
      <c r="Y3" s="269">
        <f t="shared" ref="Y3:Y6" si="1">W3+X3</f>
        <v>707060.59999999986</v>
      </c>
      <c r="Z3" s="101">
        <f>L3*M3*N3/100</f>
        <v>0</v>
      </c>
      <c r="AA3" s="103">
        <f t="shared" ref="AA3:AA43" si="2">Y3/$Y$70</f>
        <v>0.1769018703795415</v>
      </c>
      <c r="AB3" s="101">
        <f>S3*I3</f>
        <v>79210.92</v>
      </c>
      <c r="AC3" s="98">
        <f>ЯНВАРЬ!AC3+ФЕВРАЛЬ!AC3+МАРТ!AC3</f>
        <v>262881.96999999986</v>
      </c>
      <c r="AD3" s="103">
        <f t="shared" ref="AD3:AD56" si="3">IF(Y3=0,0,AC3/Y3)</f>
        <v>0.37179552926580822</v>
      </c>
      <c r="AE3" s="98">
        <f>ЯНВАРЬ!AE3+ФЕВРАЛЬ!AE3+МАРТ!AE3</f>
        <v>68093.60000000002</v>
      </c>
      <c r="AF3" s="98">
        <f>ЯНВАРЬ!AF3+ФЕВРАЛЬ!AF3+МАРТ!AF3</f>
        <v>69902</v>
      </c>
      <c r="AG3" s="98">
        <f>ЯНВАРЬ!AG3+ФЕВРАЛЬ!AG3+МАРТ!AG3</f>
        <v>33774</v>
      </c>
      <c r="AH3" s="98">
        <f>ЯНВАРЬ!AH3+ФЕВРАЛЬ!AH3+МАРТ!AH3</f>
        <v>0</v>
      </c>
      <c r="AI3" s="98">
        <f>ЯНВАРЬ!AI3+ФЕВРАЛЬ!AI3+МАРТ!AI3</f>
        <v>2816.5736052238572</v>
      </c>
      <c r="AJ3" s="98">
        <f>ЯНВАРЬ!AJ3+ФЕВРАЛЬ!AJ3+МАРТ!AJ3</f>
        <v>0</v>
      </c>
      <c r="AK3" s="98">
        <f>ЯНВАРЬ!AK3+ФЕВРАЛЬ!AK3+МАРТ!AK3</f>
        <v>4660.6526234004459</v>
      </c>
      <c r="AL3" s="105">
        <f>Y3-AB3-AC3-AE3-AF3-AG3-AH3-AI3-AK3-AJ3</f>
        <v>185720.88377137564</v>
      </c>
      <c r="AM3" s="106"/>
      <c r="AN3" s="107">
        <f t="shared" ref="AN3:AN43" si="4">IF(S3=0,0,Y3/S3)</f>
        <v>1276.2826714801442</v>
      </c>
      <c r="AO3" s="108">
        <f t="shared" ref="AO3:AO43" si="5">I3</f>
        <v>142.97999999999999</v>
      </c>
      <c r="AP3" s="108">
        <f t="shared" ref="AP3:AP43" si="6">IF(S3=0,0,AC3/S3)</f>
        <v>474.51619133573979</v>
      </c>
      <c r="AQ3" s="108">
        <f>IF(Q3=0,AE3/1,AE3/Q3)</f>
        <v>120.30671378091877</v>
      </c>
      <c r="AR3" s="108">
        <f>IF(Q3=0,0,(AF3+AG3)/Q3)</f>
        <v>183.1731448763251</v>
      </c>
      <c r="AS3" s="108">
        <f>_xlfn.IFS(S3=0,AL3,S3&lt;0,AL3/-S3,S3&gt;0,AL3/S3)</f>
        <v>335.23625229490187</v>
      </c>
      <c r="AT3" s="103">
        <f t="shared" ref="AT3" si="7">IF(AN3=0,0,AS3/AN3)</f>
        <v>0.26266614738733235</v>
      </c>
      <c r="AU3" s="103">
        <f t="shared" ref="AU3" si="8">IF(AO3=0,0,AS3/AO3)</f>
        <v>2.3446373779193026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</f>
        <v>1980</v>
      </c>
      <c r="M4" s="98"/>
      <c r="N4" s="98"/>
      <c r="O4" s="189"/>
      <c r="P4" s="101"/>
      <c r="Q4" s="98">
        <f>ЯНВАРЬ!Q4+ФЕВРАЛЬ!Q4+МАРТ!Q4</f>
        <v>1062</v>
      </c>
      <c r="R4" s="98">
        <f>ЯНВАРЬ!R4+ФЕВРАЛЬ!R4+МАРТ!R4</f>
        <v>-19</v>
      </c>
      <c r="S4" s="101">
        <f t="shared" ref="S4:S56" si="10">Q4+R4</f>
        <v>1043</v>
      </c>
      <c r="T4" s="98">
        <f>ЯНВАРЬ!T4+ФЕВРАЛЬ!T4+МАРТ!T4</f>
        <v>762413.85000000009</v>
      </c>
      <c r="U4" s="98">
        <f>ЯНВАРЬ!U4+ФЕВРАЛЬ!U4+МАРТ!U4</f>
        <v>-14402.11</v>
      </c>
      <c r="V4" s="101">
        <f t="shared" ref="V4:V6" si="11">T4+U4</f>
        <v>748011.74000000011</v>
      </c>
      <c r="W4" s="98">
        <f>ЯНВАРЬ!W4+ФЕВРАЛЬ!W4+МАРТ!W4</f>
        <v>1143588.31</v>
      </c>
      <c r="X4" s="98">
        <f>ЯНВАРЬ!X4+ФЕВРАЛЬ!X4+МАРТ!X4</f>
        <v>-21290.080000000002</v>
      </c>
      <c r="Y4" s="269">
        <f t="shared" si="1"/>
        <v>1122298.23</v>
      </c>
      <c r="Z4" s="101">
        <f t="shared" ref="Z4:Z43" si="12">L4*M4*N4/100</f>
        <v>0</v>
      </c>
      <c r="AA4" s="103">
        <f t="shared" si="2"/>
        <v>0.2807915700728465</v>
      </c>
      <c r="AB4" s="101">
        <f t="shared" ref="AB4:AB43" si="13">S4*I4</f>
        <v>128382.87000000001</v>
      </c>
      <c r="AC4" s="98">
        <f>ЯНВАРЬ!AC4+ФЕВРАЛЬ!AC4+МАРТ!AC4</f>
        <v>421497.33999999997</v>
      </c>
      <c r="AD4" s="103">
        <f t="shared" si="3"/>
        <v>0.37556625211820921</v>
      </c>
      <c r="AE4" s="98">
        <f>ЯНВАРЬ!AE4+ФЕВРАЛЬ!AE4+МАРТ!AE4</f>
        <v>109123.42</v>
      </c>
      <c r="AF4" s="98">
        <f>ЯНВАРЬ!AF4+ФЕВРАЛЬ!AF4+МАРТ!AF4</f>
        <v>73392</v>
      </c>
      <c r="AG4" s="98">
        <f>ЯНВАРЬ!AG4+ФЕВРАЛЬ!AG4+МАРТ!AG4</f>
        <v>27966</v>
      </c>
      <c r="AH4" s="98">
        <f>ЯНВАРЬ!AH4+ФЕВРАЛЬ!AH4+МАРТ!AH4</f>
        <v>0</v>
      </c>
      <c r="AI4" s="98">
        <f>ЯНВАРЬ!AI4+ФЕВРАЛЬ!AI4+МАРТ!AI4</f>
        <v>2562.9008188124571</v>
      </c>
      <c r="AJ4" s="98">
        <f>ЯНВАРЬ!AJ4+ФЕВРАЛЬ!AJ4+МАРТ!AJ4</f>
        <v>0</v>
      </c>
      <c r="AK4" s="98">
        <f>ЯНВАРЬ!AK4+ФЕВРАЛЬ!AK4+МАРТ!AK4</f>
        <v>7446.3072564657195</v>
      </c>
      <c r="AL4" s="105">
        <f t="shared" ref="AL4:AL56" si="14">Y4-AB4-AC4-AE4-AF4-AG4-AH4-AI4-AK4-AJ4</f>
        <v>351927.39192472183</v>
      </c>
      <c r="AM4" s="106"/>
      <c r="AN4" s="107">
        <f t="shared" si="4"/>
        <v>1076.0289837008629</v>
      </c>
      <c r="AO4" s="108">
        <f t="shared" si="5"/>
        <v>123.09</v>
      </c>
      <c r="AP4" s="108">
        <f t="shared" si="6"/>
        <v>404.12017257909872</v>
      </c>
      <c r="AQ4" s="108">
        <f t="shared" ref="AQ4:AQ43" si="15">IF(Q4=0,AE4/1,AE4/Q4)</f>
        <v>102.75274952919021</v>
      </c>
      <c r="AR4" s="108">
        <f t="shared" ref="AR4:AR43" si="16">IF(Q4=0,0,(AF4+AG4)/Q4)</f>
        <v>95.440677966101688</v>
      </c>
      <c r="AS4" s="108">
        <f t="array" ref="AS4">_xlfn.IFS(S4=0,AL4,S4&lt;0,AL4/-S4,S4&gt;0,AL4/S4)</f>
        <v>337.41840069484357</v>
      </c>
      <c r="AT4" s="103">
        <f>IF(AN4=0,0,AS4/AN4)</f>
        <v>0.31357742756550711</v>
      </c>
      <c r="AU4" s="103">
        <f>IF(AO4=0,0,AS4/AO4)</f>
        <v>2.7412332496128324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</f>
        <v>280</v>
      </c>
      <c r="M5" s="98"/>
      <c r="N5" s="98"/>
      <c r="O5" s="189"/>
      <c r="P5" s="101"/>
      <c r="Q5" s="98">
        <f>ЯНВАРЬ!Q5+ФЕВРАЛЬ!Q5+МАРТ!Q5</f>
        <v>162</v>
      </c>
      <c r="R5" s="98">
        <f>ЯНВАРЬ!R5+ФЕВРАЛЬ!R5+МАРТ!R5</f>
        <v>-1</v>
      </c>
      <c r="S5" s="101">
        <f t="shared" si="10"/>
        <v>161</v>
      </c>
      <c r="T5" s="98">
        <f>ЯНВАРЬ!T5+ФЕВРАЛЬ!T5+МАРТ!T5</f>
        <v>120178.80000000002</v>
      </c>
      <c r="U5" s="98">
        <f>ЯНВАРЬ!U5+ФЕВРАЛЬ!U5+МАРТ!U5</f>
        <v>-724</v>
      </c>
      <c r="V5" s="101">
        <f t="shared" si="11"/>
        <v>119454.80000000002</v>
      </c>
      <c r="W5" s="98">
        <f>ЯНВАРЬ!W5+ФЕВРАЛЬ!W5+МАРТ!W5</f>
        <v>185679.53000000003</v>
      </c>
      <c r="X5" s="98">
        <f>ЯНВАРЬ!X5+ФЕВРАЛЬ!X5+МАРТ!X5</f>
        <v>-1114</v>
      </c>
      <c r="Y5" s="269">
        <f t="shared" si="1"/>
        <v>184565.53000000003</v>
      </c>
      <c r="Z5" s="101">
        <f t="shared" si="12"/>
        <v>0</v>
      </c>
      <c r="AA5" s="103">
        <f t="shared" si="2"/>
        <v>4.6177070911024298E-2</v>
      </c>
      <c r="AB5" s="101">
        <f t="shared" si="13"/>
        <v>19817.490000000002</v>
      </c>
      <c r="AC5" s="98">
        <f>ЯНВАРЬ!AC5+ФЕВРАЛЬ!AC5+МАРТ!AC5</f>
        <v>68658.469999999972</v>
      </c>
      <c r="AD5" s="103">
        <f t="shared" si="3"/>
        <v>0.37200050301917137</v>
      </c>
      <c r="AE5" s="98">
        <f>ЯНВАРЬ!AE5+ФЕВРАЛЬ!AE5+МАРТ!AE5</f>
        <v>17303.189999999995</v>
      </c>
      <c r="AF5" s="98">
        <f>ЯНВАРЬ!AF5+ФЕВРАЛЬ!AF5+МАРТ!AF5</f>
        <v>26691</v>
      </c>
      <c r="AG5" s="98">
        <f>ЯНВАРЬ!AG5+ФЕВРАЛЬ!AG5+МАРТ!AG5</f>
        <v>5557</v>
      </c>
      <c r="AH5" s="98">
        <f>ЯНВАРЬ!AH5+ФЕВРАЛЬ!AH5+МАРТ!AH5</f>
        <v>0</v>
      </c>
      <c r="AI5" s="98">
        <f>ЯНВАРЬ!AI5+ФЕВРАЛЬ!AI5+МАРТ!AI5</f>
        <v>2730.801889207351</v>
      </c>
      <c r="AJ5" s="98">
        <f>ЯНВАРЬ!AJ5+ФЕВРАЛЬ!AJ5+МАРТ!AJ5</f>
        <v>0</v>
      </c>
      <c r="AK5" s="98">
        <f>ЯНВАРЬ!AK5+ФЕВРАЛЬ!AK5+МАРТ!AK5</f>
        <v>1205.6179350005389</v>
      </c>
      <c r="AL5" s="105">
        <f t="shared" si="14"/>
        <v>42601.96017579217</v>
      </c>
      <c r="AM5" s="106"/>
      <c r="AN5" s="107">
        <f t="shared" si="4"/>
        <v>1146.3697515527952</v>
      </c>
      <c r="AO5" s="108">
        <f t="shared" si="5"/>
        <v>123.09</v>
      </c>
      <c r="AP5" s="108">
        <f t="shared" si="6"/>
        <v>426.4501242236023</v>
      </c>
      <c r="AQ5" s="108">
        <f t="shared" si="15"/>
        <v>106.80981481481479</v>
      </c>
      <c r="AR5" s="108">
        <f t="shared" si="16"/>
        <v>199.06172839506172</v>
      </c>
      <c r="AS5" s="108">
        <f t="array" ref="AS5">_xlfn.IFS(S5=0,AL5,S5&lt;0,AL5/-S5,S5&gt;0,AL5/S5)</f>
        <v>264.60844829684578</v>
      </c>
      <c r="AT5" s="103">
        <f>IF(AN5=0,0,AS5/AN5)</f>
        <v>0.23082295039486608</v>
      </c>
      <c r="AU5" s="103">
        <f>IF(AO5=0,0,AS5/AO5)</f>
        <v>2.1497152351681352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</f>
        <v>352</v>
      </c>
      <c r="M6" s="98"/>
      <c r="N6" s="98"/>
      <c r="O6" s="189"/>
      <c r="P6" s="101"/>
      <c r="Q6" s="98">
        <f>ЯНВАРЬ!Q6+ФЕВРАЛЬ!Q6+МАРТ!Q6</f>
        <v>218</v>
      </c>
      <c r="R6" s="98">
        <f>ЯНВАРЬ!R6+ФЕВРАЛЬ!R6+МАРТ!R6</f>
        <v>-4</v>
      </c>
      <c r="S6" s="101">
        <f t="shared" si="10"/>
        <v>214</v>
      </c>
      <c r="T6" s="98">
        <f>ЯНВАРЬ!T6+ФЕВРАЛЬ!T6+МАРТ!T6</f>
        <v>169979.96000000002</v>
      </c>
      <c r="U6" s="98">
        <f>ЯНВАРЬ!U6+ФЕВРАЛЬ!U6+МАРТ!U6</f>
        <v>-3008</v>
      </c>
      <c r="V6" s="101">
        <f t="shared" si="11"/>
        <v>166971.96000000002</v>
      </c>
      <c r="W6" s="98">
        <f>ЯНВАРЬ!W6+ФЕВРАЛЬ!W6+МАРТ!W6</f>
        <v>262760.46999999997</v>
      </c>
      <c r="X6" s="98">
        <f>ЯНВАРЬ!X6+ФЕВРАЛЬ!X6+МАРТ!X6</f>
        <v>-4828</v>
      </c>
      <c r="Y6" s="269">
        <f t="shared" si="1"/>
        <v>257932.46999999997</v>
      </c>
      <c r="Z6" s="101">
        <f t="shared" si="12"/>
        <v>0</v>
      </c>
      <c r="AA6" s="103">
        <f t="shared" si="2"/>
        <v>6.4532992468559244E-2</v>
      </c>
      <c r="AB6" s="101">
        <f t="shared" si="13"/>
        <v>26341.260000000002</v>
      </c>
      <c r="AC6" s="98">
        <f>ЯНВАРЬ!AC6+ФЕВРАЛЬ!AC6+МАРТ!AC6</f>
        <v>96110.210000000021</v>
      </c>
      <c r="AD6" s="103">
        <f t="shared" si="3"/>
        <v>0.37261772432140877</v>
      </c>
      <c r="AE6" s="98">
        <f>ЯНВАРЬ!AE6+ФЕВРАЛЬ!AE6+МАРТ!AE6</f>
        <v>18043.060000000009</v>
      </c>
      <c r="AF6" s="98">
        <f>ЯНВАРЬ!AF6+ФЕВРАЛЬ!AF6+МАРТ!AF6</f>
        <v>20000</v>
      </c>
      <c r="AG6" s="98">
        <f>ЯНВАРЬ!AG6+ФЕВРАЛЬ!AG6+МАРТ!AG6</f>
        <v>14379</v>
      </c>
      <c r="AH6" s="98">
        <f>ЯНВАРЬ!AH6+ФЕВРАЛЬ!AH6+МАРТ!AH6</f>
        <v>0</v>
      </c>
      <c r="AI6" s="98">
        <f>ЯНВАРЬ!AI6+ФЕВРАЛЬ!AI6+МАРТ!AI6</f>
        <v>2445.5900325264688</v>
      </c>
      <c r="AJ6" s="98">
        <f>ЯНВАРЬ!AJ6+ФЕВРАЛЬ!AJ6+МАРТ!AJ6</f>
        <v>0</v>
      </c>
      <c r="AK6" s="98">
        <f>ЯНВАРЬ!AK6+ФЕВРАЛЬ!AK6+МАРТ!AK6</f>
        <v>1684.0286015299021</v>
      </c>
      <c r="AL6" s="105">
        <f t="shared" si="14"/>
        <v>78929.321365943557</v>
      </c>
      <c r="AM6" s="106"/>
      <c r="AN6" s="107">
        <f t="shared" si="4"/>
        <v>1205.2919158878503</v>
      </c>
      <c r="AO6" s="108">
        <f t="shared" si="5"/>
        <v>123.09</v>
      </c>
      <c r="AP6" s="108">
        <f t="shared" si="6"/>
        <v>449.11313084112157</v>
      </c>
      <c r="AQ6" s="108">
        <f t="shared" si="15"/>
        <v>82.766330275229393</v>
      </c>
      <c r="AR6" s="108">
        <f t="shared" si="16"/>
        <v>157.70183486238531</v>
      </c>
      <c r="AS6" s="108">
        <f t="array" ref="AS6">_xlfn.IFS(S6=0,AL6,S6&lt;0,AL6/-S6,S6&gt;0,AL6/S6)</f>
        <v>368.82860451375495</v>
      </c>
      <c r="AT6" s="103">
        <f t="shared" ref="AT6:AT43" si="17">IF(AN6=0,0,AS6/AN6)</f>
        <v>0.30600769792939825</v>
      </c>
      <c r="AU6" s="103">
        <f t="shared" ref="AU6:AU43" si="18">IF(AO6=0,0,AS6/AO6)</f>
        <v>2.9964140426822241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</f>
        <v>222</v>
      </c>
      <c r="M7" s="98"/>
      <c r="N7" s="98"/>
      <c r="O7" s="189"/>
      <c r="P7" s="101"/>
      <c r="Q7" s="98">
        <f>ЯНВАРЬ!Q7+ФЕВРАЛЬ!Q7+МАРТ!Q7</f>
        <v>108</v>
      </c>
      <c r="R7" s="98">
        <f>ЯНВАРЬ!R7+ФЕВРАЛЬ!R7+МАРТ!R7</f>
        <v>-1</v>
      </c>
      <c r="S7" s="101">
        <f t="shared" si="10"/>
        <v>107</v>
      </c>
      <c r="T7" s="98">
        <f>ЯНВАРЬ!T7+ФЕВРАЛЬ!T7+МАРТ!T7</f>
        <v>81212.180000000008</v>
      </c>
      <c r="U7" s="98">
        <f>ЯНВАРЬ!U7+ФЕВРАЛЬ!U7+МАРТ!U7</f>
        <v>-802</v>
      </c>
      <c r="V7" s="101">
        <f>T7+U7</f>
        <v>80410.180000000008</v>
      </c>
      <c r="W7" s="98">
        <f>ЯНВАРЬ!W7+ФЕВРАЛЬ!W7+МАРТ!W7</f>
        <v>128819.36</v>
      </c>
      <c r="X7" s="98">
        <f>ЯНВАРЬ!X7+ФЕВРАЛЬ!X7+МАРТ!X7</f>
        <v>-1294</v>
      </c>
      <c r="Y7" s="269">
        <f>W7+X7</f>
        <v>127525.36</v>
      </c>
      <c r="Z7" s="101">
        <f t="shared" si="12"/>
        <v>0</v>
      </c>
      <c r="AA7" s="103">
        <f t="shared" si="2"/>
        <v>3.1905998870286889E-2</v>
      </c>
      <c r="AB7" s="101">
        <f t="shared" si="13"/>
        <v>13170.630000000001</v>
      </c>
      <c r="AC7" s="98">
        <f>ЯНВАРЬ!AC7+ФЕВРАЛЬ!AC7+МАРТ!AC7</f>
        <v>47435.340000000011</v>
      </c>
      <c r="AD7" s="103">
        <f t="shared" si="3"/>
        <v>0.37196789720883761</v>
      </c>
      <c r="AE7" s="98">
        <f>ЯНВАРЬ!AE7+ФЕВРАЛЬ!AE7+МАРТ!AE7</f>
        <v>14737.580000000002</v>
      </c>
      <c r="AF7" s="98">
        <f>ЯНВАРЬ!AF7+ФЕВРАЛЬ!AF7+МАРТ!AF7</f>
        <v>17000</v>
      </c>
      <c r="AG7" s="98">
        <f>ЯНВАРЬ!AG7+ФЕВРАЛЬ!AG7+МАРТ!AG7</f>
        <v>13296</v>
      </c>
      <c r="AH7" s="98">
        <f>ЯНВАРЬ!AH7+ФЕВРАЛЬ!AH7+МАРТ!AH7</f>
        <v>0</v>
      </c>
      <c r="AI7" s="98">
        <f>ЯНВАРЬ!AI7+ФЕВРАЛЬ!AI7+МАРТ!AI7</f>
        <v>2071.5990977008032</v>
      </c>
      <c r="AJ7" s="98">
        <f>ЯНВАРЬ!AJ7+ФЕВРАЛЬ!AJ7+МАРТ!AJ7</f>
        <v>0</v>
      </c>
      <c r="AK7" s="98">
        <f>ЯНВАРЬ!AK7+ФЕВРАЛЬ!AK7+МАРТ!AK7</f>
        <v>818.44418997166758</v>
      </c>
      <c r="AL7" s="105">
        <f t="shared" si="14"/>
        <v>18995.76671232751</v>
      </c>
      <c r="AM7" s="106"/>
      <c r="AN7" s="107">
        <f t="shared" si="4"/>
        <v>1191.8257943925234</v>
      </c>
      <c r="AO7" s="108">
        <f t="shared" si="5"/>
        <v>123.09</v>
      </c>
      <c r="AP7" s="108">
        <f t="shared" si="6"/>
        <v>443.32093457943938</v>
      </c>
      <c r="AQ7" s="108">
        <f t="shared" si="15"/>
        <v>136.4590740740741</v>
      </c>
      <c r="AR7" s="108">
        <f t="shared" si="16"/>
        <v>280.51851851851853</v>
      </c>
      <c r="AS7" s="108">
        <f t="array" ref="AS7">_xlfn.IFS(S7=0,AL7,S7&lt;0,AL7/-S7,S7&gt;0,AL7/S7)</f>
        <v>177.53053002175241</v>
      </c>
      <c r="AT7" s="103">
        <f t="shared" si="17"/>
        <v>0.14895677779170752</v>
      </c>
      <c r="AU7" s="103">
        <f t="shared" si="18"/>
        <v>1.4422823139308831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</f>
        <v>577</v>
      </c>
      <c r="M8" s="98"/>
      <c r="N8" s="98"/>
      <c r="O8" s="189"/>
      <c r="P8" s="101"/>
      <c r="Q8" s="98">
        <f>ЯНВАРЬ!Q8+ФЕВРАЛЬ!Q8+МАРТ!Q8</f>
        <v>396</v>
      </c>
      <c r="R8" s="98">
        <f>ЯНВАРЬ!R8+ФЕВРАЛЬ!R8+МАРТ!R8</f>
        <v>-4</v>
      </c>
      <c r="S8" s="101">
        <f t="shared" si="10"/>
        <v>392</v>
      </c>
      <c r="T8" s="98">
        <f>ЯНВАРЬ!T8+ФЕВРАЛЬ!T8+МАРТ!T8</f>
        <v>322098.27</v>
      </c>
      <c r="U8" s="98">
        <f>ЯНВАРЬ!U8+ФЕВРАЛЬ!U8+МАРТ!U8</f>
        <v>-2933</v>
      </c>
      <c r="V8" s="101">
        <f t="shared" ref="V8:V56" si="19">T8+U8</f>
        <v>319165.27</v>
      </c>
      <c r="W8" s="98">
        <f>ЯНВАРЬ!W8+ФЕВРАЛЬ!W8+МАРТ!W8</f>
        <v>469601.2300000001</v>
      </c>
      <c r="X8" s="98">
        <f>ЯНВАРЬ!X8+ФЕВРАЛЬ!X8+МАРТ!X8</f>
        <v>-4744</v>
      </c>
      <c r="Y8" s="269">
        <f t="shared" ref="Y8:Y43" si="20">W8+X8</f>
        <v>464857.2300000001</v>
      </c>
      <c r="Z8" s="101">
        <f t="shared" si="12"/>
        <v>0</v>
      </c>
      <c r="AA8" s="103">
        <f t="shared" si="2"/>
        <v>0.11630419435965282</v>
      </c>
      <c r="AB8" s="101">
        <f t="shared" si="13"/>
        <v>48251.28</v>
      </c>
      <c r="AC8" s="98">
        <f>ЯНВАРЬ!AC8+ФЕВРАЛЬ!AC8+МАРТ!AC8</f>
        <v>171405.39000000004</v>
      </c>
      <c r="AD8" s="103">
        <f t="shared" si="3"/>
        <v>0.36872695300447411</v>
      </c>
      <c r="AE8" s="98">
        <f>ЯНВАРЬ!AE8+ФЕВРАЛЬ!AE8+МАРТ!AE8</f>
        <v>38600.55000000001</v>
      </c>
      <c r="AF8" s="98">
        <f>ЯНВАРЬ!AF8+ФЕВРАЛЬ!AF8+МАРТ!AF8</f>
        <v>31362</v>
      </c>
      <c r="AG8" s="98">
        <f>ЯНВАРЬ!AG8+ФЕВРАЛЬ!AG8+МАРТ!AG8</f>
        <v>25225</v>
      </c>
      <c r="AH8" s="98">
        <f>ЯНВАРЬ!AH8+ФЕВРАЛЬ!AH8+МАРТ!AH8</f>
        <v>0</v>
      </c>
      <c r="AI8" s="98">
        <f>ЯНВАРЬ!AI8+ФЕВРАЛЬ!AI8+МАРТ!AI8</f>
        <v>1651.8716330956104</v>
      </c>
      <c r="AJ8" s="98">
        <f>ЯНВАРЬ!AJ8+ФЕВРАЛЬ!AJ8+МАРТ!AJ8</f>
        <v>0</v>
      </c>
      <c r="AK8" s="98">
        <f>ЯНВАРЬ!AK8+ФЕВРАЛЬ!AK8+МАРТ!AK8</f>
        <v>3157.1187762826503</v>
      </c>
      <c r="AL8" s="105">
        <f t="shared" si="14"/>
        <v>145204.01959062176</v>
      </c>
      <c r="AM8" s="106"/>
      <c r="AN8" s="107">
        <f t="shared" si="4"/>
        <v>1185.8602806122451</v>
      </c>
      <c r="AO8" s="108">
        <f t="shared" si="5"/>
        <v>123.09</v>
      </c>
      <c r="AP8" s="108">
        <f t="shared" si="6"/>
        <v>437.2586479591838</v>
      </c>
      <c r="AQ8" s="108">
        <f t="shared" si="15"/>
        <v>97.476136363636385</v>
      </c>
      <c r="AR8" s="108">
        <f t="shared" si="16"/>
        <v>142.89646464646464</v>
      </c>
      <c r="AS8" s="108">
        <f t="array" ref="AS8">_xlfn.IFS(S8=0,AL8,S8&lt;0,AL8/-S8,S8&gt;0,AL8/S8)</f>
        <v>370.41841732301469</v>
      </c>
      <c r="AT8" s="103">
        <f t="shared" si="17"/>
        <v>0.31236261419580746</v>
      </c>
      <c r="AU8" s="103">
        <f t="shared" si="18"/>
        <v>3.0093298994476778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</f>
        <v>386</v>
      </c>
      <c r="M9" s="98"/>
      <c r="N9" s="98"/>
      <c r="O9" s="189"/>
      <c r="P9" s="101"/>
      <c r="Q9" s="98">
        <f>ЯНВАРЬ!Q9+ФЕВРАЛЬ!Q9+МАРТ!Q9</f>
        <v>193</v>
      </c>
      <c r="R9" s="98">
        <f>ЯНВАРЬ!R9+ФЕВРАЛЬ!R9+МАРТ!R9</f>
        <v>-4</v>
      </c>
      <c r="S9" s="101">
        <f t="shared" si="10"/>
        <v>189</v>
      </c>
      <c r="T9" s="98">
        <f>ЯНВАРЬ!T9+ФЕВРАЛЬ!T9+МАРТ!T9</f>
        <v>157670.26999999999</v>
      </c>
      <c r="U9" s="98">
        <f>ЯНВАРЬ!U9+ФЕВРАЛЬ!U9+МАРТ!U9</f>
        <v>-3322</v>
      </c>
      <c r="V9" s="101">
        <f t="shared" si="19"/>
        <v>154348.26999999999</v>
      </c>
      <c r="W9" s="98">
        <f>ЯНВАРЬ!W9+ФЕВРАЛЬ!W9+МАРТ!W9</f>
        <v>242049.24</v>
      </c>
      <c r="X9" s="98">
        <f>ЯНВАРЬ!X9+ФЕВРАЛЬ!X9+МАРТ!X9</f>
        <v>-4864</v>
      </c>
      <c r="Y9" s="269">
        <f t="shared" si="20"/>
        <v>237185.24</v>
      </c>
      <c r="Z9" s="101">
        <f t="shared" si="12"/>
        <v>0</v>
      </c>
      <c r="AA9" s="103">
        <f t="shared" si="2"/>
        <v>5.9342173191973144E-2</v>
      </c>
      <c r="AB9" s="101">
        <f t="shared" si="13"/>
        <v>32109.21</v>
      </c>
      <c r="AC9" s="98">
        <f>ЯНВАРЬ!AC9+ФЕВРАЛЬ!AC9+МАРТ!AC9</f>
        <v>88204.51</v>
      </c>
      <c r="AD9" s="103">
        <f t="shared" si="3"/>
        <v>0.37188026539931407</v>
      </c>
      <c r="AE9" s="98">
        <f>ЯНВАРЬ!AE9+ФЕВРАЛЬ!AE9+МАРТ!AE9</f>
        <v>26581.240000000005</v>
      </c>
      <c r="AF9" s="98">
        <f>ЯНВАРЬ!AF9+ФЕВРАЛЬ!AF9+МАРТ!AF9</f>
        <v>7000</v>
      </c>
      <c r="AG9" s="98">
        <f>ЯНВАРЬ!AG9+ФЕВРАЛЬ!AG9+МАРТ!AG9</f>
        <v>9842</v>
      </c>
      <c r="AH9" s="98">
        <f>ЯНВАРЬ!AH9+ФЕВРАЛЬ!AH9+МАРТ!AH9</f>
        <v>0</v>
      </c>
      <c r="AI9" s="98">
        <f>ЯНВАРЬ!AI9+ФЕВРАЛЬ!AI9+МАРТ!AI9</f>
        <v>1340.7495721657283</v>
      </c>
      <c r="AJ9" s="98">
        <f>ЯНВАРЬ!AJ9+ФЕВРАЛЬ!AJ9+МАРТ!AJ9</f>
        <v>10</v>
      </c>
      <c r="AK9" s="98">
        <f>ЯНВАРЬ!AK9+ФЕВРАЛЬ!AK9+МАРТ!AK9</f>
        <v>1565.9709873370502</v>
      </c>
      <c r="AL9" s="105">
        <f t="shared" si="14"/>
        <v>70531.559440497222</v>
      </c>
      <c r="AM9" s="106"/>
      <c r="AN9" s="107">
        <f t="shared" si="4"/>
        <v>1254.9483597883598</v>
      </c>
      <c r="AO9" s="108">
        <f t="shared" si="5"/>
        <v>169.89</v>
      </c>
      <c r="AP9" s="108">
        <f t="shared" si="6"/>
        <v>466.69052910052909</v>
      </c>
      <c r="AQ9" s="108">
        <f t="shared" si="15"/>
        <v>137.72663212435236</v>
      </c>
      <c r="AR9" s="108">
        <f t="shared" si="16"/>
        <v>87.264248704663217</v>
      </c>
      <c r="AS9" s="108">
        <f t="array" ref="AS9">_xlfn.IFS(S9=0,AL9,S9&lt;0,AL9/-S9,S9&gt;0,AL9/S9)</f>
        <v>373.18285418252498</v>
      </c>
      <c r="AT9" s="103">
        <f t="shared" si="17"/>
        <v>0.29736909194053229</v>
      </c>
      <c r="AU9" s="103">
        <f t="shared" si="18"/>
        <v>2.1966145987552239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</f>
        <v>48</v>
      </c>
      <c r="M10" s="98"/>
      <c r="N10" s="98"/>
      <c r="O10" s="189"/>
      <c r="P10" s="101"/>
      <c r="Q10" s="98">
        <f>ЯНВАРЬ!Q10+ФЕВРАЛЬ!Q10+МАРТ!Q10</f>
        <v>21</v>
      </c>
      <c r="R10" s="98">
        <f>ЯНВАРЬ!R10+ФЕВРАЛЬ!R10+МАРТ!R10</f>
        <v>-1</v>
      </c>
      <c r="S10" s="101">
        <f t="shared" si="10"/>
        <v>20</v>
      </c>
      <c r="T10" s="98">
        <f>ЯНВАРЬ!T10+ФЕВРАЛЬ!T10+МАРТ!T10</f>
        <v>16916.36</v>
      </c>
      <c r="U10" s="98">
        <f>ЯНВАРЬ!U10+ФЕВРАЛЬ!U10+МАРТ!U10</f>
        <v>-931</v>
      </c>
      <c r="V10" s="101">
        <f t="shared" si="19"/>
        <v>15985.36</v>
      </c>
      <c r="W10" s="98">
        <f>ЯНВАРЬ!W10+ФЕВРАЛЬ!W10+МАРТ!W10</f>
        <v>25512.639999999999</v>
      </c>
      <c r="X10" s="98">
        <f>ЯНВАРЬ!X10+ФЕВРАЛЬ!X10+МАРТ!X10</f>
        <v>-1199</v>
      </c>
      <c r="Y10" s="269">
        <f t="shared" si="20"/>
        <v>24313.64</v>
      </c>
      <c r="Z10" s="101">
        <f t="shared" si="12"/>
        <v>0</v>
      </c>
      <c r="AA10" s="103">
        <f t="shared" si="2"/>
        <v>6.0831113934715578E-3</v>
      </c>
      <c r="AB10" s="101">
        <f t="shared" si="13"/>
        <v>3397.7999999999997</v>
      </c>
      <c r="AC10" s="98">
        <f>ЯНВАРЬ!AC10+ФЕВРАЛЬ!AC10+МАРТ!AC10</f>
        <v>9022.7900000000009</v>
      </c>
      <c r="AD10" s="103">
        <f t="shared" si="3"/>
        <v>0.37109992580296497</v>
      </c>
      <c r="AE10" s="98">
        <f>ЯНВАРЬ!AE10+ФЕВРАЛЬ!AE10+МАРТ!AE10</f>
        <v>3490.2999999999997</v>
      </c>
      <c r="AF10" s="98">
        <f>ЯНВАРЬ!AF10+ФЕВРАЛЬ!AF10+МАРТ!AF10</f>
        <v>4000</v>
      </c>
      <c r="AG10" s="98">
        <f>ЯНВАРЬ!AG10+ФЕВРАЛЬ!AG10+МАРТ!AG10</f>
        <v>3000</v>
      </c>
      <c r="AH10" s="98">
        <f>ЯНВАРЬ!AH10+ФЕВРАЛЬ!AH10+МАРТ!AH10</f>
        <v>0</v>
      </c>
      <c r="AI10" s="98">
        <f>ЯНВАРЬ!AI10+ФЕВРАЛЬ!AI10+МАРТ!AI10</f>
        <v>224.16076224093558</v>
      </c>
      <c r="AJ10" s="98">
        <f>ЯНВАРЬ!AJ10+ФЕВРАЛЬ!AJ10+МАРТ!AJ10</f>
        <v>0</v>
      </c>
      <c r="AK10" s="98">
        <f>ЯНВАРЬ!AK10+ФЕВРАЛЬ!AK10+МАРТ!AK10</f>
        <v>159.63108179210715</v>
      </c>
      <c r="AL10" s="105">
        <f t="shared" si="14"/>
        <v>1018.9581559669573</v>
      </c>
      <c r="AM10" s="106"/>
      <c r="AN10" s="107">
        <f t="shared" si="4"/>
        <v>1215.682</v>
      </c>
      <c r="AO10" s="108">
        <f t="shared" si="5"/>
        <v>169.89</v>
      </c>
      <c r="AP10" s="108">
        <f t="shared" si="6"/>
        <v>451.13950000000006</v>
      </c>
      <c r="AQ10" s="108">
        <f t="shared" si="15"/>
        <v>166.20476190476188</v>
      </c>
      <c r="AR10" s="108">
        <f t="shared" si="16"/>
        <v>333.33333333333331</v>
      </c>
      <c r="AS10" s="108">
        <f t="array" ref="AS10">_xlfn.IFS(S10=0,AL10,S10&lt;0,AL10/-S10,S10&gt;0,AL10/S10)</f>
        <v>50.947907798347863</v>
      </c>
      <c r="AT10" s="103">
        <f t="shared" si="17"/>
        <v>4.1908910223518864E-2</v>
      </c>
      <c r="AU10" s="103">
        <f t="shared" si="18"/>
        <v>0.29988762021512666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</f>
        <v>39</v>
      </c>
      <c r="M11" s="98"/>
      <c r="N11" s="98"/>
      <c r="O11" s="189"/>
      <c r="P11" s="101"/>
      <c r="Q11" s="98">
        <f>ЯНВАРЬ!Q11+ФЕВРАЛЬ!Q11+МАРТ!Q11</f>
        <v>20</v>
      </c>
      <c r="R11" s="98">
        <f>ЯНВАРЬ!R11+ФЕВРАЛЬ!R11+МАРТ!R11</f>
        <v>0</v>
      </c>
      <c r="S11" s="101">
        <f t="shared" si="10"/>
        <v>20</v>
      </c>
      <c r="T11" s="98">
        <f>ЯНВАРЬ!T11+ФЕВРАЛЬ!T11+МАРТ!T11</f>
        <v>13987</v>
      </c>
      <c r="U11" s="98">
        <f>ЯНВАРЬ!U11+ФЕВРАЛЬ!U11+МАРТ!U11</f>
        <v>0</v>
      </c>
      <c r="V11" s="101">
        <f t="shared" si="19"/>
        <v>13987</v>
      </c>
      <c r="W11" s="98">
        <f>ЯНВАРЬ!W11+ФЕВРАЛЬ!W11+МАРТ!W11</f>
        <v>21590</v>
      </c>
      <c r="X11" s="98">
        <f>ЯНВАРЬ!X11+ФЕВРАЛЬ!X11+МАРТ!X11</f>
        <v>0</v>
      </c>
      <c r="Y11" s="269">
        <f t="shared" si="20"/>
        <v>21590</v>
      </c>
      <c r="Z11" s="101">
        <f t="shared" si="12"/>
        <v>0</v>
      </c>
      <c r="AA11" s="103">
        <f t="shared" si="2"/>
        <v>5.401674738338272E-3</v>
      </c>
      <c r="AB11" s="101">
        <f t="shared" si="13"/>
        <v>3397.7999999999997</v>
      </c>
      <c r="AC11" s="98">
        <f>ЯНВАРЬ!AC11+ФЕВРАЛЬ!AC11+МАРТ!AC11</f>
        <v>8076.6399999999994</v>
      </c>
      <c r="AD11" s="103">
        <f t="shared" si="3"/>
        <v>0.37409170912459472</v>
      </c>
      <c r="AE11" s="98">
        <f>ЯНВАРЬ!AE11+ФЕВРАЛЬ!AE11+МАРТ!AE11</f>
        <v>2314.2399999999998</v>
      </c>
      <c r="AF11" s="98">
        <f>ЯНВАРЬ!AF11+ФЕВРАЛЬ!AF11+МАРТ!AF11</f>
        <v>0</v>
      </c>
      <c r="AG11" s="98">
        <f>ЯНВАРЬ!AG11+ФЕВРАЛЬ!AG11+МАРТ!AG11</f>
        <v>0</v>
      </c>
      <c r="AH11" s="98">
        <f>ЯНВАРЬ!AH11+ФЕВРАЛЬ!AH11+МАРТ!AH11</f>
        <v>0</v>
      </c>
      <c r="AI11" s="98">
        <f>ЯНВАРЬ!AI11+ФЕВРАЛЬ!AI11+МАРТ!AI11</f>
        <v>261.66424878707886</v>
      </c>
      <c r="AJ11" s="98">
        <f>ЯНВАРЬ!AJ11+ФЕВРАЛЬ!AJ11+МАРТ!AJ11</f>
        <v>0</v>
      </c>
      <c r="AK11" s="98">
        <f>ЯНВАРЬ!AK11+ФЕВРАЛЬ!AK11+МАРТ!AK11</f>
        <v>141.96764919354479</v>
      </c>
      <c r="AL11" s="105">
        <f t="shared" si="14"/>
        <v>7397.6881020193778</v>
      </c>
      <c r="AM11" s="106"/>
      <c r="AN11" s="107">
        <f t="shared" si="4"/>
        <v>1079.5</v>
      </c>
      <c r="AO11" s="108">
        <f t="shared" si="5"/>
        <v>169.89</v>
      </c>
      <c r="AP11" s="108">
        <f t="shared" si="6"/>
        <v>403.83199999999999</v>
      </c>
      <c r="AQ11" s="108">
        <f t="shared" si="15"/>
        <v>115.71199999999999</v>
      </c>
      <c r="AR11" s="108">
        <f t="shared" si="16"/>
        <v>0</v>
      </c>
      <c r="AS11" s="108">
        <f t="array" ref="AS11">_xlfn.IFS(S11=0,AL11,S11&lt;0,AL11/-S11,S11&gt;0,AL11/S11)</f>
        <v>369.88440510096888</v>
      </c>
      <c r="AT11" s="103">
        <f t="shared" si="17"/>
        <v>0.34264419184897532</v>
      </c>
      <c r="AU11" s="103">
        <f t="shared" si="18"/>
        <v>2.177199394319671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</f>
        <v>83</v>
      </c>
      <c r="M12" s="98"/>
      <c r="N12" s="98"/>
      <c r="O12" s="189"/>
      <c r="P12" s="101"/>
      <c r="Q12" s="98">
        <f>ЯНВАРЬ!Q12+ФЕВРАЛЬ!Q12+МАРТ!Q12</f>
        <v>43</v>
      </c>
      <c r="R12" s="98">
        <f>ЯНВАРЬ!R12+ФЕВРАЛЬ!R12+МАРТ!R12</f>
        <v>-1</v>
      </c>
      <c r="S12" s="101">
        <f t="shared" si="10"/>
        <v>42</v>
      </c>
      <c r="T12" s="98">
        <f>ЯНВАРЬ!T12+ФЕВРАЛЬ!T12+МАРТ!T12</f>
        <v>31875.690000000002</v>
      </c>
      <c r="U12" s="98">
        <f>ЯНВАРЬ!U12+ФЕВРАЛЬ!U12+МАРТ!U12</f>
        <v>-693</v>
      </c>
      <c r="V12" s="101">
        <f t="shared" si="19"/>
        <v>31182.690000000002</v>
      </c>
      <c r="W12" s="98">
        <f>ЯНВАРЬ!W12+ФЕВРАЛЬ!W12+МАРТ!W12</f>
        <v>49018.57</v>
      </c>
      <c r="X12" s="98">
        <f>ЯНВАРЬ!X12+ФЕВРАЛЬ!X12+МАРТ!X12</f>
        <v>-1110</v>
      </c>
      <c r="Y12" s="269">
        <f t="shared" si="20"/>
        <v>47908.57</v>
      </c>
      <c r="Z12" s="101">
        <f t="shared" si="12"/>
        <v>0</v>
      </c>
      <c r="AA12" s="103">
        <f t="shared" si="2"/>
        <v>1.1986406313983825E-2</v>
      </c>
      <c r="AB12" s="101">
        <f t="shared" si="13"/>
        <v>7135.3799999999992</v>
      </c>
      <c r="AC12" s="98">
        <f>ЯНВАРЬ!AC12+ФЕВРАЛЬ!AC12+МАРТ!AC12</f>
        <v>17833.61</v>
      </c>
      <c r="AD12" s="103">
        <f t="shared" si="3"/>
        <v>0.37224258624292067</v>
      </c>
      <c r="AE12" s="98">
        <f>ЯНВАРЬ!AE12+ФЕВРАЛЬ!AE12+МАРТ!AE12</f>
        <v>6647.9800000000005</v>
      </c>
      <c r="AF12" s="98">
        <f>ЯНВАРЬ!AF12+ФЕВРАЛЬ!AF12+МАРТ!AF12</f>
        <v>0</v>
      </c>
      <c r="AG12" s="98">
        <f>ЯНВАРЬ!AG12+ФЕВРАЛЬ!AG12+МАРТ!AG12</f>
        <v>0</v>
      </c>
      <c r="AH12" s="98">
        <f>ЯНВАРЬ!AH12+ФЕВРАЛЬ!AH12+МАРТ!AH12</f>
        <v>0</v>
      </c>
      <c r="AI12" s="98">
        <f>ЯНВАРЬ!AI12+ФЕВРАЛЬ!AI12+МАРТ!AI12</f>
        <v>201.40691936428965</v>
      </c>
      <c r="AJ12" s="98">
        <f>ЯНВАРЬ!AJ12+ФЕВРАЛЬ!AJ12+МАРТ!AJ12</f>
        <v>20</v>
      </c>
      <c r="AK12" s="98">
        <f>ЯНВАРЬ!AK12+ФЕВРАЛЬ!AK12+МАРТ!AK12</f>
        <v>313.81755032238311</v>
      </c>
      <c r="AL12" s="105">
        <f t="shared" si="14"/>
        <v>15756.375530313329</v>
      </c>
      <c r="AM12" s="106"/>
      <c r="AN12" s="107">
        <f t="shared" si="4"/>
        <v>1140.6802380952381</v>
      </c>
      <c r="AO12" s="108">
        <f t="shared" si="5"/>
        <v>169.89</v>
      </c>
      <c r="AP12" s="108">
        <f t="shared" si="6"/>
        <v>424.60976190476191</v>
      </c>
      <c r="AQ12" s="108">
        <f t="shared" si="15"/>
        <v>154.60418604651164</v>
      </c>
      <c r="AR12" s="108">
        <f t="shared" si="16"/>
        <v>0</v>
      </c>
      <c r="AS12" s="108">
        <f t="array" ref="AS12">_xlfn.IFS(S12=0,AL12,S12&lt;0,AL12/-S12,S12&gt;0,AL12/S12)</f>
        <v>375.15179834079356</v>
      </c>
      <c r="AT12" s="103">
        <f t="shared" si="17"/>
        <v>0.32888427958324218</v>
      </c>
      <c r="AU12" s="103">
        <f t="shared" si="18"/>
        <v>2.2082041223191098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</f>
        <v>15</v>
      </c>
      <c r="M13" s="98"/>
      <c r="N13" s="98"/>
      <c r="O13" s="189"/>
      <c r="P13" s="101"/>
      <c r="Q13" s="98">
        <f>ЯНВАРЬ!Q13+ФЕВРАЛЬ!Q13+МАРТ!Q13</f>
        <v>12</v>
      </c>
      <c r="R13" s="98">
        <f>ЯНВАРЬ!R13+ФЕВРАЛЬ!R13+МАРТ!R13</f>
        <v>0</v>
      </c>
      <c r="S13" s="101">
        <f t="shared" si="10"/>
        <v>12</v>
      </c>
      <c r="T13" s="98">
        <f>ЯНВАРЬ!T13+ФЕВРАЛЬ!T13+МАРТ!T13</f>
        <v>9608</v>
      </c>
      <c r="U13" s="98">
        <f>ЯНВАРЬ!U13+ФЕВРАЛЬ!U13+МАРТ!U13</f>
        <v>0</v>
      </c>
      <c r="V13" s="101">
        <f t="shared" si="19"/>
        <v>9608</v>
      </c>
      <c r="W13" s="98">
        <f>ЯНВАРЬ!W13+ФЕВРАЛЬ!W13+МАРТ!W13</f>
        <v>14100</v>
      </c>
      <c r="X13" s="98">
        <f>ЯНВАРЬ!X13+ФЕВРАЛЬ!X13+МАРТ!X13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3.5277264386553791E-3</v>
      </c>
      <c r="AB13" s="101">
        <f t="shared" si="13"/>
        <v>2038.6799999999998</v>
      </c>
      <c r="AC13" s="98">
        <f>ЯНВАРЬ!AC13+ФЕВРАЛЬ!AC13+МАРТ!AC13</f>
        <v>5174.5999999999995</v>
      </c>
      <c r="AD13" s="103">
        <f t="shared" si="3"/>
        <v>0.36699290780141841</v>
      </c>
      <c r="AE13" s="98">
        <f>ЯНВАРЬ!AE13+ФЕВРАЛЬ!AE13+МАРТ!AE13</f>
        <v>1101.95</v>
      </c>
      <c r="AF13" s="98">
        <f>ЯНВАРЬ!AF13+ФЕВРАЛЬ!AF13+МАРТ!AF13</f>
        <v>0</v>
      </c>
      <c r="AG13" s="98">
        <f>ЯНВАРЬ!AG13+ФЕВРАЛЬ!AG13+МАРТ!AG13</f>
        <v>0</v>
      </c>
      <c r="AH13" s="98">
        <f>ЯНВАРЬ!AH13+ФЕВРАЛЬ!AH13+МАРТ!AH13</f>
        <v>0</v>
      </c>
      <c r="AI13" s="98">
        <f>ЯНВАРЬ!AI13+ФЕВРАЛЬ!AI13+МАРТ!AI13</f>
        <v>37.82446445373197</v>
      </c>
      <c r="AJ13" s="98">
        <f>ЯНВАРЬ!AJ13+ФЕВРАЛЬ!AJ13+МАРТ!AJ13</f>
        <v>0</v>
      </c>
      <c r="AK13" s="98">
        <f>ЯНВАРЬ!AK13+ФЕВРАЛЬ!AK13+МАРТ!AK13</f>
        <v>96.710639208294566</v>
      </c>
      <c r="AL13" s="105">
        <f t="shared" si="14"/>
        <v>5650.2348963379745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470.85290802816456</v>
      </c>
      <c r="AT13" s="103">
        <f t="shared" si="17"/>
        <v>0.40072587917290603</v>
      </c>
      <c r="AU13" s="103">
        <f t="shared" si="18"/>
        <v>2.7715163224919923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</f>
        <v>59</v>
      </c>
      <c r="M14" s="98"/>
      <c r="N14" s="98"/>
      <c r="O14" s="189"/>
      <c r="P14" s="101"/>
      <c r="Q14" s="98">
        <f>ЯНВАРЬ!Q14+ФЕВРАЛЬ!Q14+МАРТ!Q14</f>
        <v>25</v>
      </c>
      <c r="R14" s="98">
        <f>ЯНВАРЬ!R14+ФЕВРАЛЬ!R14+МАРТ!R14</f>
        <v>0</v>
      </c>
      <c r="S14" s="101">
        <f t="shared" si="10"/>
        <v>25</v>
      </c>
      <c r="T14" s="98">
        <f>ЯНВАРЬ!T14+ФЕВРАЛЬ!T14+МАРТ!T14</f>
        <v>20402.510000000002</v>
      </c>
      <c r="U14" s="98">
        <f>ЯНВАРЬ!U14+ФЕВРАЛЬ!U14+МАРТ!U14</f>
        <v>0</v>
      </c>
      <c r="V14" s="101">
        <f t="shared" si="19"/>
        <v>20402.510000000002</v>
      </c>
      <c r="W14" s="98">
        <f>ЯНВАРЬ!W14+ФЕВРАЛЬ!W14+МАРТ!W14</f>
        <v>30744.07</v>
      </c>
      <c r="X14" s="98">
        <f>ЯНВАРЬ!X14+ФЕВРАЛЬ!X14+МАРТ!X14</f>
        <v>0</v>
      </c>
      <c r="Y14" s="269">
        <f t="shared" si="20"/>
        <v>30744.07</v>
      </c>
      <c r="Z14" s="101">
        <f t="shared" si="12"/>
        <v>0</v>
      </c>
      <c r="AA14" s="103">
        <f t="shared" si="2"/>
        <v>7.6919623099908994E-3</v>
      </c>
      <c r="AB14" s="101">
        <f t="shared" si="13"/>
        <v>4247.25</v>
      </c>
      <c r="AC14" s="98">
        <f>ЯНВАРЬ!AC14+ФЕВРАЛЬ!AC14+МАРТ!AC14</f>
        <v>11311.2</v>
      </c>
      <c r="AD14" s="103">
        <f t="shared" si="3"/>
        <v>0.36791485317331118</v>
      </c>
      <c r="AE14" s="98">
        <f>ЯНВАРЬ!AE14+ФЕВРАЛЬ!AE14+МАРТ!AE14</f>
        <v>4332.4399999999996</v>
      </c>
      <c r="AF14" s="98">
        <f>ЯНВАРЬ!AF14+ФЕВРАЛЬ!AF14+МАРТ!AF14</f>
        <v>1000</v>
      </c>
      <c r="AG14" s="98">
        <f>ЯНВАРЬ!AG14+ФЕВРАЛЬ!AG14+МАРТ!AG14</f>
        <v>0</v>
      </c>
      <c r="AH14" s="98">
        <f>ЯНВАРЬ!AH14+ФЕВРАЛЬ!AH14+МАРТ!AH14</f>
        <v>0</v>
      </c>
      <c r="AI14" s="98">
        <f>ЯНВАРЬ!AI14+ФЕВРАЛЬ!AI14+МАРТ!AI14</f>
        <v>389.19188306176432</v>
      </c>
      <c r="AJ14" s="98">
        <f>ЯНВАРЬ!AJ14+ФЕВРАЛЬ!AJ14+МАРТ!AJ14</f>
        <v>0</v>
      </c>
      <c r="AK14" s="98">
        <f>ЯНВАРЬ!AK14+ФЕВРАЛЬ!AK14+МАРТ!AK14</f>
        <v>211.34004647970377</v>
      </c>
      <c r="AL14" s="105">
        <f t="shared" si="14"/>
        <v>9252.6480704585319</v>
      </c>
      <c r="AM14" s="106"/>
      <c r="AN14" s="107">
        <f t="shared" si="4"/>
        <v>1229.7628</v>
      </c>
      <c r="AO14" s="108">
        <f t="shared" si="5"/>
        <v>169.89</v>
      </c>
      <c r="AP14" s="108">
        <f t="shared" si="6"/>
        <v>452.44800000000004</v>
      </c>
      <c r="AQ14" s="108">
        <f t="shared" si="15"/>
        <v>173.29759999999999</v>
      </c>
      <c r="AR14" s="108">
        <f t="shared" si="16"/>
        <v>40</v>
      </c>
      <c r="AS14" s="108">
        <f t="array" ref="AS14">_xlfn.IFS(S14=0,AL14,S14&lt;0,AL14/-S14,S14&gt;0,AL14/S14)</f>
        <v>370.1059228183413</v>
      </c>
      <c r="AT14" s="103">
        <f t="shared" si="17"/>
        <v>0.30095716248559584</v>
      </c>
      <c r="AU14" s="103">
        <f t="shared" si="18"/>
        <v>2.1785032834089195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</f>
        <v>51</v>
      </c>
      <c r="M15" s="98"/>
      <c r="N15" s="98"/>
      <c r="O15" s="189"/>
      <c r="P15" s="101"/>
      <c r="Q15" s="98">
        <f>ЯНВАРЬ!Q15+ФЕВРАЛЬ!Q15+МАРТ!Q15</f>
        <v>22</v>
      </c>
      <c r="R15" s="98">
        <f>ЯНВАРЬ!R15+ФЕВРАЛЬ!R15+МАРТ!R15</f>
        <v>0</v>
      </c>
      <c r="S15" s="101">
        <f t="shared" si="10"/>
        <v>22</v>
      </c>
      <c r="T15" s="98">
        <f>ЯНВАРЬ!T15+ФЕВРАЛЬ!T15+МАРТ!T15</f>
        <v>16930</v>
      </c>
      <c r="U15" s="98">
        <f>ЯНВАРЬ!U15+ФЕВРАЛЬ!U15+МАРТ!U15</f>
        <v>0</v>
      </c>
      <c r="V15" s="101">
        <f t="shared" si="19"/>
        <v>16930</v>
      </c>
      <c r="W15" s="98">
        <f>ЯНВАРЬ!W15+ФЕВРАЛЬ!W15+МАРТ!W15</f>
        <v>25648</v>
      </c>
      <c r="X15" s="98">
        <f>ЯНВАРЬ!X15+ФЕВРАЛЬ!X15+МАРТ!X15</f>
        <v>0</v>
      </c>
      <c r="Y15" s="269">
        <f t="shared" si="20"/>
        <v>25648</v>
      </c>
      <c r="Z15" s="101">
        <f t="shared" si="12"/>
        <v>0</v>
      </c>
      <c r="AA15" s="103">
        <f t="shared" si="2"/>
        <v>6.4169594112505795E-3</v>
      </c>
      <c r="AB15" s="101">
        <f t="shared" si="13"/>
        <v>3737.58</v>
      </c>
      <c r="AC15" s="98">
        <f>ЯНВАРЬ!AC15+ФЕВРАЛЬ!AC15+МАРТ!AC15</f>
        <v>9590.75</v>
      </c>
      <c r="AD15" s="103">
        <f t="shared" si="3"/>
        <v>0.37393753898939486</v>
      </c>
      <c r="AE15" s="98">
        <f>ЯНВАРЬ!AE15+ФЕВРАЛЬ!AE15+МАРТ!AE15</f>
        <v>3528.07</v>
      </c>
      <c r="AF15" s="98">
        <f>ЯНВАРЬ!AF15+ФЕВРАЛЬ!AF15+МАРТ!AF15</f>
        <v>0</v>
      </c>
      <c r="AG15" s="98">
        <f>ЯНВАРЬ!AG15+ФЕВРАЛЬ!AG15+МАРТ!AG15</f>
        <v>0</v>
      </c>
      <c r="AH15" s="98">
        <f>ЯНВАРЬ!AH15+ФЕВРАЛЬ!AH15+МАРТ!AH15</f>
        <v>0</v>
      </c>
      <c r="AI15" s="98">
        <f>ЯНВАРЬ!AI15+ФЕВРАЛЬ!AI15+МАРТ!AI15</f>
        <v>195.78665554967051</v>
      </c>
      <c r="AJ15" s="98">
        <f>ЯНВАРЬ!AJ15+ФЕВРАЛЬ!AJ15+МАРТ!AJ15</f>
        <v>0</v>
      </c>
      <c r="AK15" s="98">
        <f>ЯНВАРЬ!AK15+ФЕВРАЛЬ!AK15+МАРТ!AK15</f>
        <v>169.01074290315222</v>
      </c>
      <c r="AL15" s="105">
        <f t="shared" si="14"/>
        <v>8426.8026015471751</v>
      </c>
      <c r="AM15" s="106"/>
      <c r="AN15" s="107">
        <f t="shared" si="4"/>
        <v>1165.8181818181818</v>
      </c>
      <c r="AO15" s="108">
        <f t="shared" si="5"/>
        <v>169.89</v>
      </c>
      <c r="AP15" s="108">
        <f t="shared" si="6"/>
        <v>435.94318181818181</v>
      </c>
      <c r="AQ15" s="108">
        <f t="shared" si="15"/>
        <v>160.36681818181819</v>
      </c>
      <c r="AR15" s="108">
        <f t="shared" si="16"/>
        <v>0</v>
      </c>
      <c r="AS15" s="108">
        <f t="array" ref="AS15">_xlfn.IFS(S15=0,AL15,S15&lt;0,AL15/-S15,S15&gt;0,AL15/S15)</f>
        <v>383.03648188850798</v>
      </c>
      <c r="AT15" s="103">
        <f t="shared" si="17"/>
        <v>0.32855593424622487</v>
      </c>
      <c r="AU15" s="103">
        <f t="shared" si="18"/>
        <v>2.2546146441138855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</f>
        <v>128</v>
      </c>
      <c r="M16" s="98"/>
      <c r="N16" s="98"/>
      <c r="O16" s="189"/>
      <c r="P16" s="101"/>
      <c r="Q16" s="278">
        <f>ФЕВРАЛЬ!Q16+МАРТ!Q16</f>
        <v>36</v>
      </c>
      <c r="R16" s="278">
        <f>ФЕВРАЛЬ!R16+МАРТ!R16</f>
        <v>-1</v>
      </c>
      <c r="S16" s="101">
        <f t="shared" si="10"/>
        <v>35</v>
      </c>
      <c r="T16" s="278">
        <f>ФЕВРАЛЬ!T16+МАРТ!T16</f>
        <v>28330.04</v>
      </c>
      <c r="U16" s="278">
        <f>ФЕВРАЛЬ!U16+МАРТ!U16</f>
        <v>-782</v>
      </c>
      <c r="V16" s="101">
        <f t="shared" si="19"/>
        <v>27548.04</v>
      </c>
      <c r="W16" s="278">
        <f>ФЕВРАЛЬ!W16+МАРТ!W16</f>
        <v>42072.06</v>
      </c>
      <c r="X16" s="278">
        <f>ФЕВРАЛЬ!X16+МАРТ!X16</f>
        <v>-1224</v>
      </c>
      <c r="Y16" s="269">
        <f t="shared" si="20"/>
        <v>40848.06</v>
      </c>
      <c r="Z16" s="101">
        <f t="shared" si="12"/>
        <v>0</v>
      </c>
      <c r="AA16" s="103">
        <f t="shared" si="2"/>
        <v>1.0219913562395832E-2</v>
      </c>
      <c r="AB16" s="101">
        <f t="shared" si="13"/>
        <v>5946.15</v>
      </c>
      <c r="AC16" s="278">
        <f>ФЕВРАЛЬ!AC16+МАРТ!AC16</f>
        <v>15441.670000000004</v>
      </c>
      <c r="AD16" s="103">
        <f t="shared" si="3"/>
        <v>0.37802701034027086</v>
      </c>
      <c r="AE16" s="278">
        <f>ФЕВРАЛЬ!AE16+МАРТ!AE16</f>
        <v>5959.8200000000024</v>
      </c>
      <c r="AF16" s="278">
        <f>ФЕВРАЛЬ!AF16+МАРТ!AF16</f>
        <v>22145</v>
      </c>
      <c r="AG16" s="278">
        <f>ФЕВРАЛЬ!AG16+МАРТ!AG16</f>
        <v>0</v>
      </c>
      <c r="AH16" s="278">
        <f>ФЕВРАЛЬ!AH16+МАРТ!AH16</f>
        <v>0</v>
      </c>
      <c r="AI16" s="278">
        <f>ФЕВРАЛЬ!AI16+МАРТ!AI16</f>
        <v>53.16908634465689</v>
      </c>
      <c r="AJ16" s="278">
        <f>ФЕВРАЛЬ!AJ16+МАРТ!AJ16</f>
        <v>0</v>
      </c>
      <c r="AK16" s="278">
        <f>ФЕВРАЛЬ!AK16+МАРТ!AK16</f>
        <v>275.48040000000003</v>
      </c>
      <c r="AL16" s="105">
        <f>Y16-AB16-AC16-AE16-AF16-AG16-AH16-AI16-AK16-AJ16</f>
        <v>-8973.2294863446696</v>
      </c>
      <c r="AM16" s="106"/>
      <c r="AN16" s="107">
        <f t="shared" si="4"/>
        <v>1167.0874285714285</v>
      </c>
      <c r="AO16" s="108">
        <f t="shared" si="5"/>
        <v>169.89</v>
      </c>
      <c r="AP16" s="108">
        <f t="shared" si="6"/>
        <v>441.19057142857156</v>
      </c>
      <c r="AQ16" s="108">
        <f t="shared" si="15"/>
        <v>165.55055555555563</v>
      </c>
      <c r="AR16" s="108">
        <f t="shared" si="16"/>
        <v>615.13888888888891</v>
      </c>
      <c r="AS16" s="108">
        <f t="array" ref="AS16">_xlfn.IFS(S16=0,AL16,S16&lt;0,AL16/-S16,S16&gt;0,AL16/S16)</f>
        <v>-256.37798532413342</v>
      </c>
      <c r="AT16" s="103">
        <f t="shared" si="17"/>
        <v>-0.21967333298924527</v>
      </c>
      <c r="AU16" s="103">
        <f t="shared" si="18"/>
        <v>-1.5090822610167369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</f>
        <v>87</v>
      </c>
      <c r="M17" s="98"/>
      <c r="N17" s="98"/>
      <c r="O17" s="189"/>
      <c r="P17" s="101"/>
      <c r="Q17" s="278">
        <f>ФЕВРАЛЬ!Q17+МАРТ!Q17</f>
        <v>23</v>
      </c>
      <c r="R17" s="278">
        <f>ФЕВРАЛЬ!R17+МАРТ!R17</f>
        <v>-1</v>
      </c>
      <c r="S17" s="101">
        <f t="shared" si="10"/>
        <v>22</v>
      </c>
      <c r="T17" s="278">
        <f>ФЕВРАЛЬ!T17+МАРТ!T17</f>
        <v>16774</v>
      </c>
      <c r="U17" s="278">
        <f>ФЕВРАЛЬ!U17+МАРТ!U17</f>
        <v>-776</v>
      </c>
      <c r="V17" s="101">
        <f t="shared" si="19"/>
        <v>15998</v>
      </c>
      <c r="W17" s="278">
        <f>ФЕВРАЛЬ!W17+МАРТ!W17</f>
        <v>25326</v>
      </c>
      <c r="X17" s="278">
        <f>ФЕВРАЛЬ!X17+МАРТ!X17</f>
        <v>-1215</v>
      </c>
      <c r="Y17" s="269">
        <f t="shared" si="20"/>
        <v>24111</v>
      </c>
      <c r="Z17" s="101">
        <f t="shared" si="12"/>
        <v>0</v>
      </c>
      <c r="AA17" s="103">
        <f t="shared" si="2"/>
        <v>6.0324122101006981E-3</v>
      </c>
      <c r="AB17" s="101">
        <f t="shared" si="13"/>
        <v>3737.58</v>
      </c>
      <c r="AC17" s="278">
        <f>ФЕВРАЛЬ!AC17+МАРТ!AC17</f>
        <v>9193.1</v>
      </c>
      <c r="AD17" s="103">
        <f t="shared" si="3"/>
        <v>0.38128240222305171</v>
      </c>
      <c r="AE17" s="278">
        <f>ФЕВРАЛЬ!AE17+МАРТ!AE17</f>
        <v>2780.0499999999997</v>
      </c>
      <c r="AF17" s="278">
        <f>ФЕВРАЛЬ!AF17+МАРТ!AF17</f>
        <v>10000</v>
      </c>
      <c r="AG17" s="278">
        <f>ФЕВРАЛЬ!AG17+МАРТ!AG17</f>
        <v>0</v>
      </c>
      <c r="AH17" s="278">
        <f>ФЕВРАЛЬ!AH17+МАРТ!AH17</f>
        <v>0</v>
      </c>
      <c r="AI17" s="278">
        <f>ФЕВРАЛЬ!AI17+МАРТ!AI17</f>
        <v>23.424040489245044</v>
      </c>
      <c r="AJ17" s="278">
        <f>ФЕВРАЛЬ!AJ17+МАРТ!AJ17</f>
        <v>0</v>
      </c>
      <c r="AK17" s="278">
        <f>ФЕВРАЛЬ!AK17+МАРТ!AK17</f>
        <v>159.97999999999999</v>
      </c>
      <c r="AL17" s="105">
        <f t="shared" si="14"/>
        <v>-1783.1340404892464</v>
      </c>
      <c r="AM17" s="106"/>
      <c r="AN17" s="107">
        <f t="shared" si="4"/>
        <v>1095.9545454545455</v>
      </c>
      <c r="AO17" s="108">
        <f t="shared" si="5"/>
        <v>169.89</v>
      </c>
      <c r="AP17" s="108">
        <f t="shared" si="6"/>
        <v>417.86818181818182</v>
      </c>
      <c r="AQ17" s="108">
        <f t="shared" si="15"/>
        <v>120.87173913043478</v>
      </c>
      <c r="AR17" s="108">
        <f t="shared" si="16"/>
        <v>434.78260869565219</v>
      </c>
      <c r="AS17" s="108">
        <f t="array" ref="AS17">_xlfn.IFS(S17=0,AL17,S17&lt;0,AL17/-S17,S17&gt;0,AL17/S17)</f>
        <v>-81.051547294965744</v>
      </c>
      <c r="AT17" s="103">
        <f t="shared" si="17"/>
        <v>-7.3955208846138543E-2</v>
      </c>
      <c r="AU17" s="103">
        <f t="shared" si="18"/>
        <v>-0.47708250806383984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</f>
        <v>34</v>
      </c>
      <c r="M18" s="98"/>
      <c r="N18" s="98"/>
      <c r="O18" s="189"/>
      <c r="P18" s="101"/>
      <c r="Q18" s="278">
        <f>ФЕВРАЛЬ!Q18+МАРТ!Q18</f>
        <v>16</v>
      </c>
      <c r="R18" s="278">
        <f>ФЕВРАЛЬ!R18+МАРТ!R18</f>
        <v>0</v>
      </c>
      <c r="S18" s="101">
        <f t="shared" si="10"/>
        <v>16</v>
      </c>
      <c r="T18" s="278">
        <f>ФЕВРАЛЬ!T18+МАРТ!T18</f>
        <v>13767.95</v>
      </c>
      <c r="U18" s="278">
        <f>ФЕВРАЛЬ!U18+МАРТ!U18</f>
        <v>0</v>
      </c>
      <c r="V18" s="101">
        <f t="shared" si="19"/>
        <v>13767.95</v>
      </c>
      <c r="W18" s="278">
        <f>ФЕВРАЛЬ!W18+МАРТ!W18</f>
        <v>21205.9</v>
      </c>
      <c r="X18" s="278">
        <f>ФЕВРАЛЬ!X18+МАРТ!X18</f>
        <v>0</v>
      </c>
      <c r="Y18" s="269">
        <f t="shared" si="20"/>
        <v>21205.9</v>
      </c>
      <c r="Z18" s="101">
        <f t="shared" si="12"/>
        <v>0</v>
      </c>
      <c r="AA18" s="103">
        <f t="shared" si="2"/>
        <v>5.3055754670554688E-3</v>
      </c>
      <c r="AB18" s="101">
        <f t="shared" si="13"/>
        <v>2718.24</v>
      </c>
      <c r="AC18" s="278">
        <f>ФЕВРАЛЬ!AC18+МАРТ!AC18</f>
        <v>8047.880000000001</v>
      </c>
      <c r="AD18" s="103">
        <f t="shared" si="3"/>
        <v>0.3795113624038593</v>
      </c>
      <c r="AE18" s="278">
        <f>ФЕВРАЛЬ!AE18+МАРТ!AE18</f>
        <v>1332.2300000000002</v>
      </c>
      <c r="AF18" s="278">
        <f>ФЕВРАЛЬ!AF18+МАРТ!AF18</f>
        <v>0</v>
      </c>
      <c r="AG18" s="278">
        <f>ФЕВРАЛЬ!AG18+МАРТ!AG18</f>
        <v>0</v>
      </c>
      <c r="AH18" s="278">
        <f>ФЕВРАЛЬ!AH18+МАРТ!AH18</f>
        <v>0</v>
      </c>
      <c r="AI18" s="278">
        <f>ФЕВРАЛЬ!AI18+МАРТ!AI18</f>
        <v>104.11994681833686</v>
      </c>
      <c r="AJ18" s="278">
        <f>ФЕВРАЛЬ!AJ18+МАРТ!AJ18</f>
        <v>0</v>
      </c>
      <c r="AK18" s="278">
        <f>ФЕВРАЛЬ!AK18+МАРТ!AK18</f>
        <v>137.67950000000002</v>
      </c>
      <c r="AL18" s="105">
        <f t="shared" si="14"/>
        <v>8865.750553181666</v>
      </c>
      <c r="AM18" s="106"/>
      <c r="AN18" s="107">
        <f t="shared" si="4"/>
        <v>1325.3687500000001</v>
      </c>
      <c r="AO18" s="108">
        <f t="shared" si="5"/>
        <v>169.89</v>
      </c>
      <c r="AP18" s="108">
        <f t="shared" si="6"/>
        <v>502.99250000000006</v>
      </c>
      <c r="AQ18" s="108">
        <f t="shared" si="15"/>
        <v>83.264375000000015</v>
      </c>
      <c r="AR18" s="108">
        <f t="shared" si="16"/>
        <v>0</v>
      </c>
      <c r="AS18" s="108">
        <f t="array" ref="AS18">_xlfn.IFS(S18=0,AL18,S18&lt;0,AL18/-S18,S18&gt;0,AL18/S18)</f>
        <v>554.10940957385412</v>
      </c>
      <c r="AT18" s="103">
        <f t="shared" si="17"/>
        <v>0.41807942851667063</v>
      </c>
      <c r="AU18" s="103">
        <f t="shared" si="18"/>
        <v>3.2615775476711648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171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</f>
        <v>161</v>
      </c>
      <c r="M19" s="98"/>
      <c r="N19" s="98"/>
      <c r="O19" s="189"/>
      <c r="P19" s="101"/>
      <c r="Q19" s="278">
        <f>ФЕВРАЛЬ!Q19+МАРТ!Q19</f>
        <v>73</v>
      </c>
      <c r="R19" s="278">
        <f>ФЕВРАЛЬ!R19+МАРТ!R19</f>
        <v>-1</v>
      </c>
      <c r="S19" s="101">
        <f t="shared" si="10"/>
        <v>72</v>
      </c>
      <c r="T19" s="278">
        <f>ФЕВРАЛЬ!T19+МАРТ!T19</f>
        <v>61517.279999999999</v>
      </c>
      <c r="U19" s="278">
        <f>ФЕВРАЛЬ!U19+МАРТ!U19</f>
        <v>-812</v>
      </c>
      <c r="V19" s="101">
        <f t="shared" si="19"/>
        <v>60705.279999999999</v>
      </c>
      <c r="W19" s="278">
        <f>ФЕВРАЛЬ!W19+МАРТ!W19</f>
        <v>93361.279999999999</v>
      </c>
      <c r="X19" s="278">
        <f>ФЕВРАЛЬ!X19+МАРТ!X19</f>
        <v>-1260</v>
      </c>
      <c r="Y19" s="269">
        <f t="shared" si="20"/>
        <v>92101.28</v>
      </c>
      <c r="Z19" s="101">
        <f t="shared" si="12"/>
        <v>0</v>
      </c>
      <c r="AA19" s="103">
        <f t="shared" si="2"/>
        <v>2.3043129112766091E-2</v>
      </c>
      <c r="AB19" s="101">
        <f t="shared" si="13"/>
        <v>9321.1200000000008</v>
      </c>
      <c r="AC19" s="278">
        <f>ФЕВРАЛЬ!AC19+МАРТ!AC19</f>
        <v>34913.25</v>
      </c>
      <c r="AD19" s="103">
        <f t="shared" si="3"/>
        <v>0.37907453620622861</v>
      </c>
      <c r="AE19" s="278">
        <f>ФЕВРАЛЬ!AE19+МАРТ!AE19</f>
        <v>11778.179999999997</v>
      </c>
      <c r="AF19" s="278">
        <f>ФЕВРАЛЬ!AF19+МАРТ!AF19</f>
        <v>4000</v>
      </c>
      <c r="AG19" s="278">
        <f>ФЕВРАЛЬ!AG19+МАРТ!AG19</f>
        <v>6000</v>
      </c>
      <c r="AH19" s="278">
        <f>ФЕВРАЛЬ!AH19+МАРТ!AH19</f>
        <v>0</v>
      </c>
      <c r="AI19" s="278">
        <f>ФЕВРАЛЬ!AI19+МАРТ!AI19</f>
        <v>65.544731971657583</v>
      </c>
      <c r="AJ19" s="278">
        <f>ФЕВРАЛЬ!AJ19+МАРТ!AJ19</f>
        <v>0</v>
      </c>
      <c r="AK19" s="278">
        <f>ФЕВРАЛЬ!AK19+МАРТ!AK19</f>
        <v>609.52536290353112</v>
      </c>
      <c r="AL19" s="105">
        <f t="shared" si="14"/>
        <v>25413.659905124819</v>
      </c>
      <c r="AM19" s="106"/>
      <c r="AN19" s="107">
        <f t="shared" si="4"/>
        <v>1279.1844444444444</v>
      </c>
      <c r="AO19" s="108">
        <f t="shared" si="5"/>
        <v>129.46</v>
      </c>
      <c r="AP19" s="108">
        <f t="shared" si="6"/>
        <v>484.90625</v>
      </c>
      <c r="AQ19" s="108">
        <f t="shared" si="15"/>
        <v>161.34493150684926</v>
      </c>
      <c r="AR19" s="108">
        <f t="shared" si="16"/>
        <v>136.98630136986301</v>
      </c>
      <c r="AS19" s="108">
        <f t="array" ref="AS19">_xlfn.IFS(S19=0,AL19,S19&lt;0,AL19/-S19,S19&gt;0,AL19/S19)</f>
        <v>352.96749868228915</v>
      </c>
      <c r="AT19" s="103">
        <f t="shared" si="17"/>
        <v>0.27593166897490262</v>
      </c>
      <c r="AU19" s="103">
        <f t="shared" si="18"/>
        <v>2.7264599002185164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172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</f>
        <v>284</v>
      </c>
      <c r="M20" s="98"/>
      <c r="N20" s="98"/>
      <c r="O20" s="189"/>
      <c r="P20" s="101"/>
      <c r="Q20" s="278">
        <f>ФЕВРАЛЬ!Q20+МАРТ!Q20</f>
        <v>113</v>
      </c>
      <c r="R20" s="278">
        <f>ФЕВРАЛЬ!R20+МАРТ!R20</f>
        <v>-3</v>
      </c>
      <c r="S20" s="101">
        <f t="shared" si="10"/>
        <v>110</v>
      </c>
      <c r="T20" s="278">
        <f>ФЕВРАЛЬ!T20+МАРТ!T20</f>
        <v>99928.09</v>
      </c>
      <c r="U20" s="278">
        <f>ФЕВРАЛЬ!U20+МАРТ!U20</f>
        <v>-2563</v>
      </c>
      <c r="V20" s="101">
        <f t="shared" si="19"/>
        <v>97365.09</v>
      </c>
      <c r="W20" s="278">
        <f>ФЕВРАЛЬ!W20+МАРТ!W20</f>
        <v>153300.28999999998</v>
      </c>
      <c r="X20" s="278">
        <f>ФЕВРАЛЬ!X20+МАРТ!X20</f>
        <v>-4080</v>
      </c>
      <c r="Y20" s="269">
        <f t="shared" si="20"/>
        <v>149220.28999999998</v>
      </c>
      <c r="Z20" s="101">
        <f t="shared" si="12"/>
        <v>0</v>
      </c>
      <c r="AA20" s="103">
        <f t="shared" si="2"/>
        <v>3.7333926398356226E-2</v>
      </c>
      <c r="AB20" s="101">
        <f t="shared" si="13"/>
        <v>12953.6</v>
      </c>
      <c r="AC20" s="278">
        <f>ФЕВРАЛЬ!AC20+МАРТ!AC20</f>
        <v>56814.05</v>
      </c>
      <c r="AD20" s="103">
        <f t="shared" si="3"/>
        <v>0.38073944233723184</v>
      </c>
      <c r="AE20" s="278">
        <f>ФЕВРАЛЬ!AE20+МАРТ!AE20</f>
        <v>17148.350000000006</v>
      </c>
      <c r="AF20" s="278">
        <f>ФЕВРАЛЬ!AF20+МАРТ!AF20</f>
        <v>13395</v>
      </c>
      <c r="AG20" s="278">
        <f>ФЕВРАЛЬ!AG20+МАРТ!AG20</f>
        <v>8000</v>
      </c>
      <c r="AH20" s="278">
        <f>ФЕВРАЛЬ!AH20+МАРТ!AH20</f>
        <v>0</v>
      </c>
      <c r="AI20" s="278">
        <f>ФЕВРАЛЬ!AI20+МАРТ!AI20</f>
        <v>188.29384197969603</v>
      </c>
      <c r="AJ20" s="278">
        <f>ФЕВРАЛЬ!AJ20+МАРТ!AJ20</f>
        <v>0</v>
      </c>
      <c r="AK20" s="278">
        <f>ФЕВРАЛЬ!AK20+МАРТ!AK20</f>
        <v>977.22221739664042</v>
      </c>
      <c r="AL20" s="105">
        <f t="shared" si="14"/>
        <v>39743.773940623621</v>
      </c>
      <c r="AM20" s="106"/>
      <c r="AN20" s="107">
        <f t="shared" si="4"/>
        <v>1356.5480909090907</v>
      </c>
      <c r="AO20" s="108">
        <f t="shared" si="5"/>
        <v>117.76</v>
      </c>
      <c r="AP20" s="108">
        <f t="shared" si="6"/>
        <v>516.49136363636364</v>
      </c>
      <c r="AQ20" s="108">
        <f t="shared" si="15"/>
        <v>151.75530973451333</v>
      </c>
      <c r="AR20" s="108">
        <f t="shared" si="16"/>
        <v>189.3362831858407</v>
      </c>
      <c r="AS20" s="108">
        <f t="array" ref="AS20">_xlfn.IFS(S20=0,AL20,S20&lt;0,AL20/-S20,S20&gt;0,AL20/S20)</f>
        <v>361.30703582385109</v>
      </c>
      <c r="AT20" s="103">
        <f t="shared" si="17"/>
        <v>0.2663429614070823</v>
      </c>
      <c r="AU20" s="103">
        <f t="shared" si="18"/>
        <v>3.0681643667106919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173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</f>
        <v>27</v>
      </c>
      <c r="M21" s="98"/>
      <c r="N21" s="98"/>
      <c r="O21" s="189"/>
      <c r="P21" s="101"/>
      <c r="Q21" s="278">
        <f>ФЕВРАЛЬ!Q21+МАРТ!Q21</f>
        <v>13</v>
      </c>
      <c r="R21" s="278">
        <f>ФЕВРАЛЬ!R21+МАРТ!R21</f>
        <v>0</v>
      </c>
      <c r="S21" s="101">
        <f t="shared" si="10"/>
        <v>13</v>
      </c>
      <c r="T21" s="278">
        <f>ФЕВРАЛЬ!T21+МАРТ!T21</f>
        <v>9913.7800000000007</v>
      </c>
      <c r="U21" s="278">
        <f>ФЕВРАЛЬ!U21+МАРТ!U21</f>
        <v>0</v>
      </c>
      <c r="V21" s="101">
        <f t="shared" si="19"/>
        <v>9913.7800000000007</v>
      </c>
      <c r="W21" s="278">
        <f>ФЕВРАЛЬ!W21+МАРТ!W21</f>
        <v>15390.06</v>
      </c>
      <c r="X21" s="278">
        <f>ФЕВРАЛЬ!X21+МАРТ!X21</f>
        <v>0</v>
      </c>
      <c r="Y21" s="269">
        <f t="shared" si="20"/>
        <v>15390.06</v>
      </c>
      <c r="Z21" s="101">
        <f t="shared" si="12"/>
        <v>0</v>
      </c>
      <c r="AA21" s="103">
        <f t="shared" si="2"/>
        <v>3.8504908903895462E-3</v>
      </c>
      <c r="AB21" s="101">
        <f t="shared" si="13"/>
        <v>1682.98</v>
      </c>
      <c r="AC21" s="278">
        <f>ФЕВРАЛЬ!AC21+МАРТ!AC21</f>
        <v>5871.16</v>
      </c>
      <c r="AD21" s="103">
        <f t="shared" si="3"/>
        <v>0.3814903905507841</v>
      </c>
      <c r="AE21" s="278">
        <f>ФЕВРАЛЬ!AE21+МАРТ!AE21</f>
        <v>1580.2199999999998</v>
      </c>
      <c r="AF21" s="278">
        <f>ФЕВРАЛЬ!AF21+МАРТ!AF21</f>
        <v>0</v>
      </c>
      <c r="AG21" s="278">
        <f>ФЕВРАЛЬ!AG21+МАРТ!AG21</f>
        <v>0</v>
      </c>
      <c r="AH21" s="278">
        <f>ФЕВРАЛЬ!AH21+МАРТ!AH21</f>
        <v>0</v>
      </c>
      <c r="AI21" s="278">
        <f>ФЕВРАЛЬ!AI21+МАРТ!AI21</f>
        <v>80.209025026984719</v>
      </c>
      <c r="AJ21" s="278">
        <f>ФЕВРАЛЬ!AJ21+МАРТ!AJ21</f>
        <v>0</v>
      </c>
      <c r="AK21" s="278">
        <f>ФЕВРАЛЬ!AK21+МАРТ!AK21</f>
        <v>99.506554493109377</v>
      </c>
      <c r="AL21" s="105">
        <f t="shared" si="14"/>
        <v>6075.9844204799065</v>
      </c>
      <c r="AM21" s="106"/>
      <c r="AN21" s="107">
        <f t="shared" si="4"/>
        <v>1183.8507692307692</v>
      </c>
      <c r="AO21" s="108">
        <f t="shared" si="5"/>
        <v>129.46</v>
      </c>
      <c r="AP21" s="108">
        <f t="shared" si="6"/>
        <v>451.62769230769231</v>
      </c>
      <c r="AQ21" s="108">
        <f t="shared" si="15"/>
        <v>121.5553846153846</v>
      </c>
      <c r="AR21" s="108">
        <f t="shared" si="16"/>
        <v>0</v>
      </c>
      <c r="AS21" s="108">
        <f t="array" ref="AS21">_xlfn.IFS(S21=0,AL21,S21&lt;0,AL21/-S21,S21&gt;0,AL21/S21)</f>
        <v>467.38341695999281</v>
      </c>
      <c r="AT21" s="103">
        <f t="shared" si="17"/>
        <v>0.39479926787029462</v>
      </c>
      <c r="AU21" s="103">
        <f t="shared" si="18"/>
        <v>3.6102534911168918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174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</f>
        <v>22</v>
      </c>
      <c r="M22" s="98"/>
      <c r="N22" s="98"/>
      <c r="O22" s="189"/>
      <c r="P22" s="101"/>
      <c r="Q22" s="278">
        <f>ФЕВРАЛЬ!Q22+МАРТ!Q22</f>
        <v>9</v>
      </c>
      <c r="R22" s="278">
        <f>ФЕВРАЛЬ!R22+МАРТ!R22</f>
        <v>0</v>
      </c>
      <c r="S22" s="101">
        <f t="shared" si="10"/>
        <v>9</v>
      </c>
      <c r="T22" s="278">
        <f>ФЕВРАЛЬ!T22+МАРТ!T22</f>
        <v>7319</v>
      </c>
      <c r="U22" s="278">
        <f>ФЕВРАЛЬ!U22+МАРТ!U22</f>
        <v>0</v>
      </c>
      <c r="V22" s="101">
        <f t="shared" si="19"/>
        <v>7319</v>
      </c>
      <c r="W22" s="278">
        <f>ФЕВРАЛЬ!W22+МАРТ!W22</f>
        <v>11820</v>
      </c>
      <c r="X22" s="278">
        <f>ФЕВРАЛЬ!X22+МАРТ!X22</f>
        <v>0</v>
      </c>
      <c r="Y22" s="269">
        <f t="shared" si="20"/>
        <v>11820</v>
      </c>
      <c r="Z22" s="101">
        <f t="shared" si="12"/>
        <v>0</v>
      </c>
      <c r="AA22" s="103">
        <f t="shared" si="2"/>
        <v>2.957285567723871E-3</v>
      </c>
      <c r="AB22" s="101">
        <f t="shared" si="13"/>
        <v>1165.1400000000001</v>
      </c>
      <c r="AC22" s="278">
        <f>ФЕВРАЛЬ!AC22+МАРТ!AC22</f>
        <v>4682.7</v>
      </c>
      <c r="AD22" s="103">
        <f t="shared" si="3"/>
        <v>0.39616751269035533</v>
      </c>
      <c r="AE22" s="278">
        <f>ФЕВРАЛЬ!AE22+МАРТ!AE22</f>
        <v>1471.1</v>
      </c>
      <c r="AF22" s="278">
        <f>ФЕВРАЛЬ!AF22+МАРТ!AF22</f>
        <v>0</v>
      </c>
      <c r="AG22" s="278">
        <f>ФЕВРАЛЬ!AG22+МАРТ!AG22</f>
        <v>0</v>
      </c>
      <c r="AH22" s="278">
        <f>ФЕВРАЛЬ!AH22+МАРТ!AH22</f>
        <v>0</v>
      </c>
      <c r="AI22" s="278">
        <f>ФЕВРАЛЬ!AI22+МАРТ!AI22</f>
        <v>92.172035303599515</v>
      </c>
      <c r="AJ22" s="278">
        <f>ФЕВРАЛЬ!AJ22+МАРТ!AJ22</f>
        <v>0</v>
      </c>
      <c r="AK22" s="278">
        <f>ФЕВРАЛЬ!AK22+МАРТ!AK22</f>
        <v>74.919127909847688</v>
      </c>
      <c r="AL22" s="105">
        <f t="shared" si="14"/>
        <v>4333.9688367865538</v>
      </c>
      <c r="AM22" s="106"/>
      <c r="AN22" s="107">
        <f t="shared" si="4"/>
        <v>1313.3333333333333</v>
      </c>
      <c r="AO22" s="108">
        <f t="shared" si="5"/>
        <v>129.46</v>
      </c>
      <c r="AP22" s="108">
        <f t="shared" si="6"/>
        <v>520.29999999999995</v>
      </c>
      <c r="AQ22" s="108">
        <f t="shared" si="15"/>
        <v>163.45555555555555</v>
      </c>
      <c r="AR22" s="108">
        <f t="shared" si="16"/>
        <v>0</v>
      </c>
      <c r="AS22" s="108">
        <f t="array" ref="AS22">_xlfn.IFS(S22=0,AL22,S22&lt;0,AL22/-S22,S22&gt;0,AL22/S22)</f>
        <v>481.55209297628375</v>
      </c>
      <c r="AT22" s="103">
        <f t="shared" si="17"/>
        <v>0.36666403018498767</v>
      </c>
      <c r="AU22" s="103">
        <f t="shared" si="18"/>
        <v>3.7196979219549182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175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</f>
        <v>92</v>
      </c>
      <c r="M23" s="98"/>
      <c r="N23" s="98"/>
      <c r="O23" s="189"/>
      <c r="P23" s="101"/>
      <c r="Q23" s="278">
        <f>ФЕВРАЛЬ!Q23+МАРТ!Q23</f>
        <v>39</v>
      </c>
      <c r="R23" s="278">
        <f>ФЕВРАЛЬ!R23+МАРТ!R23</f>
        <v>-1</v>
      </c>
      <c r="S23" s="101">
        <f t="shared" si="10"/>
        <v>38</v>
      </c>
      <c r="T23" s="278">
        <f>ФЕВРАЛЬ!T23+МАРТ!T23</f>
        <v>31283.91</v>
      </c>
      <c r="U23" s="278">
        <f>ФЕВРАЛЬ!U23+МАРТ!U23</f>
        <v>-799</v>
      </c>
      <c r="V23" s="101">
        <f t="shared" si="19"/>
        <v>30484.91</v>
      </c>
      <c r="W23" s="278">
        <f>ФЕВРАЛЬ!W23+МАРТ!W23</f>
        <v>48300.05</v>
      </c>
      <c r="X23" s="278">
        <f>ФЕВРАЛЬ!X23+МАРТ!X23</f>
        <v>-1230</v>
      </c>
      <c r="Y23" s="269">
        <f t="shared" si="20"/>
        <v>47070.05</v>
      </c>
      <c r="Z23" s="101">
        <f t="shared" si="12"/>
        <v>0</v>
      </c>
      <c r="AA23" s="103">
        <f t="shared" si="2"/>
        <v>1.1776614174030541E-2</v>
      </c>
      <c r="AB23" s="101">
        <f t="shared" si="13"/>
        <v>4919.4800000000005</v>
      </c>
      <c r="AC23" s="278">
        <f>ФЕВРАЛЬ!AC23+МАРТ!AC23</f>
        <v>17871.650000000001</v>
      </c>
      <c r="AD23" s="103">
        <f t="shared" si="3"/>
        <v>0.3796819846165449</v>
      </c>
      <c r="AE23" s="278">
        <f>ФЕВРАЛЬ!AE23+МАРТ!AE23</f>
        <v>5276.4500000000007</v>
      </c>
      <c r="AF23" s="278">
        <f>ФЕВРАЛЬ!AF23+МАРТ!AF23</f>
        <v>0</v>
      </c>
      <c r="AG23" s="278">
        <f>ФЕВРАЛЬ!AG23+МАРТ!AG23</f>
        <v>0</v>
      </c>
      <c r="AH23" s="278">
        <f>ФЕВРАЛЬ!AH23+МАРТ!AH23</f>
        <v>0</v>
      </c>
      <c r="AI23" s="278">
        <f>ФЕВРАЛЬ!AI23+МАРТ!AI23</f>
        <v>74.328518518140839</v>
      </c>
      <c r="AJ23" s="278">
        <f>ФЕВРАЛЬ!AJ23+МАРТ!AJ23</f>
        <v>0</v>
      </c>
      <c r="AK23" s="278">
        <f>ФЕВРАЛЬ!AK23+МАРТ!AK23</f>
        <v>305.64536347932813</v>
      </c>
      <c r="AL23" s="105">
        <f t="shared" si="14"/>
        <v>18622.496118002528</v>
      </c>
      <c r="AM23" s="106"/>
      <c r="AN23" s="107">
        <f t="shared" si="4"/>
        <v>1238.6855263157895</v>
      </c>
      <c r="AO23" s="108">
        <f t="shared" si="5"/>
        <v>129.46</v>
      </c>
      <c r="AP23" s="108">
        <f t="shared" si="6"/>
        <v>470.30657894736845</v>
      </c>
      <c r="AQ23" s="108">
        <f t="shared" si="15"/>
        <v>135.29358974358976</v>
      </c>
      <c r="AR23" s="108">
        <f t="shared" si="16"/>
        <v>0</v>
      </c>
      <c r="AS23" s="108">
        <f t="array" ref="AS23">_xlfn.IFS(S23=0,AL23,S23&lt;0,AL23/-S23,S23&gt;0,AL23/S23)</f>
        <v>490.065687315856</v>
      </c>
      <c r="AT23" s="103">
        <f t="shared" si="17"/>
        <v>0.39563365915274207</v>
      </c>
      <c r="AU23" s="103">
        <f t="shared" si="18"/>
        <v>3.7854602758833304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</f>
        <v>76</v>
      </c>
      <c r="M24" s="98"/>
      <c r="N24" s="98"/>
      <c r="O24" s="189"/>
      <c r="P24" s="101"/>
      <c r="Q24" s="278">
        <f>ФЕВРАЛЬ!Q24+МАРТ!Q24</f>
        <v>19</v>
      </c>
      <c r="R24" s="278">
        <f>ФЕВРАЛЬ!R24+МАРТ!R24</f>
        <v>0</v>
      </c>
      <c r="S24" s="101">
        <f t="shared" ref="S24:S26" si="22">Q24+R24</f>
        <v>19</v>
      </c>
      <c r="T24" s="278">
        <f>ФЕВРАЛЬ!T24+МАРТ!T24</f>
        <v>17028.78</v>
      </c>
      <c r="U24" s="278">
        <f>ФЕВРАЛЬ!U24+МАРТ!U24</f>
        <v>0</v>
      </c>
      <c r="V24" s="101">
        <f t="shared" ref="V24:V26" si="23">T24+U24</f>
        <v>17028.78</v>
      </c>
      <c r="W24" s="278">
        <f>ФЕВРАЛЬ!W24+МАРТ!W24</f>
        <v>25791.96</v>
      </c>
      <c r="X24" s="278">
        <f>ФЕВРАЛЬ!X24+МАРТ!X24</f>
        <v>0</v>
      </c>
      <c r="Y24" s="269">
        <f t="shared" ref="Y24:Y26" si="24">W24+X24</f>
        <v>25791.96</v>
      </c>
      <c r="Z24" s="101">
        <f t="shared" ref="Z24:Z26" si="25">L24*M24*N24/100</f>
        <v>0</v>
      </c>
      <c r="AA24" s="103">
        <f t="shared" si="2"/>
        <v>6.4529772479958855E-3</v>
      </c>
      <c r="AB24" s="101">
        <f t="shared" ref="AB24:AB26" si="26">S24*I24</f>
        <v>2348.59</v>
      </c>
      <c r="AC24" s="278">
        <f>ФЕВРАЛЬ!AC24+МАРТ!AC24</f>
        <v>9909.5199999999968</v>
      </c>
      <c r="AD24" s="103">
        <f t="shared" ref="AD24:AD26" si="27">IF(Y24=0,0,AC24/Y24)</f>
        <v>0.38420965293060305</v>
      </c>
      <c r="AE24" s="278">
        <f>ФЕВРАЛЬ!AE24+МАРТ!AE24</f>
        <v>3018.47</v>
      </c>
      <c r="AF24" s="278">
        <f>ФЕВРАЛЬ!AF24+МАРТ!AF24</f>
        <v>15000</v>
      </c>
      <c r="AG24" s="278">
        <f>ФЕВРАЛЬ!AG24+МАРТ!AG24</f>
        <v>2000</v>
      </c>
      <c r="AH24" s="278">
        <f>ФЕВРАЛЬ!AH24+МАРТ!AH24</f>
        <v>0</v>
      </c>
      <c r="AI24" s="278">
        <f>ФЕВРАЛЬ!AI24+МАРТ!AI24</f>
        <v>34.348330964898032</v>
      </c>
      <c r="AJ24" s="278">
        <f>ФЕВРАЛЬ!AJ24+МАРТ!AJ24</f>
        <v>0</v>
      </c>
      <c r="AK24" s="278">
        <f>ФЕВРАЛЬ!AK24+МАРТ!AK24</f>
        <v>170.2878</v>
      </c>
      <c r="AL24" s="105">
        <f t="shared" si="14"/>
        <v>-6689.2561309648954</v>
      </c>
      <c r="AM24" s="106"/>
      <c r="AN24" s="107">
        <f t="shared" ref="AN24:AN26" si="28">IF(S24=0,0,Y24/S24)</f>
        <v>1357.4715789473685</v>
      </c>
      <c r="AO24" s="108">
        <f t="shared" ref="AO24:AO26" si="29">I24</f>
        <v>123.61</v>
      </c>
      <c r="AP24" s="108">
        <f t="shared" ref="AP24:AP26" si="30">IF(S24=0,0,AC24/S24)</f>
        <v>521.55368421052617</v>
      </c>
      <c r="AQ24" s="108">
        <f t="shared" ref="AQ24:AQ26" si="31">IF(Q24=0,AE24/1,AE24/Q24)</f>
        <v>158.86684210526315</v>
      </c>
      <c r="AR24" s="108">
        <f t="shared" ref="AR24:AR26" si="32">IF(Q24=0,0,(AF24+AG24)/Q24)</f>
        <v>894.73684210526312</v>
      </c>
      <c r="AS24" s="108">
        <f t="array" ref="AS24">_xlfn.IFS(S24=0,AL24,S24&lt;0,AL24/-S24,S24&gt;0,AL24/S24)</f>
        <v>-352.06611215604715</v>
      </c>
      <c r="AT24" s="103">
        <f t="shared" ref="AT24:AT26" si="33">IF(AN24=0,0,AS24/AN24)</f>
        <v>-0.25935431549075355</v>
      </c>
      <c r="AU24" s="103">
        <f t="shared" ref="AU24:AU26" si="34">IF(AO24=0,0,AS24/AO24)</f>
        <v>-2.8482008911580547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</f>
        <v>19</v>
      </c>
      <c r="M25" s="98"/>
      <c r="N25" s="98"/>
      <c r="O25" s="189"/>
      <c r="P25" s="101"/>
      <c r="Q25" s="278">
        <f>ФЕВРАЛЬ!Q25+МАРТ!Q25</f>
        <v>9</v>
      </c>
      <c r="R25" s="278">
        <f>ФЕВРАЛЬ!R25+МАРТ!R25</f>
        <v>-2</v>
      </c>
      <c r="S25" s="101">
        <f t="shared" si="22"/>
        <v>7</v>
      </c>
      <c r="T25" s="278">
        <f>ФЕВРАЛЬ!T25+МАРТ!T25</f>
        <v>8045</v>
      </c>
      <c r="U25" s="278">
        <f>ФЕВРАЛЬ!U25+МАРТ!U25</f>
        <v>-1663</v>
      </c>
      <c r="V25" s="101">
        <f t="shared" si="23"/>
        <v>6382</v>
      </c>
      <c r="W25" s="278">
        <f>ФЕВРАЛЬ!W25+МАРТ!W25</f>
        <v>12630</v>
      </c>
      <c r="X25" s="278">
        <f>ФЕВРАЛЬ!X25+МАРТ!X25</f>
        <v>-2580</v>
      </c>
      <c r="Y25" s="269">
        <f t="shared" si="24"/>
        <v>10050</v>
      </c>
      <c r="Z25" s="101">
        <f t="shared" si="25"/>
        <v>0</v>
      </c>
      <c r="AA25" s="103">
        <f t="shared" si="2"/>
        <v>2.5144433126586211E-3</v>
      </c>
      <c r="AB25" s="101">
        <f t="shared" si="26"/>
        <v>865.27</v>
      </c>
      <c r="AC25" s="278">
        <f>ФЕВРАЛЬ!AC25+МАРТ!AC25</f>
        <v>4084.1900000000005</v>
      </c>
      <c r="AD25" s="103">
        <f t="shared" si="27"/>
        <v>0.40638706467661695</v>
      </c>
      <c r="AE25" s="278">
        <f>ФЕВРАЛЬ!AE25+МАРТ!AE25</f>
        <v>1121.6600000000001</v>
      </c>
      <c r="AF25" s="278">
        <f>ФЕВРАЛЬ!AF25+МАРТ!AF25</f>
        <v>17</v>
      </c>
      <c r="AG25" s="278">
        <f>ФЕВРАЛЬ!AG25+МАРТ!AG25</f>
        <v>0</v>
      </c>
      <c r="AH25" s="278">
        <f>ФЕВРАЛЬ!AH25+МАРТ!AH25</f>
        <v>0</v>
      </c>
      <c r="AI25" s="278">
        <f>ФЕВРАЛЬ!AI25+МАРТ!AI25</f>
        <v>76.000264211094091</v>
      </c>
      <c r="AJ25" s="278">
        <f>ФЕВРАЛЬ!AJ25+МАРТ!AJ25</f>
        <v>0</v>
      </c>
      <c r="AK25" s="278">
        <f>ФЕВРАЛЬ!AK25+МАРТ!AK25</f>
        <v>63.82</v>
      </c>
      <c r="AL25" s="105">
        <f t="shared" si="14"/>
        <v>3822.0597357889051</v>
      </c>
      <c r="AM25" s="106"/>
      <c r="AN25" s="107">
        <f t="shared" si="28"/>
        <v>1435.7142857142858</v>
      </c>
      <c r="AO25" s="108">
        <f t="shared" si="29"/>
        <v>123.61</v>
      </c>
      <c r="AP25" s="108">
        <f t="shared" si="30"/>
        <v>583.45571428571441</v>
      </c>
      <c r="AQ25" s="108">
        <f t="shared" si="31"/>
        <v>124.62888888888889</v>
      </c>
      <c r="AR25" s="108">
        <f t="shared" si="32"/>
        <v>1.8888888888888888</v>
      </c>
      <c r="AS25" s="108">
        <f t="array" ref="AS25">_xlfn.IFS(S25=0,AL25,S25&lt;0,AL25/-S25,S25&gt;0,AL25/S25)</f>
        <v>546.00853368412925</v>
      </c>
      <c r="AT25" s="103">
        <f t="shared" si="33"/>
        <v>0.38030445132227908</v>
      </c>
      <c r="AU25" s="103">
        <f t="shared" si="34"/>
        <v>4.4171873932863788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</f>
        <v>25</v>
      </c>
      <c r="M26" s="98"/>
      <c r="N26" s="98"/>
      <c r="O26" s="189"/>
      <c r="P26" s="101"/>
      <c r="Q26" s="278">
        <f>ФЕВРАЛЬ!Q26+МАРТ!Q26</f>
        <v>9</v>
      </c>
      <c r="R26" s="278">
        <f>ФЕВРАЛЬ!R26+МАРТ!R26</f>
        <v>-1</v>
      </c>
      <c r="S26" s="101">
        <f t="shared" si="22"/>
        <v>8</v>
      </c>
      <c r="T26" s="278">
        <f>ФЕВРАЛЬ!T26+МАРТ!T26</f>
        <v>7609</v>
      </c>
      <c r="U26" s="278">
        <f>ФЕВРАЛЬ!U26+МАРТ!U26</f>
        <v>-936</v>
      </c>
      <c r="V26" s="101">
        <f t="shared" si="23"/>
        <v>6673</v>
      </c>
      <c r="W26" s="278">
        <f>ФЕВРАЛЬ!W26+МАРТ!W26</f>
        <v>12090</v>
      </c>
      <c r="X26" s="278">
        <f>ФЕВРАЛЬ!X26+МАРТ!X26</f>
        <v>-1440</v>
      </c>
      <c r="Y26" s="269">
        <f t="shared" si="24"/>
        <v>10650</v>
      </c>
      <c r="Z26" s="101">
        <f t="shared" si="25"/>
        <v>0</v>
      </c>
      <c r="AA26" s="103">
        <f t="shared" si="2"/>
        <v>2.6645593313248078E-3</v>
      </c>
      <c r="AB26" s="101">
        <f t="shared" si="26"/>
        <v>988.88</v>
      </c>
      <c r="AC26" s="278">
        <f>ФЕВРАЛЬ!AC26+МАРТ!AC26</f>
        <v>4260.6299999999992</v>
      </c>
      <c r="AD26" s="103">
        <f t="shared" si="27"/>
        <v>0.40005915492957739</v>
      </c>
      <c r="AE26" s="278">
        <f>ФЕВРАЛЬ!AE26+МАРТ!AE26</f>
        <v>1621.54</v>
      </c>
      <c r="AF26" s="278">
        <f>ФЕВРАЛЬ!AF26+МАРТ!AF26</f>
        <v>4044</v>
      </c>
      <c r="AG26" s="278">
        <f>ФЕВРАЛЬ!AG26+МАРТ!AG26</f>
        <v>902</v>
      </c>
      <c r="AH26" s="278">
        <f>ФЕВРАЛЬ!AH26+МАРТ!AH26</f>
        <v>0</v>
      </c>
      <c r="AI26" s="278">
        <f>ФЕВРАЛЬ!AI26+МАРТ!AI26</f>
        <v>71.910515942285073</v>
      </c>
      <c r="AJ26" s="278">
        <f>ФЕВРАЛЬ!AJ26+МАРТ!AJ26</f>
        <v>0</v>
      </c>
      <c r="AK26" s="278">
        <f>ФЕВРАЛЬ!AK26+МАРТ!AK26</f>
        <v>66.73</v>
      </c>
      <c r="AL26" s="105">
        <f t="shared" si="14"/>
        <v>-1305.6905159422834</v>
      </c>
      <c r="AM26" s="106"/>
      <c r="AN26" s="107">
        <f t="shared" si="28"/>
        <v>1331.25</v>
      </c>
      <c r="AO26" s="108">
        <f t="shared" si="29"/>
        <v>123.61</v>
      </c>
      <c r="AP26" s="108">
        <f t="shared" si="30"/>
        <v>532.5787499999999</v>
      </c>
      <c r="AQ26" s="108">
        <f t="shared" si="31"/>
        <v>180.17111111111112</v>
      </c>
      <c r="AR26" s="108">
        <f t="shared" si="32"/>
        <v>549.55555555555554</v>
      </c>
      <c r="AS26" s="108">
        <f t="array" ref="AS26">_xlfn.IFS(S26=0,AL26,S26&lt;0,AL26/-S26,S26&gt;0,AL26/S26)</f>
        <v>-163.21131449278542</v>
      </c>
      <c r="AT26" s="103">
        <f t="shared" si="33"/>
        <v>-0.12260004844528483</v>
      </c>
      <c r="AU26" s="103">
        <f t="shared" si="34"/>
        <v>-1.3203730644186185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</f>
        <v>20</v>
      </c>
      <c r="M27" s="98"/>
      <c r="N27" s="98"/>
      <c r="O27" s="189"/>
      <c r="P27" s="101"/>
      <c r="Q27" s="278">
        <f>ФЕВРАЛЬ!Q27+МАРТ!Q27</f>
        <v>12</v>
      </c>
      <c r="R27" s="278">
        <f>ФЕВРАЛЬ!R27+МАРТ!R27</f>
        <v>0</v>
      </c>
      <c r="S27" s="101">
        <f t="shared" si="10"/>
        <v>12</v>
      </c>
      <c r="T27" s="278">
        <f>ФЕВРАЛЬ!T27+МАРТ!T27</f>
        <v>8582</v>
      </c>
      <c r="U27" s="278">
        <f>ФЕВРАЛЬ!U27+МАРТ!U27</f>
        <v>0</v>
      </c>
      <c r="V27" s="101">
        <f t="shared" si="19"/>
        <v>8582</v>
      </c>
      <c r="W27" s="278">
        <f>ФЕВРАЛЬ!W27+МАРТ!W27</f>
        <v>13550</v>
      </c>
      <c r="X27" s="278">
        <f>ФЕВРАЛЬ!X27+МАРТ!X27</f>
        <v>0</v>
      </c>
      <c r="Y27" s="269">
        <f t="shared" si="20"/>
        <v>13550</v>
      </c>
      <c r="Z27" s="101">
        <f t="shared" si="12"/>
        <v>0</v>
      </c>
      <c r="AA27" s="103">
        <f t="shared" si="2"/>
        <v>3.3901200882113752E-3</v>
      </c>
      <c r="AB27" s="101">
        <f t="shared" si="13"/>
        <v>1413.1200000000001</v>
      </c>
      <c r="AC27" s="278">
        <f>ФЕВРАЛЬ!AC27+МАРТ!AC27</f>
        <v>5539.6900000000005</v>
      </c>
      <c r="AD27" s="103">
        <f t="shared" si="3"/>
        <v>0.40883321033210335</v>
      </c>
      <c r="AE27" s="278">
        <f>ФЕВРАЛЬ!AE27+МАРТ!AE27</f>
        <v>2533.3000000000002</v>
      </c>
      <c r="AF27" s="278">
        <f>ФЕВРАЛЬ!AF27+МАРТ!AF27</f>
        <v>0</v>
      </c>
      <c r="AG27" s="278">
        <f>ФЕВРАЛЬ!AG27+МАРТ!AG27</f>
        <v>0</v>
      </c>
      <c r="AH27" s="278">
        <f>ФЕВРАЛЬ!AH27+МАРТ!AH27</f>
        <v>0</v>
      </c>
      <c r="AI27" s="278">
        <f>ФЕВРАЛЬ!AI27+МАРТ!AI27</f>
        <v>2.2293721385356911</v>
      </c>
      <c r="AJ27" s="278">
        <f>ФЕВРАЛЬ!AJ27+МАРТ!AJ27</f>
        <v>0</v>
      </c>
      <c r="AK27" s="278">
        <f>ФЕВРАЛЬ!AK27+МАРТ!AK27</f>
        <v>85.416777221504361</v>
      </c>
      <c r="AL27" s="105">
        <f t="shared" si="14"/>
        <v>3976.2438506399585</v>
      </c>
      <c r="AM27" s="106"/>
      <c r="AN27" s="107">
        <f t="shared" si="4"/>
        <v>1129.1666666666667</v>
      </c>
      <c r="AO27" s="108">
        <f t="shared" si="5"/>
        <v>117.76</v>
      </c>
      <c r="AP27" s="108">
        <f t="shared" si="6"/>
        <v>461.64083333333338</v>
      </c>
      <c r="AQ27" s="108">
        <f t="shared" si="15"/>
        <v>211.10833333333335</v>
      </c>
      <c r="AR27" s="108">
        <f t="shared" si="16"/>
        <v>0</v>
      </c>
      <c r="AS27" s="108">
        <f t="array" ref="AS27">_xlfn.IFS(S27=0,AL27,S27&lt;0,AL27/-S27,S27&gt;0,AL27/S27)</f>
        <v>331.35365421999654</v>
      </c>
      <c r="AT27" s="103">
        <f t="shared" si="17"/>
        <v>0.29344973067453567</v>
      </c>
      <c r="AU27" s="103">
        <f t="shared" si="18"/>
        <v>2.8138048082540466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</f>
        <v>15</v>
      </c>
      <c r="M28" s="98"/>
      <c r="N28" s="98"/>
      <c r="O28" s="189"/>
      <c r="P28" s="101"/>
      <c r="Q28" s="278">
        <f>ФЕВРАЛЬ!Q28+МАРТ!Q28</f>
        <v>21</v>
      </c>
      <c r="R28" s="278">
        <f>ФЕВРАЛЬ!R28+МАРТ!R28</f>
        <v>0</v>
      </c>
      <c r="S28" s="101">
        <f t="shared" si="10"/>
        <v>21</v>
      </c>
      <c r="T28" s="278">
        <f>ФЕВРАЛЬ!T28+МАРТ!T28</f>
        <v>13785.58</v>
      </c>
      <c r="U28" s="278">
        <f>ФЕВРАЛЬ!U28+МАРТ!U28</f>
        <v>0</v>
      </c>
      <c r="V28" s="101">
        <f t="shared" si="19"/>
        <v>13785.58</v>
      </c>
      <c r="W28" s="278">
        <f>ФЕВРАЛЬ!W28+МАРТ!W28</f>
        <v>21781</v>
      </c>
      <c r="X28" s="278">
        <f>ФЕВРАЛЬ!X28+МАРТ!X28</f>
        <v>0</v>
      </c>
      <c r="Y28" s="269">
        <f t="shared" si="20"/>
        <v>21781</v>
      </c>
      <c r="Z28" s="101">
        <f t="shared" si="12"/>
        <v>0</v>
      </c>
      <c r="AA28" s="103">
        <f t="shared" si="2"/>
        <v>5.4494616709470081E-3</v>
      </c>
      <c r="AB28" s="101">
        <f t="shared" si="13"/>
        <v>2472.96</v>
      </c>
      <c r="AC28" s="278">
        <f>ФЕВРАЛЬ!AC28+МАРТ!AC28</f>
        <v>8584.09</v>
      </c>
      <c r="AD28" s="103">
        <f t="shared" si="3"/>
        <v>0.39410908590055554</v>
      </c>
      <c r="AE28" s="278">
        <f>ФЕВРАЛЬ!AE28+МАРТ!AE28</f>
        <v>2602.3000000000006</v>
      </c>
      <c r="AF28" s="278">
        <f>ФЕВРАЛЬ!AF28+МАРТ!AF28</f>
        <v>0</v>
      </c>
      <c r="AG28" s="278">
        <f>ФЕВРАЛЬ!AG28+МАРТ!AG28</f>
        <v>0</v>
      </c>
      <c r="AH28" s="278">
        <f>ФЕВРАЛЬ!AH28+МАРТ!AH28</f>
        <v>0</v>
      </c>
      <c r="AI28" s="278">
        <f>ФЕВРАЛЬ!AI28+МАРТ!AI28</f>
        <v>0</v>
      </c>
      <c r="AJ28" s="278">
        <f>ФЕВРАЛЬ!AJ28+МАРТ!AJ28</f>
        <v>0</v>
      </c>
      <c r="AK28" s="278">
        <f>ФЕВРАЛЬ!AK28+МАРТ!AK28</f>
        <v>140.20560554014696</v>
      </c>
      <c r="AL28" s="105">
        <f t="shared" si="14"/>
        <v>7981.4443944598524</v>
      </c>
      <c r="AM28" s="106"/>
      <c r="AN28" s="107">
        <f t="shared" si="4"/>
        <v>1037.1904761904761</v>
      </c>
      <c r="AO28" s="108">
        <f t="shared" si="5"/>
        <v>117.76</v>
      </c>
      <c r="AP28" s="108">
        <f t="shared" si="6"/>
        <v>408.7661904761905</v>
      </c>
      <c r="AQ28" s="108">
        <f t="shared" si="15"/>
        <v>123.91904761904765</v>
      </c>
      <c r="AR28" s="108">
        <f t="shared" si="16"/>
        <v>0</v>
      </c>
      <c r="AS28" s="108">
        <f t="array" ref="AS28">_xlfn.IFS(S28=0,AL28,S28&lt;0,AL28/-S28,S28&gt;0,AL28/S28)</f>
        <v>380.0687806885644</v>
      </c>
      <c r="AT28" s="103">
        <f t="shared" si="17"/>
        <v>0.36644067740047992</v>
      </c>
      <c r="AU28" s="103">
        <f t="shared" si="18"/>
        <v>3.2274862490537055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</f>
        <v>3</v>
      </c>
      <c r="M29" s="98"/>
      <c r="N29" s="98"/>
      <c r="O29" s="189"/>
      <c r="P29" s="101"/>
      <c r="Q29" s="278">
        <f>ФЕВРАЛЬ!Q29+МАРТ!Q29</f>
        <v>2</v>
      </c>
      <c r="R29" s="278">
        <f>ФЕВРАЛЬ!R29+МАРТ!R29</f>
        <v>0</v>
      </c>
      <c r="S29" s="101">
        <f t="shared" si="10"/>
        <v>2</v>
      </c>
      <c r="T29" s="278">
        <f>ФЕВРАЛЬ!T29+МАРТ!T29</f>
        <v>871</v>
      </c>
      <c r="U29" s="278">
        <f>ФЕВРАЛЬ!U29+МАРТ!U29</f>
        <v>0</v>
      </c>
      <c r="V29" s="101">
        <f t="shared" si="19"/>
        <v>871</v>
      </c>
      <c r="W29" s="278">
        <f>ФЕВРАЛЬ!W29+МАРТ!W29</f>
        <v>1300</v>
      </c>
      <c r="X29" s="278">
        <f>ФЕВРАЛЬ!X29+МАРТ!X29</f>
        <v>0</v>
      </c>
      <c r="Y29" s="269">
        <f t="shared" si="20"/>
        <v>1300</v>
      </c>
      <c r="Z29" s="101">
        <f t="shared" si="12"/>
        <v>0</v>
      </c>
      <c r="AA29" s="103">
        <f t="shared" si="2"/>
        <v>3.2525137377673708E-4</v>
      </c>
      <c r="AB29" s="101">
        <f t="shared" si="13"/>
        <v>235.52</v>
      </c>
      <c r="AC29" s="278">
        <f>ФЕВРАЛЬ!AC29+МАРТ!AC29</f>
        <v>612.29</v>
      </c>
      <c r="AD29" s="103">
        <f t="shared" si="3"/>
        <v>0.47099230769230765</v>
      </c>
      <c r="AE29" s="278">
        <f>ФЕВРАЛЬ!AE29+МАРТ!AE29</f>
        <v>620.9</v>
      </c>
      <c r="AF29" s="278">
        <f>ФЕВРАЛЬ!AF29+МАРТ!AF29</f>
        <v>0</v>
      </c>
      <c r="AG29" s="278">
        <f>ФЕВРАЛЬ!AG29+МАРТ!AG29</f>
        <v>0</v>
      </c>
      <c r="AH29" s="278">
        <f>ФЕВРАЛЬ!AH29+МАРТ!AH29</f>
        <v>0</v>
      </c>
      <c r="AI29" s="278">
        <f>ФЕВРАЛЬ!AI29+МАРТ!AI29</f>
        <v>0</v>
      </c>
      <c r="AJ29" s="278">
        <f>ФЕВРАЛЬ!AJ29+МАРТ!AJ29</f>
        <v>0</v>
      </c>
      <c r="AK29" s="278">
        <f>ФЕВРАЛЬ!AK29+МАРТ!AK29</f>
        <v>8.7100000000000009</v>
      </c>
      <c r="AL29" s="105">
        <f t="shared" si="14"/>
        <v>-177.41999999999993</v>
      </c>
      <c r="AM29" s="106"/>
      <c r="AN29" s="107">
        <f t="shared" si="4"/>
        <v>650</v>
      </c>
      <c r="AO29" s="108">
        <f t="shared" si="5"/>
        <v>117.76</v>
      </c>
      <c r="AP29" s="108">
        <f t="shared" si="6"/>
        <v>306.14499999999998</v>
      </c>
      <c r="AQ29" s="108">
        <f t="shared" si="15"/>
        <v>310.45</v>
      </c>
      <c r="AR29" s="108">
        <f t="shared" si="16"/>
        <v>0</v>
      </c>
      <c r="AS29" s="108">
        <f t="array" ref="AS29">_xlfn.IFS(S29=0,AL29,S29&lt;0,AL29/-S29,S29&gt;0,AL29/S29)</f>
        <v>-88.709999999999965</v>
      </c>
      <c r="AT29" s="103">
        <f t="shared" si="17"/>
        <v>-0.13647692307692302</v>
      </c>
      <c r="AU29" s="103">
        <f t="shared" si="18"/>
        <v>-0.75331182065217361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</f>
        <v>95</v>
      </c>
      <c r="M30" s="98"/>
      <c r="N30" s="98"/>
      <c r="O30" s="189"/>
      <c r="P30" s="101"/>
      <c r="Q30" s="278">
        <f>ФЕВРАЛЬ!Q30+МАРТ!Q30</f>
        <v>26</v>
      </c>
      <c r="R30" s="278">
        <f>ФЕВРАЛЬ!R30+МАРТ!R30</f>
        <v>0</v>
      </c>
      <c r="S30" s="101">
        <f t="shared" si="10"/>
        <v>26</v>
      </c>
      <c r="T30" s="278">
        <f>ФЕВРАЛЬ!T30+МАРТ!T30</f>
        <v>21440.379999999997</v>
      </c>
      <c r="U30" s="278">
        <f>ФЕВРАЛЬ!U30+МАРТ!U30</f>
        <v>0</v>
      </c>
      <c r="V30" s="101">
        <f t="shared" si="19"/>
        <v>21440.379999999997</v>
      </c>
      <c r="W30" s="278">
        <f>ФЕВРАЛЬ!W30+МАРТ!W30</f>
        <v>33679.990000000005</v>
      </c>
      <c r="X30" s="278">
        <f>ФЕВРАЛЬ!X30+МАРТ!X30</f>
        <v>0</v>
      </c>
      <c r="Y30" s="269">
        <f t="shared" si="20"/>
        <v>33679.990000000005</v>
      </c>
      <c r="Z30" s="101">
        <f t="shared" si="12"/>
        <v>0</v>
      </c>
      <c r="AA30" s="103">
        <f t="shared" si="2"/>
        <v>8.4265100125282839E-3</v>
      </c>
      <c r="AB30" s="101">
        <f t="shared" si="13"/>
        <v>3518.06</v>
      </c>
      <c r="AC30" s="278">
        <f>ФЕВРАЛЬ!AC30+МАРТ!AC30</f>
        <v>12762.900000000001</v>
      </c>
      <c r="AD30" s="103">
        <f t="shared" si="3"/>
        <v>0.37894607450892948</v>
      </c>
      <c r="AE30" s="278">
        <f>ФЕВРАЛЬ!AE30+МАРТ!AE30</f>
        <v>5558.7999999999984</v>
      </c>
      <c r="AF30" s="278">
        <f>ФЕВРАЛЬ!AF30+МАРТ!AF30</f>
        <v>5000</v>
      </c>
      <c r="AG30" s="278">
        <f>ФЕВРАЛЬ!AG30+МАРТ!AG30</f>
        <v>0</v>
      </c>
      <c r="AH30" s="278">
        <f>ФЕВРАЛЬ!AH30+МАРТ!AH30</f>
        <v>0</v>
      </c>
      <c r="AI30" s="278">
        <f>ФЕВРАЛЬ!AI30+МАРТ!AI30</f>
        <v>74.499776370642167</v>
      </c>
      <c r="AJ30" s="278">
        <f>ФЕВРАЛЬ!AJ30+МАРТ!AJ30</f>
        <v>0</v>
      </c>
      <c r="AK30" s="278">
        <f>ФЕВРАЛЬ!AK30+МАРТ!AK30</f>
        <v>214.49763315810119</v>
      </c>
      <c r="AL30" s="105">
        <f t="shared" si="14"/>
        <v>6551.2325904712598</v>
      </c>
      <c r="AM30" s="106"/>
      <c r="AN30" s="107">
        <f t="shared" si="4"/>
        <v>1295.384230769231</v>
      </c>
      <c r="AO30" s="108">
        <f t="shared" si="5"/>
        <v>135.31</v>
      </c>
      <c r="AP30" s="108">
        <f t="shared" si="6"/>
        <v>490.88076923076926</v>
      </c>
      <c r="AQ30" s="108">
        <f t="shared" si="15"/>
        <v>213.79999999999993</v>
      </c>
      <c r="AR30" s="108">
        <f t="shared" si="16"/>
        <v>192.30769230769232</v>
      </c>
      <c r="AS30" s="108">
        <f t="array" ref="AS30">_xlfn.IFS(S30=0,AL30,S30&lt;0,AL30/-S30,S30&gt;0,AL30/S30)</f>
        <v>251.97048424889459</v>
      </c>
      <c r="AT30" s="103">
        <f t="shared" si="17"/>
        <v>0.19451408953717797</v>
      </c>
      <c r="AU30" s="103">
        <f t="shared" si="18"/>
        <v>1.862171932960569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</f>
        <v>142</v>
      </c>
      <c r="M31" s="98"/>
      <c r="N31" s="98"/>
      <c r="O31" s="189"/>
      <c r="P31" s="101"/>
      <c r="Q31" s="278">
        <f>ФЕВРАЛЬ!Q31+МАРТ!Q31</f>
        <v>52</v>
      </c>
      <c r="R31" s="278">
        <f>ФЕВРАЛЬ!R31+МАРТ!R31</f>
        <v>-2</v>
      </c>
      <c r="S31" s="101">
        <f t="shared" si="10"/>
        <v>50</v>
      </c>
      <c r="T31" s="278">
        <f>ФЕВРАЛЬ!T31+МАРТ!T31</f>
        <v>41807.03</v>
      </c>
      <c r="U31" s="278">
        <f>ФЕВРАЛЬ!U31+МАРТ!U31</f>
        <v>-1341</v>
      </c>
      <c r="V31" s="101">
        <f t="shared" si="19"/>
        <v>40466.03</v>
      </c>
      <c r="W31" s="278">
        <f>ФЕВРАЛЬ!W31+МАРТ!W31</f>
        <v>64999.979999999996</v>
      </c>
      <c r="X31" s="278">
        <f>ФЕВРАЛЬ!X31+МАРТ!X31</f>
        <v>-2100</v>
      </c>
      <c r="Y31" s="269">
        <f t="shared" si="20"/>
        <v>62899.979999999996</v>
      </c>
      <c r="Z31" s="101">
        <f t="shared" si="12"/>
        <v>0</v>
      </c>
      <c r="AA31" s="103">
        <f t="shared" si="2"/>
        <v>1.5737157619637912E-2</v>
      </c>
      <c r="AB31" s="101">
        <f t="shared" si="13"/>
        <v>6765.5</v>
      </c>
      <c r="AC31" s="278">
        <f>ФЕВРАЛЬ!AC31+МАРТ!AC31</f>
        <v>23973.39</v>
      </c>
      <c r="AD31" s="103">
        <f t="shared" si="3"/>
        <v>0.38113509734025353</v>
      </c>
      <c r="AE31" s="278">
        <f>ФЕВРАЛЬ!AE31+МАРТ!AE31</f>
        <v>7900.1900000000005</v>
      </c>
      <c r="AF31" s="278">
        <f>ФЕВРАЛЬ!AF31+МАРТ!AF31</f>
        <v>2000</v>
      </c>
      <c r="AG31" s="278">
        <f>ФЕВРАЛЬ!AG31+МАРТ!AG31</f>
        <v>9000</v>
      </c>
      <c r="AH31" s="278">
        <f>ФЕВРАЛЬ!AH31+МАРТ!AH31</f>
        <v>0</v>
      </c>
      <c r="AI31" s="278">
        <f>ФЕВРАЛЬ!AI31+МАРТ!AI31</f>
        <v>124.56356137808373</v>
      </c>
      <c r="AJ31" s="278">
        <f>ФЕВРАЛЬ!AJ31+МАРТ!AJ31</f>
        <v>0</v>
      </c>
      <c r="AK31" s="278">
        <f>ФЕВРАЛЬ!AK31+МАРТ!AK31</f>
        <v>406.62942790984766</v>
      </c>
      <c r="AL31" s="105">
        <f t="shared" si="14"/>
        <v>12729.707010712063</v>
      </c>
      <c r="AM31" s="106"/>
      <c r="AN31" s="107">
        <f t="shared" si="4"/>
        <v>1257.9995999999999</v>
      </c>
      <c r="AO31" s="108">
        <f t="shared" si="5"/>
        <v>135.31</v>
      </c>
      <c r="AP31" s="108">
        <f t="shared" si="6"/>
        <v>479.46780000000001</v>
      </c>
      <c r="AQ31" s="108">
        <f t="shared" si="15"/>
        <v>151.92673076923077</v>
      </c>
      <c r="AR31" s="108">
        <f t="shared" si="16"/>
        <v>211.53846153846155</v>
      </c>
      <c r="AS31" s="108">
        <f t="array" ref="AS31">_xlfn.IFS(S31=0,AL31,S31&lt;0,AL31/-S31,S31&gt;0,AL31/S31)</f>
        <v>254.59414021424126</v>
      </c>
      <c r="AT31" s="103">
        <f t="shared" si="17"/>
        <v>0.20238014401136636</v>
      </c>
      <c r="AU31" s="103">
        <f t="shared" si="18"/>
        <v>1.8815618964913257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</f>
        <v>66</v>
      </c>
      <c r="M32" s="98"/>
      <c r="N32" s="98"/>
      <c r="O32" s="189"/>
      <c r="P32" s="101"/>
      <c r="Q32" s="278">
        <f>ФЕВРАЛЬ!Q32+МАРТ!Q32</f>
        <v>17</v>
      </c>
      <c r="R32" s="278">
        <f>ФЕВРАЛЬ!R32+МАРТ!R32</f>
        <v>0</v>
      </c>
      <c r="S32" s="101">
        <f t="shared" si="10"/>
        <v>17</v>
      </c>
      <c r="T32" s="278">
        <f>ФЕВРАЛЬ!T32+МАРТ!T32</f>
        <v>14789.56</v>
      </c>
      <c r="U32" s="278">
        <f>ФЕВРАЛЬ!U32+МАРТ!U32</f>
        <v>0</v>
      </c>
      <c r="V32" s="101">
        <f t="shared" si="19"/>
        <v>14789.56</v>
      </c>
      <c r="W32" s="278">
        <f>ФЕВРАЛЬ!W32+МАРТ!W32</f>
        <v>23100.080000000002</v>
      </c>
      <c r="X32" s="278">
        <f>ФЕВРАЛЬ!X32+МАРТ!X32</f>
        <v>0</v>
      </c>
      <c r="Y32" s="269">
        <f t="shared" si="20"/>
        <v>23100.080000000002</v>
      </c>
      <c r="Z32" s="101">
        <f t="shared" si="12"/>
        <v>0</v>
      </c>
      <c r="AA32" s="103">
        <f t="shared" si="2"/>
        <v>5.7794867341173306E-3</v>
      </c>
      <c r="AB32" s="101">
        <f t="shared" si="13"/>
        <v>2300.27</v>
      </c>
      <c r="AC32" s="278">
        <f>ФЕВРАЛЬ!AC32+МАРТ!AC32</f>
        <v>8808.2799999999988</v>
      </c>
      <c r="AD32" s="103">
        <f t="shared" si="3"/>
        <v>0.38130950195843472</v>
      </c>
      <c r="AE32" s="278">
        <f>ФЕВРАЛЬ!AE32+МАРТ!AE32</f>
        <v>4839.6100000000006</v>
      </c>
      <c r="AF32" s="278">
        <f>ФЕВРАЛЬ!AF32+МАРТ!AF32</f>
        <v>9009</v>
      </c>
      <c r="AG32" s="278">
        <f>ФЕВРАЛЬ!AG32+МАРТ!AG32</f>
        <v>4000</v>
      </c>
      <c r="AH32" s="278">
        <f>ФЕВРАЛЬ!AH32+МАРТ!AH32</f>
        <v>0</v>
      </c>
      <c r="AI32" s="278">
        <f>ФЕВРАЛЬ!AI32+МАРТ!AI32</f>
        <v>221.52917641623861</v>
      </c>
      <c r="AJ32" s="278">
        <f>ФЕВРАЛЬ!AJ32+МАРТ!AJ32</f>
        <v>0</v>
      </c>
      <c r="AK32" s="278">
        <f>ФЕВРАЛЬ!AK32+МАРТ!AK32</f>
        <v>148.2276340925925</v>
      </c>
      <c r="AL32" s="105">
        <f t="shared" si="14"/>
        <v>-6226.8368105088293</v>
      </c>
      <c r="AM32" s="106"/>
      <c r="AN32" s="107">
        <f t="shared" si="4"/>
        <v>1358.8282352941178</v>
      </c>
      <c r="AO32" s="108">
        <f t="shared" si="5"/>
        <v>135.31</v>
      </c>
      <c r="AP32" s="108">
        <f t="shared" si="6"/>
        <v>518.1341176470587</v>
      </c>
      <c r="AQ32" s="108">
        <f t="shared" si="15"/>
        <v>284.68294117647065</v>
      </c>
      <c r="AR32" s="108">
        <f t="shared" si="16"/>
        <v>765.23529411764707</v>
      </c>
      <c r="AS32" s="108">
        <f t="array" ref="AS32">_xlfn.IFS(S32=0,AL32,S32&lt;0,AL32/-S32,S32&gt;0,AL32/S32)</f>
        <v>-366.28451826522524</v>
      </c>
      <c r="AT32" s="103">
        <f t="shared" si="17"/>
        <v>-0.26955910154894824</v>
      </c>
      <c r="AU32" s="103">
        <f t="shared" si="18"/>
        <v>-2.7070025738321282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</f>
        <v>7</v>
      </c>
      <c r="M33" s="98"/>
      <c r="N33" s="98"/>
      <c r="O33" s="189"/>
      <c r="P33" s="101"/>
      <c r="Q33" s="278">
        <f>ФЕВРАЛЬ!Q33+МАРТ!Q33</f>
        <v>3</v>
      </c>
      <c r="R33" s="278">
        <f>ФЕВРАЛЬ!R33+МАРТ!R33</f>
        <v>0</v>
      </c>
      <c r="S33" s="101">
        <f t="shared" si="10"/>
        <v>3</v>
      </c>
      <c r="T33" s="278">
        <f>ФЕВРАЛЬ!T33+МАРТ!T33</f>
        <v>1951</v>
      </c>
      <c r="U33" s="278">
        <f>ФЕВРАЛЬ!U33+МАРТ!U33</f>
        <v>0</v>
      </c>
      <c r="V33" s="101">
        <f t="shared" si="19"/>
        <v>1951</v>
      </c>
      <c r="W33" s="278">
        <f>ФЕВРАЛЬ!W33+МАРТ!W33</f>
        <v>3020</v>
      </c>
      <c r="X33" s="278">
        <f>ФЕВРАЛЬ!X33+МАРТ!X33</f>
        <v>0</v>
      </c>
      <c r="Y33" s="269">
        <f t="shared" si="20"/>
        <v>3020</v>
      </c>
      <c r="Z33" s="101">
        <f t="shared" si="12"/>
        <v>0</v>
      </c>
      <c r="AA33" s="103">
        <f t="shared" si="2"/>
        <v>7.5558396061980461E-4</v>
      </c>
      <c r="AB33" s="101">
        <f t="shared" si="13"/>
        <v>388.38</v>
      </c>
      <c r="AC33" s="278">
        <f>ФЕВРАЛЬ!AC33+МАРТ!AC33</f>
        <v>1206.94</v>
      </c>
      <c r="AD33" s="103">
        <f t="shared" si="3"/>
        <v>0.39964900662251657</v>
      </c>
      <c r="AE33" s="278">
        <f>ФЕВРАЛЬ!AE33+МАРТ!AE33</f>
        <v>637.03</v>
      </c>
      <c r="AF33" s="278">
        <f>ФЕВРАЛЬ!AF33+МАРТ!AF33</f>
        <v>1000</v>
      </c>
      <c r="AG33" s="278">
        <f>ФЕВРАЛЬ!AG33+МАРТ!AG33</f>
        <v>1212</v>
      </c>
      <c r="AH33" s="278">
        <f>ФЕВРАЛЬ!AH33+МАРТ!AH33</f>
        <v>0</v>
      </c>
      <c r="AI33" s="278">
        <f>ФЕВРАЛЬ!AI33+МАРТ!AI33</f>
        <v>3.1730552080802275</v>
      </c>
      <c r="AJ33" s="278">
        <f>ФЕВРАЛЬ!AJ33+МАРТ!AJ33</f>
        <v>0</v>
      </c>
      <c r="AK33" s="278">
        <f>ФЕВРАЛЬ!AK33+МАРТ!AK33</f>
        <v>19.510631255718184</v>
      </c>
      <c r="AL33" s="105">
        <f t="shared" si="14"/>
        <v>-1447.0336864637986</v>
      </c>
      <c r="AM33" s="106"/>
      <c r="AN33" s="107">
        <f t="shared" si="4"/>
        <v>1006.6666666666666</v>
      </c>
      <c r="AO33" s="108">
        <f t="shared" si="5"/>
        <v>129.46</v>
      </c>
      <c r="AP33" s="108">
        <f t="shared" si="6"/>
        <v>402.31333333333333</v>
      </c>
      <c r="AQ33" s="108">
        <f t="shared" si="15"/>
        <v>212.34333333333333</v>
      </c>
      <c r="AR33" s="108">
        <f t="shared" si="16"/>
        <v>737.33333333333337</v>
      </c>
      <c r="AS33" s="108">
        <f t="array" ref="AS33">_xlfn.IFS(S33=0,AL33,S33&lt;0,AL33/-S33,S33&gt;0,AL33/S33)</f>
        <v>-482.34456215459954</v>
      </c>
      <c r="AT33" s="103">
        <f t="shared" si="17"/>
        <v>-0.47915022730589363</v>
      </c>
      <c r="AU33" s="103">
        <f t="shared" si="18"/>
        <v>-3.7258192658319134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</f>
        <v>83</v>
      </c>
      <c r="M34" s="98"/>
      <c r="N34" s="98"/>
      <c r="O34" s="189"/>
      <c r="P34" s="101"/>
      <c r="Q34" s="278">
        <f>ФЕВРАЛЬ!Q34+МАРТ!Q34</f>
        <v>39</v>
      </c>
      <c r="R34" s="278">
        <f>ФЕВРАЛЬ!R34+МАРТ!R34</f>
        <v>-2</v>
      </c>
      <c r="S34" s="101">
        <f t="shared" si="10"/>
        <v>37</v>
      </c>
      <c r="T34" s="278">
        <f>ФЕВРАЛЬ!T34+МАРТ!T34</f>
        <v>30503.15</v>
      </c>
      <c r="U34" s="278">
        <f>ФЕВРАЛЬ!U34+МАРТ!U34</f>
        <v>-1506</v>
      </c>
      <c r="V34" s="101">
        <f t="shared" si="19"/>
        <v>28997.15</v>
      </c>
      <c r="W34" s="278">
        <f>ФЕВРАЛЬ!W34+МАРТ!W34</f>
        <v>47219.979999999996</v>
      </c>
      <c r="X34" s="278">
        <f>ФЕВРАЛЬ!X34+МАРТ!X34</f>
        <v>-2460</v>
      </c>
      <c r="Y34" s="269">
        <f t="shared" si="20"/>
        <v>44759.979999999996</v>
      </c>
      <c r="Z34" s="101">
        <f t="shared" si="12"/>
        <v>0</v>
      </c>
      <c r="AA34" s="103">
        <f t="shared" si="2"/>
        <v>1.1198649988630212E-2</v>
      </c>
      <c r="AB34" s="101">
        <f t="shared" si="13"/>
        <v>4357.12</v>
      </c>
      <c r="AC34" s="278">
        <f>ФЕВРАЛЬ!AC34+МАРТ!AC34</f>
        <v>17348.129999999997</v>
      </c>
      <c r="AD34" s="103">
        <f t="shared" si="3"/>
        <v>0.38758127237769097</v>
      </c>
      <c r="AE34" s="278">
        <f>ФЕВРАЛЬ!AE34+МАРТ!AE34</f>
        <v>5335.82</v>
      </c>
      <c r="AF34" s="278">
        <f>ФЕВРАЛЬ!AF34+МАРТ!AF34</f>
        <v>6505</v>
      </c>
      <c r="AG34" s="278">
        <f>ФЕВРАЛЬ!AG34+МАРТ!AG34</f>
        <v>4000</v>
      </c>
      <c r="AH34" s="278">
        <f>ФЕВРАЛЬ!AH34+МАРТ!AH34</f>
        <v>0</v>
      </c>
      <c r="AI34" s="278">
        <f>ФЕВРАЛЬ!AI34+МАРТ!AI34</f>
        <v>52.150446871829374</v>
      </c>
      <c r="AJ34" s="278">
        <f>ФЕВРАЛЬ!AJ34+МАРТ!AJ34</f>
        <v>294</v>
      </c>
      <c r="AK34" s="278">
        <f>ФЕВРАЛЬ!AK34+МАРТ!AK34</f>
        <v>289.95499762202127</v>
      </c>
      <c r="AL34" s="105">
        <f t="shared" si="14"/>
        <v>6577.8045555061453</v>
      </c>
      <c r="AM34" s="106"/>
      <c r="AN34" s="107">
        <f t="shared" si="4"/>
        <v>1209.7291891891891</v>
      </c>
      <c r="AO34" s="108">
        <f t="shared" si="5"/>
        <v>117.76</v>
      </c>
      <c r="AP34" s="108">
        <f t="shared" si="6"/>
        <v>468.86837837837828</v>
      </c>
      <c r="AQ34" s="108">
        <f t="shared" si="15"/>
        <v>136.81589743589743</v>
      </c>
      <c r="AR34" s="108">
        <f t="shared" si="16"/>
        <v>269.35897435897436</v>
      </c>
      <c r="AS34" s="108">
        <f t="array" ref="AS34">_xlfn.IFS(S34=0,AL34,S34&lt;0,AL34/-S34,S34&gt;0,AL34/S34)</f>
        <v>177.7785015001661</v>
      </c>
      <c r="AT34" s="103">
        <f t="shared" si="17"/>
        <v>0.14695727199847153</v>
      </c>
      <c r="AU34" s="103">
        <f t="shared" si="18"/>
        <v>1.5096679814891822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</f>
        <v>18</v>
      </c>
      <c r="M35" s="98"/>
      <c r="N35" s="98"/>
      <c r="O35" s="189"/>
      <c r="P35" s="101"/>
      <c r="Q35" s="278">
        <f>ФЕВРАЛЬ!Q35+МАРТ!Q35</f>
        <v>7</v>
      </c>
      <c r="R35" s="278">
        <f>ФЕВРАЛЬ!R35+МАРТ!R35</f>
        <v>0</v>
      </c>
      <c r="S35" s="101">
        <f t="shared" si="10"/>
        <v>7</v>
      </c>
      <c r="T35" s="278">
        <f>ФЕВРАЛЬ!T35+МАРТ!T35</f>
        <v>5328</v>
      </c>
      <c r="U35" s="278">
        <f>ФЕВРАЛЬ!U35+МАРТ!U35</f>
        <v>0</v>
      </c>
      <c r="V35" s="101">
        <f t="shared" si="19"/>
        <v>5328</v>
      </c>
      <c r="W35" s="278">
        <f>ФЕВРАЛЬ!W35+МАРТ!W35</f>
        <v>8430</v>
      </c>
      <c r="X35" s="278">
        <f>ФЕВРАЛЬ!X35+МАРТ!X35</f>
        <v>0</v>
      </c>
      <c r="Y35" s="269">
        <f t="shared" si="20"/>
        <v>8430</v>
      </c>
      <c r="Z35" s="101">
        <f t="shared" si="12"/>
        <v>0</v>
      </c>
      <c r="AA35" s="103">
        <f t="shared" si="2"/>
        <v>2.109130062259918E-3</v>
      </c>
      <c r="AB35" s="101">
        <f t="shared" si="13"/>
        <v>824.32</v>
      </c>
      <c r="AC35" s="278">
        <f>ФЕВРАЛЬ!AC35+МАРТ!AC35</f>
        <v>3552.0599999999995</v>
      </c>
      <c r="AD35" s="103">
        <f t="shared" si="3"/>
        <v>0.42135943060498215</v>
      </c>
      <c r="AE35" s="278">
        <f>ФЕВРАЛЬ!AE35+МАРТ!AE35</f>
        <v>1109.42</v>
      </c>
      <c r="AF35" s="278">
        <f>ФЕВРАЛЬ!AF35+МАРТ!AF35</f>
        <v>0</v>
      </c>
      <c r="AG35" s="278">
        <f>ФЕВРАЛЬ!AG35+МАРТ!AG35</f>
        <v>0</v>
      </c>
      <c r="AH35" s="278">
        <f>ФЕВРАЛЬ!AH35+МАРТ!AH35</f>
        <v>0</v>
      </c>
      <c r="AI35" s="278">
        <f>ФЕВРАЛЬ!AI35+МАРТ!AI35</f>
        <v>0.63141463414634147</v>
      </c>
      <c r="AJ35" s="278">
        <f>ФЕВРАЛЬ!AJ35+МАРТ!AJ35</f>
        <v>0</v>
      </c>
      <c r="AK35" s="278">
        <f>ФЕВРАЛЬ!AK35+МАРТ!AK35</f>
        <v>53.56968340424919</v>
      </c>
      <c r="AL35" s="105">
        <f t="shared" si="14"/>
        <v>2889.998901961605</v>
      </c>
      <c r="AM35" s="106"/>
      <c r="AN35" s="107">
        <f t="shared" si="4"/>
        <v>1204.2857142857142</v>
      </c>
      <c r="AO35" s="108">
        <f t="shared" si="5"/>
        <v>117.76</v>
      </c>
      <c r="AP35" s="108">
        <f t="shared" si="6"/>
        <v>507.43714285714276</v>
      </c>
      <c r="AQ35" s="108">
        <f t="shared" si="15"/>
        <v>158.48857142857145</v>
      </c>
      <c r="AR35" s="108">
        <f t="shared" si="16"/>
        <v>0</v>
      </c>
      <c r="AS35" s="108">
        <f t="array" ref="AS35">_xlfn.IFS(S35=0,AL35,S35&lt;0,AL35/-S35,S35&gt;0,AL35/S35)</f>
        <v>412.85698599451501</v>
      </c>
      <c r="AT35" s="103">
        <f t="shared" si="17"/>
        <v>0.34282312004289506</v>
      </c>
      <c r="AU35" s="103">
        <f t="shared" si="18"/>
        <v>3.5059186990023354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</f>
        <v>11</v>
      </c>
      <c r="M36" s="98"/>
      <c r="N36" s="98"/>
      <c r="O36" s="189"/>
      <c r="P36" s="101"/>
      <c r="Q36" s="278">
        <f>ФЕВРАЛЬ!Q36+МАРТ!Q36</f>
        <v>6</v>
      </c>
      <c r="R36" s="278">
        <f>ФЕВРАЛЬ!R36+МАРТ!R36</f>
        <v>0</v>
      </c>
      <c r="S36" s="101">
        <f t="shared" si="10"/>
        <v>6</v>
      </c>
      <c r="T36" s="278">
        <f>ФЕВРАЛЬ!T36+МАРТ!T36</f>
        <v>4883.4400000000005</v>
      </c>
      <c r="U36" s="278">
        <f>ФЕВРАЛЬ!U36+МАРТ!U36</f>
        <v>0</v>
      </c>
      <c r="V36" s="101">
        <f t="shared" si="19"/>
        <v>4883.4400000000005</v>
      </c>
      <c r="W36" s="278">
        <f>ФЕВРАЛЬ!W36+МАРТ!W36</f>
        <v>7275.99</v>
      </c>
      <c r="X36" s="278">
        <f>ФЕВРАЛЬ!X36+МАРТ!X36</f>
        <v>0</v>
      </c>
      <c r="Y36" s="269">
        <f t="shared" si="20"/>
        <v>7275.99</v>
      </c>
      <c r="Z36" s="101">
        <f t="shared" si="12"/>
        <v>0</v>
      </c>
      <c r="AA36" s="103">
        <f t="shared" si="2"/>
        <v>1.8204044177583087E-3</v>
      </c>
      <c r="AB36" s="101">
        <f t="shared" si="13"/>
        <v>706.56000000000006</v>
      </c>
      <c r="AC36" s="278">
        <f>ФЕВРАЛЬ!AC36+МАРТ!AC36</f>
        <v>3027.74</v>
      </c>
      <c r="AD36" s="103">
        <f t="shared" si="3"/>
        <v>0.41612756477125445</v>
      </c>
      <c r="AE36" s="278">
        <f>ФЕВРАЛЬ!AE36+МАРТ!AE36</f>
        <v>576.47</v>
      </c>
      <c r="AF36" s="278">
        <f>ФЕВРАЛЬ!AF36+МАРТ!AF36</f>
        <v>1000</v>
      </c>
      <c r="AG36" s="278">
        <f>ФЕВРАЛЬ!AG36+МАРТ!AG36</f>
        <v>2000</v>
      </c>
      <c r="AH36" s="278">
        <f>ФЕВРАЛЬ!AH36+МАРТ!AH36</f>
        <v>0</v>
      </c>
      <c r="AI36" s="278">
        <f>ФЕВРАЛЬ!AI36+МАРТ!AI36</f>
        <v>0.63141463414634147</v>
      </c>
      <c r="AJ36" s="278">
        <f>ФЕВРАЛЬ!AJ36+МАРТ!AJ36</f>
        <v>0</v>
      </c>
      <c r="AK36" s="278">
        <f>ФЕВРАЛЬ!AK36+МАРТ!AK36</f>
        <v>47.767648133486411</v>
      </c>
      <c r="AL36" s="105">
        <f t="shared" si="14"/>
        <v>-83.179062767633411</v>
      </c>
      <c r="AM36" s="106"/>
      <c r="AN36" s="107">
        <f t="shared" si="4"/>
        <v>1212.665</v>
      </c>
      <c r="AO36" s="108">
        <f t="shared" si="5"/>
        <v>117.76</v>
      </c>
      <c r="AP36" s="108">
        <f t="shared" si="6"/>
        <v>504.62333333333328</v>
      </c>
      <c r="AQ36" s="108">
        <f t="shared" si="15"/>
        <v>96.078333333333333</v>
      </c>
      <c r="AR36" s="108">
        <f t="shared" si="16"/>
        <v>500</v>
      </c>
      <c r="AS36" s="108">
        <f t="array" ref="AS36">_xlfn.IFS(S36=0,AL36,S36&lt;0,AL36/-S36,S36&gt;0,AL36/S36)</f>
        <v>-13.863177127938902</v>
      </c>
      <c r="AT36" s="103">
        <f t="shared" si="17"/>
        <v>-1.1431992452935396E-2</v>
      </c>
      <c r="AU36" s="103">
        <f t="shared" si="18"/>
        <v>-0.11772399055654638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183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</f>
        <v>6</v>
      </c>
      <c r="M37" s="98"/>
      <c r="N37" s="98"/>
      <c r="O37" s="189"/>
      <c r="P37" s="101"/>
      <c r="Q37" s="278">
        <f>ФЕВРАЛЬ!Q37+МАРТ!Q37</f>
        <v>6</v>
      </c>
      <c r="R37" s="278">
        <f>ФЕВРАЛЬ!R37+МАРТ!R37</f>
        <v>0</v>
      </c>
      <c r="S37" s="101">
        <f t="shared" si="10"/>
        <v>6</v>
      </c>
      <c r="T37" s="278">
        <f>ФЕВРАЛЬ!T37+МАРТ!T37</f>
        <v>4437</v>
      </c>
      <c r="U37" s="278">
        <f>ФЕВРАЛЬ!U37+МАРТ!U37</f>
        <v>0</v>
      </c>
      <c r="V37" s="101">
        <f t="shared" si="19"/>
        <v>4437</v>
      </c>
      <c r="W37" s="278">
        <f>ФЕВРАЛЬ!W37+МАРТ!W37</f>
        <v>6600</v>
      </c>
      <c r="X37" s="278">
        <f>ФЕВРАЛЬ!X37+МАРТ!X37</f>
        <v>0</v>
      </c>
      <c r="Y37" s="269">
        <f t="shared" si="20"/>
        <v>6600</v>
      </c>
      <c r="Z37" s="101">
        <f t="shared" si="12"/>
        <v>0</v>
      </c>
      <c r="AA37" s="103">
        <f t="shared" si="2"/>
        <v>1.6512762053280498E-3</v>
      </c>
      <c r="AB37" s="101">
        <f t="shared" si="13"/>
        <v>1313.34</v>
      </c>
      <c r="AC37" s="278">
        <f>ФЕВРАЛЬ!AC37+МАРТ!AC37</f>
        <v>2436.92</v>
      </c>
      <c r="AD37" s="103">
        <f t="shared" si="3"/>
        <v>0.36923030303030302</v>
      </c>
      <c r="AE37" s="278">
        <f>ФЕВРАЛЬ!AE37+МАРТ!AE37</f>
        <v>590.2399999999999</v>
      </c>
      <c r="AF37" s="278">
        <f>ФЕВРАЛЬ!AF37+МАРТ!AF37</f>
        <v>896</v>
      </c>
      <c r="AG37" s="278">
        <f>ФЕВРАЛЬ!AG37+МАРТ!AG37</f>
        <v>0</v>
      </c>
      <c r="AH37" s="278">
        <f>ФЕВРАЛЬ!AH37+МАРТ!AH37</f>
        <v>0</v>
      </c>
      <c r="AI37" s="278">
        <f>ФЕВРАЛЬ!AI37+МАРТ!AI37</f>
        <v>22.595455740605487</v>
      </c>
      <c r="AJ37" s="278">
        <f>ФЕВРАЛЬ!AJ37+МАРТ!AJ37</f>
        <v>0</v>
      </c>
      <c r="AK37" s="278">
        <f>ФЕВРАЛЬ!AK37+МАРТ!AK37</f>
        <v>42.754307083835705</v>
      </c>
      <c r="AL37" s="105">
        <f t="shared" si="14"/>
        <v>1298.1502371755587</v>
      </c>
      <c r="AM37" s="106"/>
      <c r="AN37" s="107">
        <f t="shared" si="4"/>
        <v>1100</v>
      </c>
      <c r="AO37" s="108">
        <f t="shared" si="5"/>
        <v>218.89</v>
      </c>
      <c r="AP37" s="108">
        <f t="shared" si="6"/>
        <v>406.15333333333336</v>
      </c>
      <c r="AQ37" s="108">
        <f t="shared" si="15"/>
        <v>98.373333333333321</v>
      </c>
      <c r="AR37" s="108">
        <f t="shared" si="16"/>
        <v>149.33333333333334</v>
      </c>
      <c r="AS37" s="108">
        <f t="array" ref="AS37">_xlfn.IFS(S37=0,AL37,S37&lt;0,AL37/-S37,S37&gt;0,AL37/S37)</f>
        <v>216.35837286259311</v>
      </c>
      <c r="AT37" s="103">
        <f t="shared" si="17"/>
        <v>0.19668942987508464</v>
      </c>
      <c r="AU37" s="103">
        <f t="shared" si="18"/>
        <v>0.98843424945220493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184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</f>
        <v>7</v>
      </c>
      <c r="M38" s="98"/>
      <c r="N38" s="98"/>
      <c r="O38" s="189"/>
      <c r="P38" s="101"/>
      <c r="Q38" s="278">
        <f>ФЕВРАЛЬ!Q38+МАРТ!Q38</f>
        <v>5</v>
      </c>
      <c r="R38" s="278">
        <f>ФЕВРАЛЬ!R38+МАРТ!R38</f>
        <v>0</v>
      </c>
      <c r="S38" s="101">
        <f t="shared" si="10"/>
        <v>5</v>
      </c>
      <c r="T38" s="278">
        <f>ФЕВРАЛЬ!T38+МАРТ!T38</f>
        <v>3748</v>
      </c>
      <c r="U38" s="278">
        <f>ФЕВРАЛЬ!U38+МАРТ!U38</f>
        <v>0</v>
      </c>
      <c r="V38" s="101">
        <f t="shared" si="19"/>
        <v>3748</v>
      </c>
      <c r="W38" s="278">
        <f>ФЕВРАЛЬ!W38+МАРТ!W38</f>
        <v>5340</v>
      </c>
      <c r="X38" s="278">
        <f>ФЕВРАЛЬ!X38+МАРТ!X38</f>
        <v>0</v>
      </c>
      <c r="Y38" s="269">
        <f t="shared" si="20"/>
        <v>5340</v>
      </c>
      <c r="Z38" s="101">
        <f t="shared" si="12"/>
        <v>0</v>
      </c>
      <c r="AA38" s="103">
        <f t="shared" si="2"/>
        <v>1.3360325661290586E-3</v>
      </c>
      <c r="AB38" s="101">
        <f t="shared" si="13"/>
        <v>1094.4499999999998</v>
      </c>
      <c r="AC38" s="278">
        <f>ФЕВРАЛЬ!AC38+МАРТ!AC38</f>
        <v>1895.27</v>
      </c>
      <c r="AD38" s="103">
        <f t="shared" si="3"/>
        <v>0.35491947565543069</v>
      </c>
      <c r="AE38" s="278">
        <f>ФЕВРАЛЬ!AE38+МАРТ!AE38</f>
        <v>744.04</v>
      </c>
      <c r="AF38" s="278">
        <f>ФЕВРАЛЬ!AF38+МАРТ!AF38</f>
        <v>2000</v>
      </c>
      <c r="AG38" s="278">
        <f>ФЕВРАЛЬ!AG38+МАРТ!AG38</f>
        <v>1000</v>
      </c>
      <c r="AH38" s="278">
        <f>ФЕВРАЛЬ!AH38+МАРТ!AH38</f>
        <v>0</v>
      </c>
      <c r="AI38" s="278">
        <f>ФЕВРАЛЬ!AI38+МАРТ!AI38</f>
        <v>16.650305407404439</v>
      </c>
      <c r="AJ38" s="278">
        <f>ФЕВРАЛЬ!AJ38+МАРТ!AJ38</f>
        <v>0</v>
      </c>
      <c r="AK38" s="278">
        <f>ФЕВРАЛЬ!AK38+МАРТ!AK38</f>
        <v>34.498930763422216</v>
      </c>
      <c r="AL38" s="105">
        <f t="shared" si="14"/>
        <v>-1444.9092361708265</v>
      </c>
      <c r="AM38" s="106"/>
      <c r="AN38" s="107">
        <f t="shared" si="4"/>
        <v>1068</v>
      </c>
      <c r="AO38" s="108">
        <f t="shared" si="5"/>
        <v>218.89</v>
      </c>
      <c r="AP38" s="108">
        <f t="shared" si="6"/>
        <v>379.05399999999997</v>
      </c>
      <c r="AQ38" s="108">
        <f t="shared" si="15"/>
        <v>148.80799999999999</v>
      </c>
      <c r="AR38" s="108">
        <f t="shared" si="16"/>
        <v>600</v>
      </c>
      <c r="AS38" s="108">
        <f t="array" ref="AS38">_xlfn.IFS(S38=0,AL38,S38&lt;0,AL38/-S38,S38&gt;0,AL38/S38)</f>
        <v>-288.98184723416529</v>
      </c>
      <c r="AT38" s="103">
        <f t="shared" si="17"/>
        <v>-0.27058225396457425</v>
      </c>
      <c r="AU38" s="103">
        <f t="shared" si="18"/>
        <v>-1.3202149355117425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185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</f>
        <v>12</v>
      </c>
      <c r="M39" s="98"/>
      <c r="N39" s="98"/>
      <c r="O39" s="189"/>
      <c r="P39" s="101"/>
      <c r="Q39" s="278">
        <f>ФЕВРАЛЬ!Q39+МАРТ!Q39</f>
        <v>7</v>
      </c>
      <c r="R39" s="278">
        <f>ФЕВРАЛЬ!R39+МАРТ!R39</f>
        <v>-1</v>
      </c>
      <c r="S39" s="101">
        <f t="shared" si="10"/>
        <v>6</v>
      </c>
      <c r="T39" s="278">
        <f>ФЕВРАЛЬ!T39+МАРТ!T39</f>
        <v>5884</v>
      </c>
      <c r="U39" s="278">
        <f>ФЕВРАЛЬ!U39+МАРТ!U39</f>
        <v>-865</v>
      </c>
      <c r="V39" s="101">
        <f t="shared" si="19"/>
        <v>5019</v>
      </c>
      <c r="W39" s="278">
        <f>ФЕВРАЛЬ!W39+МАРТ!W39</f>
        <v>8752</v>
      </c>
      <c r="X39" s="278">
        <f>ФЕВРАЛЬ!X39+МАРТ!X39</f>
        <v>-1316</v>
      </c>
      <c r="Y39" s="269">
        <f t="shared" si="20"/>
        <v>7436</v>
      </c>
      <c r="Z39" s="101">
        <f t="shared" si="12"/>
        <v>0</v>
      </c>
      <c r="AA39" s="103">
        <f t="shared" si="2"/>
        <v>1.8604378580029362E-3</v>
      </c>
      <c r="AB39" s="101">
        <f t="shared" si="13"/>
        <v>1073.3399999999999</v>
      </c>
      <c r="AC39" s="278">
        <f>ФЕВРАЛЬ!AC39+МАРТ!AC39</f>
        <v>2608.2999999999997</v>
      </c>
      <c r="AD39" s="103">
        <f t="shared" si="3"/>
        <v>0.35076654115115652</v>
      </c>
      <c r="AE39" s="278">
        <f>ФЕВРАЛЬ!AE39+МАРТ!AE39</f>
        <v>668.68000000000006</v>
      </c>
      <c r="AF39" s="278">
        <f>ФЕВРАЛЬ!AF39+МАРТ!AF39</f>
        <v>4000</v>
      </c>
      <c r="AG39" s="278">
        <f>ФЕВРАЛЬ!AG39+МАРТ!AG39</f>
        <v>2000</v>
      </c>
      <c r="AH39" s="278">
        <f>ФЕВРАЛЬ!AH39+МАРТ!AH39</f>
        <v>0</v>
      </c>
      <c r="AI39" s="278">
        <f>ФЕВРАЛЬ!AI39+МАРТ!AI39</f>
        <v>54.079032437751707</v>
      </c>
      <c r="AJ39" s="278">
        <f>ФЕВРАЛЬ!AJ39+МАРТ!AJ39</f>
        <v>0</v>
      </c>
      <c r="AK39" s="278">
        <f>ФЕВРАЛЬ!AK39+МАРТ!AK39</f>
        <v>48.925722446377591</v>
      </c>
      <c r="AL39" s="105">
        <f t="shared" si="14"/>
        <v>-3017.3247548841291</v>
      </c>
      <c r="AM39" s="106"/>
      <c r="AN39" s="107">
        <f t="shared" si="4"/>
        <v>1239.3333333333333</v>
      </c>
      <c r="AO39" s="108">
        <f t="shared" si="5"/>
        <v>178.89</v>
      </c>
      <c r="AP39" s="108">
        <f t="shared" si="6"/>
        <v>434.71666666666664</v>
      </c>
      <c r="AQ39" s="108">
        <f t="shared" si="15"/>
        <v>95.525714285714301</v>
      </c>
      <c r="AR39" s="108">
        <f t="shared" si="16"/>
        <v>857.14285714285711</v>
      </c>
      <c r="AS39" s="108">
        <f t="array" ref="AS39">_xlfn.IFS(S39=0,AL39,S39&lt;0,AL39/-S39,S39&gt;0,AL39/S39)</f>
        <v>-502.88745914735483</v>
      </c>
      <c r="AT39" s="103">
        <f t="shared" si="17"/>
        <v>-0.40577255982841975</v>
      </c>
      <c r="AU39" s="103">
        <f t="shared" si="18"/>
        <v>-2.8111546712916029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186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</f>
        <v>12</v>
      </c>
      <c r="M40" s="98"/>
      <c r="N40" s="98"/>
      <c r="O40" s="189"/>
      <c r="P40" s="101"/>
      <c r="Q40" s="278">
        <f>ФЕВРАЛЬ!Q40+МАРТ!Q40</f>
        <v>4</v>
      </c>
      <c r="R40" s="278">
        <f>ФЕВРАЛЬ!R40+МАРТ!R40</f>
        <v>0</v>
      </c>
      <c r="S40" s="101">
        <f t="shared" si="10"/>
        <v>4</v>
      </c>
      <c r="T40" s="278">
        <f>ФЕВРАЛЬ!T40+МАРТ!T40</f>
        <v>3102</v>
      </c>
      <c r="U40" s="278">
        <f>ФЕВРАЛЬ!U40+МАРТ!U40</f>
        <v>0</v>
      </c>
      <c r="V40" s="101">
        <f t="shared" si="19"/>
        <v>3102</v>
      </c>
      <c r="W40" s="278">
        <f>ФЕВРАЛЬ!W40+МАРТ!W40</f>
        <v>4560</v>
      </c>
      <c r="X40" s="278">
        <f>ФЕВРАЛЬ!X40+МАРТ!X40</f>
        <v>0</v>
      </c>
      <c r="Y40" s="269">
        <f t="shared" si="20"/>
        <v>4560</v>
      </c>
      <c r="Z40" s="101">
        <f t="shared" si="12"/>
        <v>0</v>
      </c>
      <c r="AA40" s="103">
        <f t="shared" si="2"/>
        <v>1.1408817418630162E-3</v>
      </c>
      <c r="AB40" s="101">
        <f t="shared" si="13"/>
        <v>715.56</v>
      </c>
      <c r="AC40" s="278">
        <f>ФЕВРАЛЬ!AC40+МАРТ!AC40</f>
        <v>1946.2899999999997</v>
      </c>
      <c r="AD40" s="103">
        <f t="shared" si="3"/>
        <v>0.42681798245614028</v>
      </c>
      <c r="AE40" s="278">
        <f>ФЕВРАЛЬ!AE40+МАРТ!AE40</f>
        <v>927.48</v>
      </c>
      <c r="AF40" s="278">
        <f>ФЕВРАЛЬ!AF40+МАРТ!AF40</f>
        <v>1363</v>
      </c>
      <c r="AG40" s="278">
        <f>ФЕВРАЛЬ!AG40+МАРТ!AG40</f>
        <v>0</v>
      </c>
      <c r="AH40" s="278">
        <f>ФЕВРАЛЬ!AH40+МАРТ!AH40</f>
        <v>0</v>
      </c>
      <c r="AI40" s="278">
        <f>ФЕВРАЛЬ!AI40+МАРТ!AI40</f>
        <v>14.902961187519928</v>
      </c>
      <c r="AJ40" s="278">
        <f>ФЕВРАЛЬ!AJ40+МАРТ!AJ40</f>
        <v>0</v>
      </c>
      <c r="AK40" s="278">
        <f>ФЕВРАЛЬ!AK40+МАРТ!AK40</f>
        <v>30.355869186477154</v>
      </c>
      <c r="AL40" s="105">
        <f t="shared" si="14"/>
        <v>-437.58883037399676</v>
      </c>
      <c r="AM40" s="106"/>
      <c r="AN40" s="107">
        <f t="shared" si="4"/>
        <v>1140</v>
      </c>
      <c r="AO40" s="108">
        <f t="shared" si="5"/>
        <v>178.89</v>
      </c>
      <c r="AP40" s="108">
        <f t="shared" si="6"/>
        <v>486.57249999999993</v>
      </c>
      <c r="AQ40" s="108">
        <f t="shared" si="15"/>
        <v>231.87</v>
      </c>
      <c r="AR40" s="108">
        <f t="shared" si="16"/>
        <v>340.75</v>
      </c>
      <c r="AS40" s="108">
        <f t="array" ref="AS40">_xlfn.IFS(S40=0,AL40,S40&lt;0,AL40/-S40,S40&gt;0,AL40/S40)</f>
        <v>-109.39720759349919</v>
      </c>
      <c r="AT40" s="103">
        <f t="shared" si="17"/>
        <v>-9.5962462801315082E-2</v>
      </c>
      <c r="AU40" s="103">
        <f t="shared" si="18"/>
        <v>-0.61153338696125659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187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</f>
        <v>31</v>
      </c>
      <c r="M41" s="98"/>
      <c r="N41" s="98"/>
      <c r="O41" s="189"/>
      <c r="P41" s="101"/>
      <c r="Q41" s="278">
        <f>ФЕВРАЛЬ!Q41+МАРТ!Q41</f>
        <v>18</v>
      </c>
      <c r="R41" s="278">
        <f>ФЕВРАЛЬ!R41+МАРТ!R41</f>
        <v>0</v>
      </c>
      <c r="S41" s="101">
        <f t="shared" si="10"/>
        <v>18</v>
      </c>
      <c r="T41" s="278">
        <f>ФЕВРАЛЬ!T41+МАРТ!T41</f>
        <v>13955</v>
      </c>
      <c r="U41" s="278">
        <f>ФЕВРАЛЬ!U41+МАРТ!U41</f>
        <v>0</v>
      </c>
      <c r="V41" s="101">
        <f t="shared" si="19"/>
        <v>13955</v>
      </c>
      <c r="W41" s="278">
        <f>ФЕВРАЛЬ!W41+МАРТ!W41</f>
        <v>20700</v>
      </c>
      <c r="X41" s="278">
        <f>ФЕВРАЛЬ!X41+МАРТ!X41</f>
        <v>0</v>
      </c>
      <c r="Y41" s="269">
        <f t="shared" si="20"/>
        <v>20700</v>
      </c>
      <c r="Z41" s="101">
        <f t="shared" si="12"/>
        <v>0</v>
      </c>
      <c r="AA41" s="103">
        <f t="shared" si="2"/>
        <v>5.1790026439834293E-3</v>
      </c>
      <c r="AB41" s="101">
        <f t="shared" si="13"/>
        <v>3220.0199999999995</v>
      </c>
      <c r="AC41" s="278">
        <f>ФЕВРАЛЬ!AC41+МАРТ!AC41</f>
        <v>7580.9400000000005</v>
      </c>
      <c r="AD41" s="103">
        <f t="shared" si="3"/>
        <v>0.36622898550724642</v>
      </c>
      <c r="AE41" s="278">
        <f>ФЕВРАЛЬ!AE41+МАРТ!AE41</f>
        <v>1874.31</v>
      </c>
      <c r="AF41" s="278">
        <f>ФЕВРАЛЬ!AF41+МАРТ!AF41</f>
        <v>5000</v>
      </c>
      <c r="AG41" s="278">
        <f>ФЕВРАЛЬ!AG41+МАРТ!AG41</f>
        <v>3000</v>
      </c>
      <c r="AH41" s="278">
        <f>ФЕВРАЛЬ!AH41+МАРТ!AH41</f>
        <v>0</v>
      </c>
      <c r="AI41" s="278">
        <f>ФЕВРАЛЬ!AI41+МАРТ!AI41</f>
        <v>24.472774710521271</v>
      </c>
      <c r="AJ41" s="278">
        <f>ФЕВРАЛЬ!AJ41+МАРТ!AJ41</f>
        <v>0</v>
      </c>
      <c r="AK41" s="278">
        <f>ФЕВРАЛЬ!AK41+МАРТ!AK41</f>
        <v>136.20110518145268</v>
      </c>
      <c r="AL41" s="105">
        <f t="shared" si="14"/>
        <v>-135.94387989197438</v>
      </c>
      <c r="AM41" s="106"/>
      <c r="AN41" s="107">
        <f t="shared" si="4"/>
        <v>1150</v>
      </c>
      <c r="AO41" s="108">
        <f t="shared" si="5"/>
        <v>178.89</v>
      </c>
      <c r="AP41" s="108">
        <f t="shared" si="6"/>
        <v>421.16333333333336</v>
      </c>
      <c r="AQ41" s="108">
        <f t="shared" si="15"/>
        <v>104.12833333333333</v>
      </c>
      <c r="AR41" s="108">
        <f t="shared" si="16"/>
        <v>444.44444444444446</v>
      </c>
      <c r="AS41" s="108">
        <f t="array" ref="AS41">_xlfn.IFS(S41=0,AL41,S41&lt;0,AL41/-S41,S41&gt;0,AL41/S41)</f>
        <v>-7.5524377717763542</v>
      </c>
      <c r="AT41" s="103">
        <f t="shared" si="17"/>
        <v>-6.5673371928490036E-3</v>
      </c>
      <c r="AU41" s="103">
        <f t="shared" si="18"/>
        <v>-4.2218334014066494E-2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188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</f>
        <v>9</v>
      </c>
      <c r="M42" s="98"/>
      <c r="N42" s="98"/>
      <c r="O42" s="189"/>
      <c r="P42" s="101"/>
      <c r="Q42" s="278">
        <f>ФЕВРАЛЬ!Q42+МАРТ!Q42</f>
        <v>5</v>
      </c>
      <c r="R42" s="278">
        <f>ФЕВРАЛЬ!R42+МАРТ!R42</f>
        <v>-1</v>
      </c>
      <c r="S42" s="101">
        <f t="shared" si="10"/>
        <v>4</v>
      </c>
      <c r="T42" s="278">
        <f>ФЕВРАЛЬ!T42+МАРТ!T42</f>
        <v>4034</v>
      </c>
      <c r="U42" s="278">
        <f>ФЕВРАЛЬ!U42+МАРТ!U42</f>
        <v>-851</v>
      </c>
      <c r="V42" s="101">
        <f t="shared" si="19"/>
        <v>3183</v>
      </c>
      <c r="W42" s="278">
        <f>ФЕВРАЛЬ!W42+МАРТ!W42</f>
        <v>5904</v>
      </c>
      <c r="X42" s="278">
        <f>ФЕВРАЛЬ!X42+МАРТ!X42</f>
        <v>-1296</v>
      </c>
      <c r="Y42" s="269">
        <f t="shared" si="20"/>
        <v>4608</v>
      </c>
      <c r="Z42" s="101">
        <f t="shared" si="12"/>
        <v>0</v>
      </c>
      <c r="AA42" s="103">
        <f t="shared" si="2"/>
        <v>1.1528910233563111E-3</v>
      </c>
      <c r="AB42" s="101">
        <f t="shared" si="13"/>
        <v>715.56</v>
      </c>
      <c r="AC42" s="278">
        <f>ФЕВРАЛЬ!AC42+МАРТ!AC42</f>
        <v>1678.9499999999998</v>
      </c>
      <c r="AD42" s="103">
        <f t="shared" si="3"/>
        <v>0.36435546874999997</v>
      </c>
      <c r="AE42" s="278">
        <f>ФЕВРАЛЬ!AE42+МАРТ!AE42</f>
        <v>545.63</v>
      </c>
      <c r="AF42" s="278">
        <f>ФЕВРАЛЬ!AF42+МАРТ!AF42</f>
        <v>130</v>
      </c>
      <c r="AG42" s="278">
        <f>ФЕВРАЛЬ!AG42+МАРТ!AG42</f>
        <v>0</v>
      </c>
      <c r="AH42" s="278">
        <f>ФЕВРАЛЬ!AH42+МАРТ!AH42</f>
        <v>0</v>
      </c>
      <c r="AI42" s="278">
        <f>ФЕВРАЛЬ!AI42+МАРТ!AI42</f>
        <v>13.490745203732088</v>
      </c>
      <c r="AJ42" s="278">
        <f>ФЕВРАЛЬ!AJ42+МАРТ!AJ42</f>
        <v>0</v>
      </c>
      <c r="AK42" s="278">
        <f>ФЕВРАЛЬ!AK42+МАРТ!AK42</f>
        <v>30.234520931151259</v>
      </c>
      <c r="AL42" s="105">
        <f t="shared" si="14"/>
        <v>1494.1347338651167</v>
      </c>
      <c r="AM42" s="106"/>
      <c r="AN42" s="107">
        <f t="shared" si="4"/>
        <v>1152</v>
      </c>
      <c r="AO42" s="108">
        <f t="shared" si="5"/>
        <v>178.89</v>
      </c>
      <c r="AP42" s="108">
        <f t="shared" si="6"/>
        <v>419.73749999999995</v>
      </c>
      <c r="AQ42" s="108">
        <f t="shared" si="15"/>
        <v>109.126</v>
      </c>
      <c r="AR42" s="108">
        <f t="shared" si="16"/>
        <v>26</v>
      </c>
      <c r="AS42" s="108">
        <f t="array" ref="AS42">_xlfn.IFS(S42=0,AL42,S42&lt;0,AL42/-S42,S42&gt;0,AL42/S42)</f>
        <v>373.53368346627917</v>
      </c>
      <c r="AT42" s="103">
        <f t="shared" si="17"/>
        <v>0.324247989120034</v>
      </c>
      <c r="AU42" s="103">
        <f t="shared" si="18"/>
        <v>2.0880635220877588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189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</f>
        <v>22</v>
      </c>
      <c r="M43" s="98"/>
      <c r="N43" s="98"/>
      <c r="O43" s="189"/>
      <c r="P43" s="101"/>
      <c r="Q43" s="278">
        <f>ФЕВРАЛЬ!Q43+МАРТ!Q43</f>
        <v>6</v>
      </c>
      <c r="R43" s="278">
        <f>ФЕВРАЛЬ!R43+МАРТ!R43</f>
        <v>0</v>
      </c>
      <c r="S43" s="101">
        <f t="shared" si="10"/>
        <v>6</v>
      </c>
      <c r="T43" s="278">
        <f>ФЕВРАЛЬ!T43+МАРТ!T43</f>
        <v>4658</v>
      </c>
      <c r="U43" s="278">
        <f>ФЕВРАЛЬ!U43+МАРТ!U43</f>
        <v>0</v>
      </c>
      <c r="V43" s="101">
        <f t="shared" si="19"/>
        <v>4658</v>
      </c>
      <c r="W43" s="278">
        <f>ФЕВРАЛЬ!W43+МАРТ!W43</f>
        <v>7200</v>
      </c>
      <c r="X43" s="278">
        <f>ФЕВРАЛЬ!X43+МАРТ!X43</f>
        <v>0</v>
      </c>
      <c r="Y43" s="269">
        <f t="shared" si="20"/>
        <v>7200</v>
      </c>
      <c r="Z43" s="101">
        <f t="shared" si="12"/>
        <v>0</v>
      </c>
      <c r="AA43" s="103">
        <f t="shared" si="2"/>
        <v>1.8013922239942361E-3</v>
      </c>
      <c r="AB43" s="101">
        <f t="shared" si="13"/>
        <v>1073.3399999999999</v>
      </c>
      <c r="AC43" s="278">
        <f>ФЕВРАЛЬ!AC43+МАРТ!AC43</f>
        <v>2515.5800000000008</v>
      </c>
      <c r="AD43" s="103">
        <f t="shared" si="3"/>
        <v>0.34938611111111123</v>
      </c>
      <c r="AE43" s="278">
        <f>ФЕВРАЛЬ!AE43+МАРТ!AE43</f>
        <v>1467.2900000000002</v>
      </c>
      <c r="AF43" s="278">
        <f>ФЕВРАЛЬ!AF43+МАРТ!AF43</f>
        <v>9351</v>
      </c>
      <c r="AG43" s="278">
        <f>ФЕВРАЛЬ!AG43+МАРТ!AG43</f>
        <v>0</v>
      </c>
      <c r="AH43" s="278">
        <f>ФЕВРАЛЬ!AH43+МАРТ!AH43</f>
        <v>0</v>
      </c>
      <c r="AI43" s="278">
        <f>ФЕВРАЛЬ!AI43+МАРТ!AI43</f>
        <v>48.690100095543663</v>
      </c>
      <c r="AJ43" s="278">
        <f>ФЕВРАЛЬ!AJ43+МАРТ!AJ43</f>
        <v>0</v>
      </c>
      <c r="AK43" s="278">
        <f>ФЕВРАЛЬ!AK43+МАРТ!AK43</f>
        <v>46.58</v>
      </c>
      <c r="AL43" s="105">
        <f t="shared" si="14"/>
        <v>-7302.4801000955449</v>
      </c>
      <c r="AM43" s="106"/>
      <c r="AN43" s="107">
        <f t="shared" si="4"/>
        <v>1200</v>
      </c>
      <c r="AO43" s="108">
        <f t="shared" si="5"/>
        <v>178.89</v>
      </c>
      <c r="AP43" s="108">
        <f t="shared" si="6"/>
        <v>419.26333333333349</v>
      </c>
      <c r="AQ43" s="108">
        <f t="shared" si="15"/>
        <v>244.54833333333337</v>
      </c>
      <c r="AR43" s="108">
        <f t="shared" si="16"/>
        <v>1558.5</v>
      </c>
      <c r="AS43" s="108">
        <f t="array" ref="AS43">_xlfn.IFS(S43=0,AL43,S43&lt;0,AL43/-S43,S43&gt;0,AL43/S43)</f>
        <v>-1217.0800166825909</v>
      </c>
      <c r="AT43" s="103">
        <f t="shared" si="17"/>
        <v>-1.0142333472354925</v>
      </c>
      <c r="AU43" s="103">
        <f t="shared" si="18"/>
        <v>-6.8035106304577733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261</v>
      </c>
      <c r="D44" s="100" t="s">
        <v>260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13">
        <f>МАРТ!L44</f>
        <v>0</v>
      </c>
      <c r="M44" s="407"/>
      <c r="N44" s="407"/>
      <c r="O44" s="408"/>
      <c r="P44" s="102"/>
      <c r="Q44" s="413">
        <f>МАРТ!Q44</f>
        <v>0</v>
      </c>
      <c r="R44" s="413">
        <f>МАРТ!R44</f>
        <v>0</v>
      </c>
      <c r="S44" s="101">
        <f t="shared" si="10"/>
        <v>0</v>
      </c>
      <c r="T44" s="413">
        <f>МАРТ!T44</f>
        <v>0</v>
      </c>
      <c r="U44" s="413">
        <f>МАРТ!U44</f>
        <v>0</v>
      </c>
      <c r="V44" s="101">
        <f t="shared" si="19"/>
        <v>0</v>
      </c>
      <c r="W44" s="413">
        <f>МАРТ!W44</f>
        <v>0</v>
      </c>
      <c r="X44" s="413">
        <f>МАРТ!X44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13">
        <f>МАРТ!AC44</f>
        <v>0</v>
      </c>
      <c r="AD44" s="103">
        <f t="shared" si="3"/>
        <v>0</v>
      </c>
      <c r="AE44" s="413">
        <f>МАРТ!AE44</f>
        <v>0</v>
      </c>
      <c r="AF44" s="413">
        <f>МАРТ!AF44</f>
        <v>0</v>
      </c>
      <c r="AG44" s="413">
        <f>МАРТ!AG44</f>
        <v>0</v>
      </c>
      <c r="AH44" s="413">
        <f>МАРТ!AH44</f>
        <v>0</v>
      </c>
      <c r="AI44" s="413">
        <f>МАРТ!AI44</f>
        <v>0</v>
      </c>
      <c r="AJ44" s="413">
        <f>МАРТ!AJ44</f>
        <v>0</v>
      </c>
      <c r="AK44" s="413">
        <f>МАРТ!AK44</f>
        <v>0</v>
      </c>
      <c r="AL44" s="105">
        <f t="shared" si="14"/>
        <v>0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262</v>
      </c>
      <c r="D45" s="100" t="s">
        <v>260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13">
        <f>МАРТ!L45</f>
        <v>0</v>
      </c>
      <c r="M45" s="407"/>
      <c r="N45" s="407"/>
      <c r="O45" s="408"/>
      <c r="P45" s="102"/>
      <c r="Q45" s="413">
        <f>МАРТ!Q45</f>
        <v>0</v>
      </c>
      <c r="R45" s="413">
        <f>МАРТ!R45</f>
        <v>0</v>
      </c>
      <c r="S45" s="101">
        <f t="shared" si="10"/>
        <v>0</v>
      </c>
      <c r="T45" s="413">
        <f>МАРТ!T45</f>
        <v>0</v>
      </c>
      <c r="U45" s="413">
        <f>МАРТ!U45</f>
        <v>0</v>
      </c>
      <c r="V45" s="101">
        <f t="shared" si="19"/>
        <v>0</v>
      </c>
      <c r="W45" s="413">
        <f>МАРТ!W45</f>
        <v>0</v>
      </c>
      <c r="X45" s="413">
        <f>МАРТ!X45</f>
        <v>0</v>
      </c>
      <c r="Y45" s="269">
        <f t="shared" si="36"/>
        <v>0</v>
      </c>
      <c r="Z45" s="101">
        <f t="shared" si="37"/>
        <v>0</v>
      </c>
      <c r="AA45" s="103">
        <f t="shared" si="38"/>
        <v>0</v>
      </c>
      <c r="AB45" s="101">
        <f t="shared" si="39"/>
        <v>0</v>
      </c>
      <c r="AC45" s="413">
        <f>МАРТ!AC45</f>
        <v>0</v>
      </c>
      <c r="AD45" s="103">
        <f t="shared" si="3"/>
        <v>0</v>
      </c>
      <c r="AE45" s="413">
        <f>МАРТ!AE45</f>
        <v>0</v>
      </c>
      <c r="AF45" s="413">
        <f>МАРТ!AF45</f>
        <v>0</v>
      </c>
      <c r="AG45" s="413">
        <f>МАРТ!AG45</f>
        <v>0</v>
      </c>
      <c r="AH45" s="413">
        <f>МАРТ!AH45</f>
        <v>0</v>
      </c>
      <c r="AI45" s="413">
        <f>МАРТ!AI45</f>
        <v>0</v>
      </c>
      <c r="AJ45" s="413">
        <f>МАРТ!AJ45</f>
        <v>0</v>
      </c>
      <c r="AK45" s="413">
        <f>МАРТ!AK45</f>
        <v>0</v>
      </c>
      <c r="AL45" s="105">
        <f t="shared" si="14"/>
        <v>0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263</v>
      </c>
      <c r="D46" s="100" t="s">
        <v>260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13">
        <f>МАРТ!L46</f>
        <v>0</v>
      </c>
      <c r="M46" s="407"/>
      <c r="N46" s="407"/>
      <c r="O46" s="408"/>
      <c r="P46" s="102"/>
      <c r="Q46" s="413">
        <f>МАРТ!Q46</f>
        <v>0</v>
      </c>
      <c r="R46" s="413">
        <f>МАРТ!R46</f>
        <v>0</v>
      </c>
      <c r="S46" s="101">
        <f t="shared" si="10"/>
        <v>0</v>
      </c>
      <c r="T46" s="413">
        <f>МАРТ!T46</f>
        <v>0</v>
      </c>
      <c r="U46" s="413">
        <f>МАРТ!U46</f>
        <v>0</v>
      </c>
      <c r="V46" s="101">
        <f t="shared" si="19"/>
        <v>0</v>
      </c>
      <c r="W46" s="413">
        <f>МАРТ!W46</f>
        <v>0</v>
      </c>
      <c r="X46" s="413">
        <f>МАРТ!X46</f>
        <v>0</v>
      </c>
      <c r="Y46" s="269">
        <f t="shared" si="36"/>
        <v>0</v>
      </c>
      <c r="Z46" s="101">
        <f t="shared" si="37"/>
        <v>0</v>
      </c>
      <c r="AA46" s="103">
        <f t="shared" si="38"/>
        <v>0</v>
      </c>
      <c r="AB46" s="101">
        <f t="shared" si="39"/>
        <v>0</v>
      </c>
      <c r="AC46" s="413">
        <f>МАРТ!AC46</f>
        <v>0</v>
      </c>
      <c r="AD46" s="103">
        <f t="shared" si="3"/>
        <v>0</v>
      </c>
      <c r="AE46" s="413">
        <f>МАРТ!AE46</f>
        <v>0</v>
      </c>
      <c r="AF46" s="413">
        <f>МАРТ!AF46</f>
        <v>0</v>
      </c>
      <c r="AG46" s="413">
        <f>МАРТ!AG46</f>
        <v>0</v>
      </c>
      <c r="AH46" s="413">
        <f>МАРТ!AH46</f>
        <v>0</v>
      </c>
      <c r="AI46" s="413">
        <f>МАРТ!AI46</f>
        <v>0</v>
      </c>
      <c r="AJ46" s="413">
        <f>МАРТ!AJ46</f>
        <v>0</v>
      </c>
      <c r="AK46" s="413">
        <f>МАРТ!AK46</f>
        <v>0</v>
      </c>
      <c r="AL46" s="105">
        <f t="shared" si="14"/>
        <v>0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264</v>
      </c>
      <c r="D47" s="100" t="s">
        <v>260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13">
        <f>МАРТ!L47</f>
        <v>0</v>
      </c>
      <c r="M47" s="407"/>
      <c r="N47" s="407"/>
      <c r="O47" s="408"/>
      <c r="P47" s="102"/>
      <c r="Q47" s="413">
        <f>МАРТ!Q47</f>
        <v>0</v>
      </c>
      <c r="R47" s="413">
        <f>МАРТ!R47</f>
        <v>0</v>
      </c>
      <c r="S47" s="101">
        <f t="shared" si="10"/>
        <v>0</v>
      </c>
      <c r="T47" s="413">
        <f>МАРТ!T47</f>
        <v>0</v>
      </c>
      <c r="U47" s="413">
        <f>МАРТ!U47</f>
        <v>0</v>
      </c>
      <c r="V47" s="101">
        <f t="shared" si="19"/>
        <v>0</v>
      </c>
      <c r="W47" s="413">
        <f>МАРТ!W47</f>
        <v>0</v>
      </c>
      <c r="X47" s="413">
        <f>МАРТ!X47</f>
        <v>0</v>
      </c>
      <c r="Y47" s="269">
        <f t="shared" si="36"/>
        <v>0</v>
      </c>
      <c r="Z47" s="101">
        <f t="shared" si="37"/>
        <v>0</v>
      </c>
      <c r="AA47" s="103">
        <f t="shared" si="38"/>
        <v>0</v>
      </c>
      <c r="AB47" s="101">
        <f t="shared" si="39"/>
        <v>0</v>
      </c>
      <c r="AC47" s="413">
        <f>МАРТ!AC47</f>
        <v>0</v>
      </c>
      <c r="AD47" s="103">
        <f t="shared" si="3"/>
        <v>0</v>
      </c>
      <c r="AE47" s="413">
        <f>МАРТ!AE47</f>
        <v>0</v>
      </c>
      <c r="AF47" s="413">
        <f>МАРТ!AF47</f>
        <v>0</v>
      </c>
      <c r="AG47" s="413">
        <f>МАРТ!AG47</f>
        <v>0</v>
      </c>
      <c r="AH47" s="413">
        <f>МАРТ!AH47</f>
        <v>0</v>
      </c>
      <c r="AI47" s="413">
        <f>МАРТ!AI47</f>
        <v>0</v>
      </c>
      <c r="AJ47" s="413">
        <f>МАРТ!AJ47</f>
        <v>0</v>
      </c>
      <c r="AK47" s="413">
        <f>МАРТ!AK47</f>
        <v>0</v>
      </c>
      <c r="AL47" s="105">
        <f t="shared" si="14"/>
        <v>0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265</v>
      </c>
      <c r="D48" s="100" t="s">
        <v>260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13">
        <f>МАРТ!L48</f>
        <v>0</v>
      </c>
      <c r="M48" s="407"/>
      <c r="N48" s="407"/>
      <c r="O48" s="408"/>
      <c r="P48" s="102"/>
      <c r="Q48" s="413">
        <f>МАРТ!Q48</f>
        <v>0</v>
      </c>
      <c r="R48" s="413">
        <f>МАРТ!R48</f>
        <v>0</v>
      </c>
      <c r="S48" s="101">
        <f t="shared" si="10"/>
        <v>0</v>
      </c>
      <c r="T48" s="413">
        <f>МАРТ!T48</f>
        <v>0</v>
      </c>
      <c r="U48" s="413">
        <f>МАРТ!U48</f>
        <v>0</v>
      </c>
      <c r="V48" s="101">
        <f t="shared" si="19"/>
        <v>0</v>
      </c>
      <c r="W48" s="413">
        <f>МАРТ!W48</f>
        <v>0</v>
      </c>
      <c r="X48" s="413">
        <f>МАРТ!X48</f>
        <v>0</v>
      </c>
      <c r="Y48" s="269">
        <f t="shared" si="36"/>
        <v>0</v>
      </c>
      <c r="Z48" s="101">
        <f t="shared" si="37"/>
        <v>0</v>
      </c>
      <c r="AA48" s="103">
        <f t="shared" si="38"/>
        <v>0</v>
      </c>
      <c r="AB48" s="101">
        <f t="shared" si="39"/>
        <v>0</v>
      </c>
      <c r="AC48" s="413">
        <f>МАРТ!AC48</f>
        <v>0</v>
      </c>
      <c r="AD48" s="103">
        <f t="shared" si="3"/>
        <v>0</v>
      </c>
      <c r="AE48" s="413">
        <f>МАРТ!AE48</f>
        <v>0</v>
      </c>
      <c r="AF48" s="413">
        <f>МАРТ!AF48</f>
        <v>0</v>
      </c>
      <c r="AG48" s="413">
        <f>МАРТ!AG48</f>
        <v>0</v>
      </c>
      <c r="AH48" s="413">
        <f>МАРТ!AH48</f>
        <v>0</v>
      </c>
      <c r="AI48" s="413">
        <f>МАРТ!AI48</f>
        <v>0</v>
      </c>
      <c r="AJ48" s="413">
        <f>МАРТ!AJ48</f>
        <v>0</v>
      </c>
      <c r="AK48" s="413">
        <f>МАРТ!AK48</f>
        <v>0</v>
      </c>
      <c r="AL48" s="105">
        <f t="shared" si="14"/>
        <v>0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266</v>
      </c>
      <c r="D49" s="100" t="s">
        <v>260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13">
        <f>МАРТ!L49</f>
        <v>0</v>
      </c>
      <c r="M49" s="407"/>
      <c r="N49" s="407"/>
      <c r="O49" s="408"/>
      <c r="P49" s="102"/>
      <c r="Q49" s="413">
        <f>МАРТ!Q49</f>
        <v>0</v>
      </c>
      <c r="R49" s="413">
        <f>МАРТ!R49</f>
        <v>0</v>
      </c>
      <c r="S49" s="101">
        <f t="shared" si="10"/>
        <v>0</v>
      </c>
      <c r="T49" s="413">
        <f>МАРТ!T49</f>
        <v>0</v>
      </c>
      <c r="U49" s="413">
        <f>МАРТ!U49</f>
        <v>0</v>
      </c>
      <c r="V49" s="101">
        <f t="shared" si="19"/>
        <v>0</v>
      </c>
      <c r="W49" s="413">
        <f>МАРТ!W49</f>
        <v>0</v>
      </c>
      <c r="X49" s="413">
        <f>МАРТ!X49</f>
        <v>0</v>
      </c>
      <c r="Y49" s="269">
        <f t="shared" si="36"/>
        <v>0</v>
      </c>
      <c r="Z49" s="101">
        <f t="shared" si="37"/>
        <v>0</v>
      </c>
      <c r="AA49" s="103">
        <f t="shared" si="38"/>
        <v>0</v>
      </c>
      <c r="AB49" s="101">
        <f t="shared" si="39"/>
        <v>0</v>
      </c>
      <c r="AC49" s="413">
        <f>МАРТ!AC49</f>
        <v>0</v>
      </c>
      <c r="AD49" s="103">
        <f t="shared" si="3"/>
        <v>0</v>
      </c>
      <c r="AE49" s="413">
        <f>МАРТ!AE49</f>
        <v>0</v>
      </c>
      <c r="AF49" s="413">
        <f>МАРТ!AF49</f>
        <v>0</v>
      </c>
      <c r="AG49" s="413">
        <f>МАРТ!AG49</f>
        <v>0</v>
      </c>
      <c r="AH49" s="413">
        <f>МАРТ!AH49</f>
        <v>0</v>
      </c>
      <c r="AI49" s="413">
        <f>МАРТ!AI49</f>
        <v>0</v>
      </c>
      <c r="AJ49" s="413">
        <f>МАРТ!AJ49</f>
        <v>0</v>
      </c>
      <c r="AK49" s="413">
        <f>МАРТ!AK49</f>
        <v>0</v>
      </c>
      <c r="AL49" s="105">
        <f t="shared" si="14"/>
        <v>0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267</v>
      </c>
      <c r="D50" s="100" t="s">
        <v>260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13">
        <f>МАРТ!L50</f>
        <v>0</v>
      </c>
      <c r="M50" s="407"/>
      <c r="N50" s="407"/>
      <c r="O50" s="408"/>
      <c r="P50" s="102"/>
      <c r="Q50" s="413">
        <f>МАРТ!Q50</f>
        <v>0</v>
      </c>
      <c r="R50" s="413">
        <f>МАРТ!R50</f>
        <v>0</v>
      </c>
      <c r="S50" s="101">
        <f t="shared" si="10"/>
        <v>0</v>
      </c>
      <c r="T50" s="413">
        <f>МАРТ!T50</f>
        <v>0</v>
      </c>
      <c r="U50" s="413">
        <f>МАРТ!U50</f>
        <v>0</v>
      </c>
      <c r="V50" s="101">
        <f t="shared" si="19"/>
        <v>0</v>
      </c>
      <c r="W50" s="413">
        <f>МАРТ!W50</f>
        <v>0</v>
      </c>
      <c r="X50" s="413">
        <f>МАРТ!X50</f>
        <v>0</v>
      </c>
      <c r="Y50" s="269">
        <f t="shared" si="36"/>
        <v>0</v>
      </c>
      <c r="Z50" s="101">
        <f t="shared" si="37"/>
        <v>0</v>
      </c>
      <c r="AA50" s="103">
        <f t="shared" si="38"/>
        <v>0</v>
      </c>
      <c r="AB50" s="101">
        <f t="shared" si="39"/>
        <v>0</v>
      </c>
      <c r="AC50" s="413">
        <f>МАРТ!AC50</f>
        <v>0</v>
      </c>
      <c r="AD50" s="103">
        <f t="shared" si="3"/>
        <v>0</v>
      </c>
      <c r="AE50" s="413">
        <f>МАРТ!AE50</f>
        <v>0</v>
      </c>
      <c r="AF50" s="413">
        <f>МАРТ!AF50</f>
        <v>0</v>
      </c>
      <c r="AG50" s="413">
        <f>МАРТ!AG50</f>
        <v>0</v>
      </c>
      <c r="AH50" s="413">
        <f>МАРТ!AH50</f>
        <v>0</v>
      </c>
      <c r="AI50" s="413">
        <f>МАРТ!AI50</f>
        <v>0</v>
      </c>
      <c r="AJ50" s="413">
        <f>МАРТ!AJ50</f>
        <v>0</v>
      </c>
      <c r="AK50" s="413">
        <f>МАРТ!AK50</f>
        <v>0</v>
      </c>
      <c r="AL50" s="105">
        <f t="shared" si="14"/>
        <v>0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268</v>
      </c>
      <c r="D51" s="100" t="s">
        <v>260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13">
        <f>МАРТ!L51</f>
        <v>0</v>
      </c>
      <c r="M51" s="407"/>
      <c r="N51" s="407"/>
      <c r="O51" s="408"/>
      <c r="P51" s="102"/>
      <c r="Q51" s="413">
        <f>МАРТ!Q51</f>
        <v>0</v>
      </c>
      <c r="R51" s="413">
        <f>МАРТ!R51</f>
        <v>0</v>
      </c>
      <c r="S51" s="101">
        <f t="shared" si="10"/>
        <v>0</v>
      </c>
      <c r="T51" s="413">
        <f>МАРТ!T51</f>
        <v>0</v>
      </c>
      <c r="U51" s="413">
        <f>МАРТ!U51</f>
        <v>0</v>
      </c>
      <c r="V51" s="101">
        <f t="shared" si="19"/>
        <v>0</v>
      </c>
      <c r="W51" s="413">
        <f>МАРТ!W51</f>
        <v>0</v>
      </c>
      <c r="X51" s="413">
        <f>МАРТ!X51</f>
        <v>0</v>
      </c>
      <c r="Y51" s="269">
        <f t="shared" si="36"/>
        <v>0</v>
      </c>
      <c r="Z51" s="101">
        <f t="shared" si="37"/>
        <v>0</v>
      </c>
      <c r="AA51" s="103">
        <f t="shared" si="38"/>
        <v>0</v>
      </c>
      <c r="AB51" s="101">
        <f t="shared" si="39"/>
        <v>0</v>
      </c>
      <c r="AC51" s="413">
        <f>МАРТ!AC51</f>
        <v>0</v>
      </c>
      <c r="AD51" s="103">
        <f t="shared" si="3"/>
        <v>0</v>
      </c>
      <c r="AE51" s="413">
        <f>МАРТ!AE51</f>
        <v>0</v>
      </c>
      <c r="AF51" s="413">
        <f>МАРТ!AF51</f>
        <v>0</v>
      </c>
      <c r="AG51" s="413">
        <f>МАРТ!AG51</f>
        <v>0</v>
      </c>
      <c r="AH51" s="413">
        <f>МАРТ!AH51</f>
        <v>0</v>
      </c>
      <c r="AI51" s="413">
        <f>МАРТ!AI51</f>
        <v>0</v>
      </c>
      <c r="AJ51" s="413">
        <f>МАРТ!AJ51</f>
        <v>0</v>
      </c>
      <c r="AK51" s="413">
        <f>МАРТ!AK51</f>
        <v>0</v>
      </c>
      <c r="AL51" s="105">
        <f t="shared" si="14"/>
        <v>0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269</v>
      </c>
      <c r="D52" s="100" t="s">
        <v>260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13">
        <f>МАРТ!L52</f>
        <v>0</v>
      </c>
      <c r="M52" s="407"/>
      <c r="N52" s="407"/>
      <c r="O52" s="408"/>
      <c r="P52" s="102"/>
      <c r="Q52" s="413">
        <f>МАРТ!Q52</f>
        <v>0</v>
      </c>
      <c r="R52" s="413">
        <f>МАРТ!R52</f>
        <v>0</v>
      </c>
      <c r="S52" s="101">
        <f t="shared" si="10"/>
        <v>0</v>
      </c>
      <c r="T52" s="413">
        <f>МАРТ!T52</f>
        <v>0</v>
      </c>
      <c r="U52" s="413">
        <f>МАРТ!U52</f>
        <v>0</v>
      </c>
      <c r="V52" s="101">
        <f t="shared" si="19"/>
        <v>0</v>
      </c>
      <c r="W52" s="413">
        <f>МАРТ!W52</f>
        <v>0</v>
      </c>
      <c r="X52" s="413">
        <f>МАРТ!X52</f>
        <v>0</v>
      </c>
      <c r="Y52" s="269">
        <f t="shared" si="36"/>
        <v>0</v>
      </c>
      <c r="Z52" s="101">
        <f t="shared" si="37"/>
        <v>0</v>
      </c>
      <c r="AA52" s="103">
        <f t="shared" si="38"/>
        <v>0</v>
      </c>
      <c r="AB52" s="101">
        <f t="shared" si="39"/>
        <v>0</v>
      </c>
      <c r="AC52" s="413">
        <f>МАРТ!AC52</f>
        <v>0</v>
      </c>
      <c r="AD52" s="103">
        <f t="shared" si="3"/>
        <v>0</v>
      </c>
      <c r="AE52" s="413">
        <f>МАРТ!AE52</f>
        <v>0</v>
      </c>
      <c r="AF52" s="413">
        <f>МАРТ!AF52</f>
        <v>0</v>
      </c>
      <c r="AG52" s="413">
        <f>МАРТ!AG52</f>
        <v>0</v>
      </c>
      <c r="AH52" s="413">
        <f>МАРТ!AH52</f>
        <v>0</v>
      </c>
      <c r="AI52" s="413">
        <f>МАРТ!AI52</f>
        <v>0</v>
      </c>
      <c r="AJ52" s="413">
        <f>МАРТ!AJ52</f>
        <v>0</v>
      </c>
      <c r="AK52" s="413">
        <f>МАРТ!AK52</f>
        <v>0</v>
      </c>
      <c r="AL52" s="105">
        <f t="shared" si="14"/>
        <v>0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270</v>
      </c>
      <c r="D53" s="100" t="s">
        <v>260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13">
        <f>МАРТ!L53</f>
        <v>0</v>
      </c>
      <c r="M53" s="407"/>
      <c r="N53" s="407"/>
      <c r="O53" s="408"/>
      <c r="P53" s="102"/>
      <c r="Q53" s="413">
        <f>МАРТ!Q53</f>
        <v>0</v>
      </c>
      <c r="R53" s="413">
        <f>МАРТ!R53</f>
        <v>0</v>
      </c>
      <c r="S53" s="101">
        <f t="shared" si="10"/>
        <v>0</v>
      </c>
      <c r="T53" s="413">
        <f>МАРТ!T53</f>
        <v>0</v>
      </c>
      <c r="U53" s="413">
        <f>МАРТ!U53</f>
        <v>0</v>
      </c>
      <c r="V53" s="101">
        <f t="shared" si="19"/>
        <v>0</v>
      </c>
      <c r="W53" s="413">
        <f>МАРТ!W53</f>
        <v>0</v>
      </c>
      <c r="X53" s="413">
        <f>МАРТ!X53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13">
        <f>МАРТ!AC53</f>
        <v>0</v>
      </c>
      <c r="AD53" s="103">
        <f t="shared" si="3"/>
        <v>0</v>
      </c>
      <c r="AE53" s="413">
        <f>МАРТ!AE53</f>
        <v>0</v>
      </c>
      <c r="AF53" s="413">
        <f>МАРТ!AF53</f>
        <v>0</v>
      </c>
      <c r="AG53" s="413">
        <f>МАРТ!AG53</f>
        <v>0</v>
      </c>
      <c r="AH53" s="413">
        <f>МАРТ!AH53</f>
        <v>0</v>
      </c>
      <c r="AI53" s="413">
        <f>МАРТ!AI53</f>
        <v>0</v>
      </c>
      <c r="AJ53" s="413">
        <f>МАРТ!AJ53</f>
        <v>0</v>
      </c>
      <c r="AK53" s="413">
        <f>МАРТ!AK53</f>
        <v>0</v>
      </c>
      <c r="AL53" s="105">
        <f t="shared" si="14"/>
        <v>0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12" customFormat="1" outlineLevel="1">
      <c r="A54" s="407"/>
      <c r="B54" s="262">
        <v>896558348</v>
      </c>
      <c r="C54" s="262" t="s">
        <v>271</v>
      </c>
      <c r="D54" s="100" t="s">
        <v>260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7"/>
      <c r="L54" s="413">
        <f>МАРТ!L54</f>
        <v>0</v>
      </c>
      <c r="M54" s="407"/>
      <c r="N54" s="407"/>
      <c r="O54" s="408"/>
      <c r="P54" s="102"/>
      <c r="Q54" s="413">
        <f>МАРТ!Q54</f>
        <v>0</v>
      </c>
      <c r="R54" s="413">
        <f>МАРТ!R54</f>
        <v>0</v>
      </c>
      <c r="S54" s="101">
        <f t="shared" si="10"/>
        <v>0</v>
      </c>
      <c r="T54" s="413">
        <f>МАРТ!T54</f>
        <v>0</v>
      </c>
      <c r="U54" s="413">
        <f>МАРТ!U54</f>
        <v>0</v>
      </c>
      <c r="V54" s="101">
        <f t="shared" si="19"/>
        <v>0</v>
      </c>
      <c r="W54" s="413">
        <f>МАРТ!W54</f>
        <v>0</v>
      </c>
      <c r="X54" s="413">
        <f>МАРТ!X54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13">
        <f>МАРТ!AC54</f>
        <v>0</v>
      </c>
      <c r="AD54" s="103">
        <f t="shared" si="3"/>
        <v>0</v>
      </c>
      <c r="AE54" s="413">
        <f>МАРТ!AE54</f>
        <v>0</v>
      </c>
      <c r="AF54" s="413">
        <f>МАРТ!AF54</f>
        <v>0</v>
      </c>
      <c r="AG54" s="413">
        <f>МАРТ!AG54</f>
        <v>0</v>
      </c>
      <c r="AH54" s="413">
        <f>МАРТ!AH54</f>
        <v>0</v>
      </c>
      <c r="AI54" s="413">
        <f>МАРТ!AI54</f>
        <v>0</v>
      </c>
      <c r="AJ54" s="413">
        <f>МАРТ!AJ54</f>
        <v>0</v>
      </c>
      <c r="AK54" s="413">
        <f>МАРТ!AK54</f>
        <v>0</v>
      </c>
      <c r="AL54" s="105">
        <f t="shared" si="14"/>
        <v>0</v>
      </c>
      <c r="AM54" s="106"/>
      <c r="AN54" s="409"/>
      <c r="AO54" s="410"/>
      <c r="AP54" s="410"/>
      <c r="AQ54" s="410"/>
      <c r="AR54" s="410"/>
      <c r="AS54" s="410"/>
      <c r="AT54" s="134"/>
      <c r="AU54" s="134"/>
      <c r="AV54" s="411"/>
      <c r="AW54" s="137"/>
    </row>
    <row r="55" spans="1:49" s="412" customFormat="1" outlineLevel="1">
      <c r="A55" s="407"/>
      <c r="B55" s="262">
        <v>896563156</v>
      </c>
      <c r="C55" s="262" t="s">
        <v>272</v>
      </c>
      <c r="D55" s="100" t="s">
        <v>260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7"/>
      <c r="L55" s="413">
        <f>МАРТ!L55</f>
        <v>0</v>
      </c>
      <c r="M55" s="407"/>
      <c r="N55" s="407"/>
      <c r="O55" s="408"/>
      <c r="P55" s="102"/>
      <c r="Q55" s="413">
        <f>МАРТ!Q55</f>
        <v>0</v>
      </c>
      <c r="R55" s="413">
        <f>МАРТ!R55</f>
        <v>0</v>
      </c>
      <c r="S55" s="101">
        <f t="shared" si="10"/>
        <v>0</v>
      </c>
      <c r="T55" s="413">
        <f>МАРТ!T55</f>
        <v>0</v>
      </c>
      <c r="U55" s="413">
        <f>МАРТ!U55</f>
        <v>0</v>
      </c>
      <c r="V55" s="101">
        <f t="shared" si="19"/>
        <v>0</v>
      </c>
      <c r="W55" s="413">
        <f>МАРТ!W55</f>
        <v>0</v>
      </c>
      <c r="X55" s="413">
        <f>МАРТ!X55</f>
        <v>0</v>
      </c>
      <c r="Y55" s="269">
        <f t="shared" si="36"/>
        <v>0</v>
      </c>
      <c r="Z55" s="101">
        <f t="shared" si="37"/>
        <v>0</v>
      </c>
      <c r="AA55" s="103">
        <f t="shared" si="38"/>
        <v>0</v>
      </c>
      <c r="AB55" s="101">
        <f t="shared" si="39"/>
        <v>0</v>
      </c>
      <c r="AC55" s="413">
        <f>МАРТ!AC55</f>
        <v>0</v>
      </c>
      <c r="AD55" s="103">
        <f t="shared" si="3"/>
        <v>0</v>
      </c>
      <c r="AE55" s="413">
        <f>МАРТ!AE55</f>
        <v>0</v>
      </c>
      <c r="AF55" s="413">
        <f>МАРТ!AF55</f>
        <v>0</v>
      </c>
      <c r="AG55" s="413">
        <f>МАРТ!AG55</f>
        <v>0</v>
      </c>
      <c r="AH55" s="413">
        <f>МАРТ!AH55</f>
        <v>0</v>
      </c>
      <c r="AI55" s="413">
        <f>МАРТ!AI55</f>
        <v>0</v>
      </c>
      <c r="AJ55" s="413">
        <f>МАРТ!AJ55</f>
        <v>0</v>
      </c>
      <c r="AK55" s="413">
        <f>МАРТ!AK55</f>
        <v>0</v>
      </c>
      <c r="AL55" s="105">
        <f t="shared" si="14"/>
        <v>0</v>
      </c>
      <c r="AM55" s="106"/>
      <c r="AN55" s="409"/>
      <c r="AO55" s="410"/>
      <c r="AP55" s="410"/>
      <c r="AQ55" s="410"/>
      <c r="AR55" s="410"/>
      <c r="AS55" s="410"/>
      <c r="AT55" s="134"/>
      <c r="AU55" s="134"/>
      <c r="AV55" s="411"/>
      <c r="AW55" s="137"/>
    </row>
    <row r="56" spans="1:49" s="412" customFormat="1" outlineLevel="1">
      <c r="A56" s="407"/>
      <c r="B56" s="262">
        <v>896345442</v>
      </c>
      <c r="C56" s="262" t="s">
        <v>273</v>
      </c>
      <c r="D56" s="100" t="s">
        <v>260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7"/>
      <c r="L56" s="413">
        <f>МАРТ!L56</f>
        <v>0</v>
      </c>
      <c r="M56" s="407"/>
      <c r="N56" s="407"/>
      <c r="O56" s="408"/>
      <c r="P56" s="102"/>
      <c r="Q56" s="413">
        <f>МАРТ!Q56</f>
        <v>0</v>
      </c>
      <c r="R56" s="413">
        <f>МАРТ!R56</f>
        <v>0</v>
      </c>
      <c r="S56" s="101">
        <f t="shared" si="10"/>
        <v>0</v>
      </c>
      <c r="T56" s="413">
        <f>МАРТ!T56</f>
        <v>0</v>
      </c>
      <c r="U56" s="413">
        <f>МАРТ!U56</f>
        <v>0</v>
      </c>
      <c r="V56" s="101">
        <f t="shared" si="19"/>
        <v>0</v>
      </c>
      <c r="W56" s="413">
        <f>МАРТ!W56</f>
        <v>0</v>
      </c>
      <c r="X56" s="413">
        <f>МАРТ!X56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13">
        <f>МАРТ!AC56</f>
        <v>0</v>
      </c>
      <c r="AD56" s="103">
        <f t="shared" si="3"/>
        <v>0</v>
      </c>
      <c r="AE56" s="413">
        <f>МАРТ!AE56</f>
        <v>0</v>
      </c>
      <c r="AF56" s="413">
        <f>МАРТ!AF56</f>
        <v>0</v>
      </c>
      <c r="AG56" s="413">
        <f>МАРТ!AG56</f>
        <v>0</v>
      </c>
      <c r="AH56" s="413">
        <f>МАРТ!AH56</f>
        <v>0</v>
      </c>
      <c r="AI56" s="413">
        <f>МАРТ!AI56</f>
        <v>0</v>
      </c>
      <c r="AJ56" s="413">
        <f>МАРТ!AJ56</f>
        <v>0</v>
      </c>
      <c r="AK56" s="413">
        <f>МАРТ!AK56</f>
        <v>0</v>
      </c>
      <c r="AL56" s="105">
        <f t="shared" si="14"/>
        <v>0</v>
      </c>
      <c r="AM56" s="106"/>
      <c r="AN56" s="409"/>
      <c r="AO56" s="410"/>
      <c r="AP56" s="410"/>
      <c r="AQ56" s="410"/>
      <c r="AR56" s="410"/>
      <c r="AS56" s="410"/>
      <c r="AT56" s="134"/>
      <c r="AU56" s="134"/>
      <c r="AV56" s="411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1175.993330655413</v>
      </c>
      <c r="AO57" s="122">
        <f t="shared" si="40"/>
        <v>128.0625</v>
      </c>
      <c r="AP57" s="122">
        <f t="shared" si="40"/>
        <v>438.54990474489063</v>
      </c>
      <c r="AQ57" s="122">
        <f t="shared" si="40"/>
        <v>103.15890210003829</v>
      </c>
      <c r="AR57" s="122">
        <f t="shared" si="40"/>
        <v>158.84434652496844</v>
      </c>
      <c r="AS57" s="122">
        <f t="shared" si="40"/>
        <v>326.52292645008657</v>
      </c>
      <c r="AT57" s="123">
        <f t="shared" si="40"/>
        <v>0.27826855581927595</v>
      </c>
      <c r="AU57" s="122">
        <f t="shared" si="40"/>
        <v>2.5579999763456236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6651</v>
      </c>
      <c r="M58" s="127"/>
      <c r="N58" s="127"/>
      <c r="O58" s="127"/>
      <c r="P58" s="127"/>
      <c r="Q58" s="127">
        <f t="shared" ref="Q58:AC58" si="41">SUM(Q3:Q56)</f>
        <v>3443</v>
      </c>
      <c r="R58" s="127">
        <f t="shared" si="41"/>
        <v>-63</v>
      </c>
      <c r="S58" s="127">
        <f t="shared" si="41"/>
        <v>3380</v>
      </c>
      <c r="T58" s="127">
        <f t="shared" si="41"/>
        <v>2679524.1199999992</v>
      </c>
      <c r="U58" s="127">
        <f t="shared" si="41"/>
        <v>-49686.520000000004</v>
      </c>
      <c r="V58" s="127">
        <f t="shared" si="41"/>
        <v>2629837.5999999992</v>
      </c>
      <c r="W58" s="127">
        <f t="shared" si="41"/>
        <v>4066168.5899999994</v>
      </c>
      <c r="X58" s="127">
        <f t="shared" si="41"/>
        <v>-75940.03</v>
      </c>
      <c r="Y58" s="271">
        <f t="shared" si="41"/>
        <v>3990228.56</v>
      </c>
      <c r="Z58" s="127">
        <f t="shared" si="41"/>
        <v>0</v>
      </c>
      <c r="AA58" s="128">
        <f t="shared" si="41"/>
        <v>0.99832870832551601</v>
      </c>
      <c r="AB58" s="129">
        <f t="shared" si="41"/>
        <v>450072.60000000015</v>
      </c>
      <c r="AC58" s="127">
        <f t="shared" si="41"/>
        <v>1494370.3799999992</v>
      </c>
      <c r="AD58" s="128">
        <f>AC58/Y58</f>
        <v>0.37450746430425008</v>
      </c>
      <c r="AE58" s="127">
        <f t="shared" ref="AE58:AL58" si="42">SUM(AE3:AE56)</f>
        <v>405517.19999999978</v>
      </c>
      <c r="AF58" s="127">
        <f t="shared" si="42"/>
        <v>366202</v>
      </c>
      <c r="AG58" s="127">
        <f t="shared" si="42"/>
        <v>176153</v>
      </c>
      <c r="AH58" s="127">
        <f t="shared" si="42"/>
        <v>0</v>
      </c>
      <c r="AI58" s="127">
        <f>SUM(AI3:AI56)</f>
        <v>18467.931512195122</v>
      </c>
      <c r="AJ58" s="127">
        <f t="shared" si="42"/>
        <v>324</v>
      </c>
      <c r="AK58" s="127">
        <f t="shared" si="42"/>
        <v>26355.454900000001</v>
      </c>
      <c r="AL58" s="127">
        <f t="shared" si="42"/>
        <v>1052765.993587805</v>
      </c>
      <c r="AM58" s="130"/>
      <c r="AN58" s="127"/>
      <c r="AO58" s="127"/>
      <c r="AP58" s="127"/>
      <c r="AQ58" s="127"/>
      <c r="AR58" s="127">
        <f>(AF58+AG58)/Q58</f>
        <v>157.52396166134184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224</v>
      </c>
      <c r="D60" s="100" t="s">
        <v>226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</f>
        <v>0</v>
      </c>
      <c r="R60" s="278">
        <f>МАРТ!R60</f>
        <v>0</v>
      </c>
      <c r="S60" s="101">
        <f t="shared" ref="S60:S67" si="47">Q60+R60</f>
        <v>0</v>
      </c>
      <c r="T60" s="278">
        <f>МАРТ!T60</f>
        <v>0</v>
      </c>
      <c r="U60" s="278">
        <f>МАРТ!U60</f>
        <v>0</v>
      </c>
      <c r="V60" s="101">
        <f t="shared" ref="V60:V67" si="48">T60+U60</f>
        <v>0</v>
      </c>
      <c r="W60" s="278">
        <f>МАРТ!W60</f>
        <v>0</v>
      </c>
      <c r="X60" s="278">
        <f>МАРТ!X60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</f>
        <v>0</v>
      </c>
      <c r="AD60" s="103">
        <f t="shared" ref="AD60:AD67" si="53">IF(Y60=0,0,AC60/Y60)</f>
        <v>0</v>
      </c>
      <c r="AE60" s="278">
        <f>МАРТ!AE60</f>
        <v>0</v>
      </c>
      <c r="AF60" s="278">
        <f>МАРТ!AF60</f>
        <v>4000</v>
      </c>
      <c r="AG60" s="278">
        <f>МАРТ!AG60</f>
        <v>0</v>
      </c>
      <c r="AH60" s="278">
        <f>МАРТ!AH60</f>
        <v>0</v>
      </c>
      <c r="AI60" s="278">
        <f>МАРТ!AI60</f>
        <v>0</v>
      </c>
      <c r="AJ60" s="278">
        <f>МАРТ!AJ60</f>
        <v>1326.08</v>
      </c>
      <c r="AK60" s="278">
        <f>МАРТ!AK60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225</v>
      </c>
      <c r="D61" s="100" t="s">
        <v>226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</f>
        <v>1</v>
      </c>
      <c r="R61" s="278">
        <f>МАРТ!R61</f>
        <v>0</v>
      </c>
      <c r="S61" s="101">
        <f t="shared" si="47"/>
        <v>1</v>
      </c>
      <c r="T61" s="278">
        <f>МАРТ!T61</f>
        <v>2082</v>
      </c>
      <c r="U61" s="278">
        <f>МАРТ!U61</f>
        <v>0</v>
      </c>
      <c r="V61" s="101">
        <f t="shared" si="48"/>
        <v>2082</v>
      </c>
      <c r="W61" s="278">
        <f>МАРТ!W61</f>
        <v>3040</v>
      </c>
      <c r="X61" s="278">
        <f>МАРТ!X61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7.6058782790867745E-4</v>
      </c>
      <c r="AB61" s="101">
        <f t="shared" si="52"/>
        <v>533.55999999999995</v>
      </c>
      <c r="AC61" s="278">
        <f>МАРТ!AC61</f>
        <v>1356.73</v>
      </c>
      <c r="AD61" s="103">
        <f t="shared" si="53"/>
        <v>0.44629276315789473</v>
      </c>
      <c r="AE61" s="278">
        <f>МАРТ!AE61</f>
        <v>778.2700000000001</v>
      </c>
      <c r="AF61" s="278">
        <f>МАРТ!AF61</f>
        <v>6000</v>
      </c>
      <c r="AG61" s="278">
        <f>МАРТ!AG61</f>
        <v>0</v>
      </c>
      <c r="AH61" s="278">
        <f>МАРТ!AH61</f>
        <v>0</v>
      </c>
      <c r="AI61" s="278">
        <f>МАРТ!AI61</f>
        <v>0.63141463414634147</v>
      </c>
      <c r="AJ61" s="278">
        <f>МАРТ!AJ61</f>
        <v>0</v>
      </c>
      <c r="AK61" s="278">
        <f>МАРТ!AK61</f>
        <v>20.82</v>
      </c>
      <c r="AL61" s="105">
        <f t="shared" si="54"/>
        <v>-5650.0114146341466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-5650.0114146341466</v>
      </c>
      <c r="AT61" s="103">
        <f t="shared" si="60"/>
        <v>-1.8585563863928114</v>
      </c>
      <c r="AU61" s="103">
        <f t="shared" si="61"/>
        <v>-10.589270962280057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227</v>
      </c>
      <c r="D62" s="100" t="s">
        <v>226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</f>
        <v>0</v>
      </c>
      <c r="R62" s="278">
        <f>МАРТ!R62</f>
        <v>0</v>
      </c>
      <c r="S62" s="101">
        <f t="shared" si="47"/>
        <v>0</v>
      </c>
      <c r="T62" s="278">
        <f>МАРТ!T62</f>
        <v>0</v>
      </c>
      <c r="U62" s="278">
        <f>МАРТ!U62</f>
        <v>0</v>
      </c>
      <c r="V62" s="101">
        <f t="shared" si="48"/>
        <v>0</v>
      </c>
      <c r="W62" s="278">
        <f>МАРТ!W62</f>
        <v>0</v>
      </c>
      <c r="X62" s="278">
        <f>МАРТ!X62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</f>
        <v>0</v>
      </c>
      <c r="AD62" s="103">
        <f t="shared" si="53"/>
        <v>0</v>
      </c>
      <c r="AE62" s="278">
        <f>МАРТ!AE62</f>
        <v>0</v>
      </c>
      <c r="AF62" s="278">
        <f>МАРТ!AF62</f>
        <v>0</v>
      </c>
      <c r="AG62" s="278">
        <f>МАРТ!AG62</f>
        <v>0</v>
      </c>
      <c r="AH62" s="278">
        <f>МАРТ!AH62</f>
        <v>0</v>
      </c>
      <c r="AI62" s="278">
        <f>МАРТ!AI62</f>
        <v>0</v>
      </c>
      <c r="AJ62" s="278">
        <f>МАРТ!AJ62</f>
        <v>1523.2</v>
      </c>
      <c r="AK62" s="278">
        <f>МАРТ!AK62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228</v>
      </c>
      <c r="D63" s="100" t="s">
        <v>226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</f>
        <v>0</v>
      </c>
      <c r="R63" s="278">
        <f>МАРТ!R63</f>
        <v>0</v>
      </c>
      <c r="S63" s="101">
        <f t="shared" si="47"/>
        <v>0</v>
      </c>
      <c r="T63" s="278">
        <f>МАРТ!T63</f>
        <v>0</v>
      </c>
      <c r="U63" s="278">
        <f>МАРТ!U63</f>
        <v>0</v>
      </c>
      <c r="V63" s="101">
        <f t="shared" si="48"/>
        <v>0</v>
      </c>
      <c r="W63" s="278">
        <f>МАРТ!W63</f>
        <v>0</v>
      </c>
      <c r="X63" s="278">
        <f>МАРТ!X63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</f>
        <v>0</v>
      </c>
      <c r="AD63" s="103">
        <f t="shared" si="53"/>
        <v>0</v>
      </c>
      <c r="AE63" s="278">
        <f>МАРТ!AE63</f>
        <v>198.82</v>
      </c>
      <c r="AF63" s="278">
        <f>МАРТ!AF63</f>
        <v>0</v>
      </c>
      <c r="AG63" s="278">
        <f>МАРТ!AG63</f>
        <v>0</v>
      </c>
      <c r="AH63" s="278">
        <f>МАРТ!AH63</f>
        <v>0</v>
      </c>
      <c r="AI63" s="278">
        <f>МАРТ!AI63</f>
        <v>0.63141463414634147</v>
      </c>
      <c r="AJ63" s="278">
        <f>МАРТ!AJ63</f>
        <v>0</v>
      </c>
      <c r="AK63" s="278">
        <f>МАРТ!AK63</f>
        <v>0</v>
      </c>
      <c r="AL63" s="105">
        <f t="shared" si="54"/>
        <v>-199.45141463414635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-199.45141463414635</v>
      </c>
      <c r="AT63" s="103">
        <f t="shared" si="60"/>
        <v>0</v>
      </c>
      <c r="AU63" s="103">
        <f t="shared" si="61"/>
        <v>-0.61014841272032294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229</v>
      </c>
      <c r="D64" s="100" t="s">
        <v>226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</f>
        <v>1</v>
      </c>
      <c r="R64" s="278">
        <f>МАРТ!R64</f>
        <v>0</v>
      </c>
      <c r="S64" s="101">
        <f t="shared" si="47"/>
        <v>1</v>
      </c>
      <c r="T64" s="278">
        <f>МАРТ!T64</f>
        <v>1285</v>
      </c>
      <c r="U64" s="278">
        <f>МАРТ!U64</f>
        <v>0</v>
      </c>
      <c r="V64" s="101">
        <f t="shared" si="48"/>
        <v>1285</v>
      </c>
      <c r="W64" s="278">
        <f>МАРТ!W64</f>
        <v>1890</v>
      </c>
      <c r="X64" s="278">
        <f>МАРТ!X64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4.7286545879848699E-4</v>
      </c>
      <c r="AB64" s="101">
        <f t="shared" si="52"/>
        <v>326.89</v>
      </c>
      <c r="AC64" s="278">
        <f>МАРТ!AC64</f>
        <v>836.09999999999991</v>
      </c>
      <c r="AD64" s="103">
        <f t="shared" si="53"/>
        <v>0.44238095238095232</v>
      </c>
      <c r="AE64" s="278">
        <f>МАРТ!AE64</f>
        <v>1138.97</v>
      </c>
      <c r="AF64" s="278">
        <f>МАРТ!AF64</f>
        <v>3000</v>
      </c>
      <c r="AG64" s="278">
        <f>МАРТ!AG64</f>
        <v>0</v>
      </c>
      <c r="AH64" s="278">
        <f>МАРТ!AH64</f>
        <v>0</v>
      </c>
      <c r="AI64" s="278">
        <f>МАРТ!AI64</f>
        <v>1.8942439024390245</v>
      </c>
      <c r="AJ64" s="278">
        <f>МАРТ!AJ64</f>
        <v>0</v>
      </c>
      <c r="AK64" s="278">
        <f>МАРТ!AK64</f>
        <v>12.85</v>
      </c>
      <c r="AL64" s="105">
        <f t="shared" si="54"/>
        <v>-3426.704243902439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1138.97</v>
      </c>
      <c r="AR64" s="108">
        <f t="shared" si="59"/>
        <v>3000</v>
      </c>
      <c r="AS64" s="108">
        <f t="array" ref="AS64">_xlfn.IFS(S64=0,AL64,S64&lt;0,AL64/-S64,S64&gt;0,AL64/S64)</f>
        <v>-3426.704243902439</v>
      </c>
      <c r="AT64" s="103">
        <f t="shared" si="60"/>
        <v>-1.8130710285198091</v>
      </c>
      <c r="AU64" s="103">
        <f t="shared" si="61"/>
        <v>-10.482744176641804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230</v>
      </c>
      <c r="D65" s="100" t="s">
        <v>226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</f>
        <v>5</v>
      </c>
      <c r="M65" s="98"/>
      <c r="N65" s="98"/>
      <c r="O65" s="101">
        <f t="shared" si="45"/>
        <v>0.7142857142857143</v>
      </c>
      <c r="P65" s="101">
        <f t="shared" si="46"/>
        <v>0.14285714285714285</v>
      </c>
      <c r="Q65" s="278">
        <f>МАРТ!Q65</f>
        <v>1</v>
      </c>
      <c r="R65" s="278">
        <f>МАРТ!R65</f>
        <v>0</v>
      </c>
      <c r="S65" s="101">
        <f t="shared" si="47"/>
        <v>1</v>
      </c>
      <c r="T65" s="278">
        <f>МАРТ!T65</f>
        <v>1101</v>
      </c>
      <c r="U65" s="278">
        <f>МАРТ!U65</f>
        <v>0</v>
      </c>
      <c r="V65" s="101">
        <f t="shared" si="48"/>
        <v>1101</v>
      </c>
      <c r="W65" s="278">
        <f>МАРТ!W65</f>
        <v>1750</v>
      </c>
      <c r="X65" s="278">
        <f>МАРТ!X65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4.3783838777637684E-4</v>
      </c>
      <c r="AB65" s="101">
        <f t="shared" si="52"/>
        <v>326.89</v>
      </c>
      <c r="AC65" s="278">
        <f>МАРТ!AC65</f>
        <v>760.32</v>
      </c>
      <c r="AD65" s="103">
        <f t="shared" si="53"/>
        <v>0.43446857142857148</v>
      </c>
      <c r="AE65" s="278">
        <f>МАРТ!AE65</f>
        <v>347.64</v>
      </c>
      <c r="AF65" s="278">
        <f>МАРТ!AF65</f>
        <v>0</v>
      </c>
      <c r="AG65" s="278">
        <f>МАРТ!AG65</f>
        <v>0</v>
      </c>
      <c r="AH65" s="278">
        <f>МАРТ!AH65</f>
        <v>0</v>
      </c>
      <c r="AI65" s="278">
        <f>МАРТ!AI65</f>
        <v>0</v>
      </c>
      <c r="AJ65" s="278">
        <f>МАРТ!AJ65</f>
        <v>0</v>
      </c>
      <c r="AK65" s="278">
        <f>МАРТ!AK65</f>
        <v>11.01</v>
      </c>
      <c r="AL65" s="105">
        <f t="shared" si="54"/>
        <v>304.1400000000001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347.64</v>
      </c>
      <c r="AR65" s="108">
        <f t="shared" si="59"/>
        <v>0</v>
      </c>
      <c r="AS65" s="108">
        <f t="array" ref="AS65">_xlfn.IFS(S65=0,AL65,S65&lt;0,AL65/-S65,S65&gt;0,AL65/S65)</f>
        <v>304.1400000000001</v>
      </c>
      <c r="AT65" s="103">
        <f t="shared" si="60"/>
        <v>0.17379428571428576</v>
      </c>
      <c r="AU65" s="103">
        <f t="shared" si="61"/>
        <v>0.93040472330141677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231</v>
      </c>
      <c r="D66" s="100" t="s">
        <v>226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</f>
        <v>0</v>
      </c>
      <c r="R66" s="278">
        <f>МАРТ!R66</f>
        <v>0</v>
      </c>
      <c r="S66" s="101">
        <f t="shared" si="47"/>
        <v>0</v>
      </c>
      <c r="T66" s="278">
        <f>МАРТ!T66</f>
        <v>0</v>
      </c>
      <c r="U66" s="278">
        <f>МАРТ!U66</f>
        <v>0</v>
      </c>
      <c r="V66" s="101">
        <f t="shared" si="48"/>
        <v>0</v>
      </c>
      <c r="W66" s="278">
        <f>МАРТ!W66</f>
        <v>0</v>
      </c>
      <c r="X66" s="278">
        <f>МАРТ!X66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</f>
        <v>0</v>
      </c>
      <c r="AD66" s="103">
        <f t="shared" si="53"/>
        <v>0</v>
      </c>
      <c r="AE66" s="278">
        <f>МАРТ!AE66</f>
        <v>194.87</v>
      </c>
      <c r="AF66" s="278">
        <f>МАРТ!AF66</f>
        <v>3000</v>
      </c>
      <c r="AG66" s="278">
        <f>МАРТ!AG66</f>
        <v>0</v>
      </c>
      <c r="AH66" s="278">
        <f>МАРТ!AH66</f>
        <v>0</v>
      </c>
      <c r="AI66" s="278">
        <f>МАРТ!AI66</f>
        <v>0.63141463414634147</v>
      </c>
      <c r="AJ66" s="278">
        <f>МАРТ!AJ66</f>
        <v>896</v>
      </c>
      <c r="AK66" s="278">
        <f>МАРТ!AK66</f>
        <v>0</v>
      </c>
      <c r="AL66" s="105">
        <f t="shared" si="54"/>
        <v>-4091.5014146341464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-4091.5014146341464</v>
      </c>
      <c r="AT66" s="103">
        <f t="shared" si="60"/>
        <v>0</v>
      </c>
      <c r="AU66" s="103">
        <f t="shared" si="61"/>
        <v>-12.516447167653176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102"/>
      <c r="R67" s="102"/>
      <c r="S67" s="101">
        <f t="shared" si="47"/>
        <v>0</v>
      </c>
      <c r="T67" s="101"/>
      <c r="U67" s="101"/>
      <c r="V67" s="101">
        <f t="shared" si="48"/>
        <v>0</v>
      </c>
      <c r="W67" s="102"/>
      <c r="X67" s="102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102"/>
      <c r="AD67" s="103">
        <f t="shared" si="53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22</v>
      </c>
      <c r="M68" s="149"/>
      <c r="N68" s="149"/>
      <c r="O68" s="149"/>
      <c r="P68" s="149"/>
      <c r="Q68" s="149">
        <f t="shared" ref="Q68:AC68" si="63">SUM(Q60:Q67)</f>
        <v>3</v>
      </c>
      <c r="R68" s="149">
        <f t="shared" si="63"/>
        <v>0</v>
      </c>
      <c r="S68" s="149">
        <f t="shared" si="63"/>
        <v>3</v>
      </c>
      <c r="T68" s="149">
        <f t="shared" si="63"/>
        <v>4468</v>
      </c>
      <c r="U68" s="149">
        <f t="shared" si="63"/>
        <v>0</v>
      </c>
      <c r="V68" s="149">
        <f t="shared" si="63"/>
        <v>4468</v>
      </c>
      <c r="W68" s="149">
        <f t="shared" si="63"/>
        <v>6680</v>
      </c>
      <c r="X68" s="149">
        <f t="shared" si="63"/>
        <v>0</v>
      </c>
      <c r="Y68" s="273">
        <f t="shared" si="63"/>
        <v>6680</v>
      </c>
      <c r="Z68" s="149">
        <f t="shared" si="63"/>
        <v>0</v>
      </c>
      <c r="AA68" s="150">
        <f t="shared" si="63"/>
        <v>1.6712916744835412E-3</v>
      </c>
      <c r="AB68" s="151">
        <f t="shared" si="63"/>
        <v>1187.3399999999999</v>
      </c>
      <c r="AC68" s="149">
        <f t="shared" si="63"/>
        <v>2953.15</v>
      </c>
      <c r="AD68" s="150">
        <f>AC68/Y68</f>
        <v>0.4420883233532934</v>
      </c>
      <c r="AE68" s="149">
        <f t="shared" ref="AE68:AL68" si="64">SUM(AE60:AE67)</f>
        <v>2658.57</v>
      </c>
      <c r="AF68" s="149">
        <f t="shared" si="64"/>
        <v>16000</v>
      </c>
      <c r="AG68" s="149">
        <f t="shared" si="64"/>
        <v>0</v>
      </c>
      <c r="AH68" s="149">
        <f t="shared" si="64"/>
        <v>0</v>
      </c>
      <c r="AI68" s="149">
        <f>SUM(AI60:AI67)</f>
        <v>3.788487804878049</v>
      </c>
      <c r="AJ68" s="149">
        <f t="shared" si="64"/>
        <v>3745.2799999999997</v>
      </c>
      <c r="AK68" s="149">
        <f t="shared" si="64"/>
        <v>44.68</v>
      </c>
      <c r="AL68" s="149">
        <f t="shared" si="64"/>
        <v>-19912.808487804879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274"/>
      <c r="Z69" s="163"/>
      <c r="AC69" s="164"/>
      <c r="AE69" s="162"/>
      <c r="AF69" s="162"/>
      <c r="AG69" s="162"/>
      <c r="AH69" s="162"/>
      <c r="AI69" s="162"/>
      <c r="AJ69" s="162"/>
      <c r="AK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 t="shared" si="65"/>
        <v>6673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3446</v>
      </c>
      <c r="R70" s="172">
        <f t="shared" si="65"/>
        <v>-63</v>
      </c>
      <c r="S70" s="172">
        <f t="shared" si="65"/>
        <v>3383</v>
      </c>
      <c r="T70" s="172">
        <f t="shared" si="65"/>
        <v>2683992.1199999992</v>
      </c>
      <c r="U70" s="172">
        <f t="shared" si="65"/>
        <v>-49686.520000000004</v>
      </c>
      <c r="V70" s="172">
        <f t="shared" si="65"/>
        <v>2634305.5999999992</v>
      </c>
      <c r="W70" s="172">
        <f t="shared" si="65"/>
        <v>4072848.5899999994</v>
      </c>
      <c r="X70" s="172">
        <f t="shared" si="65"/>
        <v>-75940.03</v>
      </c>
      <c r="Y70" s="275">
        <f t="shared" si="65"/>
        <v>3996908.56</v>
      </c>
      <c r="Z70" s="172">
        <f t="shared" si="65"/>
        <v>0</v>
      </c>
      <c r="AA70" s="173">
        <f t="shared" si="65"/>
        <v>0.99999999999999956</v>
      </c>
      <c r="AB70" s="174">
        <f t="shared" si="65"/>
        <v>451259.94000000018</v>
      </c>
      <c r="AC70" s="172">
        <f t="shared" si="65"/>
        <v>1497323.5299999991</v>
      </c>
      <c r="AD70" s="173">
        <f>AC70/Y70</f>
        <v>0.37462041163133314</v>
      </c>
      <c r="AE70" s="174">
        <f t="shared" ref="AE70:AL70" si="66">AE58+AE68</f>
        <v>408175.76999999979</v>
      </c>
      <c r="AF70" s="174">
        <f t="shared" si="66"/>
        <v>382202</v>
      </c>
      <c r="AG70" s="174">
        <f t="shared" si="66"/>
        <v>176153</v>
      </c>
      <c r="AH70" s="174">
        <f t="shared" si="66"/>
        <v>0</v>
      </c>
      <c r="AI70" s="174">
        <f>AI58+AI68</f>
        <v>18471.72</v>
      </c>
      <c r="AJ70" s="174">
        <f t="shared" si="66"/>
        <v>4069.2799999999997</v>
      </c>
      <c r="AK70" s="174">
        <f t="shared" si="66"/>
        <v>26400.134900000001</v>
      </c>
      <c r="AL70" s="172">
        <f t="shared" si="66"/>
        <v>1032853.1851000001</v>
      </c>
      <c r="AM70" s="172"/>
      <c r="AN70" s="172"/>
      <c r="AO70" s="172"/>
      <c r="AP70" s="172"/>
      <c r="AQ70" s="172"/>
      <c r="AR70" s="172">
        <f>(AF70+AG70)/Q70</f>
        <v>162.02988972721997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Сводная!G23</f>
        <v>6673</v>
      </c>
      <c r="Q72" s="110">
        <f>Сводная!H23</f>
        <v>3446</v>
      </c>
      <c r="R72" s="110">
        <f>Сводная!I23</f>
        <v>-63</v>
      </c>
      <c r="W72" s="183">
        <f>Сводная!M23</f>
        <v>4072848.59</v>
      </c>
      <c r="X72" s="183">
        <f>Сводная!N23</f>
        <v>-75940.03</v>
      </c>
      <c r="AB72" s="110">
        <f>Сводная!P23</f>
        <v>451259.93999999994</v>
      </c>
      <c r="AC72" s="110">
        <f>Сводная!R23</f>
        <v>1497323.5299999996</v>
      </c>
      <c r="AE72" s="110">
        <f>Сводная!Q23</f>
        <v>408175.77000000008</v>
      </c>
      <c r="AF72" s="101">
        <f>Сводная!W23</f>
        <v>382202</v>
      </c>
      <c r="AG72" s="101">
        <f>Сводная!X23</f>
        <v>176153</v>
      </c>
      <c r="AI72" s="185">
        <f>Сводная!S23</f>
        <v>18471.72</v>
      </c>
      <c r="AJ72" s="101">
        <f>Сводная!U23</f>
        <v>4069.2799999999997</v>
      </c>
      <c r="AK72" s="279">
        <f>Сводная!Z23</f>
        <v>26400.134900000005</v>
      </c>
      <c r="AL72" s="279">
        <f>Сводная!AC23+Сводная!T23+Сводная!V23</f>
        <v>1032853.1851</v>
      </c>
    </row>
    <row r="73" spans="1:49">
      <c r="C73" s="182"/>
      <c r="D73" s="182"/>
      <c r="AI73" s="281">
        <f>AI70-AI72</f>
        <v>0</v>
      </c>
      <c r="AL73" s="281">
        <f>AL70-AL72</f>
        <v>0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82" priority="3" operator="greaterThan">
      <formula>120</formula>
    </cfRule>
  </conditionalFormatting>
  <conditionalFormatting sqref="AA69 AA71:AA1048576">
    <cfRule type="cellIs" dxfId="81" priority="4" operator="greaterThan">
      <formula>0.23</formula>
    </cfRule>
  </conditionalFormatting>
  <conditionalFormatting sqref="AA1">
    <cfRule type="cellIs" dxfId="80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AI57" activePane="bottomRight" state="frozen"/>
      <selection pane="topRight" activeCell="D1" sqref="D1"/>
      <selection pane="bottomLeft" activeCell="A3" sqref="A3"/>
      <selection pane="bottomRight" activeCell="AJ63" sqref="AJ6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464" t="s">
        <v>47</v>
      </c>
      <c r="G1" s="464"/>
      <c r="H1" s="464"/>
      <c r="K1" s="358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68"/>
      <c r="AG1" s="468"/>
      <c r="AH1" s="359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246</v>
      </c>
      <c r="M2" s="87" t="s">
        <v>248</v>
      </c>
      <c r="N2" s="87" t="s">
        <v>247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>
        <f>'Юнит 13'!F3</f>
        <v>0</v>
      </c>
      <c r="G3" s="101">
        <f>'Юнит 13'!G3</f>
        <v>0</v>
      </c>
      <c r="H3" s="101">
        <f>'Юнит 13'!H3</f>
        <v>0</v>
      </c>
      <c r="I3" s="101">
        <v>142.97999999999999</v>
      </c>
      <c r="J3" s="101">
        <f t="shared" ref="J3:J43" si="0">E3*I3</f>
        <v>0</v>
      </c>
      <c r="K3" s="98">
        <f>'Юнит 13'!K3</f>
        <v>0</v>
      </c>
      <c r="L3" s="98">
        <f>'Юнит 10'!L3+'Юнит 11'!L3+'Юнит 12'!L3+'Юнит 13'!L3</f>
        <v>565</v>
      </c>
      <c r="M3" s="98"/>
      <c r="N3" s="98"/>
      <c r="O3" s="189">
        <f t="shared" ref="O3:O43" si="1">L3/7</f>
        <v>80.714285714285708</v>
      </c>
      <c r="P3" s="101">
        <f t="shared" ref="P3" si="2">S3/7</f>
        <v>41.142857142857146</v>
      </c>
      <c r="Q3" s="98">
        <f>'Юнит 10'!Q3+'Юнит 11'!Q3+'Юнит 12'!Q3+'Юнит 13'!Q3</f>
        <v>293</v>
      </c>
      <c r="R3" s="98">
        <f>'Юнит 10'!R3+'Юнит 11'!R3+'Юнит 12'!R3+'Юнит 13'!R3</f>
        <v>-5</v>
      </c>
      <c r="S3" s="101">
        <f>Q3+R3</f>
        <v>288</v>
      </c>
      <c r="T3" s="98">
        <f>'Юнит 10'!T3+'Юнит 11'!T3+'Юнит 12'!T3+'Юнит 13'!T3</f>
        <v>243795.85000000003</v>
      </c>
      <c r="U3" s="98">
        <f>'Юнит 10'!U3+'Юнит 11'!U3+'Юнит 12'!U3+'Юнит 13'!U3</f>
        <v>-4196.41</v>
      </c>
      <c r="V3" s="101">
        <f>T3+U3</f>
        <v>239599.44000000003</v>
      </c>
      <c r="W3" s="98">
        <f>'Юнит 10'!W3+'Юнит 11'!W3+'Юнит 12'!W3+'Юнит 13'!W3</f>
        <v>377373.18999999989</v>
      </c>
      <c r="X3" s="98">
        <f>'Юнит 10'!X3+'Юнит 11'!X3+'Юнит 12'!X3+'Юнит 13'!X3</f>
        <v>-6505.95</v>
      </c>
      <c r="Y3" s="101">
        <f t="shared" ref="Y3:Y43" si="3">W3+X3</f>
        <v>370867.23999999987</v>
      </c>
      <c r="Z3" s="101">
        <f>L3*M3*N3/100</f>
        <v>0</v>
      </c>
      <c r="AA3" s="103">
        <f t="shared" ref="AA3:AA43" si="4">Y3/$Y$70</f>
        <v>0.14689003475965232</v>
      </c>
      <c r="AB3" s="101">
        <f>S3*I3</f>
        <v>41178.239999999998</v>
      </c>
      <c r="AC3" s="98">
        <f>'Юнит 10'!AC3+'Юнит 11'!AC3+'Юнит 12'!AC3+'Юнит 13'!AC3</f>
        <v>139480.20999999985</v>
      </c>
      <c r="AD3" s="103">
        <f t="shared" ref="AD3:AD43" si="5">IF(Y3=0,0,AC3/Y3)</f>
        <v>0.37609202150073945</v>
      </c>
      <c r="AE3" s="98">
        <f>'Юнит 10'!AE3+'Юнит 11'!AE3+'Юнит 12'!AE3+'Юнит 13'!AE3</f>
        <v>36284.750000000022</v>
      </c>
      <c r="AF3" s="98">
        <f>'Юнит 10'!AF3+'Юнит 11'!AF3+'Юнит 12'!AF3+'Юнит 13'!AF3</f>
        <v>47902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906.86551344469058</v>
      </c>
      <c r="AJ3" s="98">
        <f>'Юнит 10'!AJ3+'Юнит 11'!AJ3+'Юнит 12'!AJ3+'Юнит 13'!AJ3</f>
        <v>0</v>
      </c>
      <c r="AK3" s="104">
        <f>V3*1%</f>
        <v>2395.9944000000005</v>
      </c>
      <c r="AL3" s="105">
        <f>Y3-AB3-AC3-AE3-AF3-AG3-AH3-AI3-AK3-AJ3</f>
        <v>100621.18008655532</v>
      </c>
      <c r="AM3" s="106"/>
      <c r="AN3" s="107">
        <f t="shared" ref="AN3:AN43" si="6">IF(S3=0,0,Y3/S3)</f>
        <v>1287.7334722222217</v>
      </c>
      <c r="AO3" s="108">
        <f t="shared" ref="AO3:AO43" si="7">I3</f>
        <v>142.97999999999999</v>
      </c>
      <c r="AP3" s="108">
        <f t="shared" ref="AP3:AP43" si="8">IF(S3=0,0,AC3/S3)</f>
        <v>484.30628472222168</v>
      </c>
      <c r="AQ3" s="108">
        <f>IF(Q3=0,AE3/1,AE3/Q3)</f>
        <v>123.83873720136526</v>
      </c>
      <c r="AR3" s="108">
        <f>IF(Q3=0,0,(AF3+AG3)/Q3)</f>
        <v>170.64846416382252</v>
      </c>
      <c r="AS3" s="108">
        <f>_xlfn.IFS(S3=0,AL3,S3&lt;0,AL3/-S3,S3&gt;0,AL3/S3)</f>
        <v>349.37909752276153</v>
      </c>
      <c r="AT3" s="103">
        <f t="shared" ref="AT3" si="9">IF(AN3=0,0,AS3/AN3)</f>
        <v>0.27131320654408664</v>
      </c>
      <c r="AU3" s="103">
        <f t="shared" ref="AU3" si="10">IF(AO3=0,0,AS3/AO3)</f>
        <v>2.4435522277434716</v>
      </c>
      <c r="AV3" s="109"/>
      <c r="AW3" s="104">
        <f t="shared" ref="AW3:AW43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2">F4+G4+H4</f>
        <v>0</v>
      </c>
      <c r="F4" s="101">
        <f>'Юнит 13'!F4</f>
        <v>0</v>
      </c>
      <c r="G4" s="101">
        <f>'Юнит 13'!G4</f>
        <v>0</v>
      </c>
      <c r="H4" s="101">
        <f>'Юнит 13'!H4</f>
        <v>0</v>
      </c>
      <c r="I4" s="101">
        <v>123.09</v>
      </c>
      <c r="J4" s="101">
        <f t="shared" si="0"/>
        <v>0</v>
      </c>
      <c r="K4" s="98">
        <f>'Юнит 13'!K4</f>
        <v>0</v>
      </c>
      <c r="L4" s="98">
        <f>'Юнит 10'!L4+'Юнит 11'!L4+'Юнит 12'!L4+'Юнит 13'!L4</f>
        <v>1380</v>
      </c>
      <c r="M4" s="98"/>
      <c r="N4" s="98"/>
      <c r="O4" s="189">
        <f t="shared" si="1"/>
        <v>197.14285714285714</v>
      </c>
      <c r="P4" s="101">
        <f>S4/7</f>
        <v>96.428571428571431</v>
      </c>
      <c r="Q4" s="98">
        <f>'Юнит 10'!Q4+'Юнит 11'!Q4+'Юнит 12'!Q4+'Юнит 13'!Q4</f>
        <v>690</v>
      </c>
      <c r="R4" s="98">
        <f>'Юнит 10'!R4+'Юнит 11'!R4+'Юнит 12'!R4+'Юнит 13'!R4</f>
        <v>-15</v>
      </c>
      <c r="S4" s="101">
        <f t="shared" ref="S4:S43" si="13">Q4+R4</f>
        <v>675</v>
      </c>
      <c r="T4" s="98">
        <f>'Юнит 10'!T4+'Юнит 11'!T4+'Юнит 12'!T4+'Юнит 13'!T4</f>
        <v>524926.43000000017</v>
      </c>
      <c r="U4" s="98">
        <f>'Юнит 10'!U4+'Юнит 11'!U4+'Юнит 12'!U4+'Юнит 13'!U4</f>
        <v>-11652.11</v>
      </c>
      <c r="V4" s="101">
        <f t="shared" ref="V4:V43" si="14">T4+U4</f>
        <v>513274.32000000018</v>
      </c>
      <c r="W4" s="98">
        <f>'Юнит 10'!W4+'Юнит 11'!W4+'Юнит 12'!W4+'Юнит 13'!W4</f>
        <v>782994.95</v>
      </c>
      <c r="X4" s="98">
        <f>'Юнит 10'!X4+'Юнит 11'!X4+'Юнит 12'!X4+'Юнит 13'!X4</f>
        <v>-17082.080000000002</v>
      </c>
      <c r="Y4" s="101">
        <f t="shared" si="3"/>
        <v>765912.87</v>
      </c>
      <c r="Z4" s="101">
        <f t="shared" ref="Z4:Z43" si="15">L4*M4*N4/100</f>
        <v>0</v>
      </c>
      <c r="AA4" s="103">
        <f t="shared" si="4"/>
        <v>0.30335644662808475</v>
      </c>
      <c r="AB4" s="101">
        <f t="shared" ref="AB4:AB43" si="16">S4*I4</f>
        <v>83085.75</v>
      </c>
      <c r="AC4" s="98">
        <f>'Юнит 10'!AC4+'Юнит 11'!AC4+'Юнит 12'!AC4+'Юнит 13'!AC4</f>
        <v>289309.34999999998</v>
      </c>
      <c r="AD4" s="103">
        <f t="shared" si="5"/>
        <v>0.37773141219052758</v>
      </c>
      <c r="AE4" s="98">
        <f>'Юнит 10'!AE4+'Юнит 11'!AE4+'Юнит 12'!AE4+'Юнит 13'!AE4</f>
        <v>75266.44</v>
      </c>
      <c r="AF4" s="98">
        <f>'Юнит 10'!AF4+'Юнит 11'!AF4+'Юнит 12'!AF4+'Юнит 13'!AF4</f>
        <v>60500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1272.8592900793124</v>
      </c>
      <c r="AJ4" s="98">
        <f>'Юнит 10'!AJ4+'Юнит 11'!AJ4+'Юнит 12'!AJ4+'Юнит 13'!AJ4</f>
        <v>0</v>
      </c>
      <c r="AK4" s="104">
        <f t="shared" ref="AK4:AK43" si="17">V4*1%</f>
        <v>5132.7432000000017</v>
      </c>
      <c r="AL4" s="105">
        <f t="shared" ref="AL4:AL43" si="18">Y4-AB4-AC4-AE4-AF4-AG4-AH4-AI4-AK4-AJ4</f>
        <v>249345.72750992072</v>
      </c>
      <c r="AM4" s="106"/>
      <c r="AN4" s="107">
        <f t="shared" si="6"/>
        <v>1134.6857333333332</v>
      </c>
      <c r="AO4" s="108">
        <f t="shared" si="7"/>
        <v>123.09</v>
      </c>
      <c r="AP4" s="108">
        <f t="shared" si="8"/>
        <v>428.60644444444443</v>
      </c>
      <c r="AQ4" s="108">
        <f t="shared" ref="AQ4:AQ43" si="19">IF(Q4=0,AE4/1,AE4/Q4)</f>
        <v>109.08179710144928</v>
      </c>
      <c r="AR4" s="108">
        <f t="shared" ref="AR4:AR43" si="20">IF(Q4=0,0,(AF4+AG4)/Q4)</f>
        <v>90.579710144927532</v>
      </c>
      <c r="AS4" s="108">
        <f t="array" ref="AS4">_xlfn.IFS(S4=0,AL4,S4&lt;0,AL4/-S4,S4&gt;0,AL4/S4)</f>
        <v>369.40107779247512</v>
      </c>
      <c r="AT4" s="103">
        <f>IF(AN4=0,0,AS4/AN4)</f>
        <v>0.32555364621294419</v>
      </c>
      <c r="AU4" s="103">
        <f>IF(AO4=0,0,AS4/AO4)</f>
        <v>3.0010648939188815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0</v>
      </c>
      <c r="F5" s="101">
        <f>'Юнит 13'!F5</f>
        <v>0</v>
      </c>
      <c r="G5" s="101">
        <f>'Юнит 13'!G5</f>
        <v>0</v>
      </c>
      <c r="H5" s="101">
        <f>'Юнит 13'!H5</f>
        <v>0</v>
      </c>
      <c r="I5" s="101">
        <v>123.09</v>
      </c>
      <c r="J5" s="101">
        <f t="shared" si="0"/>
        <v>0</v>
      </c>
      <c r="K5" s="98">
        <f>'Юнит 13'!K5</f>
        <v>0</v>
      </c>
      <c r="L5" s="98">
        <f>'Юнит 10'!L5+'Юнит 11'!L5+'Юнит 12'!L5+'Юнит 13'!L5</f>
        <v>230</v>
      </c>
      <c r="M5" s="98"/>
      <c r="N5" s="98"/>
      <c r="O5" s="189">
        <f t="shared" si="1"/>
        <v>32.857142857142854</v>
      </c>
      <c r="P5" s="101">
        <f>S5/7</f>
        <v>19.142857142857142</v>
      </c>
      <c r="Q5" s="98">
        <f>'Юнит 10'!Q5+'Юнит 11'!Q5+'Юнит 12'!Q5+'Юнит 13'!Q5</f>
        <v>135</v>
      </c>
      <c r="R5" s="98">
        <f>'Юнит 10'!R5+'Юнит 11'!R5+'Юнит 12'!R5+'Юнит 13'!R5</f>
        <v>-1</v>
      </c>
      <c r="S5" s="101">
        <f t="shared" si="13"/>
        <v>134</v>
      </c>
      <c r="T5" s="98">
        <f>'Юнит 10'!T5+'Юнит 11'!T5+'Юнит 12'!T5+'Юнит 13'!T5</f>
        <v>101313.80000000002</v>
      </c>
      <c r="U5" s="98">
        <f>'Юнит 10'!U5+'Юнит 11'!U5+'Юнит 12'!U5+'Юнит 13'!U5</f>
        <v>-724</v>
      </c>
      <c r="V5" s="101">
        <f t="shared" si="14"/>
        <v>100589.80000000002</v>
      </c>
      <c r="W5" s="98">
        <f>'Юнит 10'!W5+'Юнит 11'!W5+'Юнит 12'!W5+'Юнит 13'!W5</f>
        <v>155351.53000000003</v>
      </c>
      <c r="X5" s="98">
        <f>'Юнит 10'!X5+'Юнит 11'!X5+'Юнит 12'!X5+'Юнит 13'!X5</f>
        <v>-1114</v>
      </c>
      <c r="Y5" s="101">
        <f t="shared" si="3"/>
        <v>154237.53000000003</v>
      </c>
      <c r="Z5" s="101">
        <f t="shared" si="15"/>
        <v>0</v>
      </c>
      <c r="AA5" s="103">
        <f t="shared" si="4"/>
        <v>6.1089127589007135E-2</v>
      </c>
      <c r="AB5" s="101">
        <f t="shared" si="16"/>
        <v>16494.060000000001</v>
      </c>
      <c r="AC5" s="98">
        <f>'Юнит 10'!AC5+'Юнит 11'!AC5+'Юнит 12'!AC5+'Юнит 13'!AC5</f>
        <v>58223.779999999962</v>
      </c>
      <c r="AD5" s="103">
        <f t="shared" si="5"/>
        <v>0.37749424540188081</v>
      </c>
      <c r="AE5" s="98">
        <f>'Юнит 10'!AE5+'Юнит 11'!AE5+'Юнит 12'!AE5+'Юнит 13'!AE5</f>
        <v>14582.279999999995</v>
      </c>
      <c r="AF5" s="98">
        <f>'Юнит 10'!AF5+'Юнит 11'!AF5+'Юнит 12'!AF5+'Юнит 13'!AF5</f>
        <v>23000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787.71187887637848</v>
      </c>
      <c r="AJ5" s="98">
        <f>'Юнит 10'!AJ5+'Юнит 11'!AJ5+'Юнит 12'!AJ5+'Юнит 13'!AJ5</f>
        <v>0</v>
      </c>
      <c r="AK5" s="104">
        <f t="shared" si="17"/>
        <v>1005.8980000000003</v>
      </c>
      <c r="AL5" s="105">
        <f t="shared" si="18"/>
        <v>39143.800121123684</v>
      </c>
      <c r="AM5" s="106"/>
      <c r="AN5" s="107">
        <f t="shared" si="6"/>
        <v>1151.0263432835823</v>
      </c>
      <c r="AO5" s="108">
        <f t="shared" si="7"/>
        <v>123.09</v>
      </c>
      <c r="AP5" s="108">
        <f t="shared" si="8"/>
        <v>434.50582089552211</v>
      </c>
      <c r="AQ5" s="108">
        <f t="shared" si="19"/>
        <v>108.01688888888886</v>
      </c>
      <c r="AR5" s="108">
        <f t="shared" si="20"/>
        <v>177.77777777777777</v>
      </c>
      <c r="AS5" s="108">
        <f t="array" ref="AS5">_xlfn.IFS(S5=0,AL5,S5&lt;0,AL5/-S5,S5&gt;0,AL5/S5)</f>
        <v>292.11791135166931</v>
      </c>
      <c r="AT5" s="103">
        <f>IF(AN5=0,0,AS5/AN5)</f>
        <v>0.25378907533804307</v>
      </c>
      <c r="AU5" s="103">
        <f>IF(AO5=0,0,AS5/AO5)</f>
        <v>2.3732058766079236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0</v>
      </c>
      <c r="F6" s="101">
        <f>'Юнит 13'!F6</f>
        <v>0</v>
      </c>
      <c r="G6" s="101">
        <f>'Юнит 13'!G6</f>
        <v>0</v>
      </c>
      <c r="H6" s="101">
        <f>'Юнит 13'!H6</f>
        <v>0</v>
      </c>
      <c r="I6" s="101">
        <v>123.09</v>
      </c>
      <c r="J6" s="101">
        <f t="shared" si="0"/>
        <v>0</v>
      </c>
      <c r="K6" s="98">
        <f>'Юнит 13'!K6</f>
        <v>0</v>
      </c>
      <c r="L6" s="98">
        <f>'Юнит 10'!L6+'Юнит 11'!L6+'Юнит 12'!L6+'Юнит 13'!L6</f>
        <v>190</v>
      </c>
      <c r="M6" s="98"/>
      <c r="N6" s="98"/>
      <c r="O6" s="189">
        <f t="shared" si="1"/>
        <v>27.142857142857142</v>
      </c>
      <c r="P6" s="101">
        <f t="shared" ref="P6:P43" si="21">S6/7</f>
        <v>17.714285714285715</v>
      </c>
      <c r="Q6" s="98">
        <f>'Юнит 10'!Q6+'Юнит 11'!Q6+'Юнит 12'!Q6+'Юнит 13'!Q6</f>
        <v>126</v>
      </c>
      <c r="R6" s="98">
        <f>'Юнит 10'!R6+'Юнит 11'!R6+'Юнит 12'!R6+'Юнит 13'!R6</f>
        <v>-2</v>
      </c>
      <c r="S6" s="101">
        <f t="shared" si="13"/>
        <v>124</v>
      </c>
      <c r="T6" s="98">
        <f>'Юнит 10'!T6+'Юнит 11'!T6+'Юнит 12'!T6+'Юнит 13'!T6</f>
        <v>97638.07</v>
      </c>
      <c r="U6" s="98">
        <f>'Юнит 10'!U6+'Юнит 11'!U6+'Юнит 12'!U6+'Юнит 13'!U6</f>
        <v>-1514</v>
      </c>
      <c r="V6" s="101">
        <f t="shared" si="14"/>
        <v>96124.07</v>
      </c>
      <c r="W6" s="98">
        <f>'Юнит 10'!W6+'Юнит 11'!W6+'Юнит 12'!W6+'Юнит 13'!W6</f>
        <v>152767.04000000001</v>
      </c>
      <c r="X6" s="98">
        <f>'Юнит 10'!X6+'Юнит 11'!X6+'Юнит 12'!X6+'Юнит 13'!X6</f>
        <v>-2414</v>
      </c>
      <c r="Y6" s="101">
        <f t="shared" si="3"/>
        <v>150353.04</v>
      </c>
      <c r="Z6" s="101">
        <f t="shared" si="15"/>
        <v>0</v>
      </c>
      <c r="AA6" s="103">
        <f t="shared" si="4"/>
        <v>5.955059085784823E-2</v>
      </c>
      <c r="AB6" s="101">
        <f t="shared" si="16"/>
        <v>15263.16</v>
      </c>
      <c r="AC6" s="98">
        <f>'Юнит 10'!AC6+'Юнит 11'!AC6+'Юнит 12'!AC6+'Юнит 13'!AC6</f>
        <v>56565.010000000024</v>
      </c>
      <c r="AD6" s="103">
        <f t="shared" si="5"/>
        <v>0.37621460796535955</v>
      </c>
      <c r="AE6" s="98">
        <f>'Юнит 10'!AE6+'Юнит 11'!AE6+'Юнит 12'!AE6+'Юнит 13'!AE6</f>
        <v>9825.5400000000081</v>
      </c>
      <c r="AF6" s="98">
        <f>'Юнит 10'!AF6+'Юнит 11'!AF6+'Юнит 12'!AF6+'Юнит 13'!AF6</f>
        <v>15000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756.79795899937199</v>
      </c>
      <c r="AJ6" s="98">
        <f>'Юнит 10'!AJ6+'Юнит 11'!AJ6+'Юнит 12'!AJ6+'Юнит 13'!AJ6</f>
        <v>0</v>
      </c>
      <c r="AK6" s="104">
        <f t="shared" si="17"/>
        <v>961.24070000000006</v>
      </c>
      <c r="AL6" s="105">
        <f t="shared" si="18"/>
        <v>50981.2913410006</v>
      </c>
      <c r="AM6" s="106"/>
      <c r="AN6" s="107">
        <f t="shared" si="6"/>
        <v>1212.5245161290322</v>
      </c>
      <c r="AO6" s="108">
        <f t="shared" si="7"/>
        <v>123.09</v>
      </c>
      <c r="AP6" s="108">
        <f t="shared" si="8"/>
        <v>456.16943548387115</v>
      </c>
      <c r="AQ6" s="108">
        <f t="shared" si="19"/>
        <v>77.980476190476253</v>
      </c>
      <c r="AR6" s="108">
        <f t="shared" si="20"/>
        <v>126.98412698412699</v>
      </c>
      <c r="AS6" s="108">
        <f t="array" ref="AS6">_xlfn.IFS(S6=0,AL6,S6&lt;0,AL6/-S6,S6&gt;0,AL6/S6)</f>
        <v>411.13944629839193</v>
      </c>
      <c r="AT6" s="103">
        <f t="shared" ref="AT6:AT43" si="22">IF(AN6=0,0,AS6/AN6)</f>
        <v>0.3390772234535504</v>
      </c>
      <c r="AU6" s="103">
        <f t="shared" ref="AU6:AU43" si="23">IF(AO6=0,0,AS6/AO6)</f>
        <v>3.3401531099065069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0</v>
      </c>
      <c r="F7" s="101">
        <f>'Юнит 13'!F7</f>
        <v>0</v>
      </c>
      <c r="G7" s="101">
        <f>'Юнит 13'!G7</f>
        <v>0</v>
      </c>
      <c r="H7" s="101">
        <f>'Юнит 13'!H7</f>
        <v>0</v>
      </c>
      <c r="I7" s="101">
        <v>123.09</v>
      </c>
      <c r="J7" s="101">
        <f t="shared" si="0"/>
        <v>0</v>
      </c>
      <c r="K7" s="98">
        <f>'Юнит 13'!K7</f>
        <v>0</v>
      </c>
      <c r="L7" s="98">
        <f>'Юнит 10'!L7+'Юнит 11'!L7+'Юнит 12'!L7+'Юнит 13'!L7</f>
        <v>106</v>
      </c>
      <c r="M7" s="98"/>
      <c r="N7" s="98"/>
      <c r="O7" s="189">
        <f t="shared" si="1"/>
        <v>15.142857142857142</v>
      </c>
      <c r="P7" s="101">
        <f t="shared" si="21"/>
        <v>7.4285714285714288</v>
      </c>
      <c r="Q7" s="98">
        <f>'Юнит 10'!Q7+'Юнит 11'!Q7+'Юнит 12'!Q7+'Юнит 13'!Q7</f>
        <v>53</v>
      </c>
      <c r="R7" s="98">
        <f>'Юнит 10'!R7+'Юнит 11'!R7+'Юнит 12'!R7+'Юнит 13'!R7</f>
        <v>-1</v>
      </c>
      <c r="S7" s="101">
        <f t="shared" si="13"/>
        <v>52</v>
      </c>
      <c r="T7" s="98">
        <f>'Юнит 10'!T7+'Юнит 11'!T7+'Юнит 12'!T7+'Юнит 13'!T7</f>
        <v>41184.240000000005</v>
      </c>
      <c r="U7" s="98">
        <f>'Юнит 10'!U7+'Юнит 11'!U7+'Юнит 12'!U7+'Юнит 13'!U7</f>
        <v>-802</v>
      </c>
      <c r="V7" s="101">
        <f t="shared" si="14"/>
        <v>40382.240000000005</v>
      </c>
      <c r="W7" s="98">
        <f>'Юнит 10'!W7+'Юнит 11'!W7+'Юнит 12'!W7+'Юнит 13'!W7</f>
        <v>64841.520000000004</v>
      </c>
      <c r="X7" s="98">
        <f>'Юнит 10'!X7+'Юнит 11'!X7+'Юнит 12'!X7+'Юнит 13'!X7</f>
        <v>-1294</v>
      </c>
      <c r="Y7" s="101">
        <f t="shared" si="3"/>
        <v>63547.520000000004</v>
      </c>
      <c r="Z7" s="101">
        <f t="shared" si="15"/>
        <v>0</v>
      </c>
      <c r="AA7" s="103">
        <f t="shared" si="4"/>
        <v>2.5169377111037644E-2</v>
      </c>
      <c r="AB7" s="101">
        <f t="shared" si="16"/>
        <v>6400.68</v>
      </c>
      <c r="AC7" s="98">
        <f>'Юнит 10'!AC7+'Юнит 11'!AC7+'Юнит 12'!AC7+'Юнит 13'!AC7</f>
        <v>23923.54</v>
      </c>
      <c r="AD7" s="103">
        <f t="shared" si="5"/>
        <v>0.37646693372141038</v>
      </c>
      <c r="AE7" s="98">
        <f>'Юнит 10'!AE7+'Юнит 11'!AE7+'Юнит 12'!AE7+'Юнит 13'!AE7</f>
        <v>7329.77</v>
      </c>
      <c r="AF7" s="98">
        <f>'Юнит 10'!AF7+'Юнит 11'!AF7+'Юнит 12'!AF7+'Юнит 13'!AF7</f>
        <v>13000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704.4840951152305</v>
      </c>
      <c r="AJ7" s="98">
        <f>'Юнит 10'!AJ7+'Юнит 11'!AJ7+'Юнит 12'!AJ7+'Юнит 13'!AJ7</f>
        <v>0</v>
      </c>
      <c r="AK7" s="104">
        <f t="shared" si="17"/>
        <v>403.82240000000007</v>
      </c>
      <c r="AL7" s="105">
        <f t="shared" si="18"/>
        <v>10785.223504884771</v>
      </c>
      <c r="AM7" s="106"/>
      <c r="AN7" s="107">
        <f t="shared" si="6"/>
        <v>1222.0676923076924</v>
      </c>
      <c r="AO7" s="108">
        <f t="shared" si="7"/>
        <v>123.09</v>
      </c>
      <c r="AP7" s="108">
        <f t="shared" si="8"/>
        <v>460.06807692307694</v>
      </c>
      <c r="AQ7" s="108">
        <f t="shared" si="19"/>
        <v>138.29754716981134</v>
      </c>
      <c r="AR7" s="108">
        <f t="shared" si="20"/>
        <v>264.15094339622641</v>
      </c>
      <c r="AS7" s="108">
        <f t="array" ref="AS7">_xlfn.IFS(S7=0,AL7,S7&lt;0,AL7/-S7,S7&gt;0,AL7/S7)</f>
        <v>207.40814432470714</v>
      </c>
      <c r="AT7" s="103">
        <f t="shared" si="22"/>
        <v>0.16971903081166301</v>
      </c>
      <c r="AU7" s="103">
        <f t="shared" si="23"/>
        <v>1.68501214009836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0</v>
      </c>
      <c r="F8" s="101">
        <f>'Юнит 13'!F8</f>
        <v>0</v>
      </c>
      <c r="G8" s="101">
        <f>'Юнит 13'!G8</f>
        <v>0</v>
      </c>
      <c r="H8" s="101">
        <f>'Юнит 13'!H8</f>
        <v>0</v>
      </c>
      <c r="I8" s="101">
        <v>123.09</v>
      </c>
      <c r="J8" s="101">
        <f t="shared" si="0"/>
        <v>0</v>
      </c>
      <c r="K8" s="98">
        <f>'Юнит 13'!K8</f>
        <v>0</v>
      </c>
      <c r="L8" s="98">
        <f>'Юнит 10'!L8+'Юнит 11'!L8+'Юнит 12'!L8+'Юнит 13'!L8</f>
        <v>270</v>
      </c>
      <c r="M8" s="98"/>
      <c r="N8" s="98"/>
      <c r="O8" s="189">
        <f t="shared" si="1"/>
        <v>38.571428571428569</v>
      </c>
      <c r="P8" s="101">
        <f t="shared" si="21"/>
        <v>23.714285714285715</v>
      </c>
      <c r="Q8" s="98">
        <f>'Юнит 10'!Q8+'Юнит 11'!Q8+'Юнит 12'!Q8+'Юнит 13'!Q8</f>
        <v>168</v>
      </c>
      <c r="R8" s="98">
        <f>'Юнит 10'!R8+'Юнит 11'!R8+'Юнит 12'!R8+'Юнит 13'!R8</f>
        <v>-2</v>
      </c>
      <c r="S8" s="101">
        <f t="shared" si="13"/>
        <v>166</v>
      </c>
      <c r="T8" s="98">
        <f>'Юнит 10'!T8+'Юнит 11'!T8+'Юнит 12'!T8+'Юнит 13'!T8</f>
        <v>127884.63999999998</v>
      </c>
      <c r="U8" s="98">
        <f>'Юнит 10'!U8+'Юнит 11'!U8+'Юнит 12'!U8+'Юнит 13'!U8</f>
        <v>-1494</v>
      </c>
      <c r="V8" s="101">
        <f t="shared" si="14"/>
        <v>126390.63999999998</v>
      </c>
      <c r="W8" s="98">
        <f>'Юнит 10'!W8+'Юнит 11'!W8+'Юнит 12'!W8+'Юнит 13'!W8</f>
        <v>198039.04000000001</v>
      </c>
      <c r="X8" s="98">
        <f>'Юнит 10'!X8+'Юнит 11'!X8+'Юнит 12'!X8+'Юнит 13'!X8</f>
        <v>-2372</v>
      </c>
      <c r="Y8" s="101">
        <f t="shared" si="3"/>
        <v>195667.04</v>
      </c>
      <c r="Z8" s="101">
        <f t="shared" si="15"/>
        <v>0</v>
      </c>
      <c r="AA8" s="103">
        <f t="shared" si="4"/>
        <v>7.7498185892391824E-2</v>
      </c>
      <c r="AB8" s="101">
        <f t="shared" si="16"/>
        <v>20432.940000000002</v>
      </c>
      <c r="AC8" s="98">
        <f>'Юнит 10'!AC8+'Юнит 11'!AC8+'Юнит 12'!AC8+'Юнит 13'!AC8</f>
        <v>72887.670000000013</v>
      </c>
      <c r="AD8" s="103">
        <f t="shared" si="5"/>
        <v>0.3725086759630033</v>
      </c>
      <c r="AE8" s="98">
        <f>'Юнит 10'!AE8+'Юнит 11'!AE8+'Юнит 12'!AE8+'Юнит 13'!AE8</f>
        <v>17059.180000000008</v>
      </c>
      <c r="AF8" s="98">
        <f>'Юнит 10'!AF8+'Юнит 11'!AF8+'Юнит 12'!AF8+'Юнит 13'!AF8</f>
        <v>19000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830.59176414152194</v>
      </c>
      <c r="AJ8" s="98">
        <f>'Юнит 10'!AJ8+'Юнит 11'!AJ8+'Юнит 12'!AJ8+'Юнит 13'!AJ8</f>
        <v>0</v>
      </c>
      <c r="AK8" s="104">
        <f t="shared" si="17"/>
        <v>1263.9063999999998</v>
      </c>
      <c r="AL8" s="105">
        <f t="shared" si="18"/>
        <v>62192.751835858464</v>
      </c>
      <c r="AM8" s="106"/>
      <c r="AN8" s="107">
        <f t="shared" si="6"/>
        <v>1178.7171084337349</v>
      </c>
      <c r="AO8" s="108">
        <f t="shared" si="7"/>
        <v>123.09</v>
      </c>
      <c r="AP8" s="108">
        <f t="shared" si="8"/>
        <v>439.08234939759046</v>
      </c>
      <c r="AQ8" s="108">
        <f t="shared" si="19"/>
        <v>101.54273809523814</v>
      </c>
      <c r="AR8" s="108">
        <f t="shared" si="20"/>
        <v>125</v>
      </c>
      <c r="AS8" s="108">
        <f t="array" ref="AS8">_xlfn.IFS(S8=0,AL8,S8&lt;0,AL8/-S8,S8&gt;0,AL8/S8)</f>
        <v>374.65513154131605</v>
      </c>
      <c r="AT8" s="103">
        <f t="shared" si="22"/>
        <v>0.31784991399603363</v>
      </c>
      <c r="AU8" s="103">
        <f t="shared" si="23"/>
        <v>3.0437495453839958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0</v>
      </c>
      <c r="F9" s="101">
        <f>'Юнит 13'!F9</f>
        <v>0</v>
      </c>
      <c r="G9" s="101">
        <f>'Юнит 13'!G9</f>
        <v>0</v>
      </c>
      <c r="H9" s="101">
        <f>'Юнит 13'!H9</f>
        <v>0</v>
      </c>
      <c r="I9" s="101">
        <v>169.89</v>
      </c>
      <c r="J9" s="101">
        <f t="shared" si="0"/>
        <v>0</v>
      </c>
      <c r="K9" s="98">
        <f>'Юнит 13'!K9</f>
        <v>0</v>
      </c>
      <c r="L9" s="98">
        <f>'Юнит 10'!L9+'Юнит 11'!L9+'Юнит 12'!L9+'Юнит 13'!L9</f>
        <v>165</v>
      </c>
      <c r="M9" s="98"/>
      <c r="N9" s="98"/>
      <c r="O9" s="189">
        <f t="shared" si="1"/>
        <v>23.571428571428573</v>
      </c>
      <c r="P9" s="101">
        <f t="shared" si="21"/>
        <v>12.571428571428571</v>
      </c>
      <c r="Q9" s="98">
        <f>'Юнит 10'!Q9+'Юнит 11'!Q9+'Юнит 12'!Q9+'Юнит 13'!Q9</f>
        <v>90</v>
      </c>
      <c r="R9" s="98">
        <f>'Юнит 10'!R9+'Юнит 11'!R9+'Юнит 12'!R9+'Юнит 13'!R9</f>
        <v>-2</v>
      </c>
      <c r="S9" s="101">
        <f t="shared" si="13"/>
        <v>88</v>
      </c>
      <c r="T9" s="98">
        <f>'Юнит 10'!T9+'Юнит 11'!T9+'Юнит 12'!T9+'Юнит 13'!T9</f>
        <v>75473.649999999994</v>
      </c>
      <c r="U9" s="98">
        <f>'Юнит 10'!U9+'Юнит 11'!U9+'Юнит 12'!U9+'Юнит 13'!U9</f>
        <v>-1543</v>
      </c>
      <c r="V9" s="101">
        <f t="shared" si="14"/>
        <v>73930.649999999994</v>
      </c>
      <c r="W9" s="98">
        <f>'Юнит 10'!W9+'Юнит 11'!W9+'Юнит 12'!W9+'Юнит 13'!W9</f>
        <v>117433.64</v>
      </c>
      <c r="X9" s="98">
        <f>'Юнит 10'!X9+'Юнит 11'!X9+'Юнит 12'!X9+'Юнит 13'!X9</f>
        <v>-2516</v>
      </c>
      <c r="Y9" s="101">
        <f t="shared" si="3"/>
        <v>114917.64</v>
      </c>
      <c r="Z9" s="101">
        <f t="shared" si="15"/>
        <v>0</v>
      </c>
      <c r="AA9" s="103">
        <f t="shared" si="4"/>
        <v>4.5515630159453334E-2</v>
      </c>
      <c r="AB9" s="101">
        <f t="shared" si="16"/>
        <v>14950.32</v>
      </c>
      <c r="AC9" s="98">
        <f>'Юнит 10'!AC9+'Юнит 11'!AC9+'Юнит 12'!AC9+'Юнит 13'!AC9</f>
        <v>43268.5</v>
      </c>
      <c r="AD9" s="103">
        <f t="shared" si="5"/>
        <v>0.37651747808256419</v>
      </c>
      <c r="AE9" s="98">
        <f>'Юнит 10'!AE9+'Юнит 11'!AE9+'Юнит 12'!AE9+'Юнит 13'!AE9</f>
        <v>11701.300000000001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188.91490191839208</v>
      </c>
      <c r="AJ9" s="98">
        <f>'Юнит 10'!AJ9+'Юнит 11'!AJ9+'Юнит 12'!AJ9+'Юнит 13'!AJ9</f>
        <v>10</v>
      </c>
      <c r="AK9" s="104">
        <f t="shared" si="17"/>
        <v>739.30649999999991</v>
      </c>
      <c r="AL9" s="105">
        <f t="shared" si="18"/>
        <v>44059.298598081616</v>
      </c>
      <c r="AM9" s="106"/>
      <c r="AN9" s="107">
        <f t="shared" si="6"/>
        <v>1305.8822727272727</v>
      </c>
      <c r="AO9" s="108">
        <f t="shared" si="7"/>
        <v>169.89</v>
      </c>
      <c r="AP9" s="108">
        <f t="shared" si="8"/>
        <v>491.6875</v>
      </c>
      <c r="AQ9" s="108">
        <f t="shared" si="19"/>
        <v>130.01444444444445</v>
      </c>
      <c r="AR9" s="108">
        <f t="shared" si="20"/>
        <v>0</v>
      </c>
      <c r="AS9" s="108">
        <f t="array" ref="AS9">_xlfn.IFS(S9=0,AL9,S9&lt;0,AL9/-S9,S9&gt;0,AL9/S9)</f>
        <v>500.67384770547289</v>
      </c>
      <c r="AT9" s="103">
        <f t="shared" si="22"/>
        <v>0.38339891593737579</v>
      </c>
      <c r="AU9" s="103">
        <f t="shared" si="23"/>
        <v>2.9470471935103473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0</v>
      </c>
      <c r="F10" s="101">
        <f>'Юнит 13'!F10</f>
        <v>0</v>
      </c>
      <c r="G10" s="101">
        <f>'Юнит 13'!G10</f>
        <v>0</v>
      </c>
      <c r="H10" s="101">
        <f>'Юнит 13'!H10</f>
        <v>0</v>
      </c>
      <c r="I10" s="101">
        <v>169.89</v>
      </c>
      <c r="J10" s="101">
        <f t="shared" si="0"/>
        <v>0</v>
      </c>
      <c r="K10" s="98">
        <f>'Юнит 13'!K10</f>
        <v>0</v>
      </c>
      <c r="L10" s="98">
        <f>'Юнит 10'!L10+'Юнит 11'!L10+'Юнит 12'!L10+'Юнит 13'!L10</f>
        <v>17</v>
      </c>
      <c r="M10" s="98"/>
      <c r="N10" s="98"/>
      <c r="O10" s="189">
        <f t="shared" si="1"/>
        <v>2.4285714285714284</v>
      </c>
      <c r="P10" s="101">
        <f t="shared" si="21"/>
        <v>0.5714285714285714</v>
      </c>
      <c r="Q10" s="98">
        <f>'Юнит 10'!Q10+'Юнит 11'!Q10+'Юнит 12'!Q10+'Юнит 13'!Q10</f>
        <v>4</v>
      </c>
      <c r="R10" s="98">
        <f>'Юнит 10'!R10+'Юнит 11'!R10+'Юнит 12'!R10+'Юнит 13'!R10</f>
        <v>0</v>
      </c>
      <c r="S10" s="101">
        <f t="shared" si="13"/>
        <v>4</v>
      </c>
      <c r="T10" s="98">
        <f>'Юнит 10'!T10+'Юнит 11'!T10+'Юнит 12'!T10+'Юнит 13'!T10</f>
        <v>2933</v>
      </c>
      <c r="U10" s="98">
        <f>'Юнит 10'!U10+'Юнит 11'!U10+'Юнит 12'!U10+'Юнит 13'!U10</f>
        <v>0</v>
      </c>
      <c r="V10" s="101">
        <f t="shared" si="14"/>
        <v>2933</v>
      </c>
      <c r="W10" s="98">
        <f>'Юнит 10'!W10+'Юнит 11'!W10+'Юнит 12'!W10+'Юнит 13'!W10</f>
        <v>4580</v>
      </c>
      <c r="X10" s="98">
        <f>'Юнит 10'!X10+'Юнит 11'!X10+'Юнит 12'!X10+'Юнит 13'!X10</f>
        <v>0</v>
      </c>
      <c r="Y10" s="101">
        <f t="shared" si="3"/>
        <v>4580</v>
      </c>
      <c r="Z10" s="101">
        <f t="shared" si="15"/>
        <v>0</v>
      </c>
      <c r="AA10" s="103">
        <f t="shared" si="4"/>
        <v>1.8140085902416398E-3</v>
      </c>
      <c r="AB10" s="101">
        <f t="shared" si="16"/>
        <v>679.56</v>
      </c>
      <c r="AC10" s="98">
        <f>'Юнит 10'!AC10+'Юнит 11'!AC10+'Юнит 12'!AC10+'Юнит 13'!AC10</f>
        <v>1738.4</v>
      </c>
      <c r="AD10" s="103">
        <f t="shared" si="5"/>
        <v>0.3795633187772926</v>
      </c>
      <c r="AE10" s="98">
        <f>'Юнит 10'!AE10+'Юнит 11'!AE10+'Юнит 12'!AE10+'Юнит 13'!AE10</f>
        <v>1028.31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48.173730513409168</v>
      </c>
      <c r="AJ10" s="98">
        <f>'Юнит 10'!AJ10+'Юнит 11'!AJ10+'Юнит 12'!AJ10+'Юнит 13'!AJ10</f>
        <v>0</v>
      </c>
      <c r="AK10" s="104">
        <f t="shared" si="17"/>
        <v>29.330000000000002</v>
      </c>
      <c r="AL10" s="105">
        <f t="shared" si="18"/>
        <v>56.226269486590851</v>
      </c>
      <c r="AM10" s="106"/>
      <c r="AN10" s="107">
        <f t="shared" si="6"/>
        <v>1145</v>
      </c>
      <c r="AO10" s="108">
        <f t="shared" si="7"/>
        <v>169.89</v>
      </c>
      <c r="AP10" s="108">
        <f t="shared" si="8"/>
        <v>434.6</v>
      </c>
      <c r="AQ10" s="108">
        <f t="shared" si="19"/>
        <v>257.07749999999999</v>
      </c>
      <c r="AR10" s="108">
        <f t="shared" si="20"/>
        <v>250</v>
      </c>
      <c r="AS10" s="108">
        <f t="array" ref="AS10">_xlfn.IFS(S10=0,AL10,S10&lt;0,AL10/-S10,S10&gt;0,AL10/S10)</f>
        <v>14.056567371647713</v>
      </c>
      <c r="AT10" s="103">
        <f t="shared" si="22"/>
        <v>1.2276478053840797E-2</v>
      </c>
      <c r="AU10" s="103">
        <f t="shared" si="23"/>
        <v>8.2739227568707482E-2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0</v>
      </c>
      <c r="F11" s="101">
        <f>'Юнит 13'!F11</f>
        <v>0</v>
      </c>
      <c r="G11" s="101">
        <f>'Юнит 13'!G11</f>
        <v>0</v>
      </c>
      <c r="H11" s="101">
        <f>'Юнит 13'!H11</f>
        <v>0</v>
      </c>
      <c r="I11" s="101">
        <v>169.89</v>
      </c>
      <c r="J11" s="101">
        <f t="shared" si="0"/>
        <v>0</v>
      </c>
      <c r="K11" s="98">
        <f>'Юнит 13'!K11</f>
        <v>0</v>
      </c>
      <c r="L11" s="98">
        <f>'Юнит 10'!L11+'Юнит 11'!L11+'Юнит 12'!L11+'Юнит 13'!L11</f>
        <v>29</v>
      </c>
      <c r="M11" s="98"/>
      <c r="N11" s="98"/>
      <c r="O11" s="189">
        <f t="shared" si="1"/>
        <v>4.1428571428571432</v>
      </c>
      <c r="P11" s="101">
        <f t="shared" si="21"/>
        <v>2.1428571428571428</v>
      </c>
      <c r="Q11" s="98">
        <f>'Юнит 10'!Q11+'Юнит 11'!Q11+'Юнит 12'!Q11+'Юнит 13'!Q11</f>
        <v>15</v>
      </c>
      <c r="R11" s="98">
        <f>'Юнит 10'!R11+'Юнит 11'!R11+'Юнит 12'!R11+'Юнит 13'!R11</f>
        <v>0</v>
      </c>
      <c r="S11" s="101">
        <f t="shared" si="13"/>
        <v>15</v>
      </c>
      <c r="T11" s="98">
        <f>'Юнит 10'!T11+'Юнит 11'!T11+'Юнит 12'!T11+'Юнит 13'!T11</f>
        <v>10086</v>
      </c>
      <c r="U11" s="98">
        <f>'Юнит 10'!U11+'Юнит 11'!U11+'Юнит 12'!U11+'Юнит 13'!U11</f>
        <v>0</v>
      </c>
      <c r="V11" s="101">
        <f t="shared" si="14"/>
        <v>10086</v>
      </c>
      <c r="W11" s="98">
        <f>'Юнит 10'!W11+'Юнит 11'!W11+'Юнит 12'!W11+'Юнит 13'!W11</f>
        <v>15865</v>
      </c>
      <c r="X11" s="98">
        <f>'Юнит 10'!X11+'Юнит 11'!X11+'Юнит 12'!X11+'Юнит 13'!X11</f>
        <v>0</v>
      </c>
      <c r="Y11" s="101">
        <f t="shared" si="3"/>
        <v>15865</v>
      </c>
      <c r="Z11" s="101">
        <f t="shared" si="15"/>
        <v>0</v>
      </c>
      <c r="AA11" s="103">
        <f t="shared" si="4"/>
        <v>6.2836782279876886E-3</v>
      </c>
      <c r="AB11" s="101">
        <f t="shared" si="16"/>
        <v>2548.35</v>
      </c>
      <c r="AC11" s="98">
        <f>'Юнит 10'!AC11+'Юнит 11'!AC11+'Юнит 12'!AC11+'Юнит 13'!AC11</f>
        <v>6001.869999999999</v>
      </c>
      <c r="AD11" s="103">
        <f t="shared" si="5"/>
        <v>0.37830885597226593</v>
      </c>
      <c r="AE11" s="98">
        <f>'Юнит 10'!AE11+'Юнит 11'!AE11+'Юнит 12'!AE11+'Юнит 13'!AE11</f>
        <v>1475.98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59.142310784308059</v>
      </c>
      <c r="AJ11" s="98">
        <f>'Юнит 10'!AJ11+'Юнит 11'!AJ11+'Юнит 12'!AJ11+'Юнит 13'!AJ11</f>
        <v>0</v>
      </c>
      <c r="AK11" s="104">
        <f t="shared" si="17"/>
        <v>100.86</v>
      </c>
      <c r="AL11" s="105">
        <f t="shared" si="18"/>
        <v>5678.797689215693</v>
      </c>
      <c r="AM11" s="106"/>
      <c r="AN11" s="107">
        <f t="shared" si="6"/>
        <v>1057.6666666666667</v>
      </c>
      <c r="AO11" s="108">
        <f t="shared" si="7"/>
        <v>169.89</v>
      </c>
      <c r="AP11" s="108">
        <f t="shared" si="8"/>
        <v>400.1246666666666</v>
      </c>
      <c r="AQ11" s="108">
        <f t="shared" si="19"/>
        <v>98.398666666666671</v>
      </c>
      <c r="AR11" s="108">
        <f t="shared" si="20"/>
        <v>0</v>
      </c>
      <c r="AS11" s="108">
        <f t="array" ref="AS11">_xlfn.IFS(S11=0,AL11,S11&lt;0,AL11/-S11,S11&gt;0,AL11/S11)</f>
        <v>378.58651261437956</v>
      </c>
      <c r="AT11" s="103">
        <f t="shared" si="22"/>
        <v>0.35794501665399892</v>
      </c>
      <c r="AU11" s="103">
        <f t="shared" si="23"/>
        <v>2.2284214057000389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2"/>
        <v>0</v>
      </c>
      <c r="F12" s="101">
        <f>'Юнит 13'!F12</f>
        <v>0</v>
      </c>
      <c r="G12" s="101">
        <f>'Юнит 13'!G12</f>
        <v>0</v>
      </c>
      <c r="H12" s="101">
        <f>'Юнит 13'!H12</f>
        <v>0</v>
      </c>
      <c r="I12" s="101">
        <v>169.89</v>
      </c>
      <c r="J12" s="101">
        <f t="shared" si="0"/>
        <v>0</v>
      </c>
      <c r="K12" s="98">
        <f>'Юнит 13'!K12</f>
        <v>0</v>
      </c>
      <c r="L12" s="98">
        <f>'Юнит 10'!L12+'Юнит 11'!L12+'Юнит 12'!L12+'Юнит 13'!L12</f>
        <v>35</v>
      </c>
      <c r="M12" s="98"/>
      <c r="N12" s="98"/>
      <c r="O12" s="189">
        <f t="shared" si="1"/>
        <v>5</v>
      </c>
      <c r="P12" s="101">
        <f t="shared" si="21"/>
        <v>3.4285714285714284</v>
      </c>
      <c r="Q12" s="98">
        <f>'Юнит 10'!Q12+'Юнит 11'!Q12+'Юнит 12'!Q12+'Юнит 13'!Q12</f>
        <v>25</v>
      </c>
      <c r="R12" s="98">
        <f>'Юнит 10'!R12+'Юнит 11'!R12+'Юнит 12'!R12+'Юнит 13'!R12</f>
        <v>-1</v>
      </c>
      <c r="S12" s="101">
        <f t="shared" si="13"/>
        <v>24</v>
      </c>
      <c r="T12" s="98">
        <f>'Юнит 10'!T12+'Юнит 11'!T12+'Юнит 12'!T12+'Юнит 13'!T12</f>
        <v>18096.43</v>
      </c>
      <c r="U12" s="98">
        <f>'Юнит 10'!U12+'Юнит 11'!U12+'Юнит 12'!U12+'Юнит 13'!U12</f>
        <v>-693</v>
      </c>
      <c r="V12" s="101">
        <f t="shared" si="14"/>
        <v>17403.43</v>
      </c>
      <c r="W12" s="98">
        <f>'Юнит 10'!W12+'Юнит 11'!W12+'Юнит 12'!W12+'Юнит 13'!W12</f>
        <v>28031.53</v>
      </c>
      <c r="X12" s="98">
        <f>'Юнит 10'!X12+'Юнит 11'!X12+'Юнит 12'!X12+'Юнит 13'!X12</f>
        <v>-1110</v>
      </c>
      <c r="Y12" s="101">
        <f t="shared" si="3"/>
        <v>26921.53</v>
      </c>
      <c r="Z12" s="101">
        <f t="shared" si="15"/>
        <v>0</v>
      </c>
      <c r="AA12" s="103">
        <f t="shared" si="4"/>
        <v>1.066285735424629E-2</v>
      </c>
      <c r="AB12" s="101">
        <f t="shared" si="16"/>
        <v>4077.3599999999997</v>
      </c>
      <c r="AC12" s="98">
        <f>'Юнит 10'!AC12+'Юнит 11'!AC12+'Юнит 12'!AC12+'Юнит 13'!AC12</f>
        <v>10082.229999999998</v>
      </c>
      <c r="AD12" s="103">
        <f t="shared" si="5"/>
        <v>0.37450434652116721</v>
      </c>
      <c r="AE12" s="98">
        <f>'Юнит 10'!AE12+'Юнит 11'!AE12+'Юнит 12'!AE12+'Юнит 13'!AE12</f>
        <v>3177.8200000000006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6.7658000917010552</v>
      </c>
      <c r="AJ12" s="98">
        <f>'Юнит 10'!AJ12+'Юнит 11'!AJ12+'Юнит 12'!AJ12+'Юнит 13'!AJ12</f>
        <v>20</v>
      </c>
      <c r="AK12" s="104">
        <f t="shared" si="17"/>
        <v>174.0343</v>
      </c>
      <c r="AL12" s="105">
        <f t="shared" si="18"/>
        <v>9383.3198999082979</v>
      </c>
      <c r="AM12" s="106"/>
      <c r="AN12" s="107">
        <f t="shared" si="6"/>
        <v>1121.7304166666665</v>
      </c>
      <c r="AO12" s="108">
        <f t="shared" si="7"/>
        <v>169.89</v>
      </c>
      <c r="AP12" s="108">
        <f t="shared" si="8"/>
        <v>420.09291666666655</v>
      </c>
      <c r="AQ12" s="108">
        <f t="shared" si="19"/>
        <v>127.11280000000002</v>
      </c>
      <c r="AR12" s="108">
        <f t="shared" si="20"/>
        <v>0</v>
      </c>
      <c r="AS12" s="108">
        <f t="array" ref="AS12">_xlfn.IFS(S12=0,AL12,S12&lt;0,AL12/-S12,S12&gt;0,AL12/S12)</f>
        <v>390.97166249617908</v>
      </c>
      <c r="AT12" s="103">
        <f t="shared" si="22"/>
        <v>0.34854333687232109</v>
      </c>
      <c r="AU12" s="103">
        <f t="shared" si="23"/>
        <v>2.3013223997656076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0</v>
      </c>
      <c r="L13" s="98">
        <f>'Юнит 10'!L13+'Юнит 11'!L13+'Юнит 12'!L13+'Юнит 13'!L13</f>
        <v>3</v>
      </c>
      <c r="M13" s="98"/>
      <c r="N13" s="98"/>
      <c r="O13" s="189">
        <f t="shared" si="1"/>
        <v>0.42857142857142855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101">
        <f t="shared" si="3"/>
        <v>4552</v>
      </c>
      <c r="Z13" s="101">
        <f t="shared" si="15"/>
        <v>0</v>
      </c>
      <c r="AA13" s="103">
        <f t="shared" si="4"/>
        <v>1.8029185813930009E-3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5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104">
        <f t="shared" si="17"/>
        <v>29.43</v>
      </c>
      <c r="AL13" s="105">
        <f t="shared" si="18"/>
        <v>1905.3434571297571</v>
      </c>
      <c r="AM13" s="106"/>
      <c r="AN13" s="107">
        <f t="shared" si="6"/>
        <v>1138</v>
      </c>
      <c r="AO13" s="108">
        <f t="shared" si="7"/>
        <v>169.89</v>
      </c>
      <c r="AP13" s="108">
        <f t="shared" si="8"/>
        <v>423.99250000000001</v>
      </c>
      <c r="AQ13" s="108">
        <f t="shared" si="19"/>
        <v>60.182500000000005</v>
      </c>
      <c r="AR13" s="108">
        <f t="shared" si="20"/>
        <v>0</v>
      </c>
      <c r="AS13" s="108">
        <f t="array" ref="AS13">_xlfn.IFS(S13=0,AL13,S13&lt;0,AL13/-S13,S13&gt;0,AL13/S13)</f>
        <v>476.33586428243927</v>
      </c>
      <c r="AT13" s="103">
        <f t="shared" si="22"/>
        <v>0.41857281571391852</v>
      </c>
      <c r="AU13" s="103">
        <f t="shared" si="23"/>
        <v>2.8037898892367963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0</v>
      </c>
      <c r="F14" s="101">
        <f>'Юнит 13'!F14</f>
        <v>0</v>
      </c>
      <c r="G14" s="101">
        <f>'Юнит 13'!G14</f>
        <v>0</v>
      </c>
      <c r="H14" s="101">
        <f>'Юнит 13'!H14</f>
        <v>0</v>
      </c>
      <c r="I14" s="101">
        <v>169.89</v>
      </c>
      <c r="J14" s="101">
        <f t="shared" si="0"/>
        <v>0</v>
      </c>
      <c r="K14" s="98">
        <f>'Юнит 13'!K14</f>
        <v>0</v>
      </c>
      <c r="L14" s="98">
        <f>'Юнит 10'!L14+'Юнит 11'!L14+'Юнит 12'!L14+'Юнит 13'!L14</f>
        <v>31</v>
      </c>
      <c r="M14" s="98"/>
      <c r="N14" s="98"/>
      <c r="O14" s="189">
        <f t="shared" si="1"/>
        <v>4.4285714285714288</v>
      </c>
      <c r="P14" s="101">
        <f t="shared" si="21"/>
        <v>1.7142857142857142</v>
      </c>
      <c r="Q14" s="98">
        <f>'Юнит 10'!Q14+'Юнит 11'!Q14+'Юнит 12'!Q14+'Юнит 13'!Q14</f>
        <v>12</v>
      </c>
      <c r="R14" s="98">
        <f>'Юнит 10'!R14+'Юнит 11'!R14+'Юнит 12'!R14+'Юнит 13'!R14</f>
        <v>0</v>
      </c>
      <c r="S14" s="101">
        <f t="shared" si="13"/>
        <v>12</v>
      </c>
      <c r="T14" s="98">
        <f>'Юнит 10'!T14+'Юнит 11'!T14+'Юнит 12'!T14+'Юнит 13'!T14</f>
        <v>9854.51</v>
      </c>
      <c r="U14" s="98">
        <f>'Юнит 10'!U14+'Юнит 11'!U14+'Юнит 12'!U14+'Юнит 13'!U14</f>
        <v>0</v>
      </c>
      <c r="V14" s="101">
        <f t="shared" si="14"/>
        <v>9854.51</v>
      </c>
      <c r="W14" s="98">
        <f>'Юнит 10'!W14+'Юнит 11'!W14+'Юнит 12'!W14+'Юнит 13'!W14</f>
        <v>14616.070000000002</v>
      </c>
      <c r="X14" s="98">
        <f>'Юнит 10'!X14+'Юнит 11'!X14+'Юнит 12'!X14+'Юнит 13'!X14</f>
        <v>0</v>
      </c>
      <c r="Y14" s="101">
        <f t="shared" si="3"/>
        <v>14616.070000000002</v>
      </c>
      <c r="Z14" s="101">
        <f t="shared" si="15"/>
        <v>0</v>
      </c>
      <c r="AA14" s="103">
        <f t="shared" si="4"/>
        <v>5.7890123440115992E-3</v>
      </c>
      <c r="AB14" s="101">
        <f t="shared" si="16"/>
        <v>2038.6799999999998</v>
      </c>
      <c r="AC14" s="98">
        <f>'Юнит 10'!AC14+'Юнит 11'!AC14+'Юнит 12'!AC14+'Юнит 13'!AC14</f>
        <v>5439.6400000000012</v>
      </c>
      <c r="AD14" s="103">
        <f t="shared" si="5"/>
        <v>0.37216844199569382</v>
      </c>
      <c r="AE14" s="98">
        <f>'Юнит 10'!AE14+'Юнит 11'!AE14+'Юнит 12'!AE14+'Юнит 13'!AE14</f>
        <v>2192.5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92.890607854284809</v>
      </c>
      <c r="AJ14" s="98">
        <f>'Юнит 10'!AJ14+'Юнит 11'!AJ14+'Юнит 12'!AJ14+'Юнит 13'!AJ14</f>
        <v>0</v>
      </c>
      <c r="AK14" s="104">
        <f t="shared" si="17"/>
        <v>98.545100000000005</v>
      </c>
      <c r="AL14" s="105">
        <f t="shared" si="18"/>
        <v>4753.8142921457147</v>
      </c>
      <c r="AM14" s="106"/>
      <c r="AN14" s="107">
        <f t="shared" si="6"/>
        <v>1218.0058333333334</v>
      </c>
      <c r="AO14" s="108">
        <f t="shared" si="7"/>
        <v>169.89</v>
      </c>
      <c r="AP14" s="108">
        <f t="shared" si="8"/>
        <v>453.30333333333346</v>
      </c>
      <c r="AQ14" s="108">
        <f t="shared" si="19"/>
        <v>182.70833333333334</v>
      </c>
      <c r="AR14" s="108">
        <f t="shared" si="20"/>
        <v>0</v>
      </c>
      <c r="AS14" s="108">
        <f t="array" ref="AS14">_xlfn.IFS(S14=0,AL14,S14&lt;0,AL14/-S14,S14&gt;0,AL14/S14)</f>
        <v>396.15119101214287</v>
      </c>
      <c r="AT14" s="103">
        <f t="shared" si="22"/>
        <v>0.32524572557094444</v>
      </c>
      <c r="AU14" s="103">
        <f t="shared" si="23"/>
        <v>2.331809941798475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0</v>
      </c>
      <c r="F15" s="101">
        <f>'Юнит 13'!F15</f>
        <v>0</v>
      </c>
      <c r="G15" s="101">
        <f>'Юнит 13'!G15</f>
        <v>0</v>
      </c>
      <c r="H15" s="101">
        <f>'Юнит 13'!H15</f>
        <v>0</v>
      </c>
      <c r="I15" s="101">
        <v>169.89</v>
      </c>
      <c r="J15" s="101">
        <f t="shared" si="0"/>
        <v>0</v>
      </c>
      <c r="K15" s="98">
        <f>'Юнит 13'!K15</f>
        <v>0</v>
      </c>
      <c r="L15" s="98">
        <f>'Юнит 10'!L15+'Юнит 11'!L15+'Юнит 12'!L15+'Юнит 13'!L15</f>
        <v>38</v>
      </c>
      <c r="M15" s="98"/>
      <c r="N15" s="98"/>
      <c r="O15" s="189">
        <f t="shared" si="1"/>
        <v>5.4285714285714288</v>
      </c>
      <c r="P15" s="101">
        <f t="shared" si="21"/>
        <v>2.1428571428571428</v>
      </c>
      <c r="Q15" s="98">
        <f>'Юнит 10'!Q15+'Юнит 11'!Q15+'Юнит 12'!Q15+'Юнит 13'!Q15</f>
        <v>15</v>
      </c>
      <c r="R15" s="98">
        <f>'Юнит 10'!R15+'Юнит 11'!R15+'Юнит 12'!R15+'Юнит 13'!R15</f>
        <v>0</v>
      </c>
      <c r="S15" s="101">
        <f t="shared" si="13"/>
        <v>15</v>
      </c>
      <c r="T15" s="98">
        <f>'Юнит 10'!T15+'Юнит 11'!T15+'Юнит 12'!T15+'Юнит 13'!T15</f>
        <v>10929</v>
      </c>
      <c r="U15" s="98">
        <f>'Юнит 10'!U15+'Юнит 11'!U15+'Юнит 12'!U15+'Юнит 13'!U15</f>
        <v>0</v>
      </c>
      <c r="V15" s="101">
        <f t="shared" si="14"/>
        <v>10929</v>
      </c>
      <c r="W15" s="98">
        <f>'Юнит 10'!W15+'Юнит 11'!W15+'Юнит 12'!W15+'Юнит 13'!W15</f>
        <v>17080</v>
      </c>
      <c r="X15" s="98">
        <f>'Юнит 10'!X15+'Юнит 11'!X15+'Юнит 12'!X15+'Юнит 13'!X15</f>
        <v>0</v>
      </c>
      <c r="Y15" s="101">
        <f t="shared" si="3"/>
        <v>17080</v>
      </c>
      <c r="Z15" s="101">
        <f t="shared" si="15"/>
        <v>0</v>
      </c>
      <c r="AA15" s="103">
        <f t="shared" si="4"/>
        <v>6.7649053976696957E-3</v>
      </c>
      <c r="AB15" s="101">
        <f t="shared" si="16"/>
        <v>2548.35</v>
      </c>
      <c r="AC15" s="98">
        <f>'Юнит 10'!AC15+'Юнит 11'!AC15+'Юнит 12'!AC15+'Юнит 13'!AC15</f>
        <v>6442.11</v>
      </c>
      <c r="AD15" s="103">
        <f t="shared" si="5"/>
        <v>0.37717271662763463</v>
      </c>
      <c r="AE15" s="98">
        <f>'Юнит 10'!AE15+'Юнит 11'!AE15+'Юнит 12'!AE15+'Юнит 13'!AE15</f>
        <v>2623.27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104">
        <f t="shared" si="17"/>
        <v>109.29</v>
      </c>
      <c r="AL15" s="105">
        <f t="shared" si="18"/>
        <v>5332.1835331476495</v>
      </c>
      <c r="AM15" s="106"/>
      <c r="AN15" s="107">
        <f t="shared" si="6"/>
        <v>1138.6666666666667</v>
      </c>
      <c r="AO15" s="108">
        <f t="shared" si="7"/>
        <v>169.89</v>
      </c>
      <c r="AP15" s="108">
        <f t="shared" si="8"/>
        <v>429.47399999999999</v>
      </c>
      <c r="AQ15" s="108">
        <f t="shared" si="19"/>
        <v>174.88466666666667</v>
      </c>
      <c r="AR15" s="108">
        <f t="shared" si="20"/>
        <v>0</v>
      </c>
      <c r="AS15" s="108">
        <f t="array" ref="AS15">_xlfn.IFS(S15=0,AL15,S15&lt;0,AL15/-S15,S15&gt;0,AL15/S15)</f>
        <v>355.47890220984328</v>
      </c>
      <c r="AT15" s="103">
        <f t="shared" si="22"/>
        <v>0.31218873144892556</v>
      </c>
      <c r="AU15" s="103">
        <f t="shared" si="23"/>
        <v>2.0924062758834734</v>
      </c>
      <c r="AV15" s="109"/>
      <c r="AW15" s="104">
        <f t="shared" si="11"/>
        <v>0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 t="shared" si="12"/>
        <v>0</v>
      </c>
      <c r="F16" s="101">
        <f>'Юнит 13'!F16</f>
        <v>0</v>
      </c>
      <c r="G16" s="101">
        <f>'Юнит 13'!G16</f>
        <v>0</v>
      </c>
      <c r="H16" s="101">
        <f>'Юнит 13'!H16</f>
        <v>0</v>
      </c>
      <c r="I16" s="101">
        <v>169.89</v>
      </c>
      <c r="J16" s="101">
        <f t="shared" si="0"/>
        <v>0</v>
      </c>
      <c r="K16" s="98">
        <f>'Юнит 13'!K16</f>
        <v>0</v>
      </c>
      <c r="L16" s="98">
        <f>'Юнит 10'!L16+'Юнит 11'!L16+'Юнит 12'!L16+'Юнит 13'!L16</f>
        <v>127</v>
      </c>
      <c r="M16" s="98"/>
      <c r="N16" s="98"/>
      <c r="O16" s="189">
        <f t="shared" si="1"/>
        <v>18.142857142857142</v>
      </c>
      <c r="P16" s="101">
        <f t="shared" si="21"/>
        <v>4.5714285714285712</v>
      </c>
      <c r="Q16" s="98">
        <f>'Юнит 10'!Q16+'Юнит 11'!Q16+'Юнит 12'!Q16+'Юнит 13'!Q16</f>
        <v>33</v>
      </c>
      <c r="R16" s="98">
        <f>'Юнит 10'!R16+'Юнит 11'!R16+'Юнит 12'!R16+'Юнит 13'!R16</f>
        <v>-1</v>
      </c>
      <c r="S16" s="101">
        <f t="shared" si="13"/>
        <v>32</v>
      </c>
      <c r="T16" s="98">
        <f>'Юнит 10'!T16+'Юнит 11'!T16+'Юнит 12'!T16+'Юнит 13'!T16</f>
        <v>28330.04</v>
      </c>
      <c r="U16" s="98">
        <f>'Юнит 10'!U16+'Юнит 11'!U16+'Юнит 12'!U16+'Юнит 13'!U16</f>
        <v>-782</v>
      </c>
      <c r="V16" s="101">
        <f t="shared" si="14"/>
        <v>27548.04</v>
      </c>
      <c r="W16" s="98">
        <f>'Юнит 10'!W16+'Юнит 11'!W16+'Юнит 12'!W16+'Юнит 13'!W16</f>
        <v>42072.06</v>
      </c>
      <c r="X16" s="98">
        <f>'Юнит 10'!X16+'Юнит 11'!X16+'Юнит 12'!X16+'Юнит 13'!X16</f>
        <v>-1224</v>
      </c>
      <c r="Y16" s="101">
        <f t="shared" si="3"/>
        <v>40848.06</v>
      </c>
      <c r="Z16" s="101">
        <f t="shared" si="15"/>
        <v>0</v>
      </c>
      <c r="AA16" s="103">
        <f t="shared" si="4"/>
        <v>1.6178762387490372E-2</v>
      </c>
      <c r="AB16" s="101">
        <f t="shared" si="16"/>
        <v>5436.48</v>
      </c>
      <c r="AC16" s="98">
        <f>'Юнит 10'!AC16+'Юнит 11'!AC16+'Юнит 12'!AC16+'Юнит 13'!AC16</f>
        <v>15441.670000000004</v>
      </c>
      <c r="AD16" s="103">
        <f t="shared" si="5"/>
        <v>0.37802701034027086</v>
      </c>
      <c r="AE16" s="98">
        <f>'Юнит 10'!AE16+'Юнит 11'!AE16+'Юнит 12'!AE16+'Юнит 13'!AE16</f>
        <v>5959.8200000000024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40.150549110614335</v>
      </c>
      <c r="AJ16" s="98">
        <f>'Юнит 10'!AJ16+'Юнит 11'!AJ16+'Юнит 12'!AJ16+'Юнит 13'!AJ16</f>
        <v>0</v>
      </c>
      <c r="AK16" s="104">
        <f t="shared" si="17"/>
        <v>275.48040000000003</v>
      </c>
      <c r="AL16" s="105">
        <f t="shared" si="18"/>
        <v>-7877.540949110622</v>
      </c>
      <c r="AM16" s="106"/>
      <c r="AN16" s="107">
        <f t="shared" si="6"/>
        <v>1276.5018749999999</v>
      </c>
      <c r="AO16" s="108">
        <f t="shared" si="7"/>
        <v>169.89</v>
      </c>
      <c r="AP16" s="108">
        <f t="shared" si="8"/>
        <v>482.55218750000012</v>
      </c>
      <c r="AQ16" s="108">
        <f t="shared" si="19"/>
        <v>180.60060606060614</v>
      </c>
      <c r="AR16" s="108">
        <f t="shared" si="20"/>
        <v>653.69696969696975</v>
      </c>
      <c r="AS16" s="108">
        <f t="array" ref="AS16">_xlfn.IFS(S16=0,AL16,S16&lt;0,AL16/-S16,S16&gt;0,AL16/S16)</f>
        <v>-246.17315465970694</v>
      </c>
      <c r="AT16" s="103">
        <f t="shared" si="22"/>
        <v>-0.19284981830497269</v>
      </c>
      <c r="AU16" s="103">
        <f t="shared" si="23"/>
        <v>-1.4490149782783386</v>
      </c>
      <c r="AV16" s="109"/>
      <c r="AW16" s="104">
        <f t="shared" si="11"/>
        <v>0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 t="shared" si="12"/>
        <v>0</v>
      </c>
      <c r="F17" s="101">
        <f>'Юнит 13'!F17</f>
        <v>0</v>
      </c>
      <c r="G17" s="101">
        <f>'Юнит 13'!G17</f>
        <v>0</v>
      </c>
      <c r="H17" s="101">
        <f>'Юнит 13'!H17</f>
        <v>0</v>
      </c>
      <c r="I17" s="101">
        <v>169.89</v>
      </c>
      <c r="J17" s="101">
        <f t="shared" si="0"/>
        <v>0</v>
      </c>
      <c r="K17" s="98">
        <f>'Юнит 13'!K17</f>
        <v>0</v>
      </c>
      <c r="L17" s="98">
        <f>'Юнит 10'!L17+'Юнит 11'!L17+'Юнит 12'!L17+'Юнит 13'!L17</f>
        <v>87</v>
      </c>
      <c r="M17" s="98"/>
      <c r="N17" s="98"/>
      <c r="O17" s="189">
        <f t="shared" si="1"/>
        <v>12.428571428571429</v>
      </c>
      <c r="P17" s="101">
        <f t="shared" si="21"/>
        <v>2.8571428571428572</v>
      </c>
      <c r="Q17" s="98">
        <f>'Юнит 10'!Q17+'Юнит 11'!Q17+'Юнит 12'!Q17+'Юнит 13'!Q17</f>
        <v>21</v>
      </c>
      <c r="R17" s="98">
        <f>'Юнит 10'!R17+'Юнит 11'!R17+'Юнит 12'!R17+'Юнит 13'!R17</f>
        <v>-1</v>
      </c>
      <c r="S17" s="101">
        <f t="shared" si="13"/>
        <v>20</v>
      </c>
      <c r="T17" s="98">
        <f>'Юнит 10'!T17+'Юнит 11'!T17+'Юнит 12'!T17+'Юнит 13'!T17</f>
        <v>16774</v>
      </c>
      <c r="U17" s="98">
        <f>'Юнит 10'!U17+'Юнит 11'!U17+'Юнит 12'!U17+'Юнит 13'!U17</f>
        <v>-776</v>
      </c>
      <c r="V17" s="101">
        <f t="shared" si="14"/>
        <v>15998</v>
      </c>
      <c r="W17" s="98">
        <f>'Юнит 10'!W17+'Юнит 11'!W17+'Юнит 12'!W17+'Юнит 13'!W17</f>
        <v>25326</v>
      </c>
      <c r="X17" s="98">
        <f>'Юнит 10'!X17+'Юнит 11'!X17+'Юнит 12'!X17+'Юнит 13'!X17</f>
        <v>-1215</v>
      </c>
      <c r="Y17" s="101">
        <f t="shared" si="3"/>
        <v>24111</v>
      </c>
      <c r="Z17" s="101">
        <f t="shared" si="15"/>
        <v>0</v>
      </c>
      <c r="AA17" s="103">
        <f t="shared" si="4"/>
        <v>9.5496858339118289E-3</v>
      </c>
      <c r="AB17" s="101">
        <f t="shared" si="16"/>
        <v>3397.7999999999997</v>
      </c>
      <c r="AC17" s="98">
        <f>'Юнит 10'!AC17+'Юнит 11'!AC17+'Юнит 12'!AC17+'Юнит 13'!AC17</f>
        <v>9193.1</v>
      </c>
      <c r="AD17" s="103">
        <f t="shared" si="5"/>
        <v>0.38128240222305171</v>
      </c>
      <c r="AE17" s="98">
        <f>'Юнит 10'!AE17+'Юнит 11'!AE17+'Юнит 12'!AE17+'Юнит 13'!AE17</f>
        <v>2780.0499999999997</v>
      </c>
      <c r="AF17" s="98">
        <f>'Юнит 10'!AF17+'Юнит 11'!AF17+'Юнит 12'!AF17+'Юнит 13'!AF17</f>
        <v>10000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23.424040489245044</v>
      </c>
      <c r="AJ17" s="98">
        <f>'Юнит 10'!AJ17+'Юнит 11'!AJ17+'Юнит 12'!AJ17+'Юнит 13'!AJ17</f>
        <v>0</v>
      </c>
      <c r="AK17" s="104">
        <f t="shared" si="17"/>
        <v>159.97999999999999</v>
      </c>
      <c r="AL17" s="105">
        <f t="shared" si="18"/>
        <v>-1443.354040489244</v>
      </c>
      <c r="AM17" s="106"/>
      <c r="AN17" s="107">
        <f t="shared" si="6"/>
        <v>1205.55</v>
      </c>
      <c r="AO17" s="108">
        <f t="shared" si="7"/>
        <v>169.89</v>
      </c>
      <c r="AP17" s="108">
        <f t="shared" si="8"/>
        <v>459.65500000000003</v>
      </c>
      <c r="AQ17" s="108">
        <f t="shared" si="19"/>
        <v>132.38333333333333</v>
      </c>
      <c r="AR17" s="108">
        <f t="shared" si="20"/>
        <v>476.1904761904762</v>
      </c>
      <c r="AS17" s="108">
        <f t="array" ref="AS17">_xlfn.IFS(S17=0,AL17,S17&lt;0,AL17/-S17,S17&gt;0,AL17/S17)</f>
        <v>-72.167702024462201</v>
      </c>
      <c r="AT17" s="103">
        <f t="shared" si="22"/>
        <v>-5.9862885840041645E-2</v>
      </c>
      <c r="AU17" s="103">
        <f t="shared" si="23"/>
        <v>-0.42479075887022311</v>
      </c>
      <c r="AV17" s="109"/>
      <c r="AW17" s="104">
        <f t="shared" si="11"/>
        <v>0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 t="shared" si="12"/>
        <v>0</v>
      </c>
      <c r="F18" s="101">
        <f>'Юнит 13'!F18</f>
        <v>0</v>
      </c>
      <c r="G18" s="101">
        <f>'Юнит 13'!G18</f>
        <v>0</v>
      </c>
      <c r="H18" s="101">
        <f>'Юнит 13'!H18</f>
        <v>0</v>
      </c>
      <c r="I18" s="101">
        <v>169.89</v>
      </c>
      <c r="J18" s="101">
        <f t="shared" si="0"/>
        <v>0</v>
      </c>
      <c r="K18" s="98">
        <f>'Юнит 13'!K18</f>
        <v>0</v>
      </c>
      <c r="L18" s="98">
        <f>'Юнит 10'!L18+'Юнит 11'!L18+'Юнит 12'!L18+'Юнит 13'!L18</f>
        <v>33</v>
      </c>
      <c r="M18" s="98"/>
      <c r="N18" s="98"/>
      <c r="O18" s="189">
        <f t="shared" si="1"/>
        <v>4.7142857142857144</v>
      </c>
      <c r="P18" s="101">
        <f t="shared" si="21"/>
        <v>2.2857142857142856</v>
      </c>
      <c r="Q18" s="98">
        <f>'Юнит 10'!Q18+'Юнит 11'!Q18+'Юнит 12'!Q18+'Юнит 13'!Q18</f>
        <v>16</v>
      </c>
      <c r="R18" s="98">
        <f>'Юнит 10'!R18+'Юнит 11'!R18+'Юнит 12'!R18+'Юнит 13'!R18</f>
        <v>0</v>
      </c>
      <c r="S18" s="101">
        <f t="shared" si="13"/>
        <v>16</v>
      </c>
      <c r="T18" s="98">
        <f>'Юнит 10'!T18+'Юнит 11'!T18+'Юнит 12'!T18+'Юнит 13'!T18</f>
        <v>13767.95</v>
      </c>
      <c r="U18" s="98">
        <f>'Юнит 10'!U18+'Юнит 11'!U18+'Юнит 12'!U18+'Юнит 13'!U18</f>
        <v>0</v>
      </c>
      <c r="V18" s="101">
        <f t="shared" si="14"/>
        <v>13767.95</v>
      </c>
      <c r="W18" s="98">
        <f>'Юнит 10'!W18+'Юнит 11'!W18+'Юнит 12'!W18+'Юнит 13'!W18</f>
        <v>21205.9</v>
      </c>
      <c r="X18" s="98">
        <f>'Юнит 10'!X18+'Юнит 11'!X18+'Юнит 12'!X18+'Юнит 13'!X18</f>
        <v>0</v>
      </c>
      <c r="Y18" s="101">
        <f t="shared" si="3"/>
        <v>21205.9</v>
      </c>
      <c r="Z18" s="101">
        <f t="shared" si="15"/>
        <v>0</v>
      </c>
      <c r="AA18" s="103">
        <f t="shared" si="4"/>
        <v>8.3990578086910895E-3</v>
      </c>
      <c r="AB18" s="101">
        <f t="shared" si="16"/>
        <v>2718.24</v>
      </c>
      <c r="AC18" s="98">
        <f>'Юнит 10'!AC18+'Юнит 11'!AC18+'Юнит 12'!AC18+'Юнит 13'!AC18</f>
        <v>8047.880000000001</v>
      </c>
      <c r="AD18" s="103">
        <f t="shared" si="5"/>
        <v>0.3795113624038593</v>
      </c>
      <c r="AE18" s="98">
        <f>'Юнит 10'!AE18+'Юнит 11'!AE18+'Юнит 12'!AE18+'Юнит 13'!AE18</f>
        <v>1332.2300000000002</v>
      </c>
      <c r="AF18" s="98">
        <f>'Юнит 10'!AF18+'Юнит 11'!AF18+'Юнит 12'!AF18+'Юнит 13'!AF18</f>
        <v>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90.416223414081543</v>
      </c>
      <c r="AJ18" s="98">
        <f>'Юнит 10'!AJ18+'Юнит 11'!AJ18+'Юнит 12'!AJ18+'Юнит 13'!AJ18</f>
        <v>0</v>
      </c>
      <c r="AK18" s="104">
        <f t="shared" si="17"/>
        <v>137.67950000000002</v>
      </c>
      <c r="AL18" s="105">
        <f t="shared" si="18"/>
        <v>8879.4542765859205</v>
      </c>
      <c r="AM18" s="106"/>
      <c r="AN18" s="107">
        <f t="shared" si="6"/>
        <v>1325.3687500000001</v>
      </c>
      <c r="AO18" s="108">
        <f t="shared" si="7"/>
        <v>169.89</v>
      </c>
      <c r="AP18" s="108">
        <f t="shared" si="8"/>
        <v>502.99250000000006</v>
      </c>
      <c r="AQ18" s="108">
        <f t="shared" si="19"/>
        <v>83.264375000000015</v>
      </c>
      <c r="AR18" s="108">
        <f t="shared" si="20"/>
        <v>0</v>
      </c>
      <c r="AS18" s="108">
        <f t="array" ref="AS18">_xlfn.IFS(S18=0,AL18,S18&lt;0,AL18/-S18,S18&gt;0,AL18/S18)</f>
        <v>554.96589228662003</v>
      </c>
      <c r="AT18" s="103">
        <f t="shared" si="22"/>
        <v>0.41872565071918288</v>
      </c>
      <c r="AU18" s="103">
        <f t="shared" si="23"/>
        <v>3.2666189433552302</v>
      </c>
      <c r="AV18" s="109"/>
      <c r="AW18" s="104">
        <f t="shared" si="11"/>
        <v>0</v>
      </c>
    </row>
    <row r="19" spans="1:49" outlineLevel="1">
      <c r="A19" s="98"/>
      <c r="B19" s="262">
        <v>806868318</v>
      </c>
      <c r="C19" s="262" t="s">
        <v>171</v>
      </c>
      <c r="D19" s="100" t="s">
        <v>93</v>
      </c>
      <c r="E19" s="101">
        <f t="shared" si="12"/>
        <v>0</v>
      </c>
      <c r="F19" s="101">
        <f>'Юнит 13'!F19</f>
        <v>0</v>
      </c>
      <c r="G19" s="101">
        <f>'Юнит 13'!G19</f>
        <v>0</v>
      </c>
      <c r="H19" s="101">
        <f>'Юнит 13'!H19</f>
        <v>0</v>
      </c>
      <c r="I19" s="101">
        <v>129.46</v>
      </c>
      <c r="J19" s="101">
        <f t="shared" si="0"/>
        <v>0</v>
      </c>
      <c r="K19" s="98">
        <f>'Юнит 13'!K19</f>
        <v>0</v>
      </c>
      <c r="L19" s="98">
        <f>'Юнит 10'!L19+'Юнит 11'!L19+'Юнит 12'!L19+'Юнит 13'!L19</f>
        <v>104</v>
      </c>
      <c r="M19" s="98"/>
      <c r="N19" s="98"/>
      <c r="O19" s="189">
        <f t="shared" si="1"/>
        <v>14.857142857142858</v>
      </c>
      <c r="P19" s="101">
        <f t="shared" si="21"/>
        <v>8.4285714285714288</v>
      </c>
      <c r="Q19" s="98">
        <f>'Юнит 10'!Q19+'Юнит 11'!Q19+'Юнит 12'!Q19+'Юнит 13'!Q19</f>
        <v>60</v>
      </c>
      <c r="R19" s="98">
        <f>'Юнит 10'!R19+'Юнит 11'!R19+'Юнит 12'!R19+'Юнит 13'!R19</f>
        <v>-1</v>
      </c>
      <c r="S19" s="101">
        <f t="shared" si="13"/>
        <v>59</v>
      </c>
      <c r="T19" s="98">
        <f>'Юнит 10'!T19+'Юнит 11'!T19+'Юнит 12'!T19+'Юнит 13'!T19</f>
        <v>51182.28</v>
      </c>
      <c r="U19" s="98">
        <f>'Юнит 10'!U19+'Юнит 11'!U19+'Юнит 12'!U19+'Юнит 13'!U19</f>
        <v>-812</v>
      </c>
      <c r="V19" s="101">
        <f t="shared" si="14"/>
        <v>50370.28</v>
      </c>
      <c r="W19" s="98">
        <f>'Юнит 10'!W19+'Юнит 11'!W19+'Юнит 12'!W19+'Юнит 13'!W19</f>
        <v>76981.279999999999</v>
      </c>
      <c r="X19" s="98">
        <f>'Юнит 10'!X19+'Юнит 11'!X19+'Юнит 12'!X19+'Юнит 13'!X19</f>
        <v>-1260</v>
      </c>
      <c r="Y19" s="101">
        <f t="shared" si="3"/>
        <v>75721.279999999999</v>
      </c>
      <c r="Z19" s="101">
        <f t="shared" si="15"/>
        <v>0</v>
      </c>
      <c r="AA19" s="103">
        <f t="shared" si="4"/>
        <v>2.9991059472509272E-2</v>
      </c>
      <c r="AB19" s="101">
        <f t="shared" si="16"/>
        <v>7638.14</v>
      </c>
      <c r="AC19" s="98">
        <f>'Юнит 10'!AC19+'Юнит 11'!AC19+'Юнит 12'!AC19+'Юнит 13'!AC19</f>
        <v>28449.809999999998</v>
      </c>
      <c r="AD19" s="103">
        <f t="shared" si="5"/>
        <v>0.37571749975700358</v>
      </c>
      <c r="AE19" s="98">
        <f>'Юнит 10'!AE19+'Юнит 11'!AE19+'Юнит 12'!AE19+'Юнит 13'!AE19</f>
        <v>9100.9499999999971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104">
        <f t="shared" si="17"/>
        <v>503.70280000000002</v>
      </c>
      <c r="AL19" s="105">
        <f t="shared" si="18"/>
        <v>29004.848756480027</v>
      </c>
      <c r="AM19" s="106"/>
      <c r="AN19" s="107">
        <f t="shared" si="6"/>
        <v>1283.4115254237288</v>
      </c>
      <c r="AO19" s="108">
        <f t="shared" si="7"/>
        <v>129.46</v>
      </c>
      <c r="AP19" s="108">
        <f t="shared" si="8"/>
        <v>482.2001694915254</v>
      </c>
      <c r="AQ19" s="108">
        <f t="shared" si="19"/>
        <v>151.68249999999995</v>
      </c>
      <c r="AR19" s="108">
        <f t="shared" si="20"/>
        <v>16.666666666666668</v>
      </c>
      <c r="AS19" s="108">
        <f t="array" ref="AS19">_xlfn.IFS(S19=0,AL19,S19&lt;0,AL19/-S19,S19&gt;0,AL19/S19)</f>
        <v>491.60760604203438</v>
      </c>
      <c r="AT19" s="103">
        <f t="shared" si="22"/>
        <v>0.38304752318608493</v>
      </c>
      <c r="AU19" s="103">
        <f t="shared" si="23"/>
        <v>3.7973706630776638</v>
      </c>
      <c r="AV19" s="109"/>
      <c r="AW19" s="104">
        <f t="shared" si="11"/>
        <v>0</v>
      </c>
    </row>
    <row r="20" spans="1:49" outlineLevel="1">
      <c r="A20" s="98"/>
      <c r="B20" s="262">
        <v>806885508</v>
      </c>
      <c r="C20" s="262" t="s">
        <v>172</v>
      </c>
      <c r="D20" s="100" t="s">
        <v>93</v>
      </c>
      <c r="E20" s="101">
        <f t="shared" si="12"/>
        <v>0</v>
      </c>
      <c r="F20" s="101">
        <f>'Юнит 13'!F20</f>
        <v>0</v>
      </c>
      <c r="G20" s="101">
        <f>'Юнит 13'!G20</f>
        <v>0</v>
      </c>
      <c r="H20" s="101">
        <f>'Юнит 13'!H20</f>
        <v>0</v>
      </c>
      <c r="I20" s="101">
        <v>117.76</v>
      </c>
      <c r="J20" s="101">
        <f t="shared" si="0"/>
        <v>0</v>
      </c>
      <c r="K20" s="98">
        <f>'Юнит 13'!K20</f>
        <v>0</v>
      </c>
      <c r="L20" s="98">
        <f>'Юнит 10'!L20+'Юнит 11'!L20+'Юнит 12'!L20+'Юнит 13'!L20</f>
        <v>207</v>
      </c>
      <c r="M20" s="98"/>
      <c r="N20" s="98"/>
      <c r="O20" s="189">
        <f t="shared" si="1"/>
        <v>29.571428571428573</v>
      </c>
      <c r="P20" s="101">
        <f t="shared" si="21"/>
        <v>13.857142857142858</v>
      </c>
      <c r="Q20" s="98">
        <f>'Юнит 10'!Q20+'Юнит 11'!Q20+'Юнит 12'!Q20+'Юнит 13'!Q20</f>
        <v>100</v>
      </c>
      <c r="R20" s="98">
        <f>'Юнит 10'!R20+'Юнит 11'!R20+'Юнит 12'!R20+'Юнит 13'!R20</f>
        <v>-3</v>
      </c>
      <c r="S20" s="101">
        <f t="shared" si="13"/>
        <v>97</v>
      </c>
      <c r="T20" s="98">
        <f>'Юнит 10'!T20+'Юнит 11'!T20+'Юнит 12'!T20+'Юнит 13'!T20</f>
        <v>88947.09</v>
      </c>
      <c r="U20" s="98">
        <f>'Юнит 10'!U20+'Юнит 11'!U20+'Юнит 12'!U20+'Юнит 13'!U20</f>
        <v>-2563</v>
      </c>
      <c r="V20" s="101">
        <f t="shared" si="14"/>
        <v>86384.09</v>
      </c>
      <c r="W20" s="98">
        <f>'Юнит 10'!W20+'Юнит 11'!W20+'Юнит 12'!W20+'Юнит 13'!W20</f>
        <v>135750.28999999998</v>
      </c>
      <c r="X20" s="98">
        <f>'Юнит 10'!X20+'Юнит 11'!X20+'Юнит 12'!X20+'Юнит 13'!X20</f>
        <v>-4080</v>
      </c>
      <c r="Y20" s="101">
        <f t="shared" si="3"/>
        <v>131670.28999999998</v>
      </c>
      <c r="Z20" s="101">
        <f t="shared" si="15"/>
        <v>0</v>
      </c>
      <c r="AA20" s="103">
        <f t="shared" si="4"/>
        <v>5.2150881471530096E-2</v>
      </c>
      <c r="AB20" s="101">
        <f t="shared" si="16"/>
        <v>11422.720000000001</v>
      </c>
      <c r="AC20" s="98">
        <f>'Юнит 10'!AC20+'Юнит 11'!AC20+'Юнит 12'!AC20+'Юнит 13'!AC20</f>
        <v>49752.55</v>
      </c>
      <c r="AD20" s="103">
        <f t="shared" si="5"/>
        <v>0.37785707011050107</v>
      </c>
      <c r="AE20" s="98">
        <f>'Юнит 10'!AE20+'Юнит 11'!AE20+'Юнит 12'!AE20+'Юнит 13'!AE20</f>
        <v>14438.500000000004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104">
        <f t="shared" si="17"/>
        <v>863.84090000000003</v>
      </c>
      <c r="AL20" s="105">
        <f t="shared" si="18"/>
        <v>44079.516018081798</v>
      </c>
      <c r="AM20" s="106"/>
      <c r="AN20" s="107">
        <f t="shared" si="6"/>
        <v>1357.4256701030927</v>
      </c>
      <c r="AO20" s="108">
        <f t="shared" si="7"/>
        <v>117.76</v>
      </c>
      <c r="AP20" s="108">
        <f t="shared" si="8"/>
        <v>512.91288659793815</v>
      </c>
      <c r="AQ20" s="108">
        <f t="shared" si="19"/>
        <v>144.38500000000005</v>
      </c>
      <c r="AR20" s="108">
        <f t="shared" si="20"/>
        <v>110</v>
      </c>
      <c r="AS20" s="108">
        <f t="array" ref="AS20">_xlfn.IFS(S20=0,AL20,S20&lt;0,AL20/-S20,S20&gt;0,AL20/S20)</f>
        <v>454.42800018641032</v>
      </c>
      <c r="AT20" s="103">
        <f t="shared" si="22"/>
        <v>0.33477192173026887</v>
      </c>
      <c r="AU20" s="103">
        <f t="shared" si="23"/>
        <v>3.8589334254960113</v>
      </c>
      <c r="AV20" s="109"/>
      <c r="AW20" s="104">
        <f t="shared" si="11"/>
        <v>0</v>
      </c>
    </row>
    <row r="21" spans="1:49" outlineLevel="1">
      <c r="A21" s="98"/>
      <c r="B21" s="262">
        <v>807019357</v>
      </c>
      <c r="C21" s="262" t="s">
        <v>173</v>
      </c>
      <c r="D21" s="100" t="s">
        <v>93</v>
      </c>
      <c r="E21" s="101">
        <f t="shared" si="12"/>
        <v>0</v>
      </c>
      <c r="F21" s="101">
        <f>'Юнит 13'!F21</f>
        <v>0</v>
      </c>
      <c r="G21" s="101">
        <f>'Юнит 13'!G21</f>
        <v>0</v>
      </c>
      <c r="H21" s="101">
        <f>'Юнит 13'!H21</f>
        <v>0</v>
      </c>
      <c r="I21" s="101">
        <v>129.46</v>
      </c>
      <c r="J21" s="101">
        <f t="shared" si="0"/>
        <v>0</v>
      </c>
      <c r="K21" s="98">
        <f>'Юнит 13'!K21</f>
        <v>0</v>
      </c>
      <c r="L21" s="98">
        <f>'Юнит 10'!L21+'Юнит 11'!L21+'Юнит 12'!L21+'Юнит 13'!L21</f>
        <v>22</v>
      </c>
      <c r="M21" s="98"/>
      <c r="N21" s="98"/>
      <c r="O21" s="189">
        <f t="shared" si="1"/>
        <v>3.1428571428571428</v>
      </c>
      <c r="P21" s="101">
        <f t="shared" si="21"/>
        <v>1.7142857142857142</v>
      </c>
      <c r="Q21" s="98">
        <f>'Юнит 10'!Q21+'Юнит 11'!Q21+'Юнит 12'!Q21+'Юнит 13'!Q21</f>
        <v>12</v>
      </c>
      <c r="R21" s="98">
        <f>'Юнит 10'!R21+'Юнит 11'!R21+'Юнит 12'!R21+'Юнит 13'!R21</f>
        <v>0</v>
      </c>
      <c r="S21" s="101">
        <f t="shared" si="13"/>
        <v>12</v>
      </c>
      <c r="T21" s="98">
        <f>'Юнит 10'!T21+'Юнит 11'!T21+'Юнит 12'!T21+'Юнит 13'!T21</f>
        <v>9194.7800000000007</v>
      </c>
      <c r="U21" s="98">
        <f>'Юнит 10'!U21+'Юнит 11'!U21+'Юнит 12'!U21+'Юнит 13'!U21</f>
        <v>0</v>
      </c>
      <c r="V21" s="101">
        <f t="shared" si="14"/>
        <v>9194.7800000000007</v>
      </c>
      <c r="W21" s="98">
        <f>'Юнит 10'!W21+'Юнит 11'!W21+'Юнит 12'!W21+'Юнит 13'!W21</f>
        <v>14220.06</v>
      </c>
      <c r="X21" s="98">
        <f>'Юнит 10'!X21+'Юнит 11'!X21+'Юнит 12'!X21+'Юнит 13'!X21</f>
        <v>0</v>
      </c>
      <c r="Y21" s="101">
        <f t="shared" si="3"/>
        <v>14220.06</v>
      </c>
      <c r="Z21" s="101">
        <f t="shared" si="15"/>
        <v>0</v>
      </c>
      <c r="AA21" s="103">
        <f t="shared" si="4"/>
        <v>5.6321639724348322E-3</v>
      </c>
      <c r="AB21" s="101">
        <f t="shared" si="16"/>
        <v>1553.52</v>
      </c>
      <c r="AC21" s="98">
        <f>'Юнит 10'!AC21+'Юнит 11'!AC21+'Юнит 12'!AC21+'Юнит 13'!AC21</f>
        <v>5382.69</v>
      </c>
      <c r="AD21" s="103">
        <f t="shared" si="5"/>
        <v>0.37852793870068058</v>
      </c>
      <c r="AE21" s="98">
        <f>'Юнит 10'!AE21+'Юнит 11'!AE21+'Юнит 12'!AE21+'Юнит 13'!AE21</f>
        <v>1517.5799999999997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80.209025026984719</v>
      </c>
      <c r="AJ21" s="98">
        <f>'Юнит 10'!AJ21+'Юнит 11'!AJ21+'Юнит 12'!AJ21+'Юнит 13'!AJ21</f>
        <v>0</v>
      </c>
      <c r="AK21" s="104">
        <f t="shared" si="17"/>
        <v>91.947800000000015</v>
      </c>
      <c r="AL21" s="105">
        <f t="shared" si="18"/>
        <v>5594.1131749730148</v>
      </c>
      <c r="AM21" s="106"/>
      <c r="AN21" s="107">
        <f t="shared" si="6"/>
        <v>1185.0049999999999</v>
      </c>
      <c r="AO21" s="108">
        <f t="shared" si="7"/>
        <v>129.46</v>
      </c>
      <c r="AP21" s="108">
        <f t="shared" si="8"/>
        <v>448.55749999999995</v>
      </c>
      <c r="AQ21" s="108">
        <f t="shared" si="19"/>
        <v>126.46499999999997</v>
      </c>
      <c r="AR21" s="108">
        <f t="shared" si="20"/>
        <v>0</v>
      </c>
      <c r="AS21" s="108">
        <f t="array" ref="AS21">_xlfn.IFS(S21=0,AL21,S21&lt;0,AL21/-S21,S21&gt;0,AL21/S21)</f>
        <v>466.17609791441788</v>
      </c>
      <c r="AT21" s="103">
        <f t="shared" si="22"/>
        <v>0.39339589108435652</v>
      </c>
      <c r="AU21" s="103">
        <f t="shared" si="23"/>
        <v>3.6009276835657178</v>
      </c>
      <c r="AV21" s="109"/>
      <c r="AW21" s="104">
        <f t="shared" si="11"/>
        <v>0</v>
      </c>
    </row>
    <row r="22" spans="1:49" outlineLevel="1">
      <c r="A22" s="98"/>
      <c r="B22" s="262">
        <v>807030321</v>
      </c>
      <c r="C22" s="262" t="s">
        <v>174</v>
      </c>
      <c r="D22" s="100" t="s">
        <v>93</v>
      </c>
      <c r="E22" s="101">
        <f t="shared" si="12"/>
        <v>0</v>
      </c>
      <c r="F22" s="101">
        <f>'Юнит 13'!F22</f>
        <v>0</v>
      </c>
      <c r="G22" s="101">
        <f>'Юнит 13'!G22</f>
        <v>0</v>
      </c>
      <c r="H22" s="101">
        <f>'Юнит 13'!H22</f>
        <v>0</v>
      </c>
      <c r="I22" s="101">
        <v>129.46</v>
      </c>
      <c r="J22" s="101">
        <f t="shared" si="0"/>
        <v>0</v>
      </c>
      <c r="K22" s="98">
        <f>'Юнит 13'!K22</f>
        <v>0</v>
      </c>
      <c r="L22" s="98">
        <f>'Юнит 10'!L22+'Юнит 11'!L22+'Юнит 12'!L22+'Юнит 13'!L22</f>
        <v>15</v>
      </c>
      <c r="M22" s="98"/>
      <c r="N22" s="98"/>
      <c r="O22" s="189">
        <f t="shared" si="1"/>
        <v>2.1428571428571428</v>
      </c>
      <c r="P22" s="101">
        <f t="shared" si="21"/>
        <v>0.5714285714285714</v>
      </c>
      <c r="Q22" s="98">
        <f>'Юнит 10'!Q22+'Юнит 11'!Q22+'Юнит 12'!Q22+'Юнит 13'!Q22</f>
        <v>4</v>
      </c>
      <c r="R22" s="98">
        <f>'Юнит 10'!R22+'Юнит 11'!R22+'Юнит 12'!R22+'Юнит 13'!R22</f>
        <v>0</v>
      </c>
      <c r="S22" s="101">
        <f t="shared" si="13"/>
        <v>4</v>
      </c>
      <c r="T22" s="98">
        <f>'Юнит 10'!T22+'Юнит 11'!T22+'Юнит 12'!T22+'Юнит 13'!T22</f>
        <v>3228</v>
      </c>
      <c r="U22" s="98">
        <f>'Юнит 10'!U22+'Юнит 11'!U22+'Юнит 12'!U22+'Юнит 13'!U22</f>
        <v>0</v>
      </c>
      <c r="V22" s="101">
        <f t="shared" si="14"/>
        <v>3228</v>
      </c>
      <c r="W22" s="98">
        <f>'Юнит 10'!W22+'Юнит 11'!W22+'Юнит 12'!W22+'Юнит 13'!W22</f>
        <v>5220</v>
      </c>
      <c r="X22" s="98">
        <f>'Юнит 10'!X22+'Юнит 11'!X22+'Юнит 12'!X22+'Юнит 13'!X22</f>
        <v>0</v>
      </c>
      <c r="Y22" s="101">
        <f t="shared" si="3"/>
        <v>5220</v>
      </c>
      <c r="Z22" s="101">
        <f t="shared" si="15"/>
        <v>0</v>
      </c>
      <c r="AA22" s="103">
        <f t="shared" si="4"/>
        <v>2.0674945067819563E-3</v>
      </c>
      <c r="AB22" s="101">
        <f t="shared" si="16"/>
        <v>517.84</v>
      </c>
      <c r="AC22" s="98">
        <f>'Юнит 10'!AC22+'Юнит 11'!AC22+'Юнит 12'!AC22+'Юнит 13'!AC22</f>
        <v>1954.1299999999999</v>
      </c>
      <c r="AD22" s="103">
        <f t="shared" si="5"/>
        <v>0.37435440613026816</v>
      </c>
      <c r="AE22" s="98">
        <f>'Юнит 10'!AE22+'Юнит 11'!AE22+'Юнит 12'!AE22+'Юнит 13'!AE22</f>
        <v>1045.26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92.172035303599515</v>
      </c>
      <c r="AJ22" s="98">
        <f>'Юнит 10'!AJ22+'Юнит 11'!AJ22+'Юнит 12'!AJ22+'Юнит 13'!AJ22</f>
        <v>0</v>
      </c>
      <c r="AK22" s="104">
        <f t="shared" si="17"/>
        <v>32.28</v>
      </c>
      <c r="AL22" s="105">
        <f t="shared" si="18"/>
        <v>1578.3179646964002</v>
      </c>
      <c r="AM22" s="106"/>
      <c r="AN22" s="107">
        <f t="shared" si="6"/>
        <v>1305</v>
      </c>
      <c r="AO22" s="108">
        <f t="shared" si="7"/>
        <v>129.46</v>
      </c>
      <c r="AP22" s="108">
        <f t="shared" si="8"/>
        <v>488.53249999999997</v>
      </c>
      <c r="AQ22" s="108">
        <f t="shared" si="19"/>
        <v>261.315</v>
      </c>
      <c r="AR22" s="108">
        <f t="shared" si="20"/>
        <v>0</v>
      </c>
      <c r="AS22" s="108">
        <f t="array" ref="AS22">_xlfn.IFS(S22=0,AL22,S22&lt;0,AL22/-S22,S22&gt;0,AL22/S22)</f>
        <v>394.57949117410004</v>
      </c>
      <c r="AT22" s="103">
        <f t="shared" si="22"/>
        <v>0.30235976335180081</v>
      </c>
      <c r="AU22" s="103">
        <f t="shared" si="23"/>
        <v>3.0478873101660744</v>
      </c>
      <c r="AV22" s="109"/>
      <c r="AW22" s="104">
        <f t="shared" si="11"/>
        <v>0</v>
      </c>
    </row>
    <row r="23" spans="1:49" outlineLevel="1">
      <c r="A23" s="98"/>
      <c r="B23" s="262">
        <v>807031830</v>
      </c>
      <c r="C23" s="262" t="s">
        <v>175</v>
      </c>
      <c r="D23" s="100" t="s">
        <v>93</v>
      </c>
      <c r="E23" s="101">
        <f t="shared" si="12"/>
        <v>0</v>
      </c>
      <c r="F23" s="101">
        <f>'Юнит 13'!F23</f>
        <v>0</v>
      </c>
      <c r="G23" s="101">
        <f>'Юнит 13'!G23</f>
        <v>0</v>
      </c>
      <c r="H23" s="101">
        <f>'Юнит 13'!H23</f>
        <v>0</v>
      </c>
      <c r="I23" s="101">
        <v>129.46</v>
      </c>
      <c r="J23" s="101">
        <f t="shared" si="0"/>
        <v>0</v>
      </c>
      <c r="K23" s="98">
        <f>'Юнит 13'!K23</f>
        <v>0</v>
      </c>
      <c r="L23" s="98">
        <f>'Юнит 10'!L23+'Юнит 11'!L23+'Юнит 12'!L23+'Юнит 13'!L23</f>
        <v>83</v>
      </c>
      <c r="M23" s="98"/>
      <c r="N23" s="98"/>
      <c r="O23" s="189">
        <f t="shared" si="1"/>
        <v>11.857142857142858</v>
      </c>
      <c r="P23" s="101">
        <f t="shared" si="21"/>
        <v>5</v>
      </c>
      <c r="Q23" s="98">
        <f>'Юнит 10'!Q23+'Юнит 11'!Q23+'Юнит 12'!Q23+'Юнит 13'!Q23</f>
        <v>36</v>
      </c>
      <c r="R23" s="98">
        <f>'Юнит 10'!R23+'Юнит 11'!R23+'Юнит 12'!R23+'Юнит 13'!R23</f>
        <v>-1</v>
      </c>
      <c r="S23" s="101">
        <f t="shared" si="13"/>
        <v>35</v>
      </c>
      <c r="T23" s="98">
        <f>'Юнит 10'!T23+'Юнит 11'!T23+'Юнит 12'!T23+'Юнит 13'!T23</f>
        <v>29095.91</v>
      </c>
      <c r="U23" s="98">
        <f>'Юнит 10'!U23+'Юнит 11'!U23+'Юнит 12'!U23+'Юнит 13'!U23</f>
        <v>-799</v>
      </c>
      <c r="V23" s="101">
        <f t="shared" si="14"/>
        <v>28296.91</v>
      </c>
      <c r="W23" s="98">
        <f>'Юнит 10'!W23+'Юнит 11'!W23+'Юнит 12'!W23+'Юнит 13'!W23</f>
        <v>44790.05</v>
      </c>
      <c r="X23" s="98">
        <f>'Юнит 10'!X23+'Юнит 11'!X23+'Юнит 12'!X23+'Юнит 13'!X23</f>
        <v>-1230</v>
      </c>
      <c r="Y23" s="101">
        <f t="shared" si="3"/>
        <v>43560.05</v>
      </c>
      <c r="Z23" s="101">
        <f t="shared" si="15"/>
        <v>0</v>
      </c>
      <c r="AA23" s="103">
        <f t="shared" si="4"/>
        <v>1.7252904998112519E-2</v>
      </c>
      <c r="AB23" s="101">
        <f t="shared" si="16"/>
        <v>4531.1000000000004</v>
      </c>
      <c r="AC23" s="98">
        <f>'Юнит 10'!AC23+'Юнит 11'!AC23+'Юнит 12'!AC23+'Юнит 13'!AC23</f>
        <v>16409.480000000003</v>
      </c>
      <c r="AD23" s="103">
        <f t="shared" si="5"/>
        <v>0.37670939312512275</v>
      </c>
      <c r="AE23" s="98">
        <f>'Юнит 10'!AE23+'Юнит 11'!AE23+'Юнит 12'!AE23+'Юнит 13'!AE23</f>
        <v>4741.4800000000005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60.665071645544067</v>
      </c>
      <c r="AJ23" s="98">
        <f>'Юнит 10'!AJ23+'Юнит 11'!AJ23+'Юнит 12'!AJ23+'Юнит 13'!AJ23</f>
        <v>0</v>
      </c>
      <c r="AK23" s="104">
        <f t="shared" si="17"/>
        <v>282.96910000000003</v>
      </c>
      <c r="AL23" s="105">
        <f t="shared" si="18"/>
        <v>17534.355828354459</v>
      </c>
      <c r="AM23" s="106"/>
      <c r="AN23" s="107">
        <f t="shared" si="6"/>
        <v>1244.5728571428572</v>
      </c>
      <c r="AO23" s="108">
        <f t="shared" si="7"/>
        <v>129.46</v>
      </c>
      <c r="AP23" s="108">
        <f t="shared" si="8"/>
        <v>468.84228571428582</v>
      </c>
      <c r="AQ23" s="108">
        <f t="shared" si="19"/>
        <v>131.70777777777778</v>
      </c>
      <c r="AR23" s="108">
        <f t="shared" si="20"/>
        <v>0</v>
      </c>
      <c r="AS23" s="108">
        <f t="array" ref="AS23">_xlfn.IFS(S23=0,AL23,S23&lt;0,AL23/-S23,S23&gt;0,AL23/S23)</f>
        <v>500.98159509584167</v>
      </c>
      <c r="AT23" s="103">
        <f t="shared" si="22"/>
        <v>0.40253295917599863</v>
      </c>
      <c r="AU23" s="103">
        <f t="shared" si="23"/>
        <v>3.8697790444603863</v>
      </c>
      <c r="AV23" s="109"/>
      <c r="AW23" s="104">
        <f t="shared" si="11"/>
        <v>0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>
        <f t="shared" si="12"/>
        <v>0</v>
      </c>
      <c r="F24" s="101">
        <f>'Юнит 13'!F24</f>
        <v>0</v>
      </c>
      <c r="G24" s="101">
        <f>'Юнит 13'!G24</f>
        <v>0</v>
      </c>
      <c r="H24" s="101">
        <f>'Юнит 13'!H24</f>
        <v>0</v>
      </c>
      <c r="I24" s="101">
        <v>123.61</v>
      </c>
      <c r="J24" s="101">
        <f t="shared" si="0"/>
        <v>0</v>
      </c>
      <c r="K24" s="98">
        <f>'Юнит 13'!K24</f>
        <v>0</v>
      </c>
      <c r="L24" s="98">
        <f>'Юнит 10'!L24+'Юнит 11'!L24+'Юнит 12'!L24+'Юнит 13'!L24</f>
        <v>75</v>
      </c>
      <c r="M24" s="98"/>
      <c r="N24" s="98"/>
      <c r="O24" s="189">
        <f t="shared" si="1"/>
        <v>10.714285714285714</v>
      </c>
      <c r="P24" s="101">
        <f t="shared" si="21"/>
        <v>2.7142857142857144</v>
      </c>
      <c r="Q24" s="98">
        <f>'Юнит 10'!Q24+'Юнит 11'!Q24+'Юнит 12'!Q24+'Юнит 13'!Q24</f>
        <v>19</v>
      </c>
      <c r="R24" s="98">
        <f>'Юнит 10'!R24+'Юнит 11'!R24+'Юнит 12'!R24+'Юнит 13'!R24</f>
        <v>0</v>
      </c>
      <c r="S24" s="101">
        <f t="shared" si="13"/>
        <v>19</v>
      </c>
      <c r="T24" s="98">
        <f>'Юнит 10'!T24+'Юнит 11'!T24+'Юнит 12'!T24+'Юнит 13'!T24</f>
        <v>17028.78</v>
      </c>
      <c r="U24" s="98">
        <f>'Юнит 10'!U24+'Юнит 11'!U24+'Юнит 12'!U24+'Юнит 13'!U24</f>
        <v>0</v>
      </c>
      <c r="V24" s="101">
        <f t="shared" si="14"/>
        <v>17028.78</v>
      </c>
      <c r="W24" s="98">
        <f>'Юнит 10'!W24+'Юнит 11'!W24+'Юнит 12'!W24+'Юнит 13'!W24</f>
        <v>25791.96</v>
      </c>
      <c r="X24" s="98">
        <f>'Юнит 10'!X24+'Юнит 11'!X24+'Юнит 12'!X24+'Юнит 13'!X24</f>
        <v>0</v>
      </c>
      <c r="Y24" s="101">
        <f t="shared" si="3"/>
        <v>25791.96</v>
      </c>
      <c r="Z24" s="101">
        <f t="shared" si="15"/>
        <v>0</v>
      </c>
      <c r="AA24" s="103">
        <f t="shared" si="4"/>
        <v>1.021546659370497E-2</v>
      </c>
      <c r="AB24" s="101">
        <f t="shared" si="16"/>
        <v>2348.59</v>
      </c>
      <c r="AC24" s="98">
        <f>'Юнит 10'!AC24+'Юнит 11'!AC24+'Юнит 12'!AC24+'Юнит 13'!AC24</f>
        <v>9909.5199999999968</v>
      </c>
      <c r="AD24" s="103">
        <f t="shared" si="5"/>
        <v>0.38420965293060305</v>
      </c>
      <c r="AE24" s="98">
        <f>'Юнит 10'!AE24+'Юнит 11'!AE24+'Юнит 12'!AE24+'Юнит 13'!AE24</f>
        <v>3018.47</v>
      </c>
      <c r="AF24" s="98">
        <f>'Юнит 10'!AF24+'Юнит 11'!AF24+'Юнит 12'!AF24+'Юнит 13'!AF24</f>
        <v>15000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104">
        <f t="shared" si="17"/>
        <v>170.2878</v>
      </c>
      <c r="AL24" s="105">
        <f t="shared" si="18"/>
        <v>-5689.2561309648954</v>
      </c>
      <c r="AM24" s="106"/>
      <c r="AN24" s="107">
        <f t="shared" si="6"/>
        <v>1357.4715789473685</v>
      </c>
      <c r="AO24" s="108">
        <f t="shared" si="7"/>
        <v>123.61</v>
      </c>
      <c r="AP24" s="108">
        <f t="shared" si="8"/>
        <v>521.55368421052617</v>
      </c>
      <c r="AQ24" s="108">
        <f t="shared" si="19"/>
        <v>158.86684210526315</v>
      </c>
      <c r="AR24" s="108">
        <f t="shared" si="20"/>
        <v>842.10526315789468</v>
      </c>
      <c r="AS24" s="108">
        <f t="array" ref="AS24">_xlfn.IFS(S24=0,AL24,S24&lt;0,AL24/-S24,S24&gt;0,AL24/S24)</f>
        <v>-299.43453320867872</v>
      </c>
      <c r="AT24" s="103">
        <f t="shared" si="22"/>
        <v>-0.22058254320202481</v>
      </c>
      <c r="AU24" s="103">
        <f t="shared" si="23"/>
        <v>-2.422413503832042</v>
      </c>
      <c r="AV24" s="109"/>
      <c r="AW24" s="104">
        <f t="shared" si="11"/>
        <v>0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>
        <f t="shared" si="12"/>
        <v>0</v>
      </c>
      <c r="F25" s="101">
        <f>'Юнит 13'!F25</f>
        <v>0</v>
      </c>
      <c r="G25" s="101">
        <f>'Юнит 13'!G25</f>
        <v>0</v>
      </c>
      <c r="H25" s="101">
        <f>'Юнит 13'!H25</f>
        <v>0</v>
      </c>
      <c r="I25" s="101">
        <v>123.61</v>
      </c>
      <c r="J25" s="101">
        <f t="shared" si="0"/>
        <v>0</v>
      </c>
      <c r="K25" s="98">
        <f>'Юнит 13'!K25</f>
        <v>0</v>
      </c>
      <c r="L25" s="98">
        <f>'Юнит 10'!L25+'Юнит 11'!L25+'Юнит 12'!L25+'Юнит 13'!L25</f>
        <v>18</v>
      </c>
      <c r="M25" s="98"/>
      <c r="N25" s="98"/>
      <c r="O25" s="189">
        <f t="shared" si="1"/>
        <v>2.5714285714285716</v>
      </c>
      <c r="P25" s="101">
        <f t="shared" si="21"/>
        <v>1</v>
      </c>
      <c r="Q25" s="98">
        <f>'Юнит 10'!Q25+'Юнит 11'!Q25+'Юнит 12'!Q25+'Юнит 13'!Q25</f>
        <v>9</v>
      </c>
      <c r="R25" s="98">
        <f>'Юнит 10'!R25+'Юнит 11'!R25+'Юнит 12'!R25+'Юнит 13'!R25</f>
        <v>-2</v>
      </c>
      <c r="S25" s="101">
        <f t="shared" si="13"/>
        <v>7</v>
      </c>
      <c r="T25" s="98">
        <f>'Юнит 10'!T25+'Юнит 11'!T25+'Юнит 12'!T25+'Юнит 13'!T25</f>
        <v>8045</v>
      </c>
      <c r="U25" s="98">
        <f>'Юнит 10'!U25+'Юнит 11'!U25+'Юнит 12'!U25+'Юнит 13'!U25</f>
        <v>-1663</v>
      </c>
      <c r="V25" s="101">
        <f t="shared" si="14"/>
        <v>6382</v>
      </c>
      <c r="W25" s="98">
        <f>'Юнит 10'!W25+'Юнит 11'!W25+'Юнит 12'!W25+'Юнит 13'!W25</f>
        <v>12630</v>
      </c>
      <c r="X25" s="98">
        <f>'Юнит 10'!X25+'Юнит 11'!X25+'Юнит 12'!X25+'Юнит 13'!X25</f>
        <v>-2580</v>
      </c>
      <c r="Y25" s="101">
        <f t="shared" si="3"/>
        <v>10050</v>
      </c>
      <c r="Z25" s="101">
        <f t="shared" si="15"/>
        <v>0</v>
      </c>
      <c r="AA25" s="103">
        <f t="shared" si="4"/>
        <v>3.9805210331721567E-3</v>
      </c>
      <c r="AB25" s="101">
        <f t="shared" si="16"/>
        <v>865.27</v>
      </c>
      <c r="AC25" s="98">
        <f>'Юнит 10'!AC25+'Юнит 11'!AC25+'Юнит 12'!AC25+'Юнит 13'!AC25</f>
        <v>4084.1900000000005</v>
      </c>
      <c r="AD25" s="103">
        <f t="shared" si="5"/>
        <v>0.40638706467661695</v>
      </c>
      <c r="AE25" s="98">
        <f>'Юнит 10'!AE25+'Юнит 11'!AE25+'Юнит 12'!AE25+'Юнит 13'!AE25</f>
        <v>1121.6600000000001</v>
      </c>
      <c r="AF25" s="98">
        <f>'Юнит 10'!AF25+'Юнит 11'!AF25+'Юнит 12'!AF25+'Юнит 13'!AF25</f>
        <v>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76.000264211094091</v>
      </c>
      <c r="AJ25" s="98">
        <f>'Юнит 10'!AJ25+'Юнит 11'!AJ25+'Юнит 12'!AJ25+'Юнит 13'!AJ25</f>
        <v>0</v>
      </c>
      <c r="AK25" s="104">
        <f t="shared" si="17"/>
        <v>63.82</v>
      </c>
      <c r="AL25" s="105">
        <f t="shared" si="18"/>
        <v>3839.0597357889051</v>
      </c>
      <c r="AM25" s="106"/>
      <c r="AN25" s="107">
        <f t="shared" si="6"/>
        <v>1435.7142857142858</v>
      </c>
      <c r="AO25" s="108">
        <f t="shared" si="7"/>
        <v>123.61</v>
      </c>
      <c r="AP25" s="108">
        <f t="shared" si="8"/>
        <v>583.45571428571441</v>
      </c>
      <c r="AQ25" s="108">
        <f t="shared" si="19"/>
        <v>124.62888888888889</v>
      </c>
      <c r="AR25" s="108">
        <f t="shared" si="20"/>
        <v>0</v>
      </c>
      <c r="AS25" s="108">
        <f t="array" ref="AS25">_xlfn.IFS(S25=0,AL25,S25&lt;0,AL25/-S25,S25&gt;0,AL25/S25)</f>
        <v>548.43710511270069</v>
      </c>
      <c r="AT25" s="103">
        <f t="shared" si="22"/>
        <v>0.3819959936108363</v>
      </c>
      <c r="AU25" s="103">
        <f t="shared" si="23"/>
        <v>4.4368344398729933</v>
      </c>
      <c r="AV25" s="109"/>
      <c r="AW25" s="104">
        <f t="shared" si="11"/>
        <v>0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>
        <f t="shared" si="12"/>
        <v>0</v>
      </c>
      <c r="F26" s="101">
        <f>'Юнит 13'!F26</f>
        <v>0</v>
      </c>
      <c r="G26" s="101">
        <f>'Юнит 13'!G26</f>
        <v>0</v>
      </c>
      <c r="H26" s="101">
        <f>'Юнит 13'!H26</f>
        <v>0</v>
      </c>
      <c r="I26" s="101">
        <v>123.61</v>
      </c>
      <c r="J26" s="101">
        <f t="shared" si="0"/>
        <v>0</v>
      </c>
      <c r="K26" s="98">
        <f>'Юнит 13'!K26</f>
        <v>0</v>
      </c>
      <c r="L26" s="98">
        <f>'Юнит 10'!L26+'Юнит 11'!L26+'Юнит 12'!L26+'Юнит 13'!L26</f>
        <v>22</v>
      </c>
      <c r="M26" s="98"/>
      <c r="N26" s="98"/>
      <c r="O26" s="189">
        <f t="shared" si="1"/>
        <v>3.1428571428571428</v>
      </c>
      <c r="P26" s="101">
        <f t="shared" si="21"/>
        <v>1.1428571428571428</v>
      </c>
      <c r="Q26" s="98">
        <f>'Юнит 10'!Q26+'Юнит 11'!Q26+'Юнит 12'!Q26+'Юнит 13'!Q26</f>
        <v>9</v>
      </c>
      <c r="R26" s="98">
        <f>'Юнит 10'!R26+'Юнит 11'!R26+'Юнит 12'!R26+'Юнит 13'!R26</f>
        <v>-1</v>
      </c>
      <c r="S26" s="101">
        <f t="shared" si="13"/>
        <v>8</v>
      </c>
      <c r="T26" s="98">
        <f>'Юнит 10'!T26+'Юнит 11'!T26+'Юнит 12'!T26+'Юнит 13'!T26</f>
        <v>7609</v>
      </c>
      <c r="U26" s="98">
        <f>'Юнит 10'!U26+'Юнит 11'!U26+'Юнит 12'!U26+'Юнит 13'!U26</f>
        <v>-936</v>
      </c>
      <c r="V26" s="101">
        <f t="shared" si="14"/>
        <v>6673</v>
      </c>
      <c r="W26" s="98">
        <f>'Юнит 10'!W26+'Юнит 11'!W26+'Юнит 12'!W26+'Юнит 13'!W26</f>
        <v>12090</v>
      </c>
      <c r="X26" s="98">
        <f>'Юнит 10'!X26+'Юнит 11'!X26+'Юнит 12'!X26+'Юнит 13'!X26</f>
        <v>-1440</v>
      </c>
      <c r="Y26" s="101">
        <f t="shared" si="3"/>
        <v>10650</v>
      </c>
      <c r="Z26" s="101">
        <f t="shared" si="15"/>
        <v>0</v>
      </c>
      <c r="AA26" s="103">
        <f t="shared" si="4"/>
        <v>4.2181640799287034E-3</v>
      </c>
      <c r="AB26" s="101">
        <f t="shared" si="16"/>
        <v>988.88</v>
      </c>
      <c r="AC26" s="98">
        <f>'Юнит 10'!AC26+'Юнит 11'!AC26+'Юнит 12'!AC26+'Юнит 13'!AC26</f>
        <v>4260.6299999999992</v>
      </c>
      <c r="AD26" s="103">
        <f t="shared" si="5"/>
        <v>0.40005915492957739</v>
      </c>
      <c r="AE26" s="98">
        <f>'Юнит 10'!AE26+'Юнит 11'!AE26+'Юнит 12'!AE26+'Юнит 13'!AE26</f>
        <v>1621.54</v>
      </c>
      <c r="AF26" s="98">
        <f>'Юнит 10'!AF26+'Юнит 11'!AF26+'Юнит 12'!AF26+'Юнит 13'!AF26</f>
        <v>4000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71.910515942285073</v>
      </c>
      <c r="AJ26" s="98">
        <f>'Юнит 10'!AJ26+'Юнит 11'!AJ26+'Юнит 12'!AJ26+'Юнит 13'!AJ26</f>
        <v>0</v>
      </c>
      <c r="AK26" s="104">
        <f t="shared" si="17"/>
        <v>66.73</v>
      </c>
      <c r="AL26" s="105">
        <f t="shared" si="18"/>
        <v>-1019.6905159422835</v>
      </c>
      <c r="AM26" s="106"/>
      <c r="AN26" s="107">
        <f t="shared" si="6"/>
        <v>1331.25</v>
      </c>
      <c r="AO26" s="108">
        <f t="shared" si="7"/>
        <v>123.61</v>
      </c>
      <c r="AP26" s="108">
        <f t="shared" si="8"/>
        <v>532.5787499999999</v>
      </c>
      <c r="AQ26" s="108">
        <f t="shared" si="19"/>
        <v>180.17111111111112</v>
      </c>
      <c r="AR26" s="108">
        <f t="shared" si="20"/>
        <v>517.77777777777783</v>
      </c>
      <c r="AS26" s="108">
        <f t="array" ref="AS26">_xlfn.IFS(S26=0,AL26,S26&lt;0,AL26/-S26,S26&gt;0,AL26/S26)</f>
        <v>-127.46131449278543</v>
      </c>
      <c r="AT26" s="103">
        <f t="shared" si="22"/>
        <v>-9.574558835138812E-2</v>
      </c>
      <c r="AU26" s="103">
        <f t="shared" si="23"/>
        <v>-1.0311569815774244</v>
      </c>
      <c r="AV26" s="109"/>
      <c r="AW26" s="104">
        <f t="shared" si="11"/>
        <v>0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 t="shared" si="12"/>
        <v>0</v>
      </c>
      <c r="F27" s="101">
        <f>'Юнит 13'!F27</f>
        <v>0</v>
      </c>
      <c r="G27" s="101">
        <f>'Юнит 13'!G27</f>
        <v>0</v>
      </c>
      <c r="H27" s="101">
        <f>'Юнит 13'!H27</f>
        <v>0</v>
      </c>
      <c r="I27" s="101">
        <v>117.76</v>
      </c>
      <c r="J27" s="101">
        <f t="shared" si="0"/>
        <v>0</v>
      </c>
      <c r="K27" s="98">
        <f>'Юнит 13'!K27</f>
        <v>0</v>
      </c>
      <c r="L27" s="98">
        <f>'Юнит 10'!L27+'Юнит 11'!L27+'Юнит 12'!L27+'Юнит 13'!L27</f>
        <v>16</v>
      </c>
      <c r="M27" s="98"/>
      <c r="N27" s="98"/>
      <c r="O27" s="189">
        <f t="shared" si="1"/>
        <v>2.2857142857142856</v>
      </c>
      <c r="P27" s="101">
        <f t="shared" si="21"/>
        <v>1.1428571428571428</v>
      </c>
      <c r="Q27" s="98">
        <f>'Юнит 10'!Q27+'Юнит 11'!Q27+'Юнит 12'!Q27+'Юнит 13'!Q27</f>
        <v>8</v>
      </c>
      <c r="R27" s="98">
        <f>'Юнит 10'!R27+'Юнит 11'!R27+'Юнит 12'!R27+'Юнит 13'!R27</f>
        <v>0</v>
      </c>
      <c r="S27" s="101">
        <f t="shared" si="13"/>
        <v>8</v>
      </c>
      <c r="T27" s="98">
        <f>'Юнит 10'!T27+'Юнит 11'!T27+'Юнит 12'!T27+'Юнит 13'!T27</f>
        <v>6119</v>
      </c>
      <c r="U27" s="98">
        <f>'Юнит 10'!U27+'Юнит 11'!U27+'Юнит 12'!U27+'Юнит 13'!U27</f>
        <v>0</v>
      </c>
      <c r="V27" s="101">
        <f t="shared" si="14"/>
        <v>6119</v>
      </c>
      <c r="W27" s="98">
        <f>'Юнит 10'!W27+'Юнит 11'!W27+'Юнит 12'!W27+'Юнит 13'!W27</f>
        <v>9800</v>
      </c>
      <c r="X27" s="98">
        <f>'Юнит 10'!X27+'Юнит 11'!X27+'Юнит 12'!X27+'Юнит 13'!X27</f>
        <v>0</v>
      </c>
      <c r="Y27" s="101">
        <f t="shared" si="3"/>
        <v>9800</v>
      </c>
      <c r="Z27" s="101">
        <f t="shared" si="15"/>
        <v>0</v>
      </c>
      <c r="AA27" s="103">
        <f t="shared" si="4"/>
        <v>3.8815030970235959E-3</v>
      </c>
      <c r="AB27" s="101">
        <f t="shared" si="16"/>
        <v>942.08</v>
      </c>
      <c r="AC27" s="98">
        <f>'Юнит 10'!AC27+'Юнит 11'!AC27+'Юнит 12'!AC27+'Юнит 13'!AC27</f>
        <v>4021.46</v>
      </c>
      <c r="AD27" s="103">
        <f t="shared" si="5"/>
        <v>0.41035306122448978</v>
      </c>
      <c r="AE27" s="98">
        <f>'Юнит 10'!AE27+'Юнит 11'!AE27+'Юнит 12'!AE27+'Юнит 13'!AE27</f>
        <v>1709.13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2.2293721385356911</v>
      </c>
      <c r="AJ27" s="98">
        <f>'Юнит 10'!AJ27+'Юнит 11'!AJ27+'Юнит 12'!AJ27+'Юнит 13'!AJ27</f>
        <v>0</v>
      </c>
      <c r="AK27" s="104">
        <f t="shared" si="17"/>
        <v>61.19</v>
      </c>
      <c r="AL27" s="105">
        <f t="shared" si="18"/>
        <v>3063.910627861464</v>
      </c>
      <c r="AM27" s="106"/>
      <c r="AN27" s="107">
        <f t="shared" si="6"/>
        <v>1225</v>
      </c>
      <c r="AO27" s="108">
        <f t="shared" si="7"/>
        <v>117.76</v>
      </c>
      <c r="AP27" s="108">
        <f t="shared" si="8"/>
        <v>502.6825</v>
      </c>
      <c r="AQ27" s="108">
        <f t="shared" si="19"/>
        <v>213.64125000000001</v>
      </c>
      <c r="AR27" s="108">
        <f t="shared" si="20"/>
        <v>0</v>
      </c>
      <c r="AS27" s="108">
        <f t="array" ref="AS27">_xlfn.IFS(S27=0,AL27,S27&lt;0,AL27/-S27,S27&gt;0,AL27/S27)</f>
        <v>382.988828482683</v>
      </c>
      <c r="AT27" s="103">
        <f t="shared" si="22"/>
        <v>0.31264394161851672</v>
      </c>
      <c r="AU27" s="103">
        <f t="shared" si="23"/>
        <v>3.252282850566262</v>
      </c>
      <c r="AV27" s="109"/>
      <c r="AW27" s="104">
        <f t="shared" si="11"/>
        <v>0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 t="shared" si="12"/>
        <v>0</v>
      </c>
      <c r="F28" s="101">
        <f>'Юнит 13'!F28</f>
        <v>0</v>
      </c>
      <c r="G28" s="101">
        <f>'Юнит 13'!G28</f>
        <v>0</v>
      </c>
      <c r="H28" s="101">
        <f>'Юнит 13'!H28</f>
        <v>0</v>
      </c>
      <c r="I28" s="101">
        <v>117.76</v>
      </c>
      <c r="J28" s="101">
        <f t="shared" si="0"/>
        <v>0</v>
      </c>
      <c r="K28" s="98">
        <f>'Юнит 13'!K28</f>
        <v>0</v>
      </c>
      <c r="L28" s="98">
        <f>'Юнит 10'!L28+'Юнит 11'!L28+'Юнит 12'!L28+'Юнит 13'!L28</f>
        <v>14</v>
      </c>
      <c r="M28" s="98"/>
      <c r="N28" s="98"/>
      <c r="O28" s="189">
        <f t="shared" si="1"/>
        <v>2</v>
      </c>
      <c r="P28" s="101">
        <f t="shared" si="21"/>
        <v>0.42857142857142855</v>
      </c>
      <c r="Q28" s="98">
        <f>'Юнит 10'!Q28+'Юнит 11'!Q28+'Юнит 12'!Q28+'Юнит 13'!Q28</f>
        <v>3</v>
      </c>
      <c r="R28" s="98">
        <f>'Юнит 10'!R28+'Юнит 11'!R28+'Юнит 12'!R28+'Юнит 13'!R28</f>
        <v>0</v>
      </c>
      <c r="S28" s="101">
        <f t="shared" si="13"/>
        <v>3</v>
      </c>
      <c r="T28" s="98">
        <f>'Юнит 10'!T28+'Юнит 11'!T28+'Юнит 12'!T28+'Юнит 13'!T28</f>
        <v>2017</v>
      </c>
      <c r="U28" s="98">
        <f>'Юнит 10'!U28+'Юнит 11'!U28+'Юнит 12'!U28+'Юнит 13'!U28</f>
        <v>0</v>
      </c>
      <c r="V28" s="101">
        <f t="shared" si="14"/>
        <v>2017</v>
      </c>
      <c r="W28" s="98">
        <f>'Юнит 10'!W28+'Юнит 11'!W28+'Юнит 12'!W28+'Юнит 13'!W28</f>
        <v>3201</v>
      </c>
      <c r="X28" s="98">
        <f>'Юнит 10'!X28+'Юнит 11'!X28+'Юнит 12'!X28+'Юнит 13'!X28</f>
        <v>0</v>
      </c>
      <c r="Y28" s="101">
        <f t="shared" si="3"/>
        <v>3201</v>
      </c>
      <c r="Z28" s="101">
        <f t="shared" si="15"/>
        <v>0</v>
      </c>
      <c r="AA28" s="103">
        <f t="shared" si="4"/>
        <v>1.2678256544461765E-3</v>
      </c>
      <c r="AB28" s="101">
        <f t="shared" si="16"/>
        <v>353.28000000000003</v>
      </c>
      <c r="AC28" s="98">
        <f>'Юнит 10'!AC28+'Юнит 11'!AC28+'Юнит 12'!AC28+'Юнит 13'!AC28</f>
        <v>1439.9</v>
      </c>
      <c r="AD28" s="103">
        <f t="shared" si="5"/>
        <v>0.44982817869415809</v>
      </c>
      <c r="AE28" s="98">
        <f>'Юнит 10'!AE28+'Юнит 11'!AE28+'Юнит 12'!AE28+'Юнит 13'!AE28</f>
        <v>1003.25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0</v>
      </c>
      <c r="AJ28" s="98">
        <f>'Юнит 10'!AJ28+'Юнит 11'!AJ28+'Юнит 12'!AJ28+'Юнит 13'!AJ28</f>
        <v>0</v>
      </c>
      <c r="AK28" s="104">
        <f t="shared" si="17"/>
        <v>20.170000000000002</v>
      </c>
      <c r="AL28" s="105">
        <f t="shared" si="18"/>
        <v>384.39999999999969</v>
      </c>
      <c r="AM28" s="106"/>
      <c r="AN28" s="107">
        <f t="shared" si="6"/>
        <v>1067</v>
      </c>
      <c r="AO28" s="108">
        <f t="shared" si="7"/>
        <v>117.76</v>
      </c>
      <c r="AP28" s="108">
        <f t="shared" si="8"/>
        <v>479.9666666666667</v>
      </c>
      <c r="AQ28" s="108">
        <f t="shared" si="19"/>
        <v>334.41666666666669</v>
      </c>
      <c r="AR28" s="108">
        <f t="shared" si="20"/>
        <v>0</v>
      </c>
      <c r="AS28" s="108">
        <f t="array" ref="AS28">_xlfn.IFS(S28=0,AL28,S28&lt;0,AL28/-S28,S28&gt;0,AL28/S28)</f>
        <v>128.13333333333324</v>
      </c>
      <c r="AT28" s="103">
        <f t="shared" si="22"/>
        <v>0.12008747266479217</v>
      </c>
      <c r="AU28" s="103">
        <f t="shared" si="23"/>
        <v>1.0880887681159412</v>
      </c>
      <c r="AV28" s="109"/>
      <c r="AW28" s="104">
        <f t="shared" si="11"/>
        <v>0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 t="shared" si="12"/>
        <v>0</v>
      </c>
      <c r="F29" s="101">
        <f>'Юнит 13'!F29</f>
        <v>0</v>
      </c>
      <c r="G29" s="101">
        <f>'Юнит 13'!G29</f>
        <v>0</v>
      </c>
      <c r="H29" s="101">
        <f>'Юнит 13'!H29</f>
        <v>0</v>
      </c>
      <c r="I29" s="101">
        <v>117.76</v>
      </c>
      <c r="J29" s="101">
        <f t="shared" si="0"/>
        <v>0</v>
      </c>
      <c r="K29" s="98">
        <f>'Юнит 13'!K29</f>
        <v>0</v>
      </c>
      <c r="L29" s="98">
        <f>'Юнит 10'!L29+'Юнит 11'!L29+'Юнит 12'!L29+'Юнит 13'!L29</f>
        <v>3</v>
      </c>
      <c r="M29" s="98"/>
      <c r="N29" s="98"/>
      <c r="O29" s="189">
        <f t="shared" si="1"/>
        <v>0.42857142857142855</v>
      </c>
      <c r="P29" s="101">
        <f t="shared" si="21"/>
        <v>0.14285714285714285</v>
      </c>
      <c r="Q29" s="98">
        <f>'Юнит 10'!Q29+'Юнит 11'!Q29+'Юнит 12'!Q29+'Юнит 13'!Q29</f>
        <v>1</v>
      </c>
      <c r="R29" s="98">
        <f>'Юнит 10'!R29+'Юнит 11'!R29+'Юнит 12'!R29+'Юнит 13'!R29</f>
        <v>0</v>
      </c>
      <c r="S29" s="101">
        <f t="shared" si="13"/>
        <v>1</v>
      </c>
      <c r="T29" s="98">
        <f>'Юнит 10'!T29+'Юнит 11'!T29+'Юнит 12'!T29+'Юнит 13'!T29</f>
        <v>871</v>
      </c>
      <c r="U29" s="98">
        <f>'Юнит 10'!U29+'Юнит 11'!U29+'Юнит 12'!U29+'Юнит 13'!U29</f>
        <v>0</v>
      </c>
      <c r="V29" s="101">
        <f t="shared" si="14"/>
        <v>871</v>
      </c>
      <c r="W29" s="98">
        <f>'Юнит 10'!W29+'Юнит 11'!W29+'Юнит 12'!W29+'Юнит 13'!W29</f>
        <v>1300</v>
      </c>
      <c r="X29" s="98">
        <f>'Юнит 10'!X29+'Юнит 11'!X29+'Юнит 12'!X29+'Юнит 13'!X29</f>
        <v>0</v>
      </c>
      <c r="Y29" s="101">
        <f t="shared" si="3"/>
        <v>1300</v>
      </c>
      <c r="Z29" s="101">
        <f t="shared" si="15"/>
        <v>0</v>
      </c>
      <c r="AA29" s="103">
        <f t="shared" si="4"/>
        <v>5.1489326797251786E-4</v>
      </c>
      <c r="AB29" s="101">
        <f t="shared" si="16"/>
        <v>117.76</v>
      </c>
      <c r="AC29" s="98">
        <f>'Юнит 10'!AC29+'Юнит 11'!AC29+'Юнит 12'!AC29+'Юнит 13'!AC29</f>
        <v>612.29</v>
      </c>
      <c r="AD29" s="103">
        <f t="shared" si="5"/>
        <v>0.47099230769230765</v>
      </c>
      <c r="AE29" s="98">
        <f>'Юнит 10'!AE29+'Юнит 11'!AE29+'Юнит 12'!AE29+'Юнит 13'!AE29</f>
        <v>179.34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104">
        <f t="shared" si="17"/>
        <v>8.7100000000000009</v>
      </c>
      <c r="AL29" s="105">
        <f t="shared" si="18"/>
        <v>381.90000000000003</v>
      </c>
      <c r="AM29" s="106"/>
      <c r="AN29" s="107">
        <f t="shared" si="6"/>
        <v>1300</v>
      </c>
      <c r="AO29" s="108">
        <f t="shared" si="7"/>
        <v>117.76</v>
      </c>
      <c r="AP29" s="108">
        <f t="shared" si="8"/>
        <v>612.29</v>
      </c>
      <c r="AQ29" s="108">
        <f t="shared" si="19"/>
        <v>179.34</v>
      </c>
      <c r="AR29" s="108">
        <f t="shared" si="20"/>
        <v>0</v>
      </c>
      <c r="AS29" s="108">
        <f t="array" ref="AS29">_xlfn.IFS(S29=0,AL29,S29&lt;0,AL29/-S29,S29&gt;0,AL29/S29)</f>
        <v>381.90000000000003</v>
      </c>
      <c r="AT29" s="103">
        <f t="shared" si="22"/>
        <v>0.29376923076923078</v>
      </c>
      <c r="AU29" s="103">
        <f t="shared" si="23"/>
        <v>3.2430366847826089</v>
      </c>
      <c r="AV29" s="109"/>
      <c r="AW29" s="104">
        <f t="shared" si="11"/>
        <v>0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2"/>
        <v>0</v>
      </c>
      <c r="F30" s="101">
        <f>'Юнит 13'!F30</f>
        <v>0</v>
      </c>
      <c r="G30" s="101">
        <f>'Юнит 13'!G30</f>
        <v>0</v>
      </c>
      <c r="H30" s="101">
        <f>'Юнит 13'!H30</f>
        <v>0</v>
      </c>
      <c r="I30" s="101">
        <v>135.31</v>
      </c>
      <c r="J30" s="101">
        <f t="shared" si="0"/>
        <v>0</v>
      </c>
      <c r="K30" s="98">
        <f>'Юнит 13'!K30</f>
        <v>0</v>
      </c>
      <c r="L30" s="98">
        <f>'Юнит 10'!L30+'Юнит 11'!L30+'Юнит 12'!L30+'Юнит 13'!L30</f>
        <v>80</v>
      </c>
      <c r="M30" s="98"/>
      <c r="N30" s="98"/>
      <c r="O30" s="189">
        <f t="shared" si="1"/>
        <v>11.428571428571429</v>
      </c>
      <c r="P30" s="101">
        <f t="shared" si="21"/>
        <v>3.4285714285714284</v>
      </c>
      <c r="Q30" s="98">
        <f>'Юнит 10'!Q30+'Юнит 11'!Q30+'Юнит 12'!Q30+'Юнит 13'!Q30</f>
        <v>24</v>
      </c>
      <c r="R30" s="98">
        <f>'Юнит 10'!R30+'Юнит 11'!R30+'Юнит 12'!R30+'Юнит 13'!R30</f>
        <v>0</v>
      </c>
      <c r="S30" s="101">
        <f t="shared" si="13"/>
        <v>24</v>
      </c>
      <c r="T30" s="98">
        <f>'Юнит 10'!T30+'Юнит 11'!T30+'Юнит 12'!T30+'Юнит 13'!T30</f>
        <v>20041.379999999997</v>
      </c>
      <c r="U30" s="98">
        <f>'Юнит 10'!U30+'Юнит 11'!U30+'Юнит 12'!U30+'Юнит 13'!U30</f>
        <v>0</v>
      </c>
      <c r="V30" s="101">
        <f t="shared" si="14"/>
        <v>20041.379999999997</v>
      </c>
      <c r="W30" s="98">
        <f>'Юнит 10'!W30+'Юнит 11'!W30+'Юнит 12'!W30+'Юнит 13'!W30</f>
        <v>31499.99</v>
      </c>
      <c r="X30" s="98">
        <f>'Юнит 10'!X30+'Юнит 11'!X30+'Юнит 12'!X30+'Юнит 13'!X30</f>
        <v>0</v>
      </c>
      <c r="Y30" s="101">
        <f t="shared" si="3"/>
        <v>31499.99</v>
      </c>
      <c r="Z30" s="101">
        <f t="shared" si="15"/>
        <v>0</v>
      </c>
      <c r="AA30" s="103">
        <f t="shared" si="4"/>
        <v>1.2476255994001257E-2</v>
      </c>
      <c r="AB30" s="101">
        <f t="shared" si="16"/>
        <v>3247.44</v>
      </c>
      <c r="AC30" s="98">
        <f>'Юнит 10'!AC30+'Юнит 11'!AC30+'Юнит 12'!AC30+'Юнит 13'!AC30</f>
        <v>11862.19</v>
      </c>
      <c r="AD30" s="103">
        <f t="shared" si="5"/>
        <v>0.37657757986589835</v>
      </c>
      <c r="AE30" s="98">
        <f>'Юнит 10'!AE30+'Юнит 11'!AE30+'Юнит 12'!AE30+'Юнит 13'!AE30</f>
        <v>5324.3599999999988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60.110866796174086</v>
      </c>
      <c r="AJ30" s="98">
        <f>'Юнит 10'!AJ30+'Юнит 11'!AJ30+'Юнит 12'!AJ30+'Юнит 13'!AJ30</f>
        <v>0</v>
      </c>
      <c r="AK30" s="104">
        <f t="shared" si="17"/>
        <v>200.41379999999998</v>
      </c>
      <c r="AL30" s="105">
        <f t="shared" si="18"/>
        <v>5805.4753332038272</v>
      </c>
      <c r="AM30" s="106"/>
      <c r="AN30" s="107">
        <f t="shared" si="6"/>
        <v>1312.4995833333335</v>
      </c>
      <c r="AO30" s="108">
        <f t="shared" si="7"/>
        <v>135.31</v>
      </c>
      <c r="AP30" s="108">
        <f t="shared" si="8"/>
        <v>494.25791666666669</v>
      </c>
      <c r="AQ30" s="108">
        <f t="shared" si="19"/>
        <v>221.84833333333327</v>
      </c>
      <c r="AR30" s="108">
        <f t="shared" si="20"/>
        <v>208.33333333333334</v>
      </c>
      <c r="AS30" s="108">
        <f t="array" ref="AS30">_xlfn.IFS(S30=0,AL30,S30&lt;0,AL30/-S30,S30&gt;0,AL30/S30)</f>
        <v>241.89480555015948</v>
      </c>
      <c r="AT30" s="103">
        <f t="shared" si="22"/>
        <v>0.1843008627369033</v>
      </c>
      <c r="AU30" s="103">
        <f t="shared" si="23"/>
        <v>1.787708266574233</v>
      </c>
      <c r="AV30" s="109"/>
      <c r="AW30" s="104">
        <f t="shared" si="11"/>
        <v>0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2"/>
        <v>0</v>
      </c>
      <c r="F31" s="101">
        <f>'Юнит 13'!F31</f>
        <v>0</v>
      </c>
      <c r="G31" s="101">
        <f>'Юнит 13'!G31</f>
        <v>0</v>
      </c>
      <c r="H31" s="101">
        <f>'Юнит 13'!H31</f>
        <v>0</v>
      </c>
      <c r="I31" s="101">
        <v>135.31</v>
      </c>
      <c r="J31" s="101">
        <f t="shared" si="0"/>
        <v>0</v>
      </c>
      <c r="K31" s="98">
        <f>'Юнит 13'!K31</f>
        <v>0</v>
      </c>
      <c r="L31" s="98">
        <f>'Юнит 10'!L31+'Юнит 11'!L31+'Юнит 12'!L31+'Юнит 13'!L31</f>
        <v>94</v>
      </c>
      <c r="M31" s="98"/>
      <c r="N31" s="98"/>
      <c r="O31" s="189">
        <f t="shared" si="1"/>
        <v>13.428571428571429</v>
      </c>
      <c r="P31" s="101">
        <f t="shared" si="21"/>
        <v>6.2857142857142856</v>
      </c>
      <c r="Q31" s="98">
        <f>'Юнит 10'!Q31+'Юнит 11'!Q31+'Юнит 12'!Q31+'Юнит 13'!Q31</f>
        <v>44</v>
      </c>
      <c r="R31" s="98">
        <f>'Юнит 10'!R31+'Юнит 11'!R31+'Юнит 12'!R31+'Юнит 13'!R31</f>
        <v>0</v>
      </c>
      <c r="S31" s="101">
        <f t="shared" si="13"/>
        <v>44</v>
      </c>
      <c r="T31" s="98">
        <f>'Юнит 10'!T31+'Юнит 11'!T31+'Юнит 12'!T31+'Юнит 13'!T31</f>
        <v>36399.03</v>
      </c>
      <c r="U31" s="98">
        <f>'Юнит 10'!U31+'Юнит 11'!U31+'Юнит 12'!U31+'Юнит 13'!U31</f>
        <v>0</v>
      </c>
      <c r="V31" s="101">
        <f t="shared" si="14"/>
        <v>36399.03</v>
      </c>
      <c r="W31" s="98">
        <f>'Юнит 10'!W31+'Юнит 11'!W31+'Юнит 12'!W31+'Юнит 13'!W31</f>
        <v>56299.979999999996</v>
      </c>
      <c r="X31" s="98">
        <f>'Юнит 10'!X31+'Юнит 11'!X31+'Юнит 12'!X31+'Юнит 13'!X31</f>
        <v>0</v>
      </c>
      <c r="Y31" s="101">
        <f t="shared" si="3"/>
        <v>56299.979999999996</v>
      </c>
      <c r="Z31" s="101">
        <f t="shared" si="15"/>
        <v>0</v>
      </c>
      <c r="AA31" s="103">
        <f t="shared" si="4"/>
        <v>2.229883129922107E-2</v>
      </c>
      <c r="AB31" s="101">
        <f t="shared" si="16"/>
        <v>5953.64</v>
      </c>
      <c r="AC31" s="98">
        <f>'Юнит 10'!AC31+'Юнит 11'!AC31+'Юнит 12'!AC31+'Юнит 13'!AC31</f>
        <v>21200.09</v>
      </c>
      <c r="AD31" s="103">
        <f t="shared" si="5"/>
        <v>0.37655590641417636</v>
      </c>
      <c r="AE31" s="98">
        <f>'Юнит 10'!AE31+'Юнит 11'!AE31+'Юнит 12'!AE31+'Юнит 13'!AE31</f>
        <v>6753.7100000000009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104">
        <f t="shared" si="17"/>
        <v>363.99029999999999</v>
      </c>
      <c r="AL31" s="105">
        <f t="shared" si="18"/>
        <v>19960.293204438367</v>
      </c>
      <c r="AM31" s="106"/>
      <c r="AN31" s="107">
        <f t="shared" si="6"/>
        <v>1279.5449999999998</v>
      </c>
      <c r="AO31" s="108">
        <f t="shared" si="7"/>
        <v>135.31</v>
      </c>
      <c r="AP31" s="108">
        <f t="shared" si="8"/>
        <v>481.82022727272727</v>
      </c>
      <c r="AQ31" s="108">
        <f t="shared" si="19"/>
        <v>153.49340909090913</v>
      </c>
      <c r="AR31" s="108">
        <f t="shared" si="20"/>
        <v>45.454545454545453</v>
      </c>
      <c r="AS31" s="108">
        <f t="array" ref="AS31">_xlfn.IFS(S31=0,AL31,S31&lt;0,AL31/-S31,S31&gt;0,AL31/S31)</f>
        <v>453.64302737359924</v>
      </c>
      <c r="AT31" s="103">
        <f t="shared" si="22"/>
        <v>0.35453464112133554</v>
      </c>
      <c r="AU31" s="103">
        <f t="shared" si="23"/>
        <v>3.3526201121395256</v>
      </c>
      <c r="AV31" s="109"/>
      <c r="AW31" s="104">
        <f t="shared" si="11"/>
        <v>0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2"/>
        <v>0</v>
      </c>
      <c r="F32" s="101">
        <f>'Юнит 13'!F32</f>
        <v>0</v>
      </c>
      <c r="G32" s="101">
        <f>'Юнит 13'!G32</f>
        <v>0</v>
      </c>
      <c r="H32" s="101">
        <f>'Юнит 13'!H32</f>
        <v>0</v>
      </c>
      <c r="I32" s="101">
        <v>135.31</v>
      </c>
      <c r="J32" s="101">
        <f t="shared" si="0"/>
        <v>0</v>
      </c>
      <c r="K32" s="98">
        <f>'Юнит 13'!K32</f>
        <v>0</v>
      </c>
      <c r="L32" s="98">
        <f>'Юнит 10'!L32+'Юнит 11'!L32+'Юнит 12'!L32+'Юнит 13'!L32</f>
        <v>55</v>
      </c>
      <c r="M32" s="98"/>
      <c r="N32" s="98"/>
      <c r="O32" s="189">
        <f t="shared" si="1"/>
        <v>7.8571428571428568</v>
      </c>
      <c r="P32" s="101">
        <f t="shared" si="21"/>
        <v>2.1428571428571428</v>
      </c>
      <c r="Q32" s="98">
        <f>'Юнит 10'!Q32+'Юнит 11'!Q32+'Юнит 12'!Q32+'Юнит 13'!Q32</f>
        <v>15</v>
      </c>
      <c r="R32" s="98">
        <f>'Юнит 10'!R32+'Юнит 11'!R32+'Юнит 12'!R32+'Юнит 13'!R32</f>
        <v>0</v>
      </c>
      <c r="S32" s="101">
        <f t="shared" si="13"/>
        <v>15</v>
      </c>
      <c r="T32" s="98">
        <f>'Юнит 10'!T32+'Юнит 11'!T32+'Юнит 12'!T32+'Юнит 13'!T32</f>
        <v>12322.56</v>
      </c>
      <c r="U32" s="98">
        <f>'Юнит 10'!U32+'Юнит 11'!U32+'Юнит 12'!U32+'Юнит 13'!U32</f>
        <v>0</v>
      </c>
      <c r="V32" s="101">
        <f t="shared" si="14"/>
        <v>12322.56</v>
      </c>
      <c r="W32" s="98">
        <f>'Юнит 10'!W32+'Юнит 11'!W32+'Юнит 12'!W32+'Юнит 13'!W32</f>
        <v>19230.080000000002</v>
      </c>
      <c r="X32" s="98">
        <f>'Юнит 10'!X32+'Юнит 11'!X32+'Юнит 12'!X32+'Юнит 13'!X32</f>
        <v>0</v>
      </c>
      <c r="Y32" s="101">
        <f t="shared" si="3"/>
        <v>19230.080000000002</v>
      </c>
      <c r="Z32" s="101">
        <f t="shared" si="15"/>
        <v>0</v>
      </c>
      <c r="AA32" s="103">
        <f t="shared" si="4"/>
        <v>7.6164913342868894E-3</v>
      </c>
      <c r="AB32" s="101">
        <f t="shared" si="16"/>
        <v>2029.65</v>
      </c>
      <c r="AC32" s="98">
        <f>'Юнит 10'!AC32+'Юнит 11'!AC32+'Юнит 12'!AC32+'Юнит 13'!AC32</f>
        <v>7217.9699999999993</v>
      </c>
      <c r="AD32" s="103">
        <f t="shared" si="5"/>
        <v>0.375347892468466</v>
      </c>
      <c r="AE32" s="98">
        <f>'Юнит 10'!AE32+'Юнит 11'!AE32+'Юнит 12'!AE32+'Юнит 13'!AE32</f>
        <v>4496.01</v>
      </c>
      <c r="AF32" s="98">
        <f>'Юнит 10'!AF32+'Юнит 11'!AF32+'Юнит 12'!AF32+'Юнит 13'!AF32</f>
        <v>9009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164.65872428857904</v>
      </c>
      <c r="AJ32" s="98">
        <f>'Юнит 10'!AJ32+'Юнит 11'!AJ32+'Юнит 12'!AJ32+'Юнит 13'!AJ32</f>
        <v>0</v>
      </c>
      <c r="AK32" s="104">
        <f t="shared" si="17"/>
        <v>123.2256</v>
      </c>
      <c r="AL32" s="105">
        <f t="shared" si="18"/>
        <v>-4810.434324288578</v>
      </c>
      <c r="AM32" s="106"/>
      <c r="AN32" s="107">
        <f t="shared" si="6"/>
        <v>1282.0053333333335</v>
      </c>
      <c r="AO32" s="108">
        <f t="shared" si="7"/>
        <v>135.31</v>
      </c>
      <c r="AP32" s="108">
        <f t="shared" si="8"/>
        <v>481.19799999999998</v>
      </c>
      <c r="AQ32" s="108">
        <f t="shared" si="19"/>
        <v>299.73400000000004</v>
      </c>
      <c r="AR32" s="108">
        <f t="shared" si="20"/>
        <v>667.26666666666665</v>
      </c>
      <c r="AS32" s="108">
        <f t="array" ref="AS32">_xlfn.IFS(S32=0,AL32,S32&lt;0,AL32/-S32,S32&gt;0,AL32/S32)</f>
        <v>-320.69562161923852</v>
      </c>
      <c r="AT32" s="103">
        <f t="shared" si="22"/>
        <v>-0.25015155029456859</v>
      </c>
      <c r="AU32" s="103">
        <f t="shared" si="23"/>
        <v>-2.3700807155364609</v>
      </c>
      <c r="AV32" s="109"/>
      <c r="AW32" s="104">
        <f t="shared" si="11"/>
        <v>0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2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0</v>
      </c>
      <c r="L33" s="98">
        <f>'Юнит 10'!L33+'Юнит 11'!L33+'Юнит 12'!L33+'Юнит 13'!L33</f>
        <v>2</v>
      </c>
      <c r="M33" s="98"/>
      <c r="N33" s="98"/>
      <c r="O33" s="189">
        <f t="shared" si="1"/>
        <v>0.2857142857142857</v>
      </c>
      <c r="P33" s="101">
        <f t="shared" si="21"/>
        <v>0</v>
      </c>
      <c r="Q33" s="98">
        <f>'Юнит 10'!Q33+'Юнит 11'!Q33+'Юнит 12'!Q33+'Юнит 13'!Q33</f>
        <v>0</v>
      </c>
      <c r="R33" s="98">
        <f>'Юнит 10'!R33+'Юнит 11'!R33+'Юнит 12'!R33+'Юнит 13'!R33</f>
        <v>0</v>
      </c>
      <c r="S33" s="101">
        <f t="shared" si="13"/>
        <v>0</v>
      </c>
      <c r="T33" s="98">
        <f>'Юнит 10'!T33+'Юнит 11'!T33+'Юнит 12'!T33+'Юнит 13'!T33</f>
        <v>0</v>
      </c>
      <c r="U33" s="98">
        <f>'Юнит 10'!U33+'Юнит 11'!U33+'Юнит 12'!U33+'Юнит 13'!U33</f>
        <v>0</v>
      </c>
      <c r="V33" s="101">
        <f t="shared" si="14"/>
        <v>0</v>
      </c>
      <c r="W33" s="98">
        <f>'Юнит 10'!W33+'Юнит 11'!W33+'Юнит 12'!W33+'Юнит 13'!W33</f>
        <v>0</v>
      </c>
      <c r="X33" s="98">
        <f>'Юнит 10'!X33+'Юнит 11'!X33+'Юнит 12'!X33+'Юнит 13'!X33</f>
        <v>0</v>
      </c>
      <c r="Y33" s="101">
        <f t="shared" si="3"/>
        <v>0</v>
      </c>
      <c r="Z33" s="101">
        <f t="shared" si="15"/>
        <v>0</v>
      </c>
      <c r="AA33" s="103">
        <f t="shared" si="4"/>
        <v>0</v>
      </c>
      <c r="AB33" s="101">
        <f t="shared" si="16"/>
        <v>0</v>
      </c>
      <c r="AC33" s="98">
        <f>'Юнит 10'!AC33+'Юнит 11'!AC33+'Юнит 12'!AC33+'Юнит 13'!AC33</f>
        <v>0</v>
      </c>
      <c r="AD33" s="103">
        <f t="shared" si="5"/>
        <v>0</v>
      </c>
      <c r="AE33" s="98">
        <f>'Юнит 10'!AE33+'Юнит 11'!AE33+'Юнит 12'!AE33+'Юнит 13'!AE33</f>
        <v>230.79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104">
        <f t="shared" si="17"/>
        <v>0</v>
      </c>
      <c r="AL33" s="105">
        <f t="shared" si="18"/>
        <v>-233.318145569526</v>
      </c>
      <c r="AM33" s="106"/>
      <c r="AN33" s="107">
        <f t="shared" si="6"/>
        <v>0</v>
      </c>
      <c r="AO33" s="108">
        <f t="shared" si="7"/>
        <v>129.46</v>
      </c>
      <c r="AP33" s="108">
        <f t="shared" si="8"/>
        <v>0</v>
      </c>
      <c r="AQ33" s="108">
        <f t="shared" si="19"/>
        <v>230.79</v>
      </c>
      <c r="AR33" s="108">
        <f t="shared" si="20"/>
        <v>0</v>
      </c>
      <c r="AS33" s="108">
        <f t="array" ref="AS33">_xlfn.IFS(S33=0,AL33,S33&lt;0,AL33/-S33,S33&gt;0,AL33/S33)</f>
        <v>-233.318145569526</v>
      </c>
      <c r="AT33" s="103">
        <f t="shared" si="22"/>
        <v>0</v>
      </c>
      <c r="AU33" s="103">
        <f t="shared" si="23"/>
        <v>-1.8022411985904989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2"/>
        <v>0</v>
      </c>
      <c r="F34" s="101">
        <f>'Юнит 13'!F34</f>
        <v>0</v>
      </c>
      <c r="G34" s="101">
        <f>'Юнит 13'!G34</f>
        <v>0</v>
      </c>
      <c r="H34" s="101">
        <f>'Юнит 13'!H34</f>
        <v>0</v>
      </c>
      <c r="I34" s="101">
        <v>117.76</v>
      </c>
      <c r="J34" s="101">
        <f t="shared" si="0"/>
        <v>0</v>
      </c>
      <c r="K34" s="98">
        <f>'Юнит 13'!K34</f>
        <v>0</v>
      </c>
      <c r="L34" s="98">
        <f>'Юнит 10'!L34+'Юнит 11'!L34+'Юнит 12'!L34+'Юнит 13'!L34</f>
        <v>56</v>
      </c>
      <c r="M34" s="98"/>
      <c r="N34" s="98"/>
      <c r="O34" s="189">
        <f t="shared" si="1"/>
        <v>8</v>
      </c>
      <c r="P34" s="101">
        <f t="shared" si="21"/>
        <v>5.1428571428571432</v>
      </c>
      <c r="Q34" s="98">
        <f>'Юнит 10'!Q34+'Юнит 11'!Q34+'Юнит 12'!Q34+'Юнит 13'!Q34</f>
        <v>38</v>
      </c>
      <c r="R34" s="98">
        <f>'Юнит 10'!R34+'Юнит 11'!R34+'Юнит 12'!R34+'Юнит 13'!R34</f>
        <v>-2</v>
      </c>
      <c r="S34" s="101">
        <f t="shared" si="13"/>
        <v>36</v>
      </c>
      <c r="T34" s="98">
        <f>'Юнит 10'!T34+'Юнит 11'!T34+'Юнит 12'!T34+'Юнит 13'!T34</f>
        <v>29823.15</v>
      </c>
      <c r="U34" s="98">
        <f>'Юнит 10'!U34+'Юнит 11'!U34+'Юнит 12'!U34+'Юнит 13'!U34</f>
        <v>-1506</v>
      </c>
      <c r="V34" s="101">
        <f t="shared" si="14"/>
        <v>28317.15</v>
      </c>
      <c r="W34" s="98">
        <f>'Юнит 10'!W34+'Юнит 11'!W34+'Юнит 12'!W34+'Юнит 13'!W34</f>
        <v>46169.979999999996</v>
      </c>
      <c r="X34" s="98">
        <f>'Юнит 10'!X34+'Юнит 11'!X34+'Юнит 12'!X34+'Юнит 13'!X34</f>
        <v>-2460</v>
      </c>
      <c r="Y34" s="101">
        <f t="shared" si="3"/>
        <v>43709.979999999996</v>
      </c>
      <c r="Z34" s="101">
        <f t="shared" si="15"/>
        <v>0</v>
      </c>
      <c r="AA34" s="103">
        <f t="shared" si="4"/>
        <v>1.7312288034779532E-2</v>
      </c>
      <c r="AB34" s="101">
        <f t="shared" si="16"/>
        <v>4239.3600000000006</v>
      </c>
      <c r="AC34" s="98">
        <f>'Юнит 10'!AC34+'Юнит 11'!AC34+'Юнит 12'!AC34+'Юнит 13'!AC34</f>
        <v>16906.599999999999</v>
      </c>
      <c r="AD34" s="103">
        <f t="shared" si="5"/>
        <v>0.38679038517061781</v>
      </c>
      <c r="AE34" s="98">
        <f>'Юнит 10'!AE34+'Юнит 11'!AE34+'Юнит 12'!AE34+'Юнит 13'!AE34</f>
        <v>5047.8999999999996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52.150446871829374</v>
      </c>
      <c r="AJ34" s="98">
        <f>'Юнит 10'!AJ34+'Юнит 11'!AJ34+'Юнит 12'!AJ34+'Юнит 13'!AJ34</f>
        <v>0</v>
      </c>
      <c r="AK34" s="104">
        <f t="shared" si="17"/>
        <v>283.17150000000004</v>
      </c>
      <c r="AL34" s="105">
        <f t="shared" si="18"/>
        <v>11180.798053128166</v>
      </c>
      <c r="AM34" s="106"/>
      <c r="AN34" s="107">
        <f t="shared" si="6"/>
        <v>1214.1661111111109</v>
      </c>
      <c r="AO34" s="108">
        <f t="shared" si="7"/>
        <v>117.76</v>
      </c>
      <c r="AP34" s="108">
        <f t="shared" si="8"/>
        <v>469.62777777777774</v>
      </c>
      <c r="AQ34" s="108">
        <f t="shared" si="19"/>
        <v>132.8394736842105</v>
      </c>
      <c r="AR34" s="108">
        <f t="shared" si="20"/>
        <v>157.89473684210526</v>
      </c>
      <c r="AS34" s="108">
        <f t="array" ref="AS34">_xlfn.IFS(S34=0,AL34,S34&lt;0,AL34/-S34,S34&gt;0,AL34/S34)</f>
        <v>310.5777236980046</v>
      </c>
      <c r="AT34" s="103">
        <f t="shared" si="22"/>
        <v>0.25579508508418825</v>
      </c>
      <c r="AU34" s="103">
        <f t="shared" si="23"/>
        <v>2.6373787678159357</v>
      </c>
      <c r="AV34" s="109"/>
      <c r="AW34" s="104">
        <f t="shared" si="11"/>
        <v>0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2"/>
        <v>0</v>
      </c>
      <c r="F35" s="101">
        <f>'Юнит 13'!F35</f>
        <v>0</v>
      </c>
      <c r="G35" s="101">
        <f>'Юнит 13'!G35</f>
        <v>0</v>
      </c>
      <c r="H35" s="101">
        <f>'Юнит 13'!H35</f>
        <v>0</v>
      </c>
      <c r="I35" s="101">
        <v>117.76</v>
      </c>
      <c r="J35" s="101">
        <f t="shared" si="0"/>
        <v>0</v>
      </c>
      <c r="K35" s="98">
        <f>'Юнит 13'!K35</f>
        <v>0</v>
      </c>
      <c r="L35" s="98">
        <f>'Юнит 10'!L35+'Юнит 11'!L35+'Юнит 12'!L35+'Юнит 13'!L35</f>
        <v>13</v>
      </c>
      <c r="M35" s="98"/>
      <c r="N35" s="98"/>
      <c r="O35" s="189">
        <f t="shared" si="1"/>
        <v>1.8571428571428572</v>
      </c>
      <c r="P35" s="101">
        <f t="shared" si="21"/>
        <v>0.8571428571428571</v>
      </c>
      <c r="Q35" s="98">
        <f>'Юнит 10'!Q35+'Юнит 11'!Q35+'Юнит 12'!Q35+'Юнит 13'!Q35</f>
        <v>6</v>
      </c>
      <c r="R35" s="98">
        <f>'Юнит 10'!R35+'Юнит 11'!R35+'Юнит 12'!R35+'Юнит 13'!R35</f>
        <v>0</v>
      </c>
      <c r="S35" s="101">
        <f t="shared" si="13"/>
        <v>6</v>
      </c>
      <c r="T35" s="98">
        <f>'Юнит 10'!T35+'Юнит 11'!T35+'Юнит 12'!T35+'Юнит 13'!T35</f>
        <v>4698</v>
      </c>
      <c r="U35" s="98">
        <f>'Юнит 10'!U35+'Юнит 11'!U35+'Юнит 12'!U35+'Юнит 13'!U35</f>
        <v>0</v>
      </c>
      <c r="V35" s="101">
        <f t="shared" si="14"/>
        <v>4698</v>
      </c>
      <c r="W35" s="98">
        <f>'Юнит 10'!W35+'Юнит 11'!W35+'Юнит 12'!W35+'Юнит 13'!W35</f>
        <v>7410</v>
      </c>
      <c r="X35" s="98">
        <f>'Юнит 10'!X35+'Юнит 11'!X35+'Юнит 12'!X35+'Юнит 13'!X35</f>
        <v>0</v>
      </c>
      <c r="Y35" s="101">
        <f t="shared" si="3"/>
        <v>7410</v>
      </c>
      <c r="Z35" s="101">
        <f t="shared" si="15"/>
        <v>0</v>
      </c>
      <c r="AA35" s="103">
        <f t="shared" si="4"/>
        <v>2.9348916274433514E-3</v>
      </c>
      <c r="AB35" s="101">
        <f t="shared" si="16"/>
        <v>706.56000000000006</v>
      </c>
      <c r="AC35" s="98">
        <f>'Юнит 10'!AC35+'Юнит 11'!AC35+'Юнит 12'!AC35+'Юнит 13'!AC35</f>
        <v>3131.6099999999997</v>
      </c>
      <c r="AD35" s="103">
        <f t="shared" si="5"/>
        <v>0.42261943319838052</v>
      </c>
      <c r="AE35" s="98">
        <f>'Юнит 10'!AE35+'Юнит 11'!AE35+'Юнит 12'!AE35+'Юнит 13'!AE35</f>
        <v>1046.78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104">
        <f t="shared" si="17"/>
        <v>46.980000000000004</v>
      </c>
      <c r="AL35" s="105">
        <f t="shared" si="18"/>
        <v>2477.4385853658537</v>
      </c>
      <c r="AM35" s="106"/>
      <c r="AN35" s="107">
        <f t="shared" si="6"/>
        <v>1235</v>
      </c>
      <c r="AO35" s="108">
        <f t="shared" si="7"/>
        <v>117.76</v>
      </c>
      <c r="AP35" s="108">
        <f t="shared" si="8"/>
        <v>521.93499999999995</v>
      </c>
      <c r="AQ35" s="108">
        <f t="shared" si="19"/>
        <v>174.46333333333334</v>
      </c>
      <c r="AR35" s="108">
        <f t="shared" si="20"/>
        <v>0</v>
      </c>
      <c r="AS35" s="108">
        <f t="array" ref="AS35">_xlfn.IFS(S35=0,AL35,S35&lt;0,AL35/-S35,S35&gt;0,AL35/S35)</f>
        <v>412.90643089430893</v>
      </c>
      <c r="AT35" s="103">
        <f t="shared" si="22"/>
        <v>0.33433719100753762</v>
      </c>
      <c r="AU35" s="103">
        <f t="shared" si="23"/>
        <v>3.5063385775671612</v>
      </c>
      <c r="AV35" s="109"/>
      <c r="AW35" s="104">
        <f t="shared" si="11"/>
        <v>0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2"/>
        <v>0</v>
      </c>
      <c r="F36" s="101">
        <f>'Юнит 13'!F36</f>
        <v>0</v>
      </c>
      <c r="G36" s="101">
        <f>'Юнит 13'!G36</f>
        <v>0</v>
      </c>
      <c r="H36" s="101">
        <f>'Юнит 13'!H36</f>
        <v>0</v>
      </c>
      <c r="I36" s="101">
        <v>117.76</v>
      </c>
      <c r="J36" s="101">
        <f t="shared" si="0"/>
        <v>0</v>
      </c>
      <c r="K36" s="98">
        <f>'Юнит 13'!K36</f>
        <v>0</v>
      </c>
      <c r="L36" s="98">
        <f>'Юнит 10'!L36+'Юнит 11'!L36+'Юнит 12'!L36+'Юнит 13'!L36</f>
        <v>8</v>
      </c>
      <c r="M36" s="98"/>
      <c r="N36" s="98"/>
      <c r="O36" s="189">
        <f t="shared" si="1"/>
        <v>1.1428571428571428</v>
      </c>
      <c r="P36" s="101">
        <f t="shared" si="21"/>
        <v>0.5714285714285714</v>
      </c>
      <c r="Q36" s="98">
        <f>'Юнит 10'!Q36+'Юнит 11'!Q36+'Юнит 12'!Q36+'Юнит 13'!Q36</f>
        <v>4</v>
      </c>
      <c r="R36" s="98">
        <f>'Юнит 10'!R36+'Юнит 11'!R36+'Юнит 12'!R36+'Юнит 13'!R36</f>
        <v>0</v>
      </c>
      <c r="S36" s="101">
        <f t="shared" si="13"/>
        <v>4</v>
      </c>
      <c r="T36" s="98">
        <f>'Юнит 10'!T36+'Юнит 11'!T36+'Юнит 12'!T36+'Юнит 13'!T36</f>
        <v>3293.44</v>
      </c>
      <c r="U36" s="98">
        <f>'Юнит 10'!U36+'Юнит 11'!U36+'Юнит 12'!U36+'Юнит 13'!U36</f>
        <v>0</v>
      </c>
      <c r="V36" s="101">
        <f t="shared" si="14"/>
        <v>3293.44</v>
      </c>
      <c r="W36" s="98">
        <f>'Юнит 10'!W36+'Юнит 11'!W36+'Юнит 12'!W36+'Юнит 13'!W36</f>
        <v>4979.99</v>
      </c>
      <c r="X36" s="98">
        <f>'Юнит 10'!X36+'Юнит 11'!X36+'Юнит 12'!X36+'Юнит 13'!X36</f>
        <v>0</v>
      </c>
      <c r="Y36" s="101">
        <f t="shared" si="3"/>
        <v>4979.99</v>
      </c>
      <c r="Z36" s="101">
        <f t="shared" si="15"/>
        <v>0</v>
      </c>
      <c r="AA36" s="103">
        <f t="shared" si="4"/>
        <v>1.9724333273618915E-3</v>
      </c>
      <c r="AB36" s="101">
        <f t="shared" si="16"/>
        <v>471.04</v>
      </c>
      <c r="AC36" s="98">
        <f>'Юнит 10'!AC36+'Юнит 11'!AC36+'Юнит 12'!AC36+'Юнит 13'!AC36</f>
        <v>2130.87</v>
      </c>
      <c r="AD36" s="103">
        <f t="shared" si="5"/>
        <v>0.42788640137831602</v>
      </c>
      <c r="AE36" s="98">
        <f>'Юнит 10'!AE36+'Юнит 11'!AE36+'Юнит 12'!AE36+'Юнит 13'!AE36</f>
        <v>353.34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0.63141463414634147</v>
      </c>
      <c r="AJ36" s="98">
        <f>'Юнит 10'!AJ36+'Юнит 11'!AJ36+'Юнит 12'!AJ36+'Юнит 13'!AJ36</f>
        <v>0</v>
      </c>
      <c r="AK36" s="104">
        <f t="shared" si="17"/>
        <v>32.934400000000004</v>
      </c>
      <c r="AL36" s="105">
        <f t="shared" si="18"/>
        <v>991.17418536585376</v>
      </c>
      <c r="AM36" s="106"/>
      <c r="AN36" s="107">
        <f t="shared" si="6"/>
        <v>1244.9974999999999</v>
      </c>
      <c r="AO36" s="108">
        <f t="shared" si="7"/>
        <v>117.76</v>
      </c>
      <c r="AP36" s="108">
        <f t="shared" si="8"/>
        <v>532.71749999999997</v>
      </c>
      <c r="AQ36" s="108">
        <f t="shared" si="19"/>
        <v>88.334999999999994</v>
      </c>
      <c r="AR36" s="108">
        <f t="shared" si="20"/>
        <v>250</v>
      </c>
      <c r="AS36" s="108">
        <f t="array" ref="AS36">_xlfn.IFS(S36=0,AL36,S36&lt;0,AL36/-S36,S36&gt;0,AL36/S36)</f>
        <v>247.79354634146344</v>
      </c>
      <c r="AT36" s="103">
        <f t="shared" si="22"/>
        <v>0.19903136057820472</v>
      </c>
      <c r="AU36" s="103">
        <f t="shared" si="23"/>
        <v>2.1042250878181337</v>
      </c>
      <c r="AV36" s="109"/>
      <c r="AW36" s="104">
        <f t="shared" si="11"/>
        <v>0</v>
      </c>
    </row>
    <row r="37" spans="1:49" outlineLevel="1">
      <c r="A37" s="98"/>
      <c r="B37" s="99">
        <v>804632035</v>
      </c>
      <c r="C37" s="99" t="s">
        <v>183</v>
      </c>
      <c r="D37" s="100" t="s">
        <v>260</v>
      </c>
      <c r="E37" s="101">
        <f t="shared" si="12"/>
        <v>0</v>
      </c>
      <c r="F37" s="101">
        <f>'Юнит 13'!F37</f>
        <v>0</v>
      </c>
      <c r="G37" s="101">
        <f>'Юнит 13'!G37</f>
        <v>0</v>
      </c>
      <c r="H37" s="101">
        <f>'Юнит 13'!H37</f>
        <v>0</v>
      </c>
      <c r="I37" s="101">
        <v>218.89</v>
      </c>
      <c r="J37" s="101">
        <f t="shared" si="0"/>
        <v>0</v>
      </c>
      <c r="K37" s="98">
        <f>'Юнит 13'!K37</f>
        <v>0</v>
      </c>
      <c r="L37" s="98">
        <f>'Юнит 10'!L37+'Юнит 11'!L37+'Юнит 12'!L37+'Юнит 13'!L37</f>
        <v>3</v>
      </c>
      <c r="M37" s="98"/>
      <c r="N37" s="98"/>
      <c r="O37" s="189">
        <f t="shared" si="1"/>
        <v>0.42857142857142855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101">
        <f t="shared" si="3"/>
        <v>3420</v>
      </c>
      <c r="Z37" s="101">
        <f t="shared" si="15"/>
        <v>0</v>
      </c>
      <c r="AA37" s="103">
        <f t="shared" si="4"/>
        <v>1.3545653665123162E-3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5"/>
        <v>0.38585380116959062</v>
      </c>
      <c r="AE37" s="98">
        <f>'Юнит 10'!AE37+'Юнит 11'!AE37+'Юнит 12'!AE37+'Юнит 13'!AE37</f>
        <v>300.55999999999995</v>
      </c>
      <c r="AF37" s="98">
        <f>'Юнит 10'!AF37+'Юнит 11'!AF37+'Юнит 12'!AF37+'Юнит 13'!AF37</f>
        <v>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22.595455740605487</v>
      </c>
      <c r="AJ37" s="98">
        <f>'Юнит 10'!AJ37+'Юнит 11'!AJ37+'Юнит 12'!AJ37+'Юнит 13'!AJ37</f>
        <v>0</v>
      </c>
      <c r="AK37" s="104">
        <f t="shared" si="17"/>
        <v>22.21</v>
      </c>
      <c r="AL37" s="105">
        <f t="shared" si="18"/>
        <v>307.34454425939464</v>
      </c>
      <c r="AM37" s="106"/>
      <c r="AN37" s="107">
        <f t="shared" si="6"/>
        <v>1140</v>
      </c>
      <c r="AO37" s="108">
        <f t="shared" si="7"/>
        <v>218.89</v>
      </c>
      <c r="AP37" s="108">
        <f t="shared" si="8"/>
        <v>439.87333333333328</v>
      </c>
      <c r="AQ37" s="108">
        <f t="shared" si="19"/>
        <v>100.18666666666665</v>
      </c>
      <c r="AR37" s="108">
        <f t="shared" si="20"/>
        <v>263.66666666666669</v>
      </c>
      <c r="AS37" s="108">
        <f t="array" ref="AS37">_xlfn.IFS(S37=0,AL37,S37&lt;0,AL37/-S37,S37&gt;0,AL37/S37)</f>
        <v>102.44818141979822</v>
      </c>
      <c r="AT37" s="103">
        <f t="shared" si="22"/>
        <v>8.9866825806840536E-2</v>
      </c>
      <c r="AU37" s="103">
        <f t="shared" si="23"/>
        <v>0.46803500123257447</v>
      </c>
      <c r="AV37" s="109"/>
      <c r="AW37" s="104">
        <f t="shared" si="11"/>
        <v>0</v>
      </c>
    </row>
    <row r="38" spans="1:49" outlineLevel="1">
      <c r="A38" s="98"/>
      <c r="B38" s="99">
        <v>804647664</v>
      </c>
      <c r="C38" s="99" t="s">
        <v>184</v>
      </c>
      <c r="D38" s="100" t="s">
        <v>260</v>
      </c>
      <c r="E38" s="101">
        <f t="shared" si="12"/>
        <v>0</v>
      </c>
      <c r="F38" s="101">
        <f>'Юнит 13'!F38</f>
        <v>0</v>
      </c>
      <c r="G38" s="101">
        <f>'Юнит 13'!G38</f>
        <v>0</v>
      </c>
      <c r="H38" s="101">
        <f>'Юнит 13'!H38</f>
        <v>0</v>
      </c>
      <c r="I38" s="101">
        <v>218.89</v>
      </c>
      <c r="J38" s="101">
        <f t="shared" si="0"/>
        <v>0</v>
      </c>
      <c r="K38" s="98">
        <f>'Юнит 13'!K38</f>
        <v>0</v>
      </c>
      <c r="L38" s="98">
        <f>'Юнит 10'!L38+'Юнит 11'!L38+'Юнит 12'!L38+'Юнит 13'!L38</f>
        <v>3</v>
      </c>
      <c r="M38" s="98"/>
      <c r="N38" s="98"/>
      <c r="O38" s="189">
        <f t="shared" si="1"/>
        <v>0.42857142857142855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101">
        <f t="shared" si="3"/>
        <v>0</v>
      </c>
      <c r="Z38" s="101">
        <f t="shared" si="15"/>
        <v>0</v>
      </c>
      <c r="AA38" s="103">
        <f t="shared" si="4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5"/>
        <v>0</v>
      </c>
      <c r="AE38" s="98">
        <f>'Юнит 10'!AE38+'Юнит 11'!AE38+'Юнит 12'!AE38+'Юнит 13'!AE38</f>
        <v>320.80999999999995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16.650305407404439</v>
      </c>
      <c r="AJ38" s="98">
        <f>'Юнит 10'!AJ38+'Юнит 11'!AJ38+'Юнит 12'!AJ38+'Юнит 13'!AJ38</f>
        <v>0</v>
      </c>
      <c r="AK38" s="104">
        <f t="shared" si="17"/>
        <v>0</v>
      </c>
      <c r="AL38" s="105">
        <f t="shared" si="18"/>
        <v>-1337.4603054074043</v>
      </c>
      <c r="AM38" s="106"/>
      <c r="AN38" s="107">
        <f t="shared" si="6"/>
        <v>0</v>
      </c>
      <c r="AO38" s="108">
        <f t="shared" si="7"/>
        <v>218.89</v>
      </c>
      <c r="AP38" s="108">
        <f t="shared" si="8"/>
        <v>0</v>
      </c>
      <c r="AQ38" s="108">
        <f t="shared" si="19"/>
        <v>320.80999999999995</v>
      </c>
      <c r="AR38" s="108">
        <f t="shared" si="20"/>
        <v>0</v>
      </c>
      <c r="AS38" s="108">
        <f t="array" ref="AS38">_xlfn.IFS(S38=0,AL38,S38&lt;0,AL38/-S38,S38&gt;0,AL38/S38)</f>
        <v>-1337.4603054074043</v>
      </c>
      <c r="AT38" s="103">
        <f t="shared" si="22"/>
        <v>0</v>
      </c>
      <c r="AU38" s="103">
        <f t="shared" si="23"/>
        <v>-6.1101937293042372</v>
      </c>
      <c r="AV38" s="109"/>
      <c r="AW38" s="104">
        <f t="shared" si="11"/>
        <v>0</v>
      </c>
    </row>
    <row r="39" spans="1:49" outlineLevel="1">
      <c r="A39" s="98"/>
      <c r="B39" s="99">
        <v>804587637</v>
      </c>
      <c r="C39" s="99" t="s">
        <v>185</v>
      </c>
      <c r="D39" s="100" t="s">
        <v>260</v>
      </c>
      <c r="E39" s="101">
        <f t="shared" si="12"/>
        <v>0</v>
      </c>
      <c r="F39" s="101">
        <f>'Юнит 13'!F39</f>
        <v>0</v>
      </c>
      <c r="G39" s="101">
        <f>'Юнит 13'!G39</f>
        <v>0</v>
      </c>
      <c r="H39" s="101">
        <f>'Юнит 13'!H39</f>
        <v>0</v>
      </c>
      <c r="I39" s="101">
        <v>178.89</v>
      </c>
      <c r="J39" s="101">
        <f t="shared" si="0"/>
        <v>0</v>
      </c>
      <c r="K39" s="98">
        <f>'Юнит 13'!K39</f>
        <v>0</v>
      </c>
      <c r="L39" s="98">
        <f>'Юнит 10'!L39+'Юнит 11'!L39+'Юнит 12'!L39+'Юнит 13'!L39</f>
        <v>5</v>
      </c>
      <c r="M39" s="98"/>
      <c r="N39" s="98"/>
      <c r="O39" s="189">
        <f t="shared" si="1"/>
        <v>0.7142857142857143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101">
        <f t="shared" si="3"/>
        <v>5152</v>
      </c>
      <c r="Z39" s="101">
        <f t="shared" si="15"/>
        <v>0</v>
      </c>
      <c r="AA39" s="103">
        <f t="shared" si="4"/>
        <v>2.0405616281495478E-3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5"/>
        <v>0.34306871118012416</v>
      </c>
      <c r="AE39" s="98">
        <f>'Юнит 10'!AE39+'Юнит 11'!AE39+'Юнит 12'!AE39+'Юнит 13'!AE39</f>
        <v>430.76</v>
      </c>
      <c r="AF39" s="98">
        <f>'Юнит 10'!AF39+'Юнит 11'!AF39+'Юнит 12'!AF39+'Юнит 13'!AF39</f>
        <v>2000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54.079032437751707</v>
      </c>
      <c r="AJ39" s="98">
        <f>'Юнит 10'!AJ39+'Юнит 11'!AJ39+'Юнит 12'!AJ39+'Юнит 13'!AJ39</f>
        <v>0</v>
      </c>
      <c r="AK39" s="104">
        <f t="shared" si="17"/>
        <v>34.17</v>
      </c>
      <c r="AL39" s="105">
        <f t="shared" si="18"/>
        <v>-376.05903243775123</v>
      </c>
      <c r="AM39" s="106"/>
      <c r="AN39" s="107">
        <f t="shared" si="6"/>
        <v>1288</v>
      </c>
      <c r="AO39" s="108">
        <f t="shared" si="7"/>
        <v>178.89</v>
      </c>
      <c r="AP39" s="108">
        <f t="shared" si="8"/>
        <v>441.87249999999995</v>
      </c>
      <c r="AQ39" s="108">
        <f t="shared" si="19"/>
        <v>86.152000000000001</v>
      </c>
      <c r="AR39" s="108">
        <f t="shared" si="20"/>
        <v>505.2</v>
      </c>
      <c r="AS39" s="108">
        <f t="array" ref="AS39">_xlfn.IFS(S39=0,AL39,S39&lt;0,AL39/-S39,S39&gt;0,AL39/S39)</f>
        <v>-94.014758109437807</v>
      </c>
      <c r="AT39" s="103">
        <f t="shared" si="22"/>
        <v>-7.2992824619128732E-2</v>
      </c>
      <c r="AU39" s="103">
        <f t="shared" si="23"/>
        <v>-0.5255450730026151</v>
      </c>
      <c r="AV39" s="109"/>
      <c r="AW39" s="104">
        <f t="shared" si="11"/>
        <v>0</v>
      </c>
    </row>
    <row r="40" spans="1:49" outlineLevel="1">
      <c r="A40" s="98"/>
      <c r="B40" s="99">
        <v>804573581</v>
      </c>
      <c r="C40" s="99" t="s">
        <v>186</v>
      </c>
      <c r="D40" s="100" t="s">
        <v>260</v>
      </c>
      <c r="E40" s="101">
        <f t="shared" si="12"/>
        <v>0</v>
      </c>
      <c r="F40" s="101">
        <f>'Юнит 13'!F40</f>
        <v>0</v>
      </c>
      <c r="G40" s="101">
        <f>'Юнит 13'!G40</f>
        <v>0</v>
      </c>
      <c r="H40" s="101">
        <f>'Юнит 13'!H40</f>
        <v>0</v>
      </c>
      <c r="I40" s="101">
        <v>178.89</v>
      </c>
      <c r="J40" s="101">
        <f t="shared" si="0"/>
        <v>0</v>
      </c>
      <c r="K40" s="98">
        <f>'Юнит 13'!K40</f>
        <v>0</v>
      </c>
      <c r="L40" s="98">
        <f>'Юнит 10'!L40+'Юнит 11'!L40+'Юнит 12'!L40+'Юнит 13'!L40</f>
        <v>8</v>
      </c>
      <c r="M40" s="98"/>
      <c r="N40" s="98"/>
      <c r="O40" s="189">
        <f t="shared" si="1"/>
        <v>1.1428571428571428</v>
      </c>
      <c r="P40" s="101">
        <f t="shared" si="21"/>
        <v>0.42857142857142855</v>
      </c>
      <c r="Q40" s="98">
        <f>'Юнит 10'!Q40+'Юнит 11'!Q40+'Юнит 12'!Q40+'Юнит 13'!Q40</f>
        <v>3</v>
      </c>
      <c r="R40" s="98">
        <f>'Юнит 10'!R40+'Юнит 11'!R40+'Юнит 12'!R40+'Юнит 13'!R40</f>
        <v>0</v>
      </c>
      <c r="S40" s="101">
        <f t="shared" si="13"/>
        <v>3</v>
      </c>
      <c r="T40" s="98">
        <f>'Юнит 10'!T40+'Юнит 11'!T40+'Юнит 12'!T40+'Юнит 13'!T40</f>
        <v>2396</v>
      </c>
      <c r="U40" s="98">
        <f>'Юнит 10'!U40+'Юнит 11'!U40+'Юнит 12'!U40+'Юнит 13'!U40</f>
        <v>0</v>
      </c>
      <c r="V40" s="101">
        <f t="shared" si="14"/>
        <v>2396</v>
      </c>
      <c r="W40" s="98">
        <f>'Юнит 10'!W40+'Юнит 11'!W40+'Юнит 12'!W40+'Юнит 13'!W40</f>
        <v>3570</v>
      </c>
      <c r="X40" s="98">
        <f>'Юнит 10'!X40+'Юнит 11'!X40+'Юнит 12'!X40+'Юнит 13'!X40</f>
        <v>0</v>
      </c>
      <c r="Y40" s="101">
        <f t="shared" si="3"/>
        <v>3570</v>
      </c>
      <c r="Z40" s="101">
        <f t="shared" si="15"/>
        <v>0</v>
      </c>
      <c r="AA40" s="103">
        <f t="shared" si="4"/>
        <v>1.4139761282014529E-3</v>
      </c>
      <c r="AB40" s="101">
        <f t="shared" si="16"/>
        <v>536.66999999999996</v>
      </c>
      <c r="AC40" s="98">
        <f>'Юнит 10'!AC40+'Юнит 11'!AC40+'Юнит 12'!AC40+'Юнит 13'!AC40</f>
        <v>1592.4999999999998</v>
      </c>
      <c r="AD40" s="103">
        <f t="shared" si="5"/>
        <v>0.44607843137254893</v>
      </c>
      <c r="AE40" s="98">
        <f>'Юнит 10'!AE40+'Юнит 11'!AE40+'Юнит 12'!AE40+'Юнит 13'!AE40</f>
        <v>641.88</v>
      </c>
      <c r="AF40" s="98">
        <f>'Юнит 10'!AF40+'Юнит 11'!AF40+'Юнит 12'!AF40+'Юнит 13'!AF40</f>
        <v>844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14.902961187519928</v>
      </c>
      <c r="AJ40" s="98">
        <f>'Юнит 10'!AJ40+'Юнит 11'!AJ40+'Юнит 12'!AJ40+'Юнит 13'!AJ40</f>
        <v>0</v>
      </c>
      <c r="AK40" s="104">
        <f t="shared" si="17"/>
        <v>23.96</v>
      </c>
      <c r="AL40" s="105">
        <f t="shared" si="18"/>
        <v>-83.91296118751977</v>
      </c>
      <c r="AM40" s="106"/>
      <c r="AN40" s="107">
        <f t="shared" si="6"/>
        <v>1190</v>
      </c>
      <c r="AO40" s="108">
        <f t="shared" si="7"/>
        <v>178.89</v>
      </c>
      <c r="AP40" s="108">
        <f t="shared" si="8"/>
        <v>530.83333333333326</v>
      </c>
      <c r="AQ40" s="108">
        <f t="shared" si="19"/>
        <v>213.96</v>
      </c>
      <c r="AR40" s="108">
        <f t="shared" si="20"/>
        <v>281.33333333333331</v>
      </c>
      <c r="AS40" s="108">
        <f t="array" ref="AS40">_xlfn.IFS(S40=0,AL40,S40&lt;0,AL40/-S40,S40&gt;0,AL40/S40)</f>
        <v>-27.970987062506591</v>
      </c>
      <c r="AT40" s="103">
        <f t="shared" si="22"/>
        <v>-2.3505031144963523E-2</v>
      </c>
      <c r="AU40" s="103">
        <f t="shared" si="23"/>
        <v>-0.15635858383647266</v>
      </c>
      <c r="AV40" s="109"/>
      <c r="AW40" s="104">
        <f t="shared" si="11"/>
        <v>0</v>
      </c>
    </row>
    <row r="41" spans="1:49" outlineLevel="1">
      <c r="A41" s="98"/>
      <c r="B41" s="99">
        <v>804546783</v>
      </c>
      <c r="C41" s="99" t="s">
        <v>187</v>
      </c>
      <c r="D41" s="100" t="s">
        <v>260</v>
      </c>
      <c r="E41" s="101">
        <f t="shared" si="12"/>
        <v>0</v>
      </c>
      <c r="F41" s="101">
        <f>'Юнит 13'!F41</f>
        <v>0</v>
      </c>
      <c r="G41" s="101">
        <f>'Юнит 13'!G41</f>
        <v>0</v>
      </c>
      <c r="H41" s="101">
        <f>'Юнит 13'!H41</f>
        <v>0</v>
      </c>
      <c r="I41" s="101">
        <v>178.89</v>
      </c>
      <c r="J41" s="101">
        <f t="shared" si="0"/>
        <v>0</v>
      </c>
      <c r="K41" s="98">
        <f>'Юнит 13'!K41</f>
        <v>0</v>
      </c>
      <c r="L41" s="98">
        <f>'Юнит 10'!L41+'Юнит 11'!L41+'Юнит 12'!L41+'Юнит 13'!L41</f>
        <v>17</v>
      </c>
      <c r="M41" s="98"/>
      <c r="N41" s="98"/>
      <c r="O41" s="189">
        <f t="shared" si="1"/>
        <v>2.4285714285714284</v>
      </c>
      <c r="P41" s="101">
        <f t="shared" si="21"/>
        <v>2</v>
      </c>
      <c r="Q41" s="98">
        <f>'Юнит 10'!Q41+'Юнит 11'!Q41+'Юнит 12'!Q41+'Юнит 13'!Q41</f>
        <v>14</v>
      </c>
      <c r="R41" s="98">
        <f>'Юнит 10'!R41+'Юнит 11'!R41+'Юнит 12'!R41+'Юнит 13'!R41</f>
        <v>0</v>
      </c>
      <c r="S41" s="101">
        <f t="shared" si="13"/>
        <v>14</v>
      </c>
      <c r="T41" s="98">
        <f>'Юнит 10'!T41+'Юнит 11'!T41+'Юнит 12'!T41+'Юнит 13'!T41</f>
        <v>11023</v>
      </c>
      <c r="U41" s="98">
        <f>'Юнит 10'!U41+'Юнит 11'!U41+'Юнит 12'!U41+'Юнит 13'!U41</f>
        <v>0</v>
      </c>
      <c r="V41" s="101">
        <f t="shared" si="14"/>
        <v>11023</v>
      </c>
      <c r="W41" s="98">
        <f>'Юнит 10'!W41+'Юнит 11'!W41+'Юнит 12'!W41+'Юнит 13'!W41</f>
        <v>16680</v>
      </c>
      <c r="X41" s="98">
        <f>'Юнит 10'!X41+'Юнит 11'!X41+'Юнит 12'!X41+'Юнит 13'!X41</f>
        <v>0</v>
      </c>
      <c r="Y41" s="101">
        <f t="shared" si="3"/>
        <v>16680</v>
      </c>
      <c r="Z41" s="101">
        <f t="shared" si="15"/>
        <v>0</v>
      </c>
      <c r="AA41" s="103">
        <f t="shared" si="4"/>
        <v>6.6064766998319979E-3</v>
      </c>
      <c r="AB41" s="101">
        <f t="shared" si="16"/>
        <v>2504.46</v>
      </c>
      <c r="AC41" s="98">
        <f>'Юнит 10'!AC41+'Юнит 11'!AC41+'Юнит 12'!AC41+'Юнит 13'!AC41</f>
        <v>6142.68</v>
      </c>
      <c r="AD41" s="103">
        <f t="shared" si="5"/>
        <v>0.36826618705035974</v>
      </c>
      <c r="AE41" s="98">
        <f>'Юнит 10'!AE41+'Юнит 11'!AE41+'Юнит 12'!AE41+'Юнит 13'!AE41</f>
        <v>1428.05</v>
      </c>
      <c r="AF41" s="98">
        <f>'Юнит 10'!AF41+'Юнит 11'!AF41+'Юнит 12'!AF41+'Юнит 13'!AF41</f>
        <v>4000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23.787588540308505</v>
      </c>
      <c r="AJ41" s="98">
        <f>'Юнит 10'!AJ41+'Юнит 11'!AJ41+'Юнит 12'!AJ41+'Юнит 13'!AJ41</f>
        <v>0</v>
      </c>
      <c r="AK41" s="104">
        <f t="shared" si="17"/>
        <v>110.23</v>
      </c>
      <c r="AL41" s="105">
        <f t="shared" si="18"/>
        <v>2470.7924114596917</v>
      </c>
      <c r="AM41" s="106"/>
      <c r="AN41" s="107">
        <f t="shared" si="6"/>
        <v>1191.4285714285713</v>
      </c>
      <c r="AO41" s="108">
        <f t="shared" si="7"/>
        <v>178.89</v>
      </c>
      <c r="AP41" s="108">
        <f t="shared" si="8"/>
        <v>438.76285714285717</v>
      </c>
      <c r="AQ41" s="108">
        <f t="shared" si="19"/>
        <v>102.00357142857142</v>
      </c>
      <c r="AR41" s="108">
        <f t="shared" si="20"/>
        <v>285.71428571428572</v>
      </c>
      <c r="AS41" s="108">
        <f t="array" ref="AS41">_xlfn.IFS(S41=0,AL41,S41&lt;0,AL41/-S41,S41&gt;0,AL41/S41)</f>
        <v>176.48517224712083</v>
      </c>
      <c r="AT41" s="103">
        <f t="shared" si="22"/>
        <v>0.14812904145441796</v>
      </c>
      <c r="AU41" s="103">
        <f t="shared" si="23"/>
        <v>0.98655694699044572</v>
      </c>
      <c r="AV41" s="109"/>
      <c r="AW41" s="104">
        <f t="shared" si="11"/>
        <v>0</v>
      </c>
    </row>
    <row r="42" spans="1:49" outlineLevel="1">
      <c r="A42" s="98"/>
      <c r="B42" s="99">
        <v>804671683</v>
      </c>
      <c r="C42" s="99" t="s">
        <v>188</v>
      </c>
      <c r="D42" s="100" t="s">
        <v>260</v>
      </c>
      <c r="E42" s="101">
        <f t="shared" si="12"/>
        <v>0</v>
      </c>
      <c r="F42" s="101">
        <f>'Юнит 13'!F42</f>
        <v>0</v>
      </c>
      <c r="G42" s="101">
        <f>'Юнит 13'!G42</f>
        <v>0</v>
      </c>
      <c r="H42" s="101">
        <f>'Юнит 13'!H42</f>
        <v>0</v>
      </c>
      <c r="I42" s="101">
        <v>178.89</v>
      </c>
      <c r="J42" s="101">
        <f t="shared" si="0"/>
        <v>0</v>
      </c>
      <c r="K42" s="98">
        <f>'Юнит 13'!K42</f>
        <v>0</v>
      </c>
      <c r="L42" s="98">
        <f>'Юнит 10'!L42+'Юнит 11'!L42+'Юнит 12'!L42+'Юнит 13'!L42</f>
        <v>4</v>
      </c>
      <c r="M42" s="98"/>
      <c r="N42" s="98"/>
      <c r="O42" s="189">
        <f t="shared" si="1"/>
        <v>0.5714285714285714</v>
      </c>
      <c r="P42" s="101">
        <f t="shared" si="21"/>
        <v>0.2857142857142857</v>
      </c>
      <c r="Q42" s="98">
        <f>'Юнит 10'!Q42+'Юнит 11'!Q42+'Юнит 12'!Q42+'Юнит 13'!Q42</f>
        <v>3</v>
      </c>
      <c r="R42" s="98">
        <f>'Юнит 10'!R42+'Юнит 11'!R42+'Юнит 12'!R42+'Юнит 13'!R42</f>
        <v>-1</v>
      </c>
      <c r="S42" s="101">
        <f t="shared" si="13"/>
        <v>2</v>
      </c>
      <c r="T42" s="98">
        <f>'Юнит 10'!T42+'Юнит 11'!T42+'Юнит 12'!T42+'Юнит 13'!T42</f>
        <v>2510</v>
      </c>
      <c r="U42" s="98">
        <f>'Юнит 10'!U42+'Юнит 11'!U42+'Юнит 12'!U42+'Юнит 13'!U42</f>
        <v>-851</v>
      </c>
      <c r="V42" s="101">
        <f t="shared" si="14"/>
        <v>1659</v>
      </c>
      <c r="W42" s="98">
        <f>'Юнит 10'!W42+'Юнит 11'!W42+'Юнит 12'!W42+'Юнит 13'!W42</f>
        <v>3792</v>
      </c>
      <c r="X42" s="98">
        <f>'Юнит 10'!X42+'Юнит 11'!X42+'Юнит 12'!X42+'Юнит 13'!X42</f>
        <v>-1296</v>
      </c>
      <c r="Y42" s="101">
        <f t="shared" si="3"/>
        <v>2496</v>
      </c>
      <c r="Z42" s="101">
        <f t="shared" si="15"/>
        <v>0</v>
      </c>
      <c r="AA42" s="103">
        <f t="shared" si="4"/>
        <v>9.8859507450723425E-4</v>
      </c>
      <c r="AB42" s="101">
        <f t="shared" si="16"/>
        <v>357.78</v>
      </c>
      <c r="AC42" s="98">
        <f>'Юнит 10'!AC42+'Юнит 11'!AC42+'Юнит 12'!AC42+'Юнит 13'!AC42</f>
        <v>878.98000000000013</v>
      </c>
      <c r="AD42" s="103">
        <f t="shared" si="5"/>
        <v>0.35215544871794879</v>
      </c>
      <c r="AE42" s="98">
        <f>'Юнит 10'!AE42+'Юнит 11'!AE42+'Юнит 12'!AE42+'Юнит 13'!AE42</f>
        <v>427.31</v>
      </c>
      <c r="AF42" s="98">
        <f>'Юнит 10'!AF42+'Юнит 11'!AF42+'Юнит 12'!AF42+'Юнит 13'!AF42</f>
        <v>100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13.490745203732088</v>
      </c>
      <c r="AJ42" s="98">
        <f>'Юнит 10'!AJ42+'Юнит 11'!AJ42+'Юнит 12'!AJ42+'Юнит 13'!AJ42</f>
        <v>0</v>
      </c>
      <c r="AK42" s="104">
        <f t="shared" si="17"/>
        <v>16.59</v>
      </c>
      <c r="AL42" s="105">
        <f t="shared" si="18"/>
        <v>701.84925479626816</v>
      </c>
      <c r="AM42" s="106"/>
      <c r="AN42" s="107">
        <f t="shared" si="6"/>
        <v>1248</v>
      </c>
      <c r="AO42" s="108">
        <f t="shared" si="7"/>
        <v>178.89</v>
      </c>
      <c r="AP42" s="108">
        <f t="shared" si="8"/>
        <v>439.49000000000007</v>
      </c>
      <c r="AQ42" s="108">
        <f t="shared" si="19"/>
        <v>142.43666666666667</v>
      </c>
      <c r="AR42" s="108">
        <f t="shared" si="20"/>
        <v>33.333333333333336</v>
      </c>
      <c r="AS42" s="108">
        <f t="array" ref="AS42">_xlfn.IFS(S42=0,AL42,S42&lt;0,AL42/-S42,S42&gt;0,AL42/S42)</f>
        <v>350.92462739813408</v>
      </c>
      <c r="AT42" s="103">
        <f t="shared" si="22"/>
        <v>0.2811896052869664</v>
      </c>
      <c r="AU42" s="103">
        <f t="shared" si="23"/>
        <v>1.9616782793791385</v>
      </c>
      <c r="AV42" s="109"/>
      <c r="AW42" s="104">
        <f t="shared" si="11"/>
        <v>0</v>
      </c>
    </row>
    <row r="43" spans="1:49" outlineLevel="1">
      <c r="A43" s="98"/>
      <c r="B43" s="99">
        <v>804691336</v>
      </c>
      <c r="C43" s="99" t="s">
        <v>189</v>
      </c>
      <c r="D43" s="100" t="s">
        <v>260</v>
      </c>
      <c r="E43" s="101">
        <f t="shared" si="12"/>
        <v>0</v>
      </c>
      <c r="F43" s="101">
        <f>'Юнит 13'!F43</f>
        <v>0</v>
      </c>
      <c r="G43" s="101">
        <f>'Юнит 13'!G43</f>
        <v>0</v>
      </c>
      <c r="H43" s="101">
        <f>'Юнит 13'!H43</f>
        <v>0</v>
      </c>
      <c r="I43" s="101">
        <v>178.89</v>
      </c>
      <c r="J43" s="101">
        <f t="shared" si="0"/>
        <v>0</v>
      </c>
      <c r="K43" s="98">
        <f>'Юнит 13'!K43</f>
        <v>0</v>
      </c>
      <c r="L43" s="98">
        <f>'Юнит 10'!L43+'Юнит 11'!L43+'Юнит 12'!L43+'Юнит 13'!L43</f>
        <v>15</v>
      </c>
      <c r="M43" s="98"/>
      <c r="N43" s="98"/>
      <c r="O43" s="189">
        <f t="shared" si="1"/>
        <v>2.1428571428571428</v>
      </c>
      <c r="P43" s="101">
        <f t="shared" si="21"/>
        <v>0.8571428571428571</v>
      </c>
      <c r="Q43" s="98">
        <f>'Юнит 10'!Q43+'Юнит 11'!Q43+'Юнит 12'!Q43+'Юнит 13'!Q43</f>
        <v>6</v>
      </c>
      <c r="R43" s="98">
        <f>'Юнит 10'!R43+'Юнит 11'!R43+'Юнит 12'!R43+'Юнит 13'!R43</f>
        <v>0</v>
      </c>
      <c r="S43" s="101">
        <f t="shared" si="13"/>
        <v>6</v>
      </c>
      <c r="T43" s="98">
        <f>'Юнит 10'!T43+'Юнит 11'!T43+'Юнит 12'!T43+'Юнит 13'!T43</f>
        <v>4658</v>
      </c>
      <c r="U43" s="98">
        <f>'Юнит 10'!U43+'Юнит 11'!U43+'Юнит 12'!U43+'Юнит 13'!U43</f>
        <v>0</v>
      </c>
      <c r="V43" s="101">
        <f t="shared" si="14"/>
        <v>4658</v>
      </c>
      <c r="W43" s="98">
        <f>'Юнит 10'!W43+'Юнит 11'!W43+'Юнит 12'!W43+'Юнит 13'!W43</f>
        <v>7200</v>
      </c>
      <c r="X43" s="98">
        <f>'Юнит 10'!X43+'Юнит 11'!X43+'Юнит 12'!X43+'Юнит 13'!X43</f>
        <v>0</v>
      </c>
      <c r="Y43" s="101">
        <f t="shared" si="3"/>
        <v>7200</v>
      </c>
      <c r="Z43" s="101">
        <f t="shared" si="15"/>
        <v>0</v>
      </c>
      <c r="AA43" s="103">
        <f t="shared" si="4"/>
        <v>2.8517165610785601E-3</v>
      </c>
      <c r="AB43" s="101">
        <f t="shared" si="16"/>
        <v>1073.3399999999999</v>
      </c>
      <c r="AC43" s="98">
        <f>'Юнит 10'!AC43+'Юнит 11'!AC43+'Юнит 12'!AC43+'Юнит 13'!AC43</f>
        <v>2515.5800000000008</v>
      </c>
      <c r="AD43" s="103">
        <f t="shared" si="5"/>
        <v>0.34938611111111123</v>
      </c>
      <c r="AE43" s="98">
        <f>'Юнит 10'!AE43+'Юнит 11'!AE43+'Юнит 12'!AE43+'Юнит 13'!AE43</f>
        <v>1354.65</v>
      </c>
      <c r="AF43" s="98">
        <f>'Юнит 10'!AF43+'Юнит 11'!AF43+'Юнит 12'!AF43+'Юнит 13'!AF43</f>
        <v>6351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48.690100095543663</v>
      </c>
      <c r="AJ43" s="98">
        <f>'Юнит 10'!AJ43+'Юнит 11'!AJ43+'Юнит 12'!AJ43+'Юнит 13'!AJ43</f>
        <v>0</v>
      </c>
      <c r="AK43" s="104">
        <f t="shared" si="17"/>
        <v>46.58</v>
      </c>
      <c r="AL43" s="105">
        <f t="shared" si="18"/>
        <v>-4189.8401000955446</v>
      </c>
      <c r="AM43" s="106"/>
      <c r="AN43" s="107">
        <f t="shared" si="6"/>
        <v>1200</v>
      </c>
      <c r="AO43" s="108">
        <f t="shared" si="7"/>
        <v>178.89</v>
      </c>
      <c r="AP43" s="108">
        <f t="shared" si="8"/>
        <v>419.26333333333349</v>
      </c>
      <c r="AQ43" s="108">
        <f t="shared" si="19"/>
        <v>225.77500000000001</v>
      </c>
      <c r="AR43" s="108">
        <f t="shared" si="20"/>
        <v>1058.5</v>
      </c>
      <c r="AS43" s="108">
        <f t="array" ref="AS43">_xlfn.IFS(S43=0,AL43,S43&lt;0,AL43/-S43,S43&gt;0,AL43/S43)</f>
        <v>-698.30668334925747</v>
      </c>
      <c r="AT43" s="103">
        <f t="shared" si="22"/>
        <v>-0.58192223612438121</v>
      </c>
      <c r="AU43" s="103">
        <f t="shared" si="23"/>
        <v>-3.9035534873344373</v>
      </c>
      <c r="AV43" s="109"/>
      <c r="AW43" s="104">
        <f t="shared" si="11"/>
        <v>0</v>
      </c>
    </row>
    <row r="44" spans="1:49" outlineLevel="1">
      <c r="A44" s="98"/>
      <c r="B44" s="262">
        <v>896611424</v>
      </c>
      <c r="C44" s="262" t="s">
        <v>261</v>
      </c>
      <c r="D44" s="100" t="s">
        <v>260</v>
      </c>
      <c r="E44" s="101">
        <f t="shared" ref="E44:E56" si="24">F44+G44+H44</f>
        <v>0</v>
      </c>
      <c r="F44" s="101">
        <f>'Юнит 13'!F44</f>
        <v>0</v>
      </c>
      <c r="G44" s="101">
        <f>'Юнит 13'!G44</f>
        <v>0</v>
      </c>
      <c r="H44" s="101">
        <f>'Юнит 13'!H44</f>
        <v>0</v>
      </c>
      <c r="I44" s="101">
        <v>228.89</v>
      </c>
      <c r="J44" s="101">
        <f t="shared" ref="J44:J56" si="25">E44*I44</f>
        <v>0</v>
      </c>
      <c r="K44" s="98">
        <f>'Юнит 13'!K44</f>
        <v>0</v>
      </c>
      <c r="L44" s="98">
        <f>'Юнит 10'!L44+'Юнит 11'!L44+'Юнит 12'!L44+'Юнит 13'!L44</f>
        <v>0</v>
      </c>
      <c r="M44" s="98"/>
      <c r="N44" s="98"/>
      <c r="O44" s="189">
        <f t="shared" ref="O44:O56" si="26">L44/7</f>
        <v>0</v>
      </c>
      <c r="P44" s="101">
        <f t="shared" ref="P44:P56" si="27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8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9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101">
        <f t="shared" ref="Y44:Y56" si="30">W44+X44</f>
        <v>0</v>
      </c>
      <c r="Z44" s="101">
        <f t="shared" ref="Z44:Z56" si="31">L44*M44*N44/100</f>
        <v>0</v>
      </c>
      <c r="AA44" s="103">
        <f t="shared" ref="AA44:AA56" si="32">Y44/$Y$70</f>
        <v>0</v>
      </c>
      <c r="AB44" s="101">
        <f t="shared" ref="AB44:AB56" si="33">S44*I44</f>
        <v>0</v>
      </c>
      <c r="AC44" s="98">
        <f>'Юнит 10'!AC44+'Юнит 11'!AC44+'Юнит 12'!AC44+'Юнит 13'!AC44</f>
        <v>0</v>
      </c>
      <c r="AD44" s="103">
        <f t="shared" ref="AD44:AD56" si="34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0</v>
      </c>
      <c r="AJ44" s="98">
        <f>'Юнит 10'!AJ44+'Юнит 11'!AJ44+'Юнит 12'!AJ44+'Юнит 13'!AJ44</f>
        <v>0</v>
      </c>
      <c r="AK44" s="104">
        <f t="shared" ref="AK44:AK56" si="35">V44*1%</f>
        <v>0</v>
      </c>
      <c r="AL44" s="105">
        <f t="shared" ref="AL44:AL56" si="36">Y44-AB44-AC44-AE44-AF44-AG44-AH44-AI44-AK44-AJ44</f>
        <v>0</v>
      </c>
      <c r="AM44" s="106"/>
      <c r="AN44" s="107">
        <f t="shared" ref="AN44:AN56" si="37">IF(S44=0,0,Y44/S44)</f>
        <v>0</v>
      </c>
      <c r="AO44" s="108">
        <f t="shared" ref="AO44:AO56" si="38">I44</f>
        <v>228.89</v>
      </c>
      <c r="AP44" s="108">
        <f t="shared" ref="AP44:AP56" si="39">IF(S44=0,0,AC44/S44)</f>
        <v>0</v>
      </c>
      <c r="AQ44" s="108">
        <f t="shared" ref="AQ44:AQ56" si="40">IF(Q44=0,AE44/1,AE44/Q44)</f>
        <v>0</v>
      </c>
      <c r="AR44" s="108">
        <f t="shared" ref="AR44:AR56" si="41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42">IF(AN44=0,0,AS44/AN44)</f>
        <v>0</v>
      </c>
      <c r="AU44" s="103">
        <f t="shared" ref="AU44:AU56" si="43">IF(AO44=0,0,AS44/AO44)</f>
        <v>0</v>
      </c>
      <c r="AV44" s="109"/>
      <c r="AW44" s="104">
        <f t="shared" ref="AW44:AW56" si="44">AS44*E44</f>
        <v>0</v>
      </c>
    </row>
    <row r="45" spans="1:49" outlineLevel="1">
      <c r="A45" s="98"/>
      <c r="B45" s="262">
        <v>896605671</v>
      </c>
      <c r="C45" s="262" t="s">
        <v>262</v>
      </c>
      <c r="D45" s="100" t="s">
        <v>260</v>
      </c>
      <c r="E45" s="101">
        <f t="shared" si="24"/>
        <v>0</v>
      </c>
      <c r="F45" s="101">
        <f>'Юнит 13'!F45</f>
        <v>0</v>
      </c>
      <c r="G45" s="101">
        <f>'Юнит 13'!G45</f>
        <v>0</v>
      </c>
      <c r="H45" s="101">
        <f>'Юнит 13'!H45</f>
        <v>0</v>
      </c>
      <c r="I45" s="101">
        <v>228.89</v>
      </c>
      <c r="J45" s="101">
        <f t="shared" si="25"/>
        <v>0</v>
      </c>
      <c r="K45" s="98">
        <f>'Юнит 13'!K45</f>
        <v>0</v>
      </c>
      <c r="L45" s="98">
        <f>'Юнит 10'!L45+'Юнит 11'!L45+'Юнит 12'!L45+'Юнит 13'!L45</f>
        <v>0</v>
      </c>
      <c r="M45" s="98"/>
      <c r="N45" s="98"/>
      <c r="O45" s="189">
        <f t="shared" si="26"/>
        <v>0</v>
      </c>
      <c r="P45" s="101">
        <f t="shared" si="27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8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9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101">
        <f t="shared" si="30"/>
        <v>0</v>
      </c>
      <c r="Z45" s="101">
        <f t="shared" si="31"/>
        <v>0</v>
      </c>
      <c r="AA45" s="103">
        <f t="shared" si="32"/>
        <v>0</v>
      </c>
      <c r="AB45" s="101">
        <f t="shared" si="33"/>
        <v>0</v>
      </c>
      <c r="AC45" s="98">
        <f>'Юнит 10'!AC45+'Юнит 11'!AC45+'Юнит 12'!AC45+'Юнит 13'!AC45</f>
        <v>0</v>
      </c>
      <c r="AD45" s="103">
        <f t="shared" si="34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0</v>
      </c>
      <c r="AJ45" s="98">
        <f>'Юнит 10'!AJ45+'Юнит 11'!AJ45+'Юнит 12'!AJ45+'Юнит 13'!AJ45</f>
        <v>0</v>
      </c>
      <c r="AK45" s="104">
        <f t="shared" si="35"/>
        <v>0</v>
      </c>
      <c r="AL45" s="105">
        <f t="shared" si="36"/>
        <v>0</v>
      </c>
      <c r="AM45" s="106"/>
      <c r="AN45" s="107">
        <f t="shared" si="37"/>
        <v>0</v>
      </c>
      <c r="AO45" s="108">
        <f t="shared" si="38"/>
        <v>228.89</v>
      </c>
      <c r="AP45" s="108">
        <f t="shared" si="39"/>
        <v>0</v>
      </c>
      <c r="AQ45" s="108">
        <f t="shared" si="40"/>
        <v>0</v>
      </c>
      <c r="AR45" s="108">
        <f t="shared" si="41"/>
        <v>0</v>
      </c>
      <c r="AS45" s="108">
        <f t="array" ref="AS45">_xlfn.IFS(S45=0,AL45,S45&lt;0,AL45/-S45,S45&gt;0,AL45/S45)</f>
        <v>0</v>
      </c>
      <c r="AT45" s="103">
        <f t="shared" si="42"/>
        <v>0</v>
      </c>
      <c r="AU45" s="103">
        <f t="shared" si="43"/>
        <v>0</v>
      </c>
      <c r="AV45" s="109"/>
      <c r="AW45" s="104">
        <f t="shared" si="44"/>
        <v>0</v>
      </c>
    </row>
    <row r="46" spans="1:49" outlineLevel="1">
      <c r="A46" s="98"/>
      <c r="B46" s="262">
        <v>896358374</v>
      </c>
      <c r="C46" s="262" t="s">
        <v>263</v>
      </c>
      <c r="D46" s="100" t="s">
        <v>260</v>
      </c>
      <c r="E46" s="101">
        <f t="shared" si="24"/>
        <v>0</v>
      </c>
      <c r="F46" s="101">
        <f>'Юнит 13'!F46</f>
        <v>0</v>
      </c>
      <c r="G46" s="101">
        <f>'Юнит 13'!G46</f>
        <v>0</v>
      </c>
      <c r="H46" s="101">
        <f>'Юнит 13'!H46</f>
        <v>0</v>
      </c>
      <c r="I46" s="101">
        <v>178.89</v>
      </c>
      <c r="J46" s="101">
        <f t="shared" si="25"/>
        <v>0</v>
      </c>
      <c r="K46" s="98">
        <f>'Юнит 13'!K46</f>
        <v>0</v>
      </c>
      <c r="L46" s="98">
        <f>'Юнит 10'!L46+'Юнит 11'!L46+'Юнит 12'!L46+'Юнит 13'!L46</f>
        <v>0</v>
      </c>
      <c r="M46" s="98"/>
      <c r="N46" s="98"/>
      <c r="O46" s="189">
        <f t="shared" si="26"/>
        <v>0</v>
      </c>
      <c r="P46" s="101">
        <f t="shared" si="27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8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9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101">
        <f t="shared" si="30"/>
        <v>0</v>
      </c>
      <c r="Z46" s="101">
        <f t="shared" si="31"/>
        <v>0</v>
      </c>
      <c r="AA46" s="103">
        <f t="shared" si="32"/>
        <v>0</v>
      </c>
      <c r="AB46" s="101">
        <f t="shared" si="33"/>
        <v>0</v>
      </c>
      <c r="AC46" s="98">
        <f>'Юнит 10'!AC46+'Юнит 11'!AC46+'Юнит 12'!AC46+'Юнит 13'!AC46</f>
        <v>0</v>
      </c>
      <c r="AD46" s="103">
        <f t="shared" si="34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0</v>
      </c>
      <c r="AJ46" s="98">
        <f>'Юнит 10'!AJ46+'Юнит 11'!AJ46+'Юнит 12'!AJ46+'Юнит 13'!AJ46</f>
        <v>0</v>
      </c>
      <c r="AK46" s="104">
        <f t="shared" si="35"/>
        <v>0</v>
      </c>
      <c r="AL46" s="105">
        <f t="shared" si="36"/>
        <v>0</v>
      </c>
      <c r="AM46" s="106"/>
      <c r="AN46" s="107">
        <f t="shared" si="37"/>
        <v>0</v>
      </c>
      <c r="AO46" s="108">
        <f t="shared" si="38"/>
        <v>178.89</v>
      </c>
      <c r="AP46" s="108">
        <f t="shared" si="39"/>
        <v>0</v>
      </c>
      <c r="AQ46" s="108">
        <f t="shared" si="40"/>
        <v>0</v>
      </c>
      <c r="AR46" s="108">
        <f t="shared" si="41"/>
        <v>0</v>
      </c>
      <c r="AS46" s="108">
        <f t="array" ref="AS46">_xlfn.IFS(S46=0,AL46,S46&lt;0,AL46/-S46,S46&gt;0,AL46/S46)</f>
        <v>0</v>
      </c>
      <c r="AT46" s="103">
        <f t="shared" si="42"/>
        <v>0</v>
      </c>
      <c r="AU46" s="103">
        <f t="shared" si="43"/>
        <v>0</v>
      </c>
      <c r="AV46" s="109"/>
      <c r="AW46" s="104">
        <f t="shared" si="44"/>
        <v>0</v>
      </c>
    </row>
    <row r="47" spans="1:49" outlineLevel="1">
      <c r="A47" s="98"/>
      <c r="B47" s="262">
        <v>896362467</v>
      </c>
      <c r="C47" s="262" t="s">
        <v>264</v>
      </c>
      <c r="D47" s="100" t="s">
        <v>260</v>
      </c>
      <c r="E47" s="101">
        <f t="shared" si="24"/>
        <v>0</v>
      </c>
      <c r="F47" s="101">
        <f>'Юнит 13'!F47</f>
        <v>0</v>
      </c>
      <c r="G47" s="101">
        <f>'Юнит 13'!G47</f>
        <v>0</v>
      </c>
      <c r="H47" s="101">
        <f>'Юнит 13'!H47</f>
        <v>0</v>
      </c>
      <c r="I47" s="101">
        <v>178.89</v>
      </c>
      <c r="J47" s="101">
        <f t="shared" si="25"/>
        <v>0</v>
      </c>
      <c r="K47" s="98">
        <f>'Юнит 13'!K47</f>
        <v>0</v>
      </c>
      <c r="L47" s="98">
        <f>'Юнит 10'!L47+'Юнит 11'!L47+'Юнит 12'!L47+'Юнит 13'!L47</f>
        <v>0</v>
      </c>
      <c r="M47" s="98"/>
      <c r="N47" s="98"/>
      <c r="O47" s="189">
        <f t="shared" si="26"/>
        <v>0</v>
      </c>
      <c r="P47" s="101">
        <f t="shared" si="27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8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9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101">
        <f t="shared" si="30"/>
        <v>0</v>
      </c>
      <c r="Z47" s="101">
        <f t="shared" si="31"/>
        <v>0</v>
      </c>
      <c r="AA47" s="103">
        <f t="shared" si="32"/>
        <v>0</v>
      </c>
      <c r="AB47" s="101">
        <f t="shared" si="33"/>
        <v>0</v>
      </c>
      <c r="AC47" s="98">
        <f>'Юнит 10'!AC47+'Юнит 11'!AC47+'Юнит 12'!AC47+'Юнит 13'!AC47</f>
        <v>0</v>
      </c>
      <c r="AD47" s="103">
        <f t="shared" si="34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0</v>
      </c>
      <c r="AJ47" s="98">
        <f>'Юнит 10'!AJ47+'Юнит 11'!AJ47+'Юнит 12'!AJ47+'Юнит 13'!AJ47</f>
        <v>0</v>
      </c>
      <c r="AK47" s="104">
        <f t="shared" si="35"/>
        <v>0</v>
      </c>
      <c r="AL47" s="105">
        <f t="shared" si="36"/>
        <v>0</v>
      </c>
      <c r="AM47" s="106"/>
      <c r="AN47" s="107">
        <f t="shared" si="37"/>
        <v>0</v>
      </c>
      <c r="AO47" s="108">
        <f t="shared" si="38"/>
        <v>178.89</v>
      </c>
      <c r="AP47" s="108">
        <f t="shared" si="39"/>
        <v>0</v>
      </c>
      <c r="AQ47" s="108">
        <f t="shared" si="40"/>
        <v>0</v>
      </c>
      <c r="AR47" s="108">
        <f t="shared" si="41"/>
        <v>0</v>
      </c>
      <c r="AS47" s="108">
        <f t="array" ref="AS47">_xlfn.IFS(S47=0,AL47,S47&lt;0,AL47/-S47,S47&gt;0,AL47/S47)</f>
        <v>0</v>
      </c>
      <c r="AT47" s="103">
        <f t="shared" si="42"/>
        <v>0</v>
      </c>
      <c r="AU47" s="103">
        <f t="shared" si="43"/>
        <v>0</v>
      </c>
      <c r="AV47" s="109"/>
      <c r="AW47" s="104">
        <f t="shared" si="44"/>
        <v>0</v>
      </c>
    </row>
    <row r="48" spans="1:49" outlineLevel="1">
      <c r="A48" s="98"/>
      <c r="B48" s="262">
        <v>896520695</v>
      </c>
      <c r="C48" s="262" t="s">
        <v>265</v>
      </c>
      <c r="D48" s="100" t="s">
        <v>260</v>
      </c>
      <c r="E48" s="101">
        <f t="shared" si="24"/>
        <v>0</v>
      </c>
      <c r="F48" s="101">
        <f>'Юнит 13'!F48</f>
        <v>0</v>
      </c>
      <c r="G48" s="101">
        <f>'Юнит 13'!G48</f>
        <v>0</v>
      </c>
      <c r="H48" s="101">
        <f>'Юнит 13'!H48</f>
        <v>0</v>
      </c>
      <c r="I48" s="101">
        <v>178.89</v>
      </c>
      <c r="J48" s="101">
        <f t="shared" si="25"/>
        <v>0</v>
      </c>
      <c r="K48" s="98">
        <f>'Юнит 13'!K48</f>
        <v>0</v>
      </c>
      <c r="L48" s="98">
        <f>'Юнит 10'!L48+'Юнит 11'!L48+'Юнит 12'!L48+'Юнит 13'!L48</f>
        <v>0</v>
      </c>
      <c r="M48" s="98"/>
      <c r="N48" s="98"/>
      <c r="O48" s="189">
        <f t="shared" si="26"/>
        <v>0</v>
      </c>
      <c r="P48" s="101">
        <f t="shared" si="27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8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9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101">
        <f t="shared" si="30"/>
        <v>0</v>
      </c>
      <c r="Z48" s="101">
        <f t="shared" si="31"/>
        <v>0</v>
      </c>
      <c r="AA48" s="103">
        <f t="shared" si="32"/>
        <v>0</v>
      </c>
      <c r="AB48" s="101">
        <f t="shared" si="33"/>
        <v>0</v>
      </c>
      <c r="AC48" s="98">
        <f>'Юнит 10'!AC48+'Юнит 11'!AC48+'Юнит 12'!AC48+'Юнит 13'!AC48</f>
        <v>0</v>
      </c>
      <c r="AD48" s="103">
        <f t="shared" si="34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0</v>
      </c>
      <c r="AJ48" s="98">
        <f>'Юнит 10'!AJ48+'Юнит 11'!AJ48+'Юнит 12'!AJ48+'Юнит 13'!AJ48</f>
        <v>0</v>
      </c>
      <c r="AK48" s="104">
        <f t="shared" si="35"/>
        <v>0</v>
      </c>
      <c r="AL48" s="105">
        <f t="shared" si="36"/>
        <v>0</v>
      </c>
      <c r="AM48" s="106"/>
      <c r="AN48" s="107">
        <f t="shared" si="37"/>
        <v>0</v>
      </c>
      <c r="AO48" s="108">
        <f t="shared" si="38"/>
        <v>178.89</v>
      </c>
      <c r="AP48" s="108">
        <f t="shared" si="39"/>
        <v>0</v>
      </c>
      <c r="AQ48" s="108">
        <f t="shared" si="40"/>
        <v>0</v>
      </c>
      <c r="AR48" s="108">
        <f t="shared" si="41"/>
        <v>0</v>
      </c>
      <c r="AS48" s="108">
        <f t="array" ref="AS48">_xlfn.IFS(S48=0,AL48,S48&lt;0,AL48/-S48,S48&gt;0,AL48/S48)</f>
        <v>0</v>
      </c>
      <c r="AT48" s="103">
        <f t="shared" si="42"/>
        <v>0</v>
      </c>
      <c r="AU48" s="103">
        <f t="shared" si="43"/>
        <v>0</v>
      </c>
      <c r="AV48" s="109"/>
      <c r="AW48" s="104">
        <f t="shared" si="44"/>
        <v>0</v>
      </c>
    </row>
    <row r="49" spans="1:49" outlineLevel="1">
      <c r="A49" s="98"/>
      <c r="B49" s="262">
        <v>896533144</v>
      </c>
      <c r="C49" s="262" t="s">
        <v>266</v>
      </c>
      <c r="D49" s="100" t="s">
        <v>260</v>
      </c>
      <c r="E49" s="101">
        <f t="shared" si="24"/>
        <v>0</v>
      </c>
      <c r="F49" s="101">
        <f>'Юнит 13'!F49</f>
        <v>0</v>
      </c>
      <c r="G49" s="101">
        <f>'Юнит 13'!G49</f>
        <v>0</v>
      </c>
      <c r="H49" s="101">
        <f>'Юнит 13'!H49</f>
        <v>0</v>
      </c>
      <c r="I49" s="101">
        <v>178.89</v>
      </c>
      <c r="J49" s="101">
        <f t="shared" si="25"/>
        <v>0</v>
      </c>
      <c r="K49" s="98">
        <f>'Юнит 13'!K49</f>
        <v>0</v>
      </c>
      <c r="L49" s="98">
        <f>'Юнит 10'!L49+'Юнит 11'!L49+'Юнит 12'!L49+'Юнит 13'!L49</f>
        <v>0</v>
      </c>
      <c r="M49" s="98"/>
      <c r="N49" s="98"/>
      <c r="O49" s="189">
        <f t="shared" si="26"/>
        <v>0</v>
      </c>
      <c r="P49" s="101">
        <f t="shared" si="27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8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9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101">
        <f t="shared" si="30"/>
        <v>0</v>
      </c>
      <c r="Z49" s="101">
        <f t="shared" si="31"/>
        <v>0</v>
      </c>
      <c r="AA49" s="103">
        <f t="shared" si="32"/>
        <v>0</v>
      </c>
      <c r="AB49" s="101">
        <f t="shared" si="33"/>
        <v>0</v>
      </c>
      <c r="AC49" s="98">
        <f>'Юнит 10'!AC49+'Юнит 11'!AC49+'Юнит 12'!AC49+'Юнит 13'!AC49</f>
        <v>0</v>
      </c>
      <c r="AD49" s="103">
        <f t="shared" si="34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0</v>
      </c>
      <c r="AJ49" s="98">
        <f>'Юнит 10'!AJ49+'Юнит 11'!AJ49+'Юнит 12'!AJ49+'Юнит 13'!AJ49</f>
        <v>0</v>
      </c>
      <c r="AK49" s="104">
        <f t="shared" si="35"/>
        <v>0</v>
      </c>
      <c r="AL49" s="105">
        <f t="shared" si="36"/>
        <v>0</v>
      </c>
      <c r="AM49" s="106"/>
      <c r="AN49" s="107">
        <f t="shared" si="37"/>
        <v>0</v>
      </c>
      <c r="AO49" s="108">
        <f t="shared" si="38"/>
        <v>178.89</v>
      </c>
      <c r="AP49" s="108">
        <f t="shared" si="39"/>
        <v>0</v>
      </c>
      <c r="AQ49" s="108">
        <f t="shared" si="40"/>
        <v>0</v>
      </c>
      <c r="AR49" s="108">
        <f t="shared" si="41"/>
        <v>0</v>
      </c>
      <c r="AS49" s="108">
        <f t="array" ref="AS49">_xlfn.IFS(S49=0,AL49,S49&lt;0,AL49/-S49,S49&gt;0,AL49/S49)</f>
        <v>0</v>
      </c>
      <c r="AT49" s="103">
        <f t="shared" si="42"/>
        <v>0</v>
      </c>
      <c r="AU49" s="103">
        <f t="shared" si="43"/>
        <v>0</v>
      </c>
      <c r="AV49" s="109"/>
      <c r="AW49" s="104">
        <f t="shared" si="44"/>
        <v>0</v>
      </c>
    </row>
    <row r="50" spans="1:49" outlineLevel="1">
      <c r="A50" s="98"/>
      <c r="B50" s="262">
        <v>896587220</v>
      </c>
      <c r="C50" s="262" t="s">
        <v>267</v>
      </c>
      <c r="D50" s="100" t="s">
        <v>260</v>
      </c>
      <c r="E50" s="101">
        <f t="shared" si="24"/>
        <v>0</v>
      </c>
      <c r="F50" s="101">
        <f>'Юнит 13'!F50</f>
        <v>0</v>
      </c>
      <c r="G50" s="101">
        <f>'Юнит 13'!G50</f>
        <v>0</v>
      </c>
      <c r="H50" s="101">
        <f>'Юнит 13'!H50</f>
        <v>0</v>
      </c>
      <c r="I50" s="101">
        <v>218.89</v>
      </c>
      <c r="J50" s="101">
        <f t="shared" si="25"/>
        <v>0</v>
      </c>
      <c r="K50" s="98">
        <f>'Юнит 13'!K50</f>
        <v>0</v>
      </c>
      <c r="L50" s="98">
        <f>'Юнит 10'!L50+'Юнит 11'!L50+'Юнит 12'!L50+'Юнит 13'!L50</f>
        <v>0</v>
      </c>
      <c r="M50" s="98"/>
      <c r="N50" s="98"/>
      <c r="O50" s="189">
        <f t="shared" si="26"/>
        <v>0</v>
      </c>
      <c r="P50" s="101">
        <f t="shared" si="27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8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9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101">
        <f t="shared" si="30"/>
        <v>0</v>
      </c>
      <c r="Z50" s="101">
        <f t="shared" si="31"/>
        <v>0</v>
      </c>
      <c r="AA50" s="103">
        <f t="shared" si="32"/>
        <v>0</v>
      </c>
      <c r="AB50" s="101">
        <f t="shared" si="33"/>
        <v>0</v>
      </c>
      <c r="AC50" s="98">
        <f>'Юнит 10'!AC50+'Юнит 11'!AC50+'Юнит 12'!AC50+'Юнит 13'!AC50</f>
        <v>0</v>
      </c>
      <c r="AD50" s="103">
        <f t="shared" si="34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0</v>
      </c>
      <c r="AJ50" s="98">
        <f>'Юнит 10'!AJ50+'Юнит 11'!AJ50+'Юнит 12'!AJ50+'Юнит 13'!AJ50</f>
        <v>0</v>
      </c>
      <c r="AK50" s="104">
        <f t="shared" si="35"/>
        <v>0</v>
      </c>
      <c r="AL50" s="105">
        <f t="shared" si="36"/>
        <v>0</v>
      </c>
      <c r="AM50" s="106"/>
      <c r="AN50" s="107">
        <f t="shared" si="37"/>
        <v>0</v>
      </c>
      <c r="AO50" s="108">
        <f t="shared" si="38"/>
        <v>218.89</v>
      </c>
      <c r="AP50" s="108">
        <f t="shared" si="39"/>
        <v>0</v>
      </c>
      <c r="AQ50" s="108">
        <f t="shared" si="40"/>
        <v>0</v>
      </c>
      <c r="AR50" s="108">
        <f t="shared" si="41"/>
        <v>0</v>
      </c>
      <c r="AS50" s="108">
        <f t="array" ref="AS50">_xlfn.IFS(S50=0,AL50,S50&lt;0,AL50/-S50,S50&gt;0,AL50/S50)</f>
        <v>0</v>
      </c>
      <c r="AT50" s="103">
        <f t="shared" si="42"/>
        <v>0</v>
      </c>
      <c r="AU50" s="103">
        <f t="shared" si="43"/>
        <v>0</v>
      </c>
      <c r="AV50" s="109"/>
      <c r="AW50" s="104">
        <f t="shared" si="44"/>
        <v>0</v>
      </c>
    </row>
    <row r="51" spans="1:49" outlineLevel="1">
      <c r="A51" s="98"/>
      <c r="B51" s="262">
        <v>896579390</v>
      </c>
      <c r="C51" s="262" t="s">
        <v>268</v>
      </c>
      <c r="D51" s="100" t="s">
        <v>260</v>
      </c>
      <c r="E51" s="101">
        <f t="shared" si="24"/>
        <v>0</v>
      </c>
      <c r="F51" s="101">
        <f>'Юнит 13'!F51</f>
        <v>0</v>
      </c>
      <c r="G51" s="101">
        <f>'Юнит 13'!G51</f>
        <v>0</v>
      </c>
      <c r="H51" s="101">
        <f>'Юнит 13'!H51</f>
        <v>0</v>
      </c>
      <c r="I51" s="101">
        <v>218.89</v>
      </c>
      <c r="J51" s="101">
        <f t="shared" si="25"/>
        <v>0</v>
      </c>
      <c r="K51" s="98">
        <f>'Юнит 13'!K51</f>
        <v>0</v>
      </c>
      <c r="L51" s="98">
        <f>'Юнит 10'!L51+'Юнит 11'!L51+'Юнит 12'!L51+'Юнит 13'!L51</f>
        <v>0</v>
      </c>
      <c r="M51" s="98"/>
      <c r="N51" s="98"/>
      <c r="O51" s="189">
        <f t="shared" si="26"/>
        <v>0</v>
      </c>
      <c r="P51" s="101">
        <f t="shared" si="27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8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9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101">
        <f t="shared" si="30"/>
        <v>0</v>
      </c>
      <c r="Z51" s="101">
        <f t="shared" si="31"/>
        <v>0</v>
      </c>
      <c r="AA51" s="103">
        <f t="shared" si="32"/>
        <v>0</v>
      </c>
      <c r="AB51" s="101">
        <f t="shared" si="33"/>
        <v>0</v>
      </c>
      <c r="AC51" s="98">
        <f>'Юнит 10'!AC51+'Юнит 11'!AC51+'Юнит 12'!AC51+'Юнит 13'!AC51</f>
        <v>0</v>
      </c>
      <c r="AD51" s="103">
        <f t="shared" si="34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0</v>
      </c>
      <c r="AJ51" s="98">
        <f>'Юнит 10'!AJ51+'Юнит 11'!AJ51+'Юнит 12'!AJ51+'Юнит 13'!AJ51</f>
        <v>0</v>
      </c>
      <c r="AK51" s="104">
        <f t="shared" si="35"/>
        <v>0</v>
      </c>
      <c r="AL51" s="105">
        <f t="shared" si="36"/>
        <v>0</v>
      </c>
      <c r="AM51" s="106"/>
      <c r="AN51" s="107">
        <f t="shared" si="37"/>
        <v>0</v>
      </c>
      <c r="AO51" s="108">
        <f t="shared" si="38"/>
        <v>218.89</v>
      </c>
      <c r="AP51" s="108">
        <f t="shared" si="39"/>
        <v>0</v>
      </c>
      <c r="AQ51" s="108">
        <f t="shared" si="40"/>
        <v>0</v>
      </c>
      <c r="AR51" s="108">
        <f t="shared" si="41"/>
        <v>0</v>
      </c>
      <c r="AS51" s="108">
        <f t="array" ref="AS51">_xlfn.IFS(S51=0,AL51,S51&lt;0,AL51/-S51,S51&gt;0,AL51/S51)</f>
        <v>0</v>
      </c>
      <c r="AT51" s="103">
        <f t="shared" si="42"/>
        <v>0</v>
      </c>
      <c r="AU51" s="103">
        <f t="shared" si="43"/>
        <v>0</v>
      </c>
      <c r="AV51" s="109"/>
      <c r="AW51" s="104">
        <f t="shared" si="44"/>
        <v>0</v>
      </c>
    </row>
    <row r="52" spans="1:49" outlineLevel="1">
      <c r="A52" s="98"/>
      <c r="B52" s="262">
        <v>896599259</v>
      </c>
      <c r="C52" s="262" t="s">
        <v>269</v>
      </c>
      <c r="D52" s="100" t="s">
        <v>260</v>
      </c>
      <c r="E52" s="101">
        <f t="shared" si="24"/>
        <v>0</v>
      </c>
      <c r="F52" s="101">
        <f>'Юнит 13'!F52</f>
        <v>0</v>
      </c>
      <c r="G52" s="101">
        <f>'Юнит 13'!G52</f>
        <v>0</v>
      </c>
      <c r="H52" s="101">
        <f>'Юнит 13'!H52</f>
        <v>0</v>
      </c>
      <c r="I52" s="101">
        <v>218.89</v>
      </c>
      <c r="J52" s="101">
        <f t="shared" si="25"/>
        <v>0</v>
      </c>
      <c r="K52" s="98">
        <f>'Юнит 13'!K52</f>
        <v>0</v>
      </c>
      <c r="L52" s="98">
        <f>'Юнит 10'!L52+'Юнит 11'!L52+'Юнит 12'!L52+'Юнит 13'!L52</f>
        <v>0</v>
      </c>
      <c r="M52" s="98"/>
      <c r="N52" s="98"/>
      <c r="O52" s="189">
        <f t="shared" si="26"/>
        <v>0</v>
      </c>
      <c r="P52" s="101">
        <f t="shared" si="27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8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9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101">
        <f t="shared" si="30"/>
        <v>0</v>
      </c>
      <c r="Z52" s="101">
        <f t="shared" si="31"/>
        <v>0</v>
      </c>
      <c r="AA52" s="103">
        <f t="shared" si="32"/>
        <v>0</v>
      </c>
      <c r="AB52" s="101">
        <f t="shared" si="33"/>
        <v>0</v>
      </c>
      <c r="AC52" s="98">
        <f>'Юнит 10'!AC52+'Юнит 11'!AC52+'Юнит 12'!AC52+'Юнит 13'!AC52</f>
        <v>0</v>
      </c>
      <c r="AD52" s="103">
        <f t="shared" si="34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0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0</v>
      </c>
      <c r="AJ52" s="98">
        <f>'Юнит 10'!AJ52+'Юнит 11'!AJ52+'Юнит 12'!AJ52+'Юнит 13'!AJ52</f>
        <v>0</v>
      </c>
      <c r="AK52" s="104">
        <f t="shared" si="35"/>
        <v>0</v>
      </c>
      <c r="AL52" s="105">
        <f t="shared" si="36"/>
        <v>0</v>
      </c>
      <c r="AM52" s="106"/>
      <c r="AN52" s="107">
        <f t="shared" si="37"/>
        <v>0</v>
      </c>
      <c r="AO52" s="108">
        <f t="shared" si="38"/>
        <v>218.89</v>
      </c>
      <c r="AP52" s="108">
        <f t="shared" si="39"/>
        <v>0</v>
      </c>
      <c r="AQ52" s="108">
        <f t="shared" si="40"/>
        <v>0</v>
      </c>
      <c r="AR52" s="108">
        <f t="shared" si="41"/>
        <v>0</v>
      </c>
      <c r="AS52" s="108">
        <f t="array" ref="AS52">_xlfn.IFS(S52=0,AL52,S52&lt;0,AL52/-S52,S52&gt;0,AL52/S52)</f>
        <v>0</v>
      </c>
      <c r="AT52" s="103">
        <f t="shared" si="42"/>
        <v>0</v>
      </c>
      <c r="AU52" s="103">
        <f t="shared" si="43"/>
        <v>0</v>
      </c>
      <c r="AV52" s="109"/>
      <c r="AW52" s="104">
        <f t="shared" si="44"/>
        <v>0</v>
      </c>
    </row>
    <row r="53" spans="1:49" outlineLevel="1">
      <c r="A53" s="98"/>
      <c r="B53" s="262">
        <v>896547296</v>
      </c>
      <c r="C53" s="262" t="s">
        <v>270</v>
      </c>
      <c r="D53" s="100" t="s">
        <v>260</v>
      </c>
      <c r="E53" s="101">
        <f t="shared" si="24"/>
        <v>0</v>
      </c>
      <c r="F53" s="101">
        <f>'Юнит 13'!F53</f>
        <v>0</v>
      </c>
      <c r="G53" s="101">
        <f>'Юнит 13'!G53</f>
        <v>0</v>
      </c>
      <c r="H53" s="101">
        <f>'Юнит 13'!H53</f>
        <v>0</v>
      </c>
      <c r="I53" s="101">
        <v>188.89</v>
      </c>
      <c r="J53" s="101">
        <f t="shared" si="25"/>
        <v>0</v>
      </c>
      <c r="K53" s="98">
        <f>'Юнит 13'!K53</f>
        <v>0</v>
      </c>
      <c r="L53" s="98">
        <f>'Юнит 10'!L53+'Юнит 11'!L53+'Юнит 12'!L53+'Юнит 13'!L53</f>
        <v>0</v>
      </c>
      <c r="M53" s="98"/>
      <c r="N53" s="98"/>
      <c r="O53" s="189">
        <f t="shared" si="26"/>
        <v>0</v>
      </c>
      <c r="P53" s="101">
        <f t="shared" si="27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8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9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101">
        <f t="shared" si="30"/>
        <v>0</v>
      </c>
      <c r="Z53" s="101">
        <f t="shared" si="31"/>
        <v>0</v>
      </c>
      <c r="AA53" s="103">
        <f t="shared" si="32"/>
        <v>0</v>
      </c>
      <c r="AB53" s="101">
        <f t="shared" si="33"/>
        <v>0</v>
      </c>
      <c r="AC53" s="98">
        <f>'Юнит 10'!AC53+'Юнит 11'!AC53+'Юнит 12'!AC53+'Юнит 13'!AC53</f>
        <v>0</v>
      </c>
      <c r="AD53" s="103">
        <f t="shared" si="34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0</v>
      </c>
      <c r="AJ53" s="98">
        <f>'Юнит 10'!AJ53+'Юнит 11'!AJ53+'Юнит 12'!AJ53+'Юнит 13'!AJ53</f>
        <v>0</v>
      </c>
      <c r="AK53" s="104">
        <f t="shared" si="35"/>
        <v>0</v>
      </c>
      <c r="AL53" s="105">
        <f t="shared" si="36"/>
        <v>0</v>
      </c>
      <c r="AM53" s="106"/>
      <c r="AN53" s="107">
        <f t="shared" si="37"/>
        <v>0</v>
      </c>
      <c r="AO53" s="108">
        <f t="shared" si="38"/>
        <v>188.89</v>
      </c>
      <c r="AP53" s="108">
        <f t="shared" si="39"/>
        <v>0</v>
      </c>
      <c r="AQ53" s="108">
        <f t="shared" si="40"/>
        <v>0</v>
      </c>
      <c r="AR53" s="108">
        <f t="shared" si="41"/>
        <v>0</v>
      </c>
      <c r="AS53" s="108">
        <f t="array" ref="AS53">_xlfn.IFS(S53=0,AL53,S53&lt;0,AL53/-S53,S53&gt;0,AL53/S53)</f>
        <v>0</v>
      </c>
      <c r="AT53" s="103">
        <f t="shared" si="42"/>
        <v>0</v>
      </c>
      <c r="AU53" s="103">
        <f t="shared" si="43"/>
        <v>0</v>
      </c>
      <c r="AV53" s="109"/>
      <c r="AW53" s="104">
        <f t="shared" si="44"/>
        <v>0</v>
      </c>
    </row>
    <row r="54" spans="1:49" outlineLevel="1">
      <c r="A54" s="98"/>
      <c r="B54" s="262">
        <v>896558348</v>
      </c>
      <c r="C54" s="262" t="s">
        <v>271</v>
      </c>
      <c r="D54" s="100" t="s">
        <v>260</v>
      </c>
      <c r="E54" s="101">
        <f t="shared" si="24"/>
        <v>0</v>
      </c>
      <c r="F54" s="101">
        <f>'Юнит 13'!F54</f>
        <v>0</v>
      </c>
      <c r="G54" s="101">
        <f>'Юнит 13'!G54</f>
        <v>0</v>
      </c>
      <c r="H54" s="101">
        <f>'Юнит 13'!H54</f>
        <v>0</v>
      </c>
      <c r="I54" s="101">
        <v>218.89</v>
      </c>
      <c r="J54" s="101">
        <f t="shared" si="25"/>
        <v>0</v>
      </c>
      <c r="K54" s="98">
        <f>'Юнит 13'!K54</f>
        <v>0</v>
      </c>
      <c r="L54" s="98">
        <f>'Юнит 10'!L54+'Юнит 11'!L54+'Юнит 12'!L54+'Юнит 13'!L54</f>
        <v>0</v>
      </c>
      <c r="M54" s="98"/>
      <c r="N54" s="98"/>
      <c r="O54" s="189">
        <f t="shared" si="26"/>
        <v>0</v>
      </c>
      <c r="P54" s="101">
        <f t="shared" si="27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8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9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101">
        <f t="shared" si="30"/>
        <v>0</v>
      </c>
      <c r="Z54" s="101">
        <f t="shared" si="31"/>
        <v>0</v>
      </c>
      <c r="AA54" s="103">
        <f t="shared" si="32"/>
        <v>0</v>
      </c>
      <c r="AB54" s="101">
        <f t="shared" si="33"/>
        <v>0</v>
      </c>
      <c r="AC54" s="98">
        <f>'Юнит 10'!AC54+'Юнит 11'!AC54+'Юнит 12'!AC54+'Юнит 13'!AC54</f>
        <v>0</v>
      </c>
      <c r="AD54" s="103">
        <f t="shared" si="34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0</v>
      </c>
      <c r="AJ54" s="98">
        <f>'Юнит 10'!AJ54+'Юнит 11'!AJ54+'Юнит 12'!AJ54+'Юнит 13'!AJ54</f>
        <v>0</v>
      </c>
      <c r="AK54" s="104">
        <f t="shared" si="35"/>
        <v>0</v>
      </c>
      <c r="AL54" s="105">
        <f t="shared" si="36"/>
        <v>0</v>
      </c>
      <c r="AM54" s="106"/>
      <c r="AN54" s="107">
        <f t="shared" si="37"/>
        <v>0</v>
      </c>
      <c r="AO54" s="108">
        <f t="shared" si="38"/>
        <v>218.89</v>
      </c>
      <c r="AP54" s="108">
        <f t="shared" si="39"/>
        <v>0</v>
      </c>
      <c r="AQ54" s="108">
        <f t="shared" si="40"/>
        <v>0</v>
      </c>
      <c r="AR54" s="108">
        <f t="shared" si="41"/>
        <v>0</v>
      </c>
      <c r="AS54" s="108">
        <f t="array" ref="AS54">_xlfn.IFS(S54=0,AL54,S54&lt;0,AL54/-S54,S54&gt;0,AL54/S54)</f>
        <v>0</v>
      </c>
      <c r="AT54" s="103">
        <f t="shared" si="42"/>
        <v>0</v>
      </c>
      <c r="AU54" s="103">
        <f t="shared" si="43"/>
        <v>0</v>
      </c>
      <c r="AV54" s="109"/>
      <c r="AW54" s="104">
        <f t="shared" si="44"/>
        <v>0</v>
      </c>
    </row>
    <row r="55" spans="1:49" outlineLevel="1">
      <c r="A55" s="98"/>
      <c r="B55" s="262">
        <v>896563156</v>
      </c>
      <c r="C55" s="262" t="s">
        <v>272</v>
      </c>
      <c r="D55" s="100" t="s">
        <v>260</v>
      </c>
      <c r="E55" s="101">
        <f t="shared" si="24"/>
        <v>0</v>
      </c>
      <c r="F55" s="101">
        <f>'Юнит 13'!F55</f>
        <v>0</v>
      </c>
      <c r="G55" s="101">
        <f>'Юнит 13'!G55</f>
        <v>0</v>
      </c>
      <c r="H55" s="101">
        <f>'Юнит 13'!H55</f>
        <v>0</v>
      </c>
      <c r="I55" s="101">
        <v>218.89</v>
      </c>
      <c r="J55" s="101">
        <f t="shared" si="25"/>
        <v>0</v>
      </c>
      <c r="K55" s="98">
        <f>'Юнит 13'!K55</f>
        <v>0</v>
      </c>
      <c r="L55" s="98">
        <f>'Юнит 10'!L55+'Юнит 11'!L55+'Юнит 12'!L55+'Юнит 13'!L55</f>
        <v>0</v>
      </c>
      <c r="M55" s="98"/>
      <c r="N55" s="98"/>
      <c r="O55" s="189">
        <f t="shared" si="26"/>
        <v>0</v>
      </c>
      <c r="P55" s="101">
        <f t="shared" si="27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8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9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101">
        <f t="shared" si="30"/>
        <v>0</v>
      </c>
      <c r="Z55" s="101">
        <f t="shared" si="31"/>
        <v>0</v>
      </c>
      <c r="AA55" s="103">
        <f t="shared" si="32"/>
        <v>0</v>
      </c>
      <c r="AB55" s="101">
        <f t="shared" si="33"/>
        <v>0</v>
      </c>
      <c r="AC55" s="98">
        <f>'Юнит 10'!AC55+'Юнит 11'!AC55+'Юнит 12'!AC55+'Юнит 13'!AC55</f>
        <v>0</v>
      </c>
      <c r="AD55" s="103">
        <f t="shared" si="34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0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0</v>
      </c>
      <c r="AJ55" s="98">
        <f>'Юнит 10'!AJ55+'Юнит 11'!AJ55+'Юнит 12'!AJ55+'Юнит 13'!AJ55</f>
        <v>0</v>
      </c>
      <c r="AK55" s="104">
        <f t="shared" si="35"/>
        <v>0</v>
      </c>
      <c r="AL55" s="105">
        <f t="shared" si="36"/>
        <v>0</v>
      </c>
      <c r="AM55" s="106"/>
      <c r="AN55" s="107">
        <f t="shared" si="37"/>
        <v>0</v>
      </c>
      <c r="AO55" s="108">
        <f t="shared" si="38"/>
        <v>218.89</v>
      </c>
      <c r="AP55" s="108">
        <f t="shared" si="39"/>
        <v>0</v>
      </c>
      <c r="AQ55" s="108">
        <f t="shared" si="40"/>
        <v>0</v>
      </c>
      <c r="AR55" s="108">
        <f t="shared" si="41"/>
        <v>0</v>
      </c>
      <c r="AS55" s="108">
        <f t="array" ref="AS55">_xlfn.IFS(S55=0,AL55,S55&lt;0,AL55/-S55,S55&gt;0,AL55/S55)</f>
        <v>0</v>
      </c>
      <c r="AT55" s="103">
        <f t="shared" si="42"/>
        <v>0</v>
      </c>
      <c r="AU55" s="103">
        <f t="shared" si="43"/>
        <v>0</v>
      </c>
      <c r="AV55" s="109"/>
      <c r="AW55" s="104">
        <f t="shared" si="44"/>
        <v>0</v>
      </c>
    </row>
    <row r="56" spans="1:49" outlineLevel="1">
      <c r="A56" s="98"/>
      <c r="B56" s="262">
        <v>896345442</v>
      </c>
      <c r="C56" s="262" t="s">
        <v>273</v>
      </c>
      <c r="D56" s="100" t="s">
        <v>260</v>
      </c>
      <c r="E56" s="101">
        <f t="shared" si="24"/>
        <v>0</v>
      </c>
      <c r="F56" s="101">
        <f>'Юнит 13'!F56</f>
        <v>0</v>
      </c>
      <c r="G56" s="101">
        <f>'Юнит 13'!G56</f>
        <v>0</v>
      </c>
      <c r="H56" s="101">
        <f>'Юнит 13'!H56</f>
        <v>0</v>
      </c>
      <c r="I56" s="101">
        <v>188.89</v>
      </c>
      <c r="J56" s="101">
        <f t="shared" si="25"/>
        <v>0</v>
      </c>
      <c r="K56" s="98">
        <f>'Юнит 13'!K56</f>
        <v>0</v>
      </c>
      <c r="L56" s="98">
        <f>'Юнит 10'!L56+'Юнит 11'!L56+'Юнит 12'!L56+'Юнит 13'!L56</f>
        <v>0</v>
      </c>
      <c r="M56" s="98"/>
      <c r="N56" s="98"/>
      <c r="O56" s="189">
        <f t="shared" si="26"/>
        <v>0</v>
      </c>
      <c r="P56" s="101">
        <f t="shared" si="27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8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9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101">
        <f t="shared" si="30"/>
        <v>0</v>
      </c>
      <c r="Z56" s="101">
        <f t="shared" si="31"/>
        <v>0</v>
      </c>
      <c r="AA56" s="103">
        <f t="shared" si="32"/>
        <v>0</v>
      </c>
      <c r="AB56" s="101">
        <f t="shared" si="33"/>
        <v>0</v>
      </c>
      <c r="AC56" s="98">
        <f>'Юнит 10'!AC56+'Юнит 11'!AC56+'Юнит 12'!AC56+'Юнит 13'!AC56</f>
        <v>0</v>
      </c>
      <c r="AD56" s="103">
        <f t="shared" si="34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0</v>
      </c>
      <c r="AJ56" s="98">
        <f>'Юнит 10'!AJ56+'Юнит 11'!AJ56+'Юнит 12'!AJ56+'Юнит 13'!AJ56</f>
        <v>0</v>
      </c>
      <c r="AK56" s="104">
        <f t="shared" si="35"/>
        <v>0</v>
      </c>
      <c r="AL56" s="105">
        <f t="shared" si="36"/>
        <v>0</v>
      </c>
      <c r="AM56" s="106"/>
      <c r="AN56" s="107">
        <f t="shared" si="37"/>
        <v>0</v>
      </c>
      <c r="AO56" s="108">
        <f t="shared" si="38"/>
        <v>188.89</v>
      </c>
      <c r="AP56" s="108">
        <f t="shared" si="39"/>
        <v>0</v>
      </c>
      <c r="AQ56" s="108">
        <f t="shared" si="40"/>
        <v>0</v>
      </c>
      <c r="AR56" s="108">
        <f t="shared" si="41"/>
        <v>0</v>
      </c>
      <c r="AS56" s="108">
        <f t="array" ref="AS56">_xlfn.IFS(S56=0,AL56,S56&lt;0,AL56/-S56,S56&gt;0,AL56/S56)</f>
        <v>0</v>
      </c>
      <c r="AT56" s="103">
        <f t="shared" si="42"/>
        <v>0</v>
      </c>
      <c r="AU56" s="103">
        <f t="shared" si="43"/>
        <v>0</v>
      </c>
      <c r="AV56" s="109"/>
      <c r="AW56" s="104">
        <f t="shared" si="44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115"/>
      <c r="Z57" s="115"/>
      <c r="AA57" s="117"/>
      <c r="AB57" s="115"/>
      <c r="AC57" s="113"/>
      <c r="AD57" s="117"/>
      <c r="AE57" s="113"/>
      <c r="AF57" s="113"/>
      <c r="AG57" s="113"/>
      <c r="AH57" s="116"/>
      <c r="AI57" s="416"/>
      <c r="AJ57" s="113"/>
      <c r="AK57" s="119"/>
      <c r="AL57" s="120"/>
      <c r="AM57" s="121"/>
      <c r="AN57" s="122">
        <f t="shared" ref="AN57:AU57" si="45">AVERAGE(AN3:AN56)</f>
        <v>889.56704376496066</v>
      </c>
      <c r="AO57" s="122">
        <f t="shared" si="45"/>
        <v>160.80574074074084</v>
      </c>
      <c r="AP57" s="122">
        <f t="shared" si="45"/>
        <v>343.08217503444598</v>
      </c>
      <c r="AQ57" s="122">
        <f t="shared" si="45"/>
        <v>121.94135001677179</v>
      </c>
      <c r="AR57" s="122">
        <f t="shared" si="45"/>
        <v>140.33842735742471</v>
      </c>
      <c r="AS57" s="122">
        <f t="shared" si="45"/>
        <v>141.85599288094724</v>
      </c>
      <c r="AT57" s="123">
        <f t="shared" si="45"/>
        <v>0.13941436295765999</v>
      </c>
      <c r="AU57" s="122">
        <f t="shared" si="45"/>
        <v>1.1249115920358497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4248</v>
      </c>
      <c r="M58" s="127"/>
      <c r="N58" s="127"/>
      <c r="O58" s="127"/>
      <c r="P58" s="127"/>
      <c r="Q58" s="127">
        <f t="shared" ref="Q58:AC58" si="46">SUM(Q3:Q56)</f>
        <v>2126</v>
      </c>
      <c r="R58" s="127">
        <f t="shared" si="46"/>
        <v>-43</v>
      </c>
      <c r="S58" s="127">
        <f t="shared" si="46"/>
        <v>2083</v>
      </c>
      <c r="T58" s="127">
        <f t="shared" si="46"/>
        <v>1682936.01</v>
      </c>
      <c r="U58" s="127">
        <f t="shared" si="46"/>
        <v>-34171.520000000004</v>
      </c>
      <c r="V58" s="127">
        <f t="shared" si="46"/>
        <v>1648764.49</v>
      </c>
      <c r="W58" s="127">
        <f t="shared" si="46"/>
        <v>2570624.1300000004</v>
      </c>
      <c r="X58" s="127">
        <f t="shared" si="46"/>
        <v>-52509.03</v>
      </c>
      <c r="Y58" s="127">
        <f t="shared" si="46"/>
        <v>2518115.1</v>
      </c>
      <c r="Z58" s="127">
        <f t="shared" si="46"/>
        <v>0</v>
      </c>
      <c r="AA58" s="128">
        <f t="shared" si="46"/>
        <v>0.99735424074611034</v>
      </c>
      <c r="AB58" s="129">
        <f t="shared" si="46"/>
        <v>275700.88</v>
      </c>
      <c r="AC58" s="127">
        <f t="shared" si="46"/>
        <v>950683.75999999978</v>
      </c>
      <c r="AD58" s="128">
        <f>AC58/Y58</f>
        <v>0.37753784963999454</v>
      </c>
      <c r="AE58" s="127">
        <f t="shared" ref="AE58:AL58" si="47">SUM(AE3:AE56)</f>
        <v>260514.04000000004</v>
      </c>
      <c r="AF58" s="127">
        <f t="shared" si="47"/>
        <v>278069</v>
      </c>
      <c r="AG58" s="127">
        <f t="shared" si="47"/>
        <v>14284</v>
      </c>
      <c r="AH58" s="127">
        <f t="shared" si="47"/>
        <v>0</v>
      </c>
      <c r="AI58" s="271">
        <f t="shared" ref="AI58" si="48">SUM(AI3:AI56)</f>
        <v>6932.641512195125</v>
      </c>
      <c r="AJ58" s="127">
        <f t="shared" si="47"/>
        <v>30</v>
      </c>
      <c r="AK58" s="127">
        <f t="shared" si="47"/>
        <v>16487.644900000007</v>
      </c>
      <c r="AL58" s="127">
        <f t="shared" si="47"/>
        <v>715413.13358780509</v>
      </c>
      <c r="AM58" s="130"/>
      <c r="AN58" s="127"/>
      <c r="AO58" s="127"/>
      <c r="AP58" s="127"/>
      <c r="AQ58" s="127"/>
      <c r="AR58" s="127">
        <f>(AF58+AG58)/Q58</f>
        <v>137.5131702728128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102"/>
      <c r="Z59" s="102"/>
      <c r="AA59" s="134"/>
      <c r="AB59" s="102"/>
      <c r="AC59" s="98"/>
      <c r="AD59" s="134"/>
      <c r="AE59" s="98"/>
      <c r="AF59" s="98"/>
      <c r="AG59" s="98"/>
      <c r="AH59" s="356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224</v>
      </c>
      <c r="D60" s="100" t="s">
        <v>226</v>
      </c>
      <c r="E60" s="101">
        <f t="shared" ref="E60:E66" si="49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50">E60*I60</f>
        <v>0</v>
      </c>
      <c r="K60" s="98">
        <f>'Юнит 13'!K60</f>
        <v>0</v>
      </c>
      <c r="L60" s="98">
        <f>'Юнит 10'!L60+'Юнит 11'!L60+'Юнит 12'!L60+'Юнит 13'!L60</f>
        <v>1</v>
      </c>
      <c r="M60" s="98"/>
      <c r="N60" s="98"/>
      <c r="O60" s="101">
        <f t="shared" ref="O60:O66" si="51">L60/7</f>
        <v>0.14285714285714285</v>
      </c>
      <c r="P60" s="101">
        <f t="shared" ref="P60:P66" si="52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3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4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101">
        <f t="shared" ref="Y60:Y66" si="55">W60+X60</f>
        <v>0</v>
      </c>
      <c r="Z60" s="101">
        <f t="shared" ref="Z60:Z66" si="56">L60*M60*N60/100</f>
        <v>0</v>
      </c>
      <c r="AA60" s="103" t="e">
        <f>Y60/#REF!</f>
        <v>#REF!</v>
      </c>
      <c r="AB60" s="101">
        <f t="shared" ref="AB60:AB66" si="57">S60*I60</f>
        <v>0</v>
      </c>
      <c r="AC60" s="98">
        <f>'Юнит 10'!AC60+'Юнит 11'!AC60+'Юнит 12'!AC60+'Юнит 13'!AC60</f>
        <v>0</v>
      </c>
      <c r="AD60" s="103">
        <f t="shared" ref="AD60:AD66" si="58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104">
        <f t="shared" ref="AK60:AK66" si="59">V60*1%</f>
        <v>0</v>
      </c>
      <c r="AL60" s="105">
        <f t="shared" ref="AL60:AL66" si="60">Y60-AB60-AC60-AE60-AF60-AG60-AH60-AI60-AK60-AJ60</f>
        <v>-5326.08</v>
      </c>
      <c r="AM60" s="106"/>
      <c r="AN60" s="107">
        <f t="shared" ref="AN60:AN66" si="61">IF(S60=0,0,Y60/S60)</f>
        <v>0</v>
      </c>
      <c r="AO60" s="108">
        <f t="shared" ref="AO60:AO66" si="62">I60</f>
        <v>533.55999999999995</v>
      </c>
      <c r="AP60" s="108">
        <f t="shared" ref="AP60:AP66" si="63">IF(S60=0,0,AC60/S60)</f>
        <v>0</v>
      </c>
      <c r="AQ60" s="108">
        <f t="shared" ref="AQ60:AQ66" si="64">IF(Q60=0,AE60/1,AE60/Q60)</f>
        <v>0</v>
      </c>
      <c r="AR60" s="108">
        <f t="shared" ref="AR60:AR66" si="65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6">IF(AN60=0,0,AS60/AN60)</f>
        <v>0</v>
      </c>
      <c r="AU60" s="103">
        <f t="shared" ref="AU60:AU66" si="67">IF(AO60=0,0,AS60/AO60)</f>
        <v>-9.9821575830272149</v>
      </c>
      <c r="AV60" s="109"/>
      <c r="AW60" s="104">
        <f t="shared" ref="AW60:AW66" si="68">AS60*E60</f>
        <v>0</v>
      </c>
    </row>
    <row r="61" spans="1:49" outlineLevel="1">
      <c r="A61" s="98"/>
      <c r="B61" s="99">
        <v>846464049</v>
      </c>
      <c r="C61" s="99" t="s">
        <v>225</v>
      </c>
      <c r="D61" s="100" t="s">
        <v>226</v>
      </c>
      <c r="E61" s="101">
        <f t="shared" si="49"/>
        <v>0</v>
      </c>
      <c r="F61" s="101">
        <f>'Юнит 13'!F61</f>
        <v>0</v>
      </c>
      <c r="G61" s="101">
        <f>'Юнит 13'!G61</f>
        <v>0</v>
      </c>
      <c r="H61" s="101">
        <f>'Юнит 13'!H61</f>
        <v>0</v>
      </c>
      <c r="I61" s="101">
        <v>533.55999999999995</v>
      </c>
      <c r="J61" s="101">
        <f t="shared" si="50"/>
        <v>0</v>
      </c>
      <c r="K61" s="98">
        <f>'Юнит 13'!K61</f>
        <v>0</v>
      </c>
      <c r="L61" s="98">
        <f>'Юнит 10'!L61+'Юнит 11'!L61+'Юнит 12'!L61+'Юнит 13'!L61</f>
        <v>3</v>
      </c>
      <c r="M61" s="98"/>
      <c r="N61" s="98"/>
      <c r="O61" s="101">
        <f t="shared" si="51"/>
        <v>0.42857142857142855</v>
      </c>
      <c r="P61" s="101">
        <f t="shared" si="52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3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4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101">
        <f t="shared" si="55"/>
        <v>3040</v>
      </c>
      <c r="Z61" s="101">
        <f t="shared" si="56"/>
        <v>0</v>
      </c>
      <c r="AA61" s="103" t="e">
        <f>Y61/#REF!</f>
        <v>#REF!</v>
      </c>
      <c r="AB61" s="101">
        <f t="shared" si="57"/>
        <v>533.55999999999995</v>
      </c>
      <c r="AC61" s="98">
        <f>'Юнит 10'!AC61+'Юнит 11'!AC61+'Юнит 12'!AC61+'Юнит 13'!AC61</f>
        <v>1356.73</v>
      </c>
      <c r="AD61" s="103">
        <f t="shared" si="58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0.63141463414634147</v>
      </c>
      <c r="AJ61" s="98">
        <f>'Юнит 10'!AJ61+'Юнит 11'!AJ61+'Юнит 12'!AJ61+'Юнит 13'!AJ61</f>
        <v>0</v>
      </c>
      <c r="AK61" s="104">
        <f t="shared" si="59"/>
        <v>20.82</v>
      </c>
      <c r="AL61" s="105">
        <f t="shared" si="60"/>
        <v>-5650.0114146341466</v>
      </c>
      <c r="AM61" s="106"/>
      <c r="AN61" s="107">
        <f t="shared" si="61"/>
        <v>3040</v>
      </c>
      <c r="AO61" s="108">
        <f t="shared" si="62"/>
        <v>533.55999999999995</v>
      </c>
      <c r="AP61" s="108">
        <f t="shared" si="63"/>
        <v>1356.73</v>
      </c>
      <c r="AQ61" s="108">
        <f t="shared" si="64"/>
        <v>778.2700000000001</v>
      </c>
      <c r="AR61" s="108">
        <f t="shared" si="65"/>
        <v>6000</v>
      </c>
      <c r="AS61" s="108">
        <f t="array" ref="AS61">_xlfn.IFS(S61=0,AL61,S61&lt;0,AL61/-S61,S61&gt;0,AL61/S61)</f>
        <v>-5650.0114146341466</v>
      </c>
      <c r="AT61" s="103">
        <f t="shared" si="66"/>
        <v>-1.8585563863928114</v>
      </c>
      <c r="AU61" s="103">
        <f t="shared" si="67"/>
        <v>-10.589270962280057</v>
      </c>
      <c r="AV61" s="109"/>
      <c r="AW61" s="104">
        <f t="shared" si="68"/>
        <v>0</v>
      </c>
    </row>
    <row r="62" spans="1:49" outlineLevel="1">
      <c r="A62" s="98"/>
      <c r="B62" s="99">
        <v>846494145</v>
      </c>
      <c r="C62" s="99" t="s">
        <v>227</v>
      </c>
      <c r="D62" s="100" t="s">
        <v>226</v>
      </c>
      <c r="E62" s="101">
        <f t="shared" si="49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50"/>
        <v>0</v>
      </c>
      <c r="K62" s="98">
        <f>'Юнит 13'!K62</f>
        <v>0</v>
      </c>
      <c r="L62" s="98">
        <f>'Юнит 10'!L62+'Юнит 11'!L62+'Юнит 12'!L62+'Юнит 13'!L62</f>
        <v>1</v>
      </c>
      <c r="M62" s="98"/>
      <c r="N62" s="98"/>
      <c r="O62" s="101">
        <f t="shared" si="51"/>
        <v>0.14285714285714285</v>
      </c>
      <c r="P62" s="101">
        <f t="shared" si="52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3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4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101">
        <f t="shared" si="55"/>
        <v>0</v>
      </c>
      <c r="Z62" s="101">
        <f t="shared" si="56"/>
        <v>0</v>
      </c>
      <c r="AA62" s="103" t="e">
        <f>Y62/#REF!</f>
        <v>#REF!</v>
      </c>
      <c r="AB62" s="101">
        <f t="shared" si="57"/>
        <v>0</v>
      </c>
      <c r="AC62" s="98">
        <f>'Юнит 10'!AC62+'Юнит 11'!AC62+'Юнит 12'!AC62+'Юнит 13'!AC62</f>
        <v>0</v>
      </c>
      <c r="AD62" s="103">
        <f t="shared" si="58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104">
        <f t="shared" si="59"/>
        <v>0</v>
      </c>
      <c r="AL62" s="105">
        <f t="shared" si="60"/>
        <v>-1523.2</v>
      </c>
      <c r="AM62" s="106"/>
      <c r="AN62" s="107">
        <f t="shared" si="61"/>
        <v>0</v>
      </c>
      <c r="AO62" s="108">
        <f t="shared" si="62"/>
        <v>533.55999999999995</v>
      </c>
      <c r="AP62" s="108">
        <f t="shared" si="63"/>
        <v>0</v>
      </c>
      <c r="AQ62" s="108">
        <f t="shared" si="64"/>
        <v>0</v>
      </c>
      <c r="AR62" s="108">
        <f t="shared" si="65"/>
        <v>0</v>
      </c>
      <c r="AS62" s="108">
        <f t="array" ref="AS62">_xlfn.IFS(S62=0,AL62,S62&lt;0,AL62/-S62,S62&gt;0,AL62/S62)</f>
        <v>-1523.2</v>
      </c>
      <c r="AT62" s="103">
        <f t="shared" si="66"/>
        <v>0</v>
      </c>
      <c r="AU62" s="103">
        <f t="shared" si="67"/>
        <v>-2.8547867156458508</v>
      </c>
      <c r="AV62" s="109"/>
      <c r="AW62" s="104">
        <f t="shared" si="68"/>
        <v>0</v>
      </c>
    </row>
    <row r="63" spans="1:49" outlineLevel="1">
      <c r="A63" s="98"/>
      <c r="B63" s="99">
        <v>847068670</v>
      </c>
      <c r="C63" s="99" t="s">
        <v>228</v>
      </c>
      <c r="D63" s="100" t="s">
        <v>226</v>
      </c>
      <c r="E63" s="101">
        <f t="shared" si="49"/>
        <v>0</v>
      </c>
      <c r="F63" s="101">
        <f>'Юнит 13'!F63</f>
        <v>0</v>
      </c>
      <c r="G63" s="101">
        <f>'Юнит 13'!G63</f>
        <v>0</v>
      </c>
      <c r="H63" s="101">
        <f>'Юнит 13'!H63</f>
        <v>0</v>
      </c>
      <c r="I63" s="101">
        <v>326.89</v>
      </c>
      <c r="J63" s="101">
        <f t="shared" si="50"/>
        <v>0</v>
      </c>
      <c r="K63" s="98">
        <f>'Юнит 13'!K63</f>
        <v>0</v>
      </c>
      <c r="L63" s="98">
        <f>'Юнит 10'!L63+'Юнит 11'!L63+'Юнит 12'!L63+'Юнит 13'!L63</f>
        <v>1</v>
      </c>
      <c r="M63" s="98"/>
      <c r="N63" s="98"/>
      <c r="O63" s="101">
        <f t="shared" si="51"/>
        <v>0.14285714285714285</v>
      </c>
      <c r="P63" s="101">
        <f t="shared" si="52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3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4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101">
        <f t="shared" si="55"/>
        <v>0</v>
      </c>
      <c r="Z63" s="101">
        <f t="shared" si="56"/>
        <v>0</v>
      </c>
      <c r="AA63" s="103" t="e">
        <f>Y63/#REF!</f>
        <v>#REF!</v>
      </c>
      <c r="AB63" s="101">
        <f t="shared" si="57"/>
        <v>0</v>
      </c>
      <c r="AC63" s="98">
        <f>'Юнит 10'!AC63+'Юнит 11'!AC63+'Юнит 12'!AC63+'Юнит 13'!AC63</f>
        <v>0</v>
      </c>
      <c r="AD63" s="103">
        <f t="shared" si="58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0.63141463414634147</v>
      </c>
      <c r="AJ63" s="98">
        <f>'Юнит 10'!AJ63+'Юнит 11'!AJ63+'Юнит 12'!AJ63+'Юнит 13'!AJ63</f>
        <v>0</v>
      </c>
      <c r="AK63" s="104">
        <f t="shared" si="59"/>
        <v>0</v>
      </c>
      <c r="AL63" s="105">
        <f t="shared" si="60"/>
        <v>-199.45141463414635</v>
      </c>
      <c r="AM63" s="106"/>
      <c r="AN63" s="107">
        <f t="shared" si="61"/>
        <v>0</v>
      </c>
      <c r="AO63" s="108">
        <f t="shared" si="62"/>
        <v>326.89</v>
      </c>
      <c r="AP63" s="108">
        <f t="shared" si="63"/>
        <v>0</v>
      </c>
      <c r="AQ63" s="108">
        <f t="shared" si="64"/>
        <v>198.82</v>
      </c>
      <c r="AR63" s="108">
        <f t="shared" si="65"/>
        <v>0</v>
      </c>
      <c r="AS63" s="108">
        <f t="array" ref="AS63">_xlfn.IFS(S63=0,AL63,S63&lt;0,AL63/-S63,S63&gt;0,AL63/S63)</f>
        <v>-199.45141463414635</v>
      </c>
      <c r="AT63" s="103">
        <f t="shared" si="66"/>
        <v>0</v>
      </c>
      <c r="AU63" s="103">
        <f t="shared" si="67"/>
        <v>-0.61014841272032294</v>
      </c>
      <c r="AV63" s="109"/>
      <c r="AW63" s="104">
        <f t="shared" si="68"/>
        <v>0</v>
      </c>
    </row>
    <row r="64" spans="1:49" outlineLevel="1">
      <c r="A64" s="98"/>
      <c r="B64" s="99">
        <v>847068668</v>
      </c>
      <c r="C64" s="99" t="s">
        <v>229</v>
      </c>
      <c r="D64" s="100" t="s">
        <v>226</v>
      </c>
      <c r="E64" s="101">
        <f t="shared" si="49"/>
        <v>0</v>
      </c>
      <c r="F64" s="101">
        <f>'Юнит 13'!F64</f>
        <v>0</v>
      </c>
      <c r="G64" s="101">
        <f>'Юнит 13'!G64</f>
        <v>0</v>
      </c>
      <c r="H64" s="101">
        <f>'Юнит 13'!H64</f>
        <v>0</v>
      </c>
      <c r="I64" s="101">
        <v>326.89</v>
      </c>
      <c r="J64" s="101">
        <f t="shared" si="50"/>
        <v>0</v>
      </c>
      <c r="K64" s="98">
        <f>'Юнит 13'!K64</f>
        <v>0</v>
      </c>
      <c r="L64" s="98">
        <f>'Юнит 10'!L64+'Юнит 11'!L64+'Юнит 12'!L64+'Юнит 13'!L64</f>
        <v>10</v>
      </c>
      <c r="M64" s="98"/>
      <c r="N64" s="98"/>
      <c r="O64" s="101">
        <f t="shared" si="51"/>
        <v>1.4285714285714286</v>
      </c>
      <c r="P64" s="101">
        <f t="shared" si="52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3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4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101">
        <f t="shared" si="55"/>
        <v>1890</v>
      </c>
      <c r="Z64" s="101">
        <f t="shared" si="56"/>
        <v>0</v>
      </c>
      <c r="AA64" s="103" t="e">
        <f>Y64/#REF!</f>
        <v>#REF!</v>
      </c>
      <c r="AB64" s="101">
        <f t="shared" si="57"/>
        <v>326.89</v>
      </c>
      <c r="AC64" s="98">
        <f>'Юнит 10'!AC64+'Юнит 11'!AC64+'Юнит 12'!AC64+'Юнит 13'!AC64</f>
        <v>836.09999999999991</v>
      </c>
      <c r="AD64" s="103">
        <f t="shared" si="58"/>
        <v>0.44238095238095232</v>
      </c>
      <c r="AE64" s="98">
        <f>'Юнит 10'!AE64+'Юнит 11'!AE64+'Юнит 12'!AE64+'Юнит 13'!AE64</f>
        <v>1138.97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1.8942439024390245</v>
      </c>
      <c r="AJ64" s="98">
        <f>'Юнит 10'!AJ64+'Юнит 11'!AJ64+'Юнит 12'!AJ64+'Юнит 13'!AJ64</f>
        <v>0</v>
      </c>
      <c r="AK64" s="104">
        <f t="shared" si="59"/>
        <v>12.85</v>
      </c>
      <c r="AL64" s="105">
        <f t="shared" si="60"/>
        <v>-3426.704243902439</v>
      </c>
      <c r="AM64" s="106"/>
      <c r="AN64" s="107">
        <f t="shared" si="61"/>
        <v>1890</v>
      </c>
      <c r="AO64" s="108">
        <f t="shared" si="62"/>
        <v>326.89</v>
      </c>
      <c r="AP64" s="108">
        <f t="shared" si="63"/>
        <v>836.09999999999991</v>
      </c>
      <c r="AQ64" s="108">
        <f t="shared" si="64"/>
        <v>1138.97</v>
      </c>
      <c r="AR64" s="108">
        <f t="shared" si="65"/>
        <v>3000</v>
      </c>
      <c r="AS64" s="108">
        <f t="array" ref="AS64">_xlfn.IFS(S64=0,AL64,S64&lt;0,AL64/-S64,S64&gt;0,AL64/S64)</f>
        <v>-3426.704243902439</v>
      </c>
      <c r="AT64" s="103">
        <f t="shared" si="66"/>
        <v>-1.8130710285198091</v>
      </c>
      <c r="AU64" s="103">
        <f t="shared" si="67"/>
        <v>-10.482744176641804</v>
      </c>
      <c r="AV64" s="109"/>
      <c r="AW64" s="104">
        <f t="shared" si="68"/>
        <v>0</v>
      </c>
    </row>
    <row r="65" spans="1:49" outlineLevel="1">
      <c r="A65" s="98"/>
      <c r="B65" s="99">
        <v>847068669</v>
      </c>
      <c r="C65" s="99" t="s">
        <v>230</v>
      </c>
      <c r="D65" s="100" t="s">
        <v>226</v>
      </c>
      <c r="E65" s="101">
        <f t="shared" si="49"/>
        <v>0</v>
      </c>
      <c r="F65" s="101">
        <f>'Юнит 13'!F65</f>
        <v>0</v>
      </c>
      <c r="G65" s="101">
        <f>'Юнит 13'!G65</f>
        <v>0</v>
      </c>
      <c r="H65" s="101">
        <f>'Юнит 13'!H65</f>
        <v>0</v>
      </c>
      <c r="I65" s="101">
        <v>326.89</v>
      </c>
      <c r="J65" s="101">
        <f t="shared" si="50"/>
        <v>0</v>
      </c>
      <c r="K65" s="98">
        <f>'Юнит 13'!K65</f>
        <v>0</v>
      </c>
      <c r="L65" s="98">
        <f>'Юнит 10'!L65+'Юнит 11'!L65+'Юнит 12'!L65+'Юнит 13'!L65</f>
        <v>5</v>
      </c>
      <c r="M65" s="98"/>
      <c r="N65" s="98"/>
      <c r="O65" s="101">
        <f t="shared" si="51"/>
        <v>0.7142857142857143</v>
      </c>
      <c r="P65" s="101">
        <f t="shared" si="52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3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4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101">
        <f t="shared" si="55"/>
        <v>1750</v>
      </c>
      <c r="Z65" s="101">
        <f t="shared" si="56"/>
        <v>0</v>
      </c>
      <c r="AA65" s="103" t="e">
        <f>Y65/#REF!</f>
        <v>#REF!</v>
      </c>
      <c r="AB65" s="101">
        <f t="shared" si="57"/>
        <v>326.89</v>
      </c>
      <c r="AC65" s="98">
        <f>'Юнит 10'!AC65+'Юнит 11'!AC65+'Юнит 12'!AC65+'Юнит 13'!AC65</f>
        <v>760.32</v>
      </c>
      <c r="AD65" s="103">
        <f t="shared" si="58"/>
        <v>0.43446857142857148</v>
      </c>
      <c r="AE65" s="98">
        <f>'Юнит 10'!AE65+'Юнит 11'!AE65+'Юнит 12'!AE65+'Юнит 13'!AE65</f>
        <v>347.64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0</v>
      </c>
      <c r="AJ65" s="98">
        <f>'Юнит 10'!AJ65+'Юнит 11'!AJ65+'Юнит 12'!AJ65+'Юнит 13'!AJ65</f>
        <v>0</v>
      </c>
      <c r="AK65" s="104">
        <f t="shared" si="59"/>
        <v>11.01</v>
      </c>
      <c r="AL65" s="105">
        <f t="shared" si="60"/>
        <v>304.1400000000001</v>
      </c>
      <c r="AM65" s="106"/>
      <c r="AN65" s="107">
        <f t="shared" si="61"/>
        <v>1750</v>
      </c>
      <c r="AO65" s="108">
        <f t="shared" si="62"/>
        <v>326.89</v>
      </c>
      <c r="AP65" s="108">
        <f t="shared" si="63"/>
        <v>760.32</v>
      </c>
      <c r="AQ65" s="108">
        <f t="shared" si="64"/>
        <v>347.64</v>
      </c>
      <c r="AR65" s="108">
        <f t="shared" si="65"/>
        <v>0</v>
      </c>
      <c r="AS65" s="108">
        <f t="array" ref="AS65">_xlfn.IFS(S65=0,AL65,S65&lt;0,AL65/-S65,S65&gt;0,AL65/S65)</f>
        <v>304.1400000000001</v>
      </c>
      <c r="AT65" s="103">
        <f t="shared" si="66"/>
        <v>0.17379428571428576</v>
      </c>
      <c r="AU65" s="103">
        <f t="shared" si="67"/>
        <v>0.93040472330141677</v>
      </c>
      <c r="AV65" s="109"/>
      <c r="AW65" s="104">
        <f t="shared" si="68"/>
        <v>0</v>
      </c>
    </row>
    <row r="66" spans="1:49" outlineLevel="1">
      <c r="A66" s="98"/>
      <c r="B66" s="99">
        <v>847068666</v>
      </c>
      <c r="C66" s="99" t="s">
        <v>231</v>
      </c>
      <c r="D66" s="100" t="s">
        <v>226</v>
      </c>
      <c r="E66" s="101">
        <f t="shared" si="49"/>
        <v>0</v>
      </c>
      <c r="F66" s="101">
        <f>'Юнит 13'!F66</f>
        <v>0</v>
      </c>
      <c r="G66" s="101">
        <f>'Юнит 13'!G66</f>
        <v>0</v>
      </c>
      <c r="H66" s="101">
        <f>'Юнит 13'!H66</f>
        <v>0</v>
      </c>
      <c r="I66" s="101">
        <v>326.89</v>
      </c>
      <c r="J66" s="101">
        <f t="shared" si="50"/>
        <v>0</v>
      </c>
      <c r="K66" s="98">
        <f>'Юнит 13'!K66</f>
        <v>0</v>
      </c>
      <c r="L66" s="98">
        <f>'Юнит 10'!L66+'Юнит 11'!L66+'Юнит 12'!L66+'Юнит 13'!L66</f>
        <v>1</v>
      </c>
      <c r="M66" s="98"/>
      <c r="N66" s="98"/>
      <c r="O66" s="101">
        <f t="shared" si="51"/>
        <v>0.14285714285714285</v>
      </c>
      <c r="P66" s="101">
        <f t="shared" si="52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3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4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101">
        <f t="shared" si="55"/>
        <v>0</v>
      </c>
      <c r="Z66" s="101">
        <f t="shared" si="56"/>
        <v>0</v>
      </c>
      <c r="AA66" s="103" t="e">
        <f>Y66/#REF!</f>
        <v>#REF!</v>
      </c>
      <c r="AB66" s="101">
        <f t="shared" si="57"/>
        <v>0</v>
      </c>
      <c r="AC66" s="98">
        <f>'Юнит 10'!AC66+'Юнит 11'!AC66+'Юнит 12'!AC66+'Юнит 13'!AC66</f>
        <v>0</v>
      </c>
      <c r="AD66" s="103">
        <f t="shared" si="58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0.63141463414634147</v>
      </c>
      <c r="AJ66" s="98">
        <f>'Юнит 10'!AJ66+'Юнит 11'!AJ66+'Юнит 12'!AJ66+'Юнит 13'!AJ66</f>
        <v>896</v>
      </c>
      <c r="AK66" s="104">
        <f t="shared" si="59"/>
        <v>0</v>
      </c>
      <c r="AL66" s="105">
        <f t="shared" si="60"/>
        <v>-4091.5014146341464</v>
      </c>
      <c r="AM66" s="106"/>
      <c r="AN66" s="107">
        <f t="shared" si="61"/>
        <v>0</v>
      </c>
      <c r="AO66" s="108">
        <f t="shared" si="62"/>
        <v>326.89</v>
      </c>
      <c r="AP66" s="108">
        <f t="shared" si="63"/>
        <v>0</v>
      </c>
      <c r="AQ66" s="108">
        <f t="shared" si="64"/>
        <v>194.87</v>
      </c>
      <c r="AR66" s="108">
        <f t="shared" si="65"/>
        <v>0</v>
      </c>
      <c r="AS66" s="108">
        <f t="array" ref="AS66">_xlfn.IFS(S66=0,AL66,S66&lt;0,AL66/-S66,S66&gt;0,AL66/S66)</f>
        <v>-4091.5014146341464</v>
      </c>
      <c r="AT66" s="103">
        <f t="shared" si="66"/>
        <v>0</v>
      </c>
      <c r="AU66" s="103">
        <f t="shared" si="67"/>
        <v>-12.516447167653176</v>
      </c>
      <c r="AV66" s="109"/>
      <c r="AW66" s="104">
        <f t="shared" si="68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101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9">AVERAGE(AP60:AP66)</f>
        <v>421.87857142857143</v>
      </c>
      <c r="AQ67" s="145">
        <f t="shared" si="69"/>
        <v>379.79571428571433</v>
      </c>
      <c r="AR67" s="145">
        <f t="shared" si="69"/>
        <v>1285.7142857142858</v>
      </c>
      <c r="AS67" s="145">
        <f t="shared" si="69"/>
        <v>-2844.6869268292685</v>
      </c>
      <c r="AT67" s="146">
        <f t="shared" si="69"/>
        <v>-0.4996904470283336</v>
      </c>
      <c r="AU67" s="146">
        <f t="shared" si="69"/>
        <v>-6.5864500420952874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70">SUM(S60:S66)</f>
        <v>3</v>
      </c>
      <c r="T68" s="149">
        <f>SUM(T60:T66)</f>
        <v>4468</v>
      </c>
      <c r="U68" s="149">
        <f>SUM(U60:U66)</f>
        <v>0</v>
      </c>
      <c r="V68" s="149">
        <f t="shared" si="70"/>
        <v>4468</v>
      </c>
      <c r="W68" s="149">
        <f>SUM(W60:W66)</f>
        <v>6680</v>
      </c>
      <c r="X68" s="149">
        <f>SUM(X60:X66)</f>
        <v>0</v>
      </c>
      <c r="Y68" s="149">
        <f t="shared" si="70"/>
        <v>6680</v>
      </c>
      <c r="Z68" s="149">
        <f t="shared" si="70"/>
        <v>0</v>
      </c>
      <c r="AA68" s="150" t="e">
        <f t="shared" si="70"/>
        <v>#REF!</v>
      </c>
      <c r="AB68" s="151">
        <f t="shared" si="70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2658.57</v>
      </c>
      <c r="AF68" s="149">
        <f>SUM(AF60:AF66)</f>
        <v>16000</v>
      </c>
      <c r="AG68" s="149">
        <f>SUM(AG60:AG66)</f>
        <v>0</v>
      </c>
      <c r="AH68" s="149">
        <f t="shared" ref="AH68:AK68" si="71">SUM(AH60:AH66)</f>
        <v>0</v>
      </c>
      <c r="AI68" s="273">
        <f>SUM(AI60:AI66)</f>
        <v>3.788487804878049</v>
      </c>
      <c r="AJ68" s="149">
        <f>SUM(AJ60:AJ66)</f>
        <v>3745.2799999999997</v>
      </c>
      <c r="AK68" s="149">
        <f t="shared" si="71"/>
        <v>44.68</v>
      </c>
      <c r="AL68" s="149">
        <f>SUM(AL60:AL66)</f>
        <v>-19912.808487804879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163"/>
      <c r="Z69" s="163"/>
      <c r="AC69" s="160"/>
      <c r="AE69" s="160"/>
      <c r="AF69" s="160"/>
      <c r="AG69" s="160"/>
      <c r="AH69" s="357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2">E58+E68</f>
        <v>0</v>
      </c>
      <c r="F70" s="172">
        <f t="shared" si="72"/>
        <v>0</v>
      </c>
      <c r="G70" s="172">
        <f t="shared" si="72"/>
        <v>0</v>
      </c>
      <c r="H70" s="172">
        <f t="shared" si="72"/>
        <v>0</v>
      </c>
      <c r="I70" s="172">
        <f t="shared" si="72"/>
        <v>0</v>
      </c>
      <c r="J70" s="172">
        <f t="shared" si="72"/>
        <v>0</v>
      </c>
      <c r="K70" s="172">
        <f t="shared" si="72"/>
        <v>0</v>
      </c>
      <c r="L70" s="172">
        <f t="shared" si="72"/>
        <v>4270</v>
      </c>
      <c r="M70" s="172">
        <f t="shared" si="72"/>
        <v>0</v>
      </c>
      <c r="N70" s="172">
        <f t="shared" si="72"/>
        <v>0</v>
      </c>
      <c r="O70" s="172">
        <f t="shared" si="72"/>
        <v>0</v>
      </c>
      <c r="P70" s="172">
        <f t="shared" si="72"/>
        <v>0</v>
      </c>
      <c r="Q70" s="172">
        <f t="shared" ref="Q70:R70" si="73">Q58+Q68</f>
        <v>2129</v>
      </c>
      <c r="R70" s="172">
        <f t="shared" si="73"/>
        <v>-43</v>
      </c>
      <c r="S70" s="172">
        <f t="shared" si="72"/>
        <v>2086</v>
      </c>
      <c r="T70" s="172">
        <f t="shared" ref="T70:U70" si="74">T58+T68</f>
        <v>1687404.01</v>
      </c>
      <c r="U70" s="172">
        <f t="shared" si="74"/>
        <v>-34171.520000000004</v>
      </c>
      <c r="V70" s="172">
        <f t="shared" si="72"/>
        <v>1653232.49</v>
      </c>
      <c r="W70" s="172">
        <f t="shared" ref="W70:X70" si="75">W58+W68</f>
        <v>2577304.1300000004</v>
      </c>
      <c r="X70" s="172">
        <f t="shared" si="75"/>
        <v>-52509.03</v>
      </c>
      <c r="Y70" s="172">
        <f t="shared" si="72"/>
        <v>2524795.1</v>
      </c>
      <c r="Z70" s="172">
        <f t="shared" si="72"/>
        <v>0</v>
      </c>
      <c r="AA70" s="173" t="e">
        <f t="shared" si="72"/>
        <v>#REF!</v>
      </c>
      <c r="AB70" s="174">
        <f t="shared" si="72"/>
        <v>276888.22000000003</v>
      </c>
      <c r="AC70" s="172">
        <f t="shared" ref="AC70" si="76">AC58+AC68</f>
        <v>953636.9099999998</v>
      </c>
      <c r="AD70" s="173">
        <f>AC70/Y70</f>
        <v>0.37770863465316445</v>
      </c>
      <c r="AE70" s="172">
        <f t="shared" ref="AE70:AG70" si="77">AE58+AE68</f>
        <v>263172.61000000004</v>
      </c>
      <c r="AF70" s="172">
        <f t="shared" si="77"/>
        <v>294069</v>
      </c>
      <c r="AG70" s="172">
        <f t="shared" si="77"/>
        <v>14284</v>
      </c>
      <c r="AH70" s="175">
        <f>AH58+AH68</f>
        <v>0</v>
      </c>
      <c r="AI70" s="406">
        <f>'Юнит 10'!AI70+'Юнит 11'!AI70+'Юнит 12'!AI70+'Юнит 13'!AI70</f>
        <v>6936.43</v>
      </c>
      <c r="AJ70" s="172">
        <f t="shared" ref="AJ70" si="78">AJ58+AJ68</f>
        <v>3775.2799999999997</v>
      </c>
      <c r="AK70" s="172">
        <f>AK58+AK68</f>
        <v>16532.324900000007</v>
      </c>
      <c r="AL70" s="172">
        <f>AL58+AL68</f>
        <v>695500.32510000025</v>
      </c>
      <c r="AM70" s="172"/>
      <c r="AN70" s="172"/>
      <c r="AO70" s="172"/>
      <c r="AP70" s="172"/>
      <c r="AQ70" s="172"/>
      <c r="AR70" s="172">
        <f>(AF70+AG70)/Q70</f>
        <v>144.83466416157822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7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Сводная!G43</f>
        <v>4270</v>
      </c>
      <c r="Q72" s="110">
        <f>Сводная!H43</f>
        <v>2129</v>
      </c>
      <c r="R72" s="110">
        <f>Сводная!I43</f>
        <v>-43</v>
      </c>
      <c r="T72" s="183">
        <f>Сводная!J43</f>
        <v>1687404.0100000002</v>
      </c>
      <c r="U72" s="183">
        <f>Сводная!K43</f>
        <v>-34171.520000000004</v>
      </c>
      <c r="W72" s="183">
        <f>Сводная!M43</f>
        <v>2577304.13</v>
      </c>
      <c r="X72" s="183">
        <f>Сводная!N43</f>
        <v>-52509.03</v>
      </c>
      <c r="AB72" s="277">
        <f>Сводная!P43</f>
        <v>276888.21999999997</v>
      </c>
      <c r="AC72" s="277">
        <f>Сводная!R43</f>
        <v>953636.90999999957</v>
      </c>
      <c r="AE72" s="277">
        <f>Сводная!Q43</f>
        <v>263172.6100000001</v>
      </c>
      <c r="AF72" s="101">
        <f>Сводная!W43</f>
        <v>294069</v>
      </c>
      <c r="AG72" s="101">
        <f>Сводная!X43</f>
        <v>14284</v>
      </c>
      <c r="AI72" s="185">
        <f>Сводная!S43</f>
        <v>6936.4300000000012</v>
      </c>
      <c r="AJ72" s="101">
        <f>Сводная!U43</f>
        <v>3775.2799999999997</v>
      </c>
      <c r="AK72" s="277">
        <f>Сводная!Z43</f>
        <v>16532.324900000003</v>
      </c>
      <c r="AL72" s="277">
        <f>Сводная!AC43+Сводная!V43+Сводная!T43</f>
        <v>695500.32510000002</v>
      </c>
    </row>
    <row r="73" spans="1:49">
      <c r="C73" s="182"/>
      <c r="D73" s="182"/>
      <c r="AL73" s="277">
        <f>W72+X72-AB72-AC72-AE72-AF72-AG72-AI72-AJ72-AK72</f>
        <v>695500.32510000002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9" priority="18" operator="greaterThan">
      <formula>120</formula>
    </cfRule>
  </conditionalFormatting>
  <conditionalFormatting sqref="O67">
    <cfRule type="cellIs" dxfId="78" priority="17" operator="between">
      <formula>0.000001</formula>
      <formula>25</formula>
    </cfRule>
  </conditionalFormatting>
  <conditionalFormatting sqref="AA69 AA71:AA1048576">
    <cfRule type="cellIs" dxfId="77" priority="19" operator="greaterThan">
      <formula>0.23</formula>
    </cfRule>
  </conditionalFormatting>
  <conditionalFormatting sqref="AA1">
    <cfRule type="cellIs" dxfId="76" priority="16" operator="greaterThan">
      <formula>0.23</formula>
    </cfRule>
  </conditionalFormatting>
  <conditionalFormatting sqref="K59">
    <cfRule type="cellIs" dxfId="75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74" priority="13" operator="greaterThan">
      <formula>120</formula>
    </cfRule>
  </conditionalFormatting>
  <conditionalFormatting sqref="Q67">
    <cfRule type="cellIs" dxfId="73" priority="12" operator="greaterThan">
      <formula>120</formula>
    </cfRule>
  </conditionalFormatting>
  <conditionalFormatting sqref="R67">
    <cfRule type="cellIs" dxfId="72" priority="11" operator="greaterThan">
      <formula>120</formula>
    </cfRule>
  </conditionalFormatting>
  <conditionalFormatting sqref="T67">
    <cfRule type="cellIs" dxfId="71" priority="10" operator="greaterThan">
      <formula>120</formula>
    </cfRule>
  </conditionalFormatting>
  <conditionalFormatting sqref="U67">
    <cfRule type="cellIs" dxfId="70" priority="9" operator="greaterThan">
      <formula>120</formula>
    </cfRule>
  </conditionalFormatting>
  <conditionalFormatting sqref="W67">
    <cfRule type="cellIs" dxfId="69" priority="8" operator="greaterThan">
      <formula>120</formula>
    </cfRule>
  </conditionalFormatting>
  <conditionalFormatting sqref="X67">
    <cfRule type="cellIs" dxfId="68" priority="7" operator="greaterThan">
      <formula>120</formula>
    </cfRule>
  </conditionalFormatting>
  <conditionalFormatting sqref="AC67">
    <cfRule type="cellIs" dxfId="67" priority="6" operator="greaterThan">
      <formula>120</formula>
    </cfRule>
  </conditionalFormatting>
  <conditionalFormatting sqref="AE67">
    <cfRule type="cellIs" dxfId="66" priority="5" operator="greaterThan">
      <formula>120</formula>
    </cfRule>
  </conditionalFormatting>
  <conditionalFormatting sqref="AF67">
    <cfRule type="cellIs" dxfId="65" priority="4" operator="greaterThan">
      <formula>120</formula>
    </cfRule>
  </conditionalFormatting>
  <conditionalFormatting sqref="AG67">
    <cfRule type="cellIs" dxfId="64" priority="3" operator="greaterThan">
      <formula>120</formula>
    </cfRule>
  </conditionalFormatting>
  <conditionalFormatting sqref="AJ67">
    <cfRule type="cellIs" dxfId="63" priority="2" operator="greaterThan">
      <formula>120</formula>
    </cfRule>
  </conditionalFormatting>
  <conditionalFormatting sqref="AI67">
    <cfRule type="cellIs" dxfId="6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AJ42" activePane="bottomRight" state="frozen"/>
      <selection pane="topRight" activeCell="D1" sqref="D1"/>
      <selection pane="bottomLeft" activeCell="A3" sqref="A3"/>
      <selection pane="bottomRight" activeCell="AJ53" sqref="AJ5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244</v>
      </c>
      <c r="B1" s="77"/>
      <c r="C1" s="76"/>
      <c r="D1" s="76"/>
      <c r="E1" s="78"/>
      <c r="F1" s="464" t="s">
        <v>47</v>
      </c>
      <c r="G1" s="464"/>
      <c r="H1" s="464"/>
      <c r="K1" s="358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68"/>
      <c r="AG1" s="468"/>
      <c r="AH1" s="359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43" si="0">E3*I3</f>
        <v>0</v>
      </c>
      <c r="K3" s="98"/>
      <c r="L3" s="98"/>
      <c r="M3" s="98"/>
      <c r="N3" s="98"/>
      <c r="O3" s="189">
        <f t="shared" ref="O3:O43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43" si="3">W3+X3</f>
        <v>0</v>
      </c>
      <c r="Z3" s="101">
        <f>L3*M3*N3/100</f>
        <v>0</v>
      </c>
      <c r="AA3" s="103" t="e">
        <f t="shared" ref="AA3:AA43" si="4">Y3/$Y$70</f>
        <v>#DIV/0!</v>
      </c>
      <c r="AB3" s="101">
        <f>S3*I3</f>
        <v>0</v>
      </c>
      <c r="AC3" s="102"/>
      <c r="AD3" s="103">
        <f t="shared" ref="AD3:AD43" si="5">IF(Y3=0,0,AC3/Y3)</f>
        <v>0</v>
      </c>
      <c r="AE3" s="102"/>
      <c r="AF3" s="102"/>
      <c r="AG3" s="102"/>
      <c r="AH3" s="102"/>
      <c r="AI3" s="136">
        <f t="shared" ref="AI3:AI43" si="6">IFERROR($AI$70*H3/$H$70,0)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43" si="7">IF(S3=0,0,Y3/S3)</f>
        <v>0</v>
      </c>
      <c r="AO3" s="108">
        <f t="shared" ref="AO3:AO43" si="8">I3</f>
        <v>142.97999999999999</v>
      </c>
      <c r="AP3" s="108">
        <f t="shared" ref="AP3:AP43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43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43" si="14">Q4+R4</f>
        <v>0</v>
      </c>
      <c r="T4" s="102"/>
      <c r="U4" s="102"/>
      <c r="V4" s="101">
        <f t="shared" ref="V4:V43" si="15">T4+U4</f>
        <v>0</v>
      </c>
      <c r="W4" s="102"/>
      <c r="X4" s="102"/>
      <c r="Y4" s="101">
        <f t="shared" si="3"/>
        <v>0</v>
      </c>
      <c r="Z4" s="101">
        <f t="shared" ref="Z4:Z43" si="16">L4*M4*N4/100</f>
        <v>0</v>
      </c>
      <c r="AA4" s="103" t="e">
        <f t="shared" si="4"/>
        <v>#DIV/0!</v>
      </c>
      <c r="AB4" s="101">
        <f t="shared" ref="AB4:AB43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43" si="18">V4*1%</f>
        <v>0</v>
      </c>
      <c r="AL4" s="105">
        <f t="shared" ref="AL4:AL43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43" si="20">IF(Q4=0,AE4/1,AE4/Q4)</f>
        <v>0</v>
      </c>
      <c r="AR4" s="108">
        <f t="shared" ref="AR4:AR43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43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43" si="23">IF(AN6=0,0,AS6/AN6)</f>
        <v>0</v>
      </c>
      <c r="AU6" s="103">
        <f t="shared" ref="AU6:AU43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171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172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173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174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175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183</v>
      </c>
      <c r="D37" s="100" t="s">
        <v>260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184</v>
      </c>
      <c r="D38" s="100" t="s">
        <v>260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185</v>
      </c>
      <c r="D39" s="100" t="s">
        <v>260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186</v>
      </c>
      <c r="D40" s="100" t="s">
        <v>260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187</v>
      </c>
      <c r="D41" s="100" t="s">
        <v>260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188</v>
      </c>
      <c r="D42" s="100" t="s">
        <v>260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189</v>
      </c>
      <c r="D43" s="100" t="s">
        <v>260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261</v>
      </c>
      <c r="D44" s="100" t="s">
        <v>260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ref="J44:J56" si="25">E44*I44</f>
        <v>0</v>
      </c>
      <c r="K44" s="98"/>
      <c r="L44" s="98"/>
      <c r="M44" s="98"/>
      <c r="N44" s="98"/>
      <c r="O44" s="189">
        <f t="shared" ref="O44:O56" si="26">L44/7</f>
        <v>0</v>
      </c>
      <c r="P44" s="101">
        <f t="shared" ref="P44:P56" si="27">S44/7</f>
        <v>0</v>
      </c>
      <c r="Q44" s="102"/>
      <c r="R44" s="102"/>
      <c r="S44" s="101">
        <f t="shared" ref="S44:S56" si="28">Q44+R44</f>
        <v>0</v>
      </c>
      <c r="T44" s="102"/>
      <c r="U44" s="102"/>
      <c r="V44" s="101">
        <f t="shared" ref="V44:V56" si="29">T44+U44</f>
        <v>0</v>
      </c>
      <c r="W44" s="102"/>
      <c r="X44" s="102"/>
      <c r="Y44" s="101">
        <f t="shared" ref="Y44:Y56" si="30">W44+X44</f>
        <v>0</v>
      </c>
      <c r="Z44" s="101">
        <f t="shared" ref="Z44:Z56" si="31">L44*M44*N44/100</f>
        <v>0</v>
      </c>
      <c r="AA44" s="103" t="e">
        <f t="shared" ref="AA44:AA56" si="32">Y44/$Y$70</f>
        <v>#DIV/0!</v>
      </c>
      <c r="AB44" s="101">
        <f t="shared" ref="AB44:AB56" si="33">S44*I44</f>
        <v>0</v>
      </c>
      <c r="AC44" s="102"/>
      <c r="AD44" s="103">
        <f t="shared" ref="AD44:AD56" si="34">IF(Y44=0,0,AC44/Y44)</f>
        <v>0</v>
      </c>
      <c r="AE44" s="102"/>
      <c r="AF44" s="102"/>
      <c r="AG44" s="102"/>
      <c r="AH44" s="102"/>
      <c r="AI44" s="136">
        <f t="shared" ref="AI44:AI56" si="35">IFERROR($AI$70*H44/$H$70,0)</f>
        <v>0</v>
      </c>
      <c r="AJ44" s="102"/>
      <c r="AK44" s="104">
        <f t="shared" ref="AK44:AK56" si="36">V44*1%</f>
        <v>0</v>
      </c>
      <c r="AL44" s="105">
        <f t="shared" ref="AL44:AL56" si="37">Y44-AB44-AC44-AE44-AF44-AG44-AH44-AI44-AK44-AJ44</f>
        <v>0</v>
      </c>
      <c r="AM44" s="106"/>
      <c r="AN44" s="107">
        <f t="shared" ref="AN44:AN56" si="38">IF(S44=0,0,Y44/S44)</f>
        <v>0</v>
      </c>
      <c r="AO44" s="108">
        <f t="shared" ref="AO44:AO56" si="39">I44</f>
        <v>228.89</v>
      </c>
      <c r="AP44" s="108">
        <f t="shared" ref="AP44:AP56" si="40">IF(S44=0,0,AC44/S44)</f>
        <v>0</v>
      </c>
      <c r="AQ44" s="108">
        <f t="shared" ref="AQ44:AQ56" si="41">IF(Q44=0,AE44/1,AE44/Q44)</f>
        <v>0</v>
      </c>
      <c r="AR44" s="108">
        <f t="shared" ref="AR44:AR56" si="42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43">IF(AN44=0,0,AS44/AN44)</f>
        <v>0</v>
      </c>
      <c r="AU44" s="103">
        <f t="shared" ref="AU44:AU56" si="44">IF(AO44=0,0,AS44/AO44)</f>
        <v>0</v>
      </c>
      <c r="AV44" s="109"/>
      <c r="AW44" s="104">
        <f t="shared" ref="AW44:AW56" si="45">AS44*E44</f>
        <v>0</v>
      </c>
    </row>
    <row r="45" spans="1:49" outlineLevel="1">
      <c r="A45" s="98"/>
      <c r="B45" s="262">
        <v>896605671</v>
      </c>
      <c r="C45" s="262" t="s">
        <v>262</v>
      </c>
      <c r="D45" s="100" t="s">
        <v>260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25"/>
        <v>0</v>
      </c>
      <c r="K45" s="98"/>
      <c r="L45" s="98"/>
      <c r="M45" s="98"/>
      <c r="N45" s="98"/>
      <c r="O45" s="189">
        <f t="shared" si="26"/>
        <v>0</v>
      </c>
      <c r="P45" s="101">
        <f t="shared" si="27"/>
        <v>0</v>
      </c>
      <c r="Q45" s="102"/>
      <c r="R45" s="102"/>
      <c r="S45" s="101">
        <f t="shared" si="28"/>
        <v>0</v>
      </c>
      <c r="T45" s="102"/>
      <c r="U45" s="102"/>
      <c r="V45" s="101">
        <f t="shared" si="29"/>
        <v>0</v>
      </c>
      <c r="W45" s="102"/>
      <c r="X45" s="102"/>
      <c r="Y45" s="101">
        <f t="shared" si="30"/>
        <v>0</v>
      </c>
      <c r="Z45" s="101">
        <f t="shared" si="31"/>
        <v>0</v>
      </c>
      <c r="AA45" s="103" t="e">
        <f t="shared" si="32"/>
        <v>#DIV/0!</v>
      </c>
      <c r="AB45" s="101">
        <f t="shared" si="33"/>
        <v>0</v>
      </c>
      <c r="AC45" s="102"/>
      <c r="AD45" s="103">
        <f t="shared" si="34"/>
        <v>0</v>
      </c>
      <c r="AE45" s="102"/>
      <c r="AF45" s="102"/>
      <c r="AG45" s="102"/>
      <c r="AH45" s="102"/>
      <c r="AI45" s="136">
        <f t="shared" si="35"/>
        <v>0</v>
      </c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228.89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outlineLevel="1">
      <c r="A46" s="98"/>
      <c r="B46" s="262">
        <v>896358374</v>
      </c>
      <c r="C46" s="262" t="s">
        <v>263</v>
      </c>
      <c r="D46" s="100" t="s">
        <v>260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25"/>
        <v>0</v>
      </c>
      <c r="K46" s="98"/>
      <c r="L46" s="98"/>
      <c r="M46" s="98"/>
      <c r="N46" s="98"/>
      <c r="O46" s="189">
        <f t="shared" si="26"/>
        <v>0</v>
      </c>
      <c r="P46" s="101">
        <f t="shared" si="27"/>
        <v>0</v>
      </c>
      <c r="Q46" s="102"/>
      <c r="R46" s="102"/>
      <c r="S46" s="101">
        <f t="shared" si="28"/>
        <v>0</v>
      </c>
      <c r="T46" s="102"/>
      <c r="U46" s="102"/>
      <c r="V46" s="101">
        <f t="shared" si="29"/>
        <v>0</v>
      </c>
      <c r="W46" s="102"/>
      <c r="X46" s="102"/>
      <c r="Y46" s="101">
        <f t="shared" si="30"/>
        <v>0</v>
      </c>
      <c r="Z46" s="101">
        <f t="shared" si="31"/>
        <v>0</v>
      </c>
      <c r="AA46" s="103" t="e">
        <f t="shared" si="32"/>
        <v>#DIV/0!</v>
      </c>
      <c r="AB46" s="101">
        <f t="shared" si="33"/>
        <v>0</v>
      </c>
      <c r="AC46" s="102"/>
      <c r="AD46" s="103">
        <f t="shared" si="34"/>
        <v>0</v>
      </c>
      <c r="AE46" s="102"/>
      <c r="AF46" s="102"/>
      <c r="AG46" s="102"/>
      <c r="AH46" s="102"/>
      <c r="AI46" s="136">
        <f t="shared" si="35"/>
        <v>0</v>
      </c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178.89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outlineLevel="1">
      <c r="A47" s="98"/>
      <c r="B47" s="262">
        <v>896362467</v>
      </c>
      <c r="C47" s="262" t="s">
        <v>264</v>
      </c>
      <c r="D47" s="100" t="s">
        <v>260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25"/>
        <v>0</v>
      </c>
      <c r="K47" s="98"/>
      <c r="L47" s="98"/>
      <c r="M47" s="98"/>
      <c r="N47" s="98"/>
      <c r="O47" s="189">
        <f t="shared" si="26"/>
        <v>0</v>
      </c>
      <c r="P47" s="101">
        <f t="shared" si="27"/>
        <v>0</v>
      </c>
      <c r="Q47" s="102"/>
      <c r="R47" s="102"/>
      <c r="S47" s="101">
        <f t="shared" si="28"/>
        <v>0</v>
      </c>
      <c r="T47" s="102"/>
      <c r="U47" s="102"/>
      <c r="V47" s="101">
        <f t="shared" si="29"/>
        <v>0</v>
      </c>
      <c r="W47" s="102"/>
      <c r="X47" s="102"/>
      <c r="Y47" s="101">
        <f t="shared" si="30"/>
        <v>0</v>
      </c>
      <c r="Z47" s="101">
        <f t="shared" si="31"/>
        <v>0</v>
      </c>
      <c r="AA47" s="103" t="e">
        <f t="shared" si="32"/>
        <v>#DIV/0!</v>
      </c>
      <c r="AB47" s="101">
        <f t="shared" si="33"/>
        <v>0</v>
      </c>
      <c r="AC47" s="102"/>
      <c r="AD47" s="103">
        <f t="shared" si="34"/>
        <v>0</v>
      </c>
      <c r="AE47" s="102"/>
      <c r="AF47" s="102"/>
      <c r="AG47" s="102"/>
      <c r="AH47" s="102"/>
      <c r="AI47" s="136">
        <f t="shared" si="35"/>
        <v>0</v>
      </c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178.89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outlineLevel="1">
      <c r="A48" s="98"/>
      <c r="B48" s="262">
        <v>896520695</v>
      </c>
      <c r="C48" s="262" t="s">
        <v>265</v>
      </c>
      <c r="D48" s="100" t="s">
        <v>260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25"/>
        <v>0</v>
      </c>
      <c r="K48" s="98"/>
      <c r="L48" s="98"/>
      <c r="M48" s="98"/>
      <c r="N48" s="98"/>
      <c r="O48" s="189">
        <f t="shared" si="26"/>
        <v>0</v>
      </c>
      <c r="P48" s="101">
        <f t="shared" si="27"/>
        <v>0</v>
      </c>
      <c r="Q48" s="102"/>
      <c r="R48" s="102"/>
      <c r="S48" s="101">
        <f t="shared" si="28"/>
        <v>0</v>
      </c>
      <c r="T48" s="102"/>
      <c r="U48" s="102"/>
      <c r="V48" s="101">
        <f t="shared" si="29"/>
        <v>0</v>
      </c>
      <c r="W48" s="102"/>
      <c r="X48" s="102"/>
      <c r="Y48" s="101">
        <f t="shared" si="30"/>
        <v>0</v>
      </c>
      <c r="Z48" s="101">
        <f t="shared" si="31"/>
        <v>0</v>
      </c>
      <c r="AA48" s="103" t="e">
        <f t="shared" si="32"/>
        <v>#DIV/0!</v>
      </c>
      <c r="AB48" s="101">
        <f t="shared" si="33"/>
        <v>0</v>
      </c>
      <c r="AC48" s="102"/>
      <c r="AD48" s="103">
        <f t="shared" si="34"/>
        <v>0</v>
      </c>
      <c r="AE48" s="102"/>
      <c r="AF48" s="102"/>
      <c r="AG48" s="102"/>
      <c r="AH48" s="102"/>
      <c r="AI48" s="136">
        <f t="shared" si="35"/>
        <v>0</v>
      </c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178.89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outlineLevel="1">
      <c r="A49" s="98"/>
      <c r="B49" s="262">
        <v>896533144</v>
      </c>
      <c r="C49" s="262" t="s">
        <v>266</v>
      </c>
      <c r="D49" s="100" t="s">
        <v>260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25"/>
        <v>0</v>
      </c>
      <c r="K49" s="98"/>
      <c r="L49" s="98"/>
      <c r="M49" s="98"/>
      <c r="N49" s="98"/>
      <c r="O49" s="189">
        <f t="shared" si="26"/>
        <v>0</v>
      </c>
      <c r="P49" s="101">
        <f t="shared" si="27"/>
        <v>0</v>
      </c>
      <c r="Q49" s="102"/>
      <c r="R49" s="102"/>
      <c r="S49" s="101">
        <f t="shared" si="28"/>
        <v>0</v>
      </c>
      <c r="T49" s="102"/>
      <c r="U49" s="102"/>
      <c r="V49" s="101">
        <f t="shared" si="29"/>
        <v>0</v>
      </c>
      <c r="W49" s="102"/>
      <c r="X49" s="102"/>
      <c r="Y49" s="101">
        <f t="shared" si="30"/>
        <v>0</v>
      </c>
      <c r="Z49" s="101">
        <f t="shared" si="31"/>
        <v>0</v>
      </c>
      <c r="AA49" s="103" t="e">
        <f t="shared" si="32"/>
        <v>#DIV/0!</v>
      </c>
      <c r="AB49" s="101">
        <f t="shared" si="33"/>
        <v>0</v>
      </c>
      <c r="AC49" s="102"/>
      <c r="AD49" s="103">
        <f t="shared" si="34"/>
        <v>0</v>
      </c>
      <c r="AE49" s="102"/>
      <c r="AF49" s="102"/>
      <c r="AG49" s="102"/>
      <c r="AH49" s="102"/>
      <c r="AI49" s="136">
        <f t="shared" si="35"/>
        <v>0</v>
      </c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178.89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outlineLevel="1">
      <c r="A50" s="98"/>
      <c r="B50" s="262">
        <v>896587220</v>
      </c>
      <c r="C50" s="262" t="s">
        <v>267</v>
      </c>
      <c r="D50" s="100" t="s">
        <v>260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25"/>
        <v>0</v>
      </c>
      <c r="K50" s="98"/>
      <c r="L50" s="98"/>
      <c r="M50" s="98"/>
      <c r="N50" s="98"/>
      <c r="O50" s="189">
        <f t="shared" si="26"/>
        <v>0</v>
      </c>
      <c r="P50" s="101">
        <f t="shared" si="27"/>
        <v>0</v>
      </c>
      <c r="Q50" s="102"/>
      <c r="R50" s="102"/>
      <c r="S50" s="101">
        <f t="shared" si="28"/>
        <v>0</v>
      </c>
      <c r="T50" s="102"/>
      <c r="U50" s="102"/>
      <c r="V50" s="101">
        <f t="shared" si="29"/>
        <v>0</v>
      </c>
      <c r="W50" s="102"/>
      <c r="X50" s="102"/>
      <c r="Y50" s="101">
        <f t="shared" si="30"/>
        <v>0</v>
      </c>
      <c r="Z50" s="101">
        <f t="shared" si="31"/>
        <v>0</v>
      </c>
      <c r="AA50" s="103" t="e">
        <f t="shared" si="32"/>
        <v>#DIV/0!</v>
      </c>
      <c r="AB50" s="101">
        <f t="shared" si="33"/>
        <v>0</v>
      </c>
      <c r="AC50" s="102"/>
      <c r="AD50" s="103">
        <f t="shared" si="34"/>
        <v>0</v>
      </c>
      <c r="AE50" s="102"/>
      <c r="AF50" s="102"/>
      <c r="AG50" s="102"/>
      <c r="AH50" s="102"/>
      <c r="AI50" s="136">
        <f t="shared" si="35"/>
        <v>0</v>
      </c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218.89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outlineLevel="1">
      <c r="A51" s="98"/>
      <c r="B51" s="262">
        <v>896579390</v>
      </c>
      <c r="C51" s="262" t="s">
        <v>268</v>
      </c>
      <c r="D51" s="100" t="s">
        <v>260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25"/>
        <v>0</v>
      </c>
      <c r="K51" s="98"/>
      <c r="L51" s="98"/>
      <c r="M51" s="98"/>
      <c r="N51" s="98"/>
      <c r="O51" s="189">
        <f t="shared" si="26"/>
        <v>0</v>
      </c>
      <c r="P51" s="101">
        <f t="shared" si="27"/>
        <v>0</v>
      </c>
      <c r="Q51" s="102"/>
      <c r="R51" s="102"/>
      <c r="S51" s="101">
        <f t="shared" si="28"/>
        <v>0</v>
      </c>
      <c r="T51" s="102"/>
      <c r="U51" s="102"/>
      <c r="V51" s="101">
        <f t="shared" si="29"/>
        <v>0</v>
      </c>
      <c r="W51" s="102"/>
      <c r="X51" s="102"/>
      <c r="Y51" s="101">
        <f t="shared" si="30"/>
        <v>0</v>
      </c>
      <c r="Z51" s="101">
        <f t="shared" si="31"/>
        <v>0</v>
      </c>
      <c r="AA51" s="103" t="e">
        <f t="shared" si="32"/>
        <v>#DIV/0!</v>
      </c>
      <c r="AB51" s="101">
        <f t="shared" si="33"/>
        <v>0</v>
      </c>
      <c r="AC51" s="102"/>
      <c r="AD51" s="103">
        <f t="shared" si="34"/>
        <v>0</v>
      </c>
      <c r="AE51" s="102"/>
      <c r="AF51" s="102"/>
      <c r="AG51" s="102"/>
      <c r="AH51" s="102"/>
      <c r="AI51" s="136">
        <f t="shared" si="35"/>
        <v>0</v>
      </c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218.89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outlineLevel="1">
      <c r="A52" s="98"/>
      <c r="B52" s="262">
        <v>896599259</v>
      </c>
      <c r="C52" s="262" t="s">
        <v>269</v>
      </c>
      <c r="D52" s="100" t="s">
        <v>260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25"/>
        <v>0</v>
      </c>
      <c r="K52" s="98"/>
      <c r="L52" s="98"/>
      <c r="M52" s="98"/>
      <c r="N52" s="98"/>
      <c r="O52" s="189">
        <f t="shared" si="26"/>
        <v>0</v>
      </c>
      <c r="P52" s="101">
        <f t="shared" si="27"/>
        <v>0</v>
      </c>
      <c r="Q52" s="102"/>
      <c r="R52" s="102"/>
      <c r="S52" s="101">
        <f t="shared" si="28"/>
        <v>0</v>
      </c>
      <c r="T52" s="102"/>
      <c r="U52" s="102"/>
      <c r="V52" s="101">
        <f t="shared" si="29"/>
        <v>0</v>
      </c>
      <c r="W52" s="102"/>
      <c r="X52" s="102"/>
      <c r="Y52" s="101">
        <f t="shared" si="30"/>
        <v>0</v>
      </c>
      <c r="Z52" s="101">
        <f t="shared" si="31"/>
        <v>0</v>
      </c>
      <c r="AA52" s="103" t="e">
        <f t="shared" si="32"/>
        <v>#DIV/0!</v>
      </c>
      <c r="AB52" s="101">
        <f t="shared" si="33"/>
        <v>0</v>
      </c>
      <c r="AC52" s="102"/>
      <c r="AD52" s="103">
        <f t="shared" si="34"/>
        <v>0</v>
      </c>
      <c r="AE52" s="102"/>
      <c r="AF52" s="102"/>
      <c r="AG52" s="102"/>
      <c r="AH52" s="102"/>
      <c r="AI52" s="136">
        <f t="shared" si="35"/>
        <v>0</v>
      </c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218.89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outlineLevel="1">
      <c r="A53" s="98"/>
      <c r="B53" s="262">
        <v>896547296</v>
      </c>
      <c r="C53" s="262" t="s">
        <v>270</v>
      </c>
      <c r="D53" s="100" t="s">
        <v>260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25"/>
        <v>0</v>
      </c>
      <c r="K53" s="98"/>
      <c r="L53" s="98"/>
      <c r="M53" s="98"/>
      <c r="N53" s="98"/>
      <c r="O53" s="189">
        <f t="shared" si="26"/>
        <v>0</v>
      </c>
      <c r="P53" s="101">
        <f t="shared" si="27"/>
        <v>0</v>
      </c>
      <c r="Q53" s="102"/>
      <c r="R53" s="102"/>
      <c r="S53" s="101">
        <f t="shared" si="28"/>
        <v>0</v>
      </c>
      <c r="T53" s="102"/>
      <c r="U53" s="102"/>
      <c r="V53" s="101">
        <f t="shared" si="29"/>
        <v>0</v>
      </c>
      <c r="W53" s="102"/>
      <c r="X53" s="102"/>
      <c r="Y53" s="101">
        <f t="shared" si="30"/>
        <v>0</v>
      </c>
      <c r="Z53" s="101">
        <f t="shared" si="31"/>
        <v>0</v>
      </c>
      <c r="AA53" s="103" t="e">
        <f t="shared" si="32"/>
        <v>#DIV/0!</v>
      </c>
      <c r="AB53" s="101">
        <f t="shared" si="33"/>
        <v>0</v>
      </c>
      <c r="AC53" s="102"/>
      <c r="AD53" s="103">
        <f t="shared" si="34"/>
        <v>0</v>
      </c>
      <c r="AE53" s="102"/>
      <c r="AF53" s="102"/>
      <c r="AG53" s="102"/>
      <c r="AH53" s="102"/>
      <c r="AI53" s="136">
        <f t="shared" si="35"/>
        <v>0</v>
      </c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188.89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outlineLevel="1">
      <c r="A54" s="98"/>
      <c r="B54" s="262">
        <v>896558348</v>
      </c>
      <c r="C54" s="262" t="s">
        <v>271</v>
      </c>
      <c r="D54" s="100" t="s">
        <v>260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25"/>
        <v>0</v>
      </c>
      <c r="K54" s="98"/>
      <c r="L54" s="98"/>
      <c r="M54" s="98"/>
      <c r="N54" s="98"/>
      <c r="O54" s="189">
        <f t="shared" si="26"/>
        <v>0</v>
      </c>
      <c r="P54" s="101">
        <f t="shared" si="27"/>
        <v>0</v>
      </c>
      <c r="Q54" s="102"/>
      <c r="R54" s="102"/>
      <c r="S54" s="101">
        <f t="shared" si="28"/>
        <v>0</v>
      </c>
      <c r="T54" s="102"/>
      <c r="U54" s="102"/>
      <c r="V54" s="101">
        <f t="shared" si="29"/>
        <v>0</v>
      </c>
      <c r="W54" s="102"/>
      <c r="X54" s="102"/>
      <c r="Y54" s="101">
        <f t="shared" si="30"/>
        <v>0</v>
      </c>
      <c r="Z54" s="101">
        <f t="shared" si="31"/>
        <v>0</v>
      </c>
      <c r="AA54" s="103" t="e">
        <f t="shared" si="32"/>
        <v>#DIV/0!</v>
      </c>
      <c r="AB54" s="101">
        <f t="shared" si="33"/>
        <v>0</v>
      </c>
      <c r="AC54" s="102"/>
      <c r="AD54" s="103">
        <f t="shared" si="34"/>
        <v>0</v>
      </c>
      <c r="AE54" s="102"/>
      <c r="AF54" s="102"/>
      <c r="AG54" s="102"/>
      <c r="AH54" s="102"/>
      <c r="AI54" s="136">
        <f t="shared" si="35"/>
        <v>0</v>
      </c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218.89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outlineLevel="1">
      <c r="A55" s="98"/>
      <c r="B55" s="262">
        <v>896563156</v>
      </c>
      <c r="C55" s="262" t="s">
        <v>272</v>
      </c>
      <c r="D55" s="100" t="s">
        <v>260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25"/>
        <v>0</v>
      </c>
      <c r="K55" s="98"/>
      <c r="L55" s="98"/>
      <c r="M55" s="98"/>
      <c r="N55" s="98"/>
      <c r="O55" s="189">
        <f t="shared" si="26"/>
        <v>0</v>
      </c>
      <c r="P55" s="101">
        <f t="shared" si="27"/>
        <v>0</v>
      </c>
      <c r="Q55" s="102"/>
      <c r="R55" s="102"/>
      <c r="S55" s="101">
        <f t="shared" si="28"/>
        <v>0</v>
      </c>
      <c r="T55" s="102"/>
      <c r="U55" s="102"/>
      <c r="V55" s="101">
        <f t="shared" si="29"/>
        <v>0</v>
      </c>
      <c r="W55" s="102"/>
      <c r="X55" s="102"/>
      <c r="Y55" s="101">
        <f t="shared" si="30"/>
        <v>0</v>
      </c>
      <c r="Z55" s="101">
        <f t="shared" si="31"/>
        <v>0</v>
      </c>
      <c r="AA55" s="103" t="e">
        <f t="shared" si="32"/>
        <v>#DIV/0!</v>
      </c>
      <c r="AB55" s="101">
        <f t="shared" si="33"/>
        <v>0</v>
      </c>
      <c r="AC55" s="102"/>
      <c r="AD55" s="103">
        <f t="shared" si="34"/>
        <v>0</v>
      </c>
      <c r="AE55" s="102"/>
      <c r="AF55" s="102"/>
      <c r="AG55" s="102"/>
      <c r="AH55" s="102"/>
      <c r="AI55" s="136">
        <f t="shared" si="35"/>
        <v>0</v>
      </c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218.89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outlineLevel="1">
      <c r="A56" s="98"/>
      <c r="B56" s="262">
        <v>896345442</v>
      </c>
      <c r="C56" s="262" t="s">
        <v>273</v>
      </c>
      <c r="D56" s="100" t="s">
        <v>260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25"/>
        <v>0</v>
      </c>
      <c r="K56" s="98"/>
      <c r="L56" s="98"/>
      <c r="M56" s="98"/>
      <c r="N56" s="98"/>
      <c r="O56" s="189">
        <f t="shared" si="26"/>
        <v>0</v>
      </c>
      <c r="P56" s="101">
        <f t="shared" si="27"/>
        <v>0</v>
      </c>
      <c r="Q56" s="102"/>
      <c r="R56" s="102"/>
      <c r="S56" s="101">
        <f t="shared" si="28"/>
        <v>0</v>
      </c>
      <c r="T56" s="102"/>
      <c r="U56" s="102"/>
      <c r="V56" s="101">
        <f t="shared" si="29"/>
        <v>0</v>
      </c>
      <c r="W56" s="102"/>
      <c r="X56" s="102"/>
      <c r="Y56" s="101">
        <f t="shared" si="30"/>
        <v>0</v>
      </c>
      <c r="Z56" s="101">
        <f t="shared" si="31"/>
        <v>0</v>
      </c>
      <c r="AA56" s="103" t="e">
        <f t="shared" si="32"/>
        <v>#DIV/0!</v>
      </c>
      <c r="AB56" s="101">
        <f t="shared" si="33"/>
        <v>0</v>
      </c>
      <c r="AC56" s="102"/>
      <c r="AD56" s="103">
        <f t="shared" si="34"/>
        <v>0</v>
      </c>
      <c r="AE56" s="102"/>
      <c r="AF56" s="102"/>
      <c r="AG56" s="102"/>
      <c r="AH56" s="102"/>
      <c r="AI56" s="136">
        <f t="shared" si="35"/>
        <v>0</v>
      </c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188.89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6">AVERAGE(AN3:AN56)</f>
        <v>0</v>
      </c>
      <c r="AO57" s="122">
        <f t="shared" si="46"/>
        <v>160.80574074074084</v>
      </c>
      <c r="AP57" s="122">
        <f t="shared" si="46"/>
        <v>0</v>
      </c>
      <c r="AQ57" s="122">
        <f t="shared" si="46"/>
        <v>0</v>
      </c>
      <c r="AR57" s="122">
        <f t="shared" si="46"/>
        <v>0</v>
      </c>
      <c r="AS57" s="122">
        <f t="shared" si="46"/>
        <v>0</v>
      </c>
      <c r="AT57" s="123">
        <f t="shared" si="46"/>
        <v>0</v>
      </c>
      <c r="AU57" s="122">
        <f t="shared" si="46"/>
        <v>0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0</v>
      </c>
      <c r="F58" s="127">
        <f>SUM(F3:F43)</f>
        <v>0</v>
      </c>
      <c r="G58" s="127">
        <f>SUM(G3:G43)</f>
        <v>0</v>
      </c>
      <c r="H58" s="127">
        <f>SUM(H3:H43)</f>
        <v>0</v>
      </c>
      <c r="I58" s="127"/>
      <c r="J58" s="127">
        <f>SUM(J3:J43)</f>
        <v>0</v>
      </c>
      <c r="K58" s="127"/>
      <c r="L58" s="127">
        <f>SUM(L3:L43)</f>
        <v>0</v>
      </c>
      <c r="M58" s="127"/>
      <c r="N58" s="127"/>
      <c r="O58" s="127"/>
      <c r="P58" s="127"/>
      <c r="Q58" s="127">
        <f t="shared" ref="Q58:AC58" si="47">SUM(Q3:Q43)</f>
        <v>0</v>
      </c>
      <c r="R58" s="127">
        <f t="shared" si="47"/>
        <v>0</v>
      </c>
      <c r="S58" s="127">
        <f t="shared" si="47"/>
        <v>0</v>
      </c>
      <c r="T58" s="127">
        <f t="shared" si="47"/>
        <v>0</v>
      </c>
      <c r="U58" s="127">
        <f t="shared" si="47"/>
        <v>0</v>
      </c>
      <c r="V58" s="127">
        <f t="shared" si="47"/>
        <v>0</v>
      </c>
      <c r="W58" s="127">
        <f t="shared" si="47"/>
        <v>0</v>
      </c>
      <c r="X58" s="127">
        <f t="shared" si="47"/>
        <v>0</v>
      </c>
      <c r="Y58" s="127">
        <f t="shared" si="47"/>
        <v>0</v>
      </c>
      <c r="Z58" s="127">
        <f t="shared" si="47"/>
        <v>0</v>
      </c>
      <c r="AA58" s="128" t="e">
        <f t="shared" si="47"/>
        <v>#DIV/0!</v>
      </c>
      <c r="AB58" s="129">
        <f t="shared" si="47"/>
        <v>0</v>
      </c>
      <c r="AC58" s="129">
        <f t="shared" si="47"/>
        <v>0</v>
      </c>
      <c r="AD58" s="128" t="e">
        <f>AC58/Y58</f>
        <v>#DIV/0!</v>
      </c>
      <c r="AE58" s="127">
        <f t="shared" ref="AE58:AL58" si="48">SUM(AE3:AE43)</f>
        <v>0</v>
      </c>
      <c r="AF58" s="127">
        <f t="shared" si="48"/>
        <v>0</v>
      </c>
      <c r="AG58" s="127">
        <f t="shared" si="48"/>
        <v>0</v>
      </c>
      <c r="AH58" s="127">
        <f t="shared" si="48"/>
        <v>0</v>
      </c>
      <c r="AI58" s="127">
        <f t="shared" si="48"/>
        <v>0</v>
      </c>
      <c r="AJ58" s="127">
        <f t="shared" si="48"/>
        <v>0</v>
      </c>
      <c r="AK58" s="127">
        <f t="shared" si="48"/>
        <v>0</v>
      </c>
      <c r="AL58" s="127">
        <f t="shared" si="48"/>
        <v>0</v>
      </c>
      <c r="AM58" s="130"/>
      <c r="AN58" s="127"/>
      <c r="AO58" s="127"/>
      <c r="AP58" s="127"/>
      <c r="AQ58" s="127"/>
      <c r="AR58" s="127" t="e">
        <f>(AF58+AG58)/Q58</f>
        <v>#DIV/0!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30"/>
      <c r="AG59" s="331"/>
      <c r="AH59" s="356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224</v>
      </c>
      <c r="D60" s="100" t="s">
        <v>226</v>
      </c>
      <c r="E60" s="101">
        <f t="shared" ref="E60:E66" si="49">SUM(F60:H60)</f>
        <v>0</v>
      </c>
      <c r="F60" s="101"/>
      <c r="G60" s="101"/>
      <c r="H60" s="101"/>
      <c r="I60" s="101">
        <v>533.55999999999995</v>
      </c>
      <c r="J60" s="101">
        <f t="shared" ref="J60:J66" si="50">E60*I60</f>
        <v>0</v>
      </c>
      <c r="K60" s="98"/>
      <c r="L60" s="98"/>
      <c r="M60" s="98"/>
      <c r="N60" s="98"/>
      <c r="O60" s="101">
        <f t="shared" ref="O60:O66" si="51">L60/7</f>
        <v>0</v>
      </c>
      <c r="P60" s="101">
        <f t="shared" ref="P60:P66" si="52">S60/7</f>
        <v>0</v>
      </c>
      <c r="Q60" s="102"/>
      <c r="R60" s="102"/>
      <c r="S60" s="101">
        <f t="shared" ref="S60:S66" si="53">Q60+R60</f>
        <v>0</v>
      </c>
      <c r="T60" s="102"/>
      <c r="U60" s="102"/>
      <c r="V60" s="101">
        <f t="shared" ref="V60:V66" si="54">T60+U60</f>
        <v>0</v>
      </c>
      <c r="W60" s="102"/>
      <c r="X60" s="102"/>
      <c r="Y60" s="101">
        <f t="shared" ref="Y60:Y66" si="55">W60+X60</f>
        <v>0</v>
      </c>
      <c r="Z60" s="101">
        <f t="shared" ref="Z60:Z66" si="56">L60*M60*N60/100</f>
        <v>0</v>
      </c>
      <c r="AA60" s="103" t="e">
        <f>Y60/#REF!</f>
        <v>#REF!</v>
      </c>
      <c r="AB60" s="101">
        <f t="shared" ref="AB60:AB66" si="57">S60*I60</f>
        <v>0</v>
      </c>
      <c r="AC60" s="102"/>
      <c r="AD60" s="103">
        <f t="shared" ref="AD60:AD66" si="58">IF(Y60=0,0,AC60/Y60)</f>
        <v>0</v>
      </c>
      <c r="AE60" s="102">
        <v>0</v>
      </c>
      <c r="AF60" s="102"/>
      <c r="AG60" s="102"/>
      <c r="AH60" s="102"/>
      <c r="AI60" s="136">
        <f>IFERROR(#REF!*H60/#REF!,0)</f>
        <v>0</v>
      </c>
      <c r="AJ60" s="102"/>
      <c r="AK60" s="104">
        <f t="shared" ref="AK60:AK66" si="59">V60*1%</f>
        <v>0</v>
      </c>
      <c r="AL60" s="105">
        <f t="shared" ref="AL60:AL66" si="60">Y60-AB60-AC60-AE60-AF60-AG60-AH60-AI60-AK60-AJ60</f>
        <v>0</v>
      </c>
      <c r="AM60" s="106"/>
      <c r="AN60" s="107">
        <f t="shared" ref="AN60:AN66" si="61">IF(S60=0,0,Y60/S60)</f>
        <v>0</v>
      </c>
      <c r="AO60" s="108">
        <f t="shared" ref="AO60:AO66" si="62">I60</f>
        <v>533.55999999999995</v>
      </c>
      <c r="AP60" s="108">
        <f t="shared" ref="AP60:AP66" si="63">IF(S60=0,0,AC60/S60)</f>
        <v>0</v>
      </c>
      <c r="AQ60" s="108">
        <f t="shared" ref="AQ60:AQ66" si="64">IF(Q60=0,AE60/1,AE60/Q60)</f>
        <v>0</v>
      </c>
      <c r="AR60" s="108">
        <f t="shared" ref="AR60:AR66" si="65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6">IF(AN60=0,0,AS60/AN60)</f>
        <v>0</v>
      </c>
      <c r="AU60" s="103">
        <f t="shared" ref="AU60:AU66" si="67">IF(AO60=0,0,AS60/AO60)</f>
        <v>0</v>
      </c>
      <c r="AV60" s="109"/>
      <c r="AW60" s="104">
        <f t="shared" ref="AW60:AW66" si="68">AS60*E60</f>
        <v>0</v>
      </c>
    </row>
    <row r="61" spans="1:49" outlineLevel="1">
      <c r="A61" s="98"/>
      <c r="B61" s="99">
        <v>846464049</v>
      </c>
      <c r="C61" s="99" t="s">
        <v>225</v>
      </c>
      <c r="D61" s="100" t="s">
        <v>226</v>
      </c>
      <c r="E61" s="101">
        <f t="shared" si="49"/>
        <v>0</v>
      </c>
      <c r="F61" s="101"/>
      <c r="G61" s="101"/>
      <c r="H61" s="101"/>
      <c r="I61" s="101">
        <v>533.55999999999995</v>
      </c>
      <c r="J61" s="101">
        <f t="shared" si="50"/>
        <v>0</v>
      </c>
      <c r="K61" s="98"/>
      <c r="L61" s="98"/>
      <c r="M61" s="98"/>
      <c r="N61" s="98"/>
      <c r="O61" s="101">
        <f t="shared" si="51"/>
        <v>0</v>
      </c>
      <c r="P61" s="101">
        <f t="shared" si="52"/>
        <v>0</v>
      </c>
      <c r="Q61" s="102"/>
      <c r="R61" s="102"/>
      <c r="S61" s="101">
        <f t="shared" si="53"/>
        <v>0</v>
      </c>
      <c r="T61" s="102"/>
      <c r="U61" s="102"/>
      <c r="V61" s="101">
        <f t="shared" si="54"/>
        <v>0</v>
      </c>
      <c r="W61" s="102"/>
      <c r="X61" s="102"/>
      <c r="Y61" s="101">
        <f t="shared" si="55"/>
        <v>0</v>
      </c>
      <c r="Z61" s="101">
        <f t="shared" si="56"/>
        <v>0</v>
      </c>
      <c r="AA61" s="103" t="e">
        <f>Y61/#REF!</f>
        <v>#REF!</v>
      </c>
      <c r="AB61" s="101">
        <f t="shared" si="57"/>
        <v>0</v>
      </c>
      <c r="AC61" s="102"/>
      <c r="AD61" s="103">
        <f t="shared" si="58"/>
        <v>0</v>
      </c>
      <c r="AE61" s="102">
        <v>0</v>
      </c>
      <c r="AF61" s="102"/>
      <c r="AG61" s="102"/>
      <c r="AH61" s="102"/>
      <c r="AI61" s="136">
        <f>IFERROR(#REF!*H61/#REF!,0)</f>
        <v>0</v>
      </c>
      <c r="AJ61" s="102"/>
      <c r="AK61" s="104">
        <f t="shared" si="59"/>
        <v>0</v>
      </c>
      <c r="AL61" s="105">
        <f t="shared" si="60"/>
        <v>0</v>
      </c>
      <c r="AM61" s="106"/>
      <c r="AN61" s="107">
        <f t="shared" si="61"/>
        <v>0</v>
      </c>
      <c r="AO61" s="108">
        <f t="shared" si="62"/>
        <v>533.55999999999995</v>
      </c>
      <c r="AP61" s="108">
        <f t="shared" si="63"/>
        <v>0</v>
      </c>
      <c r="AQ61" s="108">
        <f t="shared" si="64"/>
        <v>0</v>
      </c>
      <c r="AR61" s="108">
        <f t="shared" si="65"/>
        <v>0</v>
      </c>
      <c r="AS61" s="108">
        <f t="array" ref="AS61">_xlfn.IFS(S61=0,AL61,S61&lt;0,AL61/-S61,S61&gt;0,AL61/S61)</f>
        <v>0</v>
      </c>
      <c r="AT61" s="103">
        <f t="shared" si="66"/>
        <v>0</v>
      </c>
      <c r="AU61" s="103">
        <f t="shared" si="67"/>
        <v>0</v>
      </c>
      <c r="AV61" s="109"/>
      <c r="AW61" s="104">
        <f t="shared" si="68"/>
        <v>0</v>
      </c>
    </row>
    <row r="62" spans="1:49" outlineLevel="1">
      <c r="A62" s="98"/>
      <c r="B62" s="99">
        <v>846494145</v>
      </c>
      <c r="C62" s="99" t="s">
        <v>227</v>
      </c>
      <c r="D62" s="100" t="s">
        <v>226</v>
      </c>
      <c r="E62" s="101">
        <f t="shared" si="49"/>
        <v>0</v>
      </c>
      <c r="F62" s="101"/>
      <c r="G62" s="101"/>
      <c r="H62" s="101"/>
      <c r="I62" s="101">
        <v>533.55999999999995</v>
      </c>
      <c r="J62" s="101">
        <f t="shared" si="50"/>
        <v>0</v>
      </c>
      <c r="K62" s="98"/>
      <c r="L62" s="98"/>
      <c r="M62" s="98"/>
      <c r="N62" s="98"/>
      <c r="O62" s="101">
        <f t="shared" si="51"/>
        <v>0</v>
      </c>
      <c r="P62" s="101">
        <f t="shared" si="52"/>
        <v>0</v>
      </c>
      <c r="Q62" s="102"/>
      <c r="R62" s="102"/>
      <c r="S62" s="101">
        <f t="shared" si="53"/>
        <v>0</v>
      </c>
      <c r="T62" s="102"/>
      <c r="U62" s="102"/>
      <c r="V62" s="101">
        <f t="shared" si="54"/>
        <v>0</v>
      </c>
      <c r="W62" s="102"/>
      <c r="X62" s="102"/>
      <c r="Y62" s="101">
        <f t="shared" si="55"/>
        <v>0</v>
      </c>
      <c r="Z62" s="101">
        <f t="shared" si="56"/>
        <v>0</v>
      </c>
      <c r="AA62" s="103" t="e">
        <f>Y62/#REF!</f>
        <v>#REF!</v>
      </c>
      <c r="AB62" s="101">
        <f t="shared" si="57"/>
        <v>0</v>
      </c>
      <c r="AC62" s="102"/>
      <c r="AD62" s="103">
        <f t="shared" si="58"/>
        <v>0</v>
      </c>
      <c r="AE62" s="102">
        <v>0</v>
      </c>
      <c r="AF62" s="102"/>
      <c r="AG62" s="102"/>
      <c r="AH62" s="102"/>
      <c r="AI62" s="136">
        <f>IFERROR(#REF!*H62/#REF!,0)</f>
        <v>0</v>
      </c>
      <c r="AJ62" s="102"/>
      <c r="AK62" s="104">
        <f t="shared" si="59"/>
        <v>0</v>
      </c>
      <c r="AL62" s="105">
        <f t="shared" si="60"/>
        <v>0</v>
      </c>
      <c r="AM62" s="106"/>
      <c r="AN62" s="107">
        <f t="shared" si="61"/>
        <v>0</v>
      </c>
      <c r="AO62" s="108">
        <f t="shared" si="62"/>
        <v>533.55999999999995</v>
      </c>
      <c r="AP62" s="108">
        <f t="shared" si="63"/>
        <v>0</v>
      </c>
      <c r="AQ62" s="108">
        <f t="shared" si="64"/>
        <v>0</v>
      </c>
      <c r="AR62" s="108">
        <f t="shared" si="65"/>
        <v>0</v>
      </c>
      <c r="AS62" s="108">
        <f t="array" ref="AS62">_xlfn.IFS(S62=0,AL62,S62&lt;0,AL62/-S62,S62&gt;0,AL62/S62)</f>
        <v>0</v>
      </c>
      <c r="AT62" s="103">
        <f t="shared" si="66"/>
        <v>0</v>
      </c>
      <c r="AU62" s="103">
        <f t="shared" si="67"/>
        <v>0</v>
      </c>
      <c r="AV62" s="109"/>
      <c r="AW62" s="104">
        <f t="shared" si="68"/>
        <v>0</v>
      </c>
    </row>
    <row r="63" spans="1:49" outlineLevel="1">
      <c r="A63" s="98"/>
      <c r="B63" s="99">
        <v>847068670</v>
      </c>
      <c r="C63" s="99" t="s">
        <v>228</v>
      </c>
      <c r="D63" s="100" t="s">
        <v>226</v>
      </c>
      <c r="E63" s="101">
        <f t="shared" si="49"/>
        <v>0</v>
      </c>
      <c r="F63" s="101"/>
      <c r="G63" s="101"/>
      <c r="H63" s="101"/>
      <c r="I63" s="101">
        <v>326.89</v>
      </c>
      <c r="J63" s="101">
        <f t="shared" si="50"/>
        <v>0</v>
      </c>
      <c r="K63" s="98"/>
      <c r="L63" s="98"/>
      <c r="M63" s="98"/>
      <c r="N63" s="98"/>
      <c r="O63" s="101">
        <f t="shared" si="51"/>
        <v>0</v>
      </c>
      <c r="P63" s="101">
        <f t="shared" si="52"/>
        <v>0</v>
      </c>
      <c r="Q63" s="102"/>
      <c r="R63" s="102"/>
      <c r="S63" s="101">
        <f t="shared" si="53"/>
        <v>0</v>
      </c>
      <c r="T63" s="102"/>
      <c r="U63" s="102"/>
      <c r="V63" s="101">
        <f t="shared" si="54"/>
        <v>0</v>
      </c>
      <c r="W63" s="102"/>
      <c r="X63" s="102"/>
      <c r="Y63" s="101">
        <f t="shared" si="55"/>
        <v>0</v>
      </c>
      <c r="Z63" s="101">
        <f t="shared" si="56"/>
        <v>0</v>
      </c>
      <c r="AA63" s="103" t="e">
        <f>Y63/#REF!</f>
        <v>#REF!</v>
      </c>
      <c r="AB63" s="101">
        <f t="shared" si="57"/>
        <v>0</v>
      </c>
      <c r="AC63" s="102"/>
      <c r="AD63" s="103">
        <f t="shared" si="58"/>
        <v>0</v>
      </c>
      <c r="AE63" s="102">
        <v>0</v>
      </c>
      <c r="AF63" s="102"/>
      <c r="AG63" s="102"/>
      <c r="AH63" s="102"/>
      <c r="AI63" s="136">
        <f>IFERROR(#REF!*H63/#REF!,0)</f>
        <v>0</v>
      </c>
      <c r="AJ63" s="102"/>
      <c r="AK63" s="104">
        <f t="shared" si="59"/>
        <v>0</v>
      </c>
      <c r="AL63" s="105">
        <f t="shared" si="60"/>
        <v>0</v>
      </c>
      <c r="AM63" s="106"/>
      <c r="AN63" s="107">
        <f t="shared" si="61"/>
        <v>0</v>
      </c>
      <c r="AO63" s="108">
        <f t="shared" si="62"/>
        <v>326.89</v>
      </c>
      <c r="AP63" s="108">
        <f t="shared" si="63"/>
        <v>0</v>
      </c>
      <c r="AQ63" s="108">
        <f t="shared" si="64"/>
        <v>0</v>
      </c>
      <c r="AR63" s="108">
        <f t="shared" si="65"/>
        <v>0</v>
      </c>
      <c r="AS63" s="108">
        <f t="array" ref="AS63">_xlfn.IFS(S63=0,AL63,S63&lt;0,AL63/-S63,S63&gt;0,AL63/S63)</f>
        <v>0</v>
      </c>
      <c r="AT63" s="103">
        <f t="shared" si="66"/>
        <v>0</v>
      </c>
      <c r="AU63" s="103">
        <f t="shared" si="67"/>
        <v>0</v>
      </c>
      <c r="AV63" s="109"/>
      <c r="AW63" s="104">
        <f t="shared" si="68"/>
        <v>0</v>
      </c>
    </row>
    <row r="64" spans="1:49" outlineLevel="1">
      <c r="A64" s="98"/>
      <c r="B64" s="99">
        <v>847068668</v>
      </c>
      <c r="C64" s="99" t="s">
        <v>229</v>
      </c>
      <c r="D64" s="100" t="s">
        <v>226</v>
      </c>
      <c r="E64" s="101">
        <f t="shared" si="49"/>
        <v>0</v>
      </c>
      <c r="F64" s="101"/>
      <c r="G64" s="101"/>
      <c r="H64" s="101"/>
      <c r="I64" s="101">
        <v>326.89</v>
      </c>
      <c r="J64" s="101">
        <f t="shared" si="50"/>
        <v>0</v>
      </c>
      <c r="K64" s="98"/>
      <c r="L64" s="98"/>
      <c r="M64" s="98"/>
      <c r="N64" s="98"/>
      <c r="O64" s="101">
        <f t="shared" si="51"/>
        <v>0</v>
      </c>
      <c r="P64" s="101">
        <f t="shared" si="52"/>
        <v>0</v>
      </c>
      <c r="Q64" s="102"/>
      <c r="R64" s="102"/>
      <c r="S64" s="101">
        <f t="shared" si="53"/>
        <v>0</v>
      </c>
      <c r="T64" s="102"/>
      <c r="U64" s="102"/>
      <c r="V64" s="101">
        <f t="shared" si="54"/>
        <v>0</v>
      </c>
      <c r="W64" s="102"/>
      <c r="X64" s="102"/>
      <c r="Y64" s="101">
        <f t="shared" si="55"/>
        <v>0</v>
      </c>
      <c r="Z64" s="101">
        <f t="shared" si="56"/>
        <v>0</v>
      </c>
      <c r="AA64" s="103" t="e">
        <f>Y64/#REF!</f>
        <v>#REF!</v>
      </c>
      <c r="AB64" s="101">
        <f t="shared" si="57"/>
        <v>0</v>
      </c>
      <c r="AC64" s="102"/>
      <c r="AD64" s="103">
        <f t="shared" si="58"/>
        <v>0</v>
      </c>
      <c r="AE64" s="102">
        <v>0</v>
      </c>
      <c r="AF64" s="102"/>
      <c r="AG64" s="102"/>
      <c r="AH64" s="102"/>
      <c r="AI64" s="136">
        <f>IFERROR(#REF!*H64/#REF!,0)</f>
        <v>0</v>
      </c>
      <c r="AJ64" s="102"/>
      <c r="AK64" s="104">
        <f t="shared" si="59"/>
        <v>0</v>
      </c>
      <c r="AL64" s="105">
        <f t="shared" si="60"/>
        <v>0</v>
      </c>
      <c r="AM64" s="106"/>
      <c r="AN64" s="107">
        <f t="shared" si="61"/>
        <v>0</v>
      </c>
      <c r="AO64" s="108">
        <f t="shared" si="62"/>
        <v>326.89</v>
      </c>
      <c r="AP64" s="108">
        <f t="shared" si="63"/>
        <v>0</v>
      </c>
      <c r="AQ64" s="108">
        <f t="shared" si="64"/>
        <v>0</v>
      </c>
      <c r="AR64" s="108">
        <f t="shared" si="65"/>
        <v>0</v>
      </c>
      <c r="AS64" s="108">
        <f t="array" ref="AS64">_xlfn.IFS(S64=0,AL64,S64&lt;0,AL64/-S64,S64&gt;0,AL64/S64)</f>
        <v>0</v>
      </c>
      <c r="AT64" s="103">
        <f t="shared" si="66"/>
        <v>0</v>
      </c>
      <c r="AU64" s="103">
        <f t="shared" si="67"/>
        <v>0</v>
      </c>
      <c r="AV64" s="109"/>
      <c r="AW64" s="104">
        <f t="shared" si="68"/>
        <v>0</v>
      </c>
    </row>
    <row r="65" spans="1:49" outlineLevel="1">
      <c r="A65" s="98"/>
      <c r="B65" s="99">
        <v>847068669</v>
      </c>
      <c r="C65" s="99" t="s">
        <v>230</v>
      </c>
      <c r="D65" s="100" t="s">
        <v>226</v>
      </c>
      <c r="E65" s="101">
        <f t="shared" si="49"/>
        <v>0</v>
      </c>
      <c r="F65" s="101"/>
      <c r="G65" s="101"/>
      <c r="H65" s="101"/>
      <c r="I65" s="101">
        <v>326.89</v>
      </c>
      <c r="J65" s="101">
        <f t="shared" si="50"/>
        <v>0</v>
      </c>
      <c r="K65" s="98"/>
      <c r="L65" s="98"/>
      <c r="M65" s="98"/>
      <c r="N65" s="98"/>
      <c r="O65" s="101">
        <f t="shared" si="51"/>
        <v>0</v>
      </c>
      <c r="P65" s="101">
        <f t="shared" si="52"/>
        <v>0</v>
      </c>
      <c r="Q65" s="102"/>
      <c r="R65" s="102"/>
      <c r="S65" s="101">
        <f t="shared" si="53"/>
        <v>0</v>
      </c>
      <c r="T65" s="102"/>
      <c r="U65" s="102"/>
      <c r="V65" s="101">
        <f t="shared" si="54"/>
        <v>0</v>
      </c>
      <c r="W65" s="102"/>
      <c r="X65" s="102"/>
      <c r="Y65" s="101">
        <f t="shared" si="55"/>
        <v>0</v>
      </c>
      <c r="Z65" s="101">
        <f t="shared" si="56"/>
        <v>0</v>
      </c>
      <c r="AA65" s="103" t="e">
        <f>Y65/#REF!</f>
        <v>#REF!</v>
      </c>
      <c r="AB65" s="101">
        <f t="shared" si="57"/>
        <v>0</v>
      </c>
      <c r="AC65" s="102"/>
      <c r="AD65" s="103">
        <f t="shared" si="58"/>
        <v>0</v>
      </c>
      <c r="AE65" s="102">
        <v>0</v>
      </c>
      <c r="AF65" s="102"/>
      <c r="AG65" s="102"/>
      <c r="AH65" s="102"/>
      <c r="AI65" s="136">
        <f>IFERROR(#REF!*H65/#REF!,0)</f>
        <v>0</v>
      </c>
      <c r="AJ65" s="102"/>
      <c r="AK65" s="104">
        <f t="shared" si="59"/>
        <v>0</v>
      </c>
      <c r="AL65" s="105">
        <f t="shared" si="60"/>
        <v>0</v>
      </c>
      <c r="AM65" s="106"/>
      <c r="AN65" s="107">
        <f t="shared" si="61"/>
        <v>0</v>
      </c>
      <c r="AO65" s="108">
        <f t="shared" si="62"/>
        <v>326.89</v>
      </c>
      <c r="AP65" s="108">
        <f t="shared" si="63"/>
        <v>0</v>
      </c>
      <c r="AQ65" s="108">
        <f t="shared" si="64"/>
        <v>0</v>
      </c>
      <c r="AR65" s="108">
        <f t="shared" si="65"/>
        <v>0</v>
      </c>
      <c r="AS65" s="108">
        <f t="array" ref="AS65">_xlfn.IFS(S65=0,AL65,S65&lt;0,AL65/-S65,S65&gt;0,AL65/S65)</f>
        <v>0</v>
      </c>
      <c r="AT65" s="103">
        <f t="shared" si="66"/>
        <v>0</v>
      </c>
      <c r="AU65" s="103">
        <f t="shared" si="67"/>
        <v>0</v>
      </c>
      <c r="AV65" s="109"/>
      <c r="AW65" s="104">
        <f t="shared" si="68"/>
        <v>0</v>
      </c>
    </row>
    <row r="66" spans="1:49" outlineLevel="1">
      <c r="A66" s="98"/>
      <c r="B66" s="99">
        <v>847068666</v>
      </c>
      <c r="C66" s="99" t="s">
        <v>231</v>
      </c>
      <c r="D66" s="100" t="s">
        <v>226</v>
      </c>
      <c r="E66" s="101">
        <f t="shared" si="49"/>
        <v>0</v>
      </c>
      <c r="F66" s="101"/>
      <c r="G66" s="101"/>
      <c r="H66" s="101"/>
      <c r="I66" s="101">
        <v>326.89</v>
      </c>
      <c r="J66" s="101">
        <f t="shared" si="50"/>
        <v>0</v>
      </c>
      <c r="K66" s="98"/>
      <c r="L66" s="98"/>
      <c r="M66" s="98"/>
      <c r="N66" s="98"/>
      <c r="O66" s="101">
        <f t="shared" si="51"/>
        <v>0</v>
      </c>
      <c r="P66" s="101">
        <f t="shared" si="52"/>
        <v>0</v>
      </c>
      <c r="Q66" s="102"/>
      <c r="R66" s="102"/>
      <c r="S66" s="101">
        <f t="shared" si="53"/>
        <v>0</v>
      </c>
      <c r="T66" s="102"/>
      <c r="U66" s="102"/>
      <c r="V66" s="101">
        <f t="shared" si="54"/>
        <v>0</v>
      </c>
      <c r="W66" s="102"/>
      <c r="X66" s="102"/>
      <c r="Y66" s="101">
        <f t="shared" si="55"/>
        <v>0</v>
      </c>
      <c r="Z66" s="101">
        <f t="shared" si="56"/>
        <v>0</v>
      </c>
      <c r="AA66" s="103" t="e">
        <f>Y66/#REF!</f>
        <v>#REF!</v>
      </c>
      <c r="AB66" s="101">
        <f t="shared" si="57"/>
        <v>0</v>
      </c>
      <c r="AC66" s="102"/>
      <c r="AD66" s="103">
        <f t="shared" si="58"/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si="59"/>
        <v>0</v>
      </c>
      <c r="AL66" s="105">
        <f t="shared" si="60"/>
        <v>0</v>
      </c>
      <c r="AM66" s="106"/>
      <c r="AN66" s="107">
        <f t="shared" si="61"/>
        <v>0</v>
      </c>
      <c r="AO66" s="108">
        <f t="shared" si="62"/>
        <v>326.89</v>
      </c>
      <c r="AP66" s="108">
        <f t="shared" si="63"/>
        <v>0</v>
      </c>
      <c r="AQ66" s="108">
        <f t="shared" si="64"/>
        <v>0</v>
      </c>
      <c r="AR66" s="108">
        <f t="shared" si="65"/>
        <v>0</v>
      </c>
      <c r="AS66" s="108">
        <f t="array" ref="AS66">_xlfn.IFS(S66=0,AL66,S66&lt;0,AL66/-S66,S66&gt;0,AL66/S66)</f>
        <v>0</v>
      </c>
      <c r="AT66" s="103">
        <f t="shared" si="66"/>
        <v>0</v>
      </c>
      <c r="AU66" s="103">
        <f t="shared" si="67"/>
        <v>0</v>
      </c>
      <c r="AV66" s="109"/>
      <c r="AW66" s="104">
        <f t="shared" si="68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9">AVERAGE(AN60:AN66)</f>
        <v>0</v>
      </c>
      <c r="AO67" s="145">
        <f t="shared" si="69"/>
        <v>415.46285714285705</v>
      </c>
      <c r="AP67" s="145">
        <f t="shared" si="69"/>
        <v>0</v>
      </c>
      <c r="AQ67" s="145">
        <f t="shared" si="69"/>
        <v>0</v>
      </c>
      <c r="AR67" s="145">
        <f t="shared" si="69"/>
        <v>0</v>
      </c>
      <c r="AS67" s="145">
        <f t="shared" si="69"/>
        <v>0</v>
      </c>
      <c r="AT67" s="146">
        <f t="shared" si="69"/>
        <v>0</v>
      </c>
      <c r="AU67" s="146">
        <f t="shared" si="69"/>
        <v>0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0">SUM(Q60:Q66)</f>
        <v>0</v>
      </c>
      <c r="R68" s="149">
        <f t="shared" si="70"/>
        <v>0</v>
      </c>
      <c r="S68" s="149">
        <f t="shared" si="70"/>
        <v>0</v>
      </c>
      <c r="T68" s="149">
        <f t="shared" si="70"/>
        <v>0</v>
      </c>
      <c r="U68" s="149">
        <f t="shared" si="70"/>
        <v>0</v>
      </c>
      <c r="V68" s="149">
        <f t="shared" si="70"/>
        <v>0</v>
      </c>
      <c r="W68" s="149">
        <f t="shared" si="70"/>
        <v>0</v>
      </c>
      <c r="X68" s="149">
        <f t="shared" si="70"/>
        <v>0</v>
      </c>
      <c r="Y68" s="149">
        <f t="shared" si="70"/>
        <v>0</v>
      </c>
      <c r="Z68" s="149">
        <f t="shared" si="70"/>
        <v>0</v>
      </c>
      <c r="AA68" s="150" t="e">
        <f t="shared" si="70"/>
        <v>#REF!</v>
      </c>
      <c r="AB68" s="151">
        <f t="shared" si="70"/>
        <v>0</v>
      </c>
      <c r="AC68" s="149">
        <f t="shared" si="70"/>
        <v>0</v>
      </c>
      <c r="AD68" s="150" t="e">
        <f>AC68/Y68</f>
        <v>#DIV/0!</v>
      </c>
      <c r="AE68" s="149">
        <f t="shared" ref="AE68:AL68" si="71">SUM(AE60:AE66)</f>
        <v>0</v>
      </c>
      <c r="AF68" s="149">
        <f t="shared" si="71"/>
        <v>0</v>
      </c>
      <c r="AG68" s="149">
        <f t="shared" si="71"/>
        <v>0</v>
      </c>
      <c r="AH68" s="149">
        <f t="shared" si="71"/>
        <v>0</v>
      </c>
      <c r="AI68" s="152">
        <f t="shared" si="71"/>
        <v>0</v>
      </c>
      <c r="AJ68" s="149">
        <f t="shared" si="71"/>
        <v>0</v>
      </c>
      <c r="AK68" s="149">
        <f t="shared" si="71"/>
        <v>0</v>
      </c>
      <c r="AL68" s="149">
        <f t="shared" si="71"/>
        <v>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7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2">E58+E68</f>
        <v>0</v>
      </c>
      <c r="F70" s="172">
        <f t="shared" si="72"/>
        <v>0</v>
      </c>
      <c r="G70" s="172">
        <f t="shared" si="72"/>
        <v>0</v>
      </c>
      <c r="H70" s="172">
        <f t="shared" si="72"/>
        <v>0</v>
      </c>
      <c r="I70" s="172">
        <f t="shared" si="72"/>
        <v>0</v>
      </c>
      <c r="J70" s="172">
        <f t="shared" si="72"/>
        <v>0</v>
      </c>
      <c r="K70" s="172">
        <f t="shared" si="72"/>
        <v>0</v>
      </c>
      <c r="L70" s="172">
        <f t="shared" si="72"/>
        <v>0</v>
      </c>
      <c r="M70" s="172">
        <f t="shared" si="72"/>
        <v>0</v>
      </c>
      <c r="N70" s="172">
        <f t="shared" si="72"/>
        <v>0</v>
      </c>
      <c r="O70" s="172">
        <f t="shared" si="72"/>
        <v>0</v>
      </c>
      <c r="P70" s="172">
        <f t="shared" si="72"/>
        <v>0</v>
      </c>
      <c r="Q70" s="172">
        <f t="shared" si="72"/>
        <v>0</v>
      </c>
      <c r="R70" s="172">
        <f t="shared" si="72"/>
        <v>0</v>
      </c>
      <c r="S70" s="172">
        <f t="shared" si="72"/>
        <v>0</v>
      </c>
      <c r="T70" s="172">
        <f t="shared" si="72"/>
        <v>0</v>
      </c>
      <c r="U70" s="172">
        <f t="shared" si="72"/>
        <v>0</v>
      </c>
      <c r="V70" s="172">
        <f t="shared" si="72"/>
        <v>0</v>
      </c>
      <c r="W70" s="172">
        <f t="shared" si="72"/>
        <v>0</v>
      </c>
      <c r="X70" s="172">
        <f t="shared" si="72"/>
        <v>0</v>
      </c>
      <c r="Y70" s="172">
        <f t="shared" si="72"/>
        <v>0</v>
      </c>
      <c r="Z70" s="172">
        <f t="shared" si="72"/>
        <v>0</v>
      </c>
      <c r="AA70" s="173" t="e">
        <f t="shared" si="72"/>
        <v>#DIV/0!</v>
      </c>
      <c r="AB70" s="174">
        <f t="shared" si="72"/>
        <v>0</v>
      </c>
      <c r="AC70" s="172">
        <f t="shared" si="72"/>
        <v>0</v>
      </c>
      <c r="AD70" s="173" t="e">
        <f>AC70/Y70</f>
        <v>#DIV/0!</v>
      </c>
      <c r="AE70" s="174">
        <f>AE58+AE68</f>
        <v>0</v>
      </c>
      <c r="AF70" s="175">
        <f>AF58+AF68</f>
        <v>0</v>
      </c>
      <c r="AG70" s="175">
        <f>AG58+AG68</f>
        <v>0</v>
      </c>
      <c r="AH70" s="175">
        <f>AH58+AH68</f>
        <v>0</v>
      </c>
      <c r="AI70" s="176"/>
      <c r="AJ70" s="172">
        <f>AJ58+AJ68</f>
        <v>0</v>
      </c>
      <c r="AK70" s="172">
        <f>AK58+AK68</f>
        <v>0</v>
      </c>
      <c r="AL70" s="172">
        <f>AL58+AL68</f>
        <v>0</v>
      </c>
      <c r="AM70" s="172"/>
      <c r="AN70" s="172"/>
      <c r="AO70" s="172"/>
      <c r="AP70" s="172"/>
      <c r="AQ70" s="172"/>
      <c r="AR70" s="172" t="e">
        <f>(AF70+AG70)/Q70</f>
        <v>#DIV/0!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7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1" priority="5" operator="greaterThan">
      <formula>120</formula>
    </cfRule>
  </conditionalFormatting>
  <conditionalFormatting sqref="O67">
    <cfRule type="cellIs" dxfId="60" priority="4" operator="between">
      <formula>0.000001</formula>
      <formula>25</formula>
    </cfRule>
  </conditionalFormatting>
  <conditionalFormatting sqref="AA69 AA71:AA1048576">
    <cfRule type="cellIs" dxfId="59" priority="6" operator="greaterThan">
      <formula>0.23</formula>
    </cfRule>
  </conditionalFormatting>
  <conditionalFormatting sqref="AA1">
    <cfRule type="cellIs" dxfId="58" priority="3" operator="greaterThan">
      <formula>0.23</formula>
    </cfRule>
  </conditionalFormatting>
  <conditionalFormatting sqref="K59:K66">
    <cfRule type="cellIs" dxfId="57" priority="2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{281EBBD4-D4A5-4704-9179-7CF9FC1F0BED}</x14:id>
        </ext>
      </extLst>
    </cfRule>
  </conditionalFormatting>
  <conditionalFormatting sqref="Y67:AA67 Y3:AA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1EBBD4-D4A5-4704-9179-7CF9FC1F0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L3" activePane="bottomRight" state="frozen"/>
      <selection pane="topRight" activeCell="D1" sqref="D1"/>
      <selection pane="bottomLeft" activeCell="A3" sqref="A3"/>
      <selection pane="bottomRight" activeCell="AG63" sqref="AG6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236</v>
      </c>
      <c r="B1" s="77"/>
      <c r="C1" s="76"/>
      <c r="D1" s="76"/>
      <c r="E1" s="78"/>
      <c r="F1" s="464" t="s">
        <v>47</v>
      </c>
      <c r="G1" s="464"/>
      <c r="H1" s="464"/>
      <c r="K1" s="328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68"/>
      <c r="AG1" s="468"/>
      <c r="AH1" s="329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171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172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173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174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175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143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183</v>
      </c>
      <c r="D37" s="100" t="s">
        <v>260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184</v>
      </c>
      <c r="D38" s="100" t="s">
        <v>260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185</v>
      </c>
      <c r="D39" s="100" t="s">
        <v>260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186</v>
      </c>
      <c r="D40" s="100" t="s">
        <v>260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187</v>
      </c>
      <c r="D41" s="100" t="s">
        <v>260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188</v>
      </c>
      <c r="D42" s="100" t="s">
        <v>260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189</v>
      </c>
      <c r="D43" s="100" t="s">
        <v>260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261</v>
      </c>
      <c r="D44" s="100" t="s">
        <v>260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143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262</v>
      </c>
      <c r="D45" s="100" t="s">
        <v>260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143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263</v>
      </c>
      <c r="D46" s="100" t="s">
        <v>260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143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264</v>
      </c>
      <c r="D47" s="100" t="s">
        <v>260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143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265</v>
      </c>
      <c r="D48" s="100" t="s">
        <v>260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143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266</v>
      </c>
      <c r="D49" s="100" t="s">
        <v>260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143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267</v>
      </c>
      <c r="D50" s="100" t="s">
        <v>260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143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268</v>
      </c>
      <c r="D51" s="100" t="s">
        <v>260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143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269</v>
      </c>
      <c r="D52" s="100" t="s">
        <v>260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143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270</v>
      </c>
      <c r="D53" s="100" t="s">
        <v>260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143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271</v>
      </c>
      <c r="D54" s="100" t="s">
        <v>260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143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272</v>
      </c>
      <c r="D55" s="100" t="s">
        <v>260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143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273</v>
      </c>
      <c r="D56" s="100" t="s">
        <v>260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143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6228</v>
      </c>
      <c r="F58" s="127">
        <f>SUM(F3:F43)</f>
        <v>1232</v>
      </c>
      <c r="G58" s="127">
        <f>SUM(G3:G43)</f>
        <v>287</v>
      </c>
      <c r="H58" s="127">
        <f>SUM(H3:H43)</f>
        <v>4709</v>
      </c>
      <c r="I58" s="127"/>
      <c r="J58" s="127">
        <f>SUM(J3:J43)</f>
        <v>813895.48000000033</v>
      </c>
      <c r="K58" s="127"/>
      <c r="L58" s="127">
        <f>SUM(L3:L43)</f>
        <v>1912</v>
      </c>
      <c r="M58" s="127"/>
      <c r="N58" s="127"/>
      <c r="O58" s="127"/>
      <c r="P58" s="127"/>
      <c r="Q58" s="127">
        <f t="shared" ref="Q58:AC58" si="44">SUM(Q3:Q43)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SUM(AE3:AE43)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30"/>
      <c r="AG59" s="331"/>
      <c r="AH59" s="326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224</v>
      </c>
      <c r="D60" s="100" t="s">
        <v>226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143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225</v>
      </c>
      <c r="D61" s="100" t="s">
        <v>226</v>
      </c>
      <c r="E61" s="101">
        <f t="shared" si="46"/>
        <v>2</v>
      </c>
      <c r="F61" s="101" t="s">
        <v>143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227</v>
      </c>
      <c r="D62" s="100" t="s">
        <v>226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143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228</v>
      </c>
      <c r="D63" s="100" t="s">
        <v>226</v>
      </c>
      <c r="E63" s="101">
        <f t="shared" si="46"/>
        <v>1</v>
      </c>
      <c r="F63" s="101" t="s">
        <v>143</v>
      </c>
      <c r="G63" s="101" t="s">
        <v>143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229</v>
      </c>
      <c r="D64" s="100" t="s">
        <v>226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230</v>
      </c>
      <c r="D65" s="100" t="s">
        <v>226</v>
      </c>
      <c r="E65" s="101">
        <f t="shared" si="46"/>
        <v>3</v>
      </c>
      <c r="F65" s="101">
        <v>3</v>
      </c>
      <c r="G65" s="101" t="s">
        <v>143</v>
      </c>
      <c r="H65" s="101" t="s">
        <v>143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231</v>
      </c>
      <c r="D66" s="100" t="s">
        <v>226</v>
      </c>
      <c r="E66" s="101">
        <f t="shared" si="46"/>
        <v>1</v>
      </c>
      <c r="F66" s="101" t="s">
        <v>143</v>
      </c>
      <c r="G66" s="101" t="s">
        <v>143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7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7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56" priority="15" operator="greaterThan">
      <formula>120</formula>
    </cfRule>
  </conditionalFormatting>
  <conditionalFormatting sqref="O67">
    <cfRule type="cellIs" dxfId="55" priority="14" operator="between">
      <formula>0.000001</formula>
      <formula>25</formula>
    </cfRule>
  </conditionalFormatting>
  <conditionalFormatting sqref="AA69 AA71:AA1048576">
    <cfRule type="cellIs" dxfId="54" priority="16" operator="greaterThan">
      <formula>0.23</formula>
    </cfRule>
  </conditionalFormatting>
  <conditionalFormatting sqref="AA1">
    <cfRule type="cellIs" dxfId="53" priority="13" operator="greaterThan">
      <formula>0.23</formula>
    </cfRule>
  </conditionalFormatting>
  <conditionalFormatting sqref="K59">
    <cfRule type="cellIs" dxfId="52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51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218</v>
      </c>
      <c r="B1" s="77"/>
      <c r="C1" s="76"/>
      <c r="D1" s="76"/>
      <c r="E1" s="78"/>
      <c r="F1" s="464" t="s">
        <v>47</v>
      </c>
      <c r="G1" s="464"/>
      <c r="H1" s="464"/>
      <c r="K1" s="283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68"/>
      <c r="AG1" s="468"/>
      <c r="AH1" s="284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171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172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173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174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175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143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143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183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184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185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186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187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188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189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6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224</v>
      </c>
      <c r="D60" s="100" t="s">
        <v>226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143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32">
        <v>3000</v>
      </c>
      <c r="AG60" s="331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225</v>
      </c>
      <c r="D61" s="100" t="s">
        <v>226</v>
      </c>
      <c r="E61" s="101">
        <f t="shared" si="45"/>
        <v>2</v>
      </c>
      <c r="F61" s="101">
        <v>2</v>
      </c>
      <c r="G61" s="101" t="s">
        <v>143</v>
      </c>
      <c r="H61" s="101" t="s">
        <v>143</v>
      </c>
      <c r="I61" s="101">
        <v>533.55999999999995</v>
      </c>
      <c r="J61" s="101">
        <f t="shared" si="46"/>
        <v>1067.1199999999999</v>
      </c>
      <c r="K61" s="98" t="s">
        <v>143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227</v>
      </c>
      <c r="D62" s="100" t="s">
        <v>226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143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228</v>
      </c>
      <c r="D63" s="100" t="s">
        <v>226</v>
      </c>
      <c r="E63" s="101">
        <f t="shared" si="45"/>
        <v>1</v>
      </c>
      <c r="F63" s="101" t="s">
        <v>143</v>
      </c>
      <c r="G63" s="101">
        <v>1</v>
      </c>
      <c r="H63" s="101" t="s">
        <v>143</v>
      </c>
      <c r="I63" s="101">
        <v>326.89</v>
      </c>
      <c r="J63" s="101">
        <f t="shared" si="46"/>
        <v>326.89</v>
      </c>
      <c r="K63" s="98" t="s">
        <v>143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229</v>
      </c>
      <c r="D64" s="100" t="s">
        <v>226</v>
      </c>
      <c r="E64" s="101">
        <f t="shared" si="45"/>
        <v>6</v>
      </c>
      <c r="F64" s="101">
        <v>6</v>
      </c>
      <c r="G64" s="101" t="s">
        <v>143</v>
      </c>
      <c r="H64" s="101" t="s">
        <v>143</v>
      </c>
      <c r="I64" s="101">
        <v>326.89</v>
      </c>
      <c r="J64" s="101">
        <f t="shared" si="46"/>
        <v>1961.34</v>
      </c>
      <c r="K64" s="98" t="s">
        <v>143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230</v>
      </c>
      <c r="D65" s="100" t="s">
        <v>226</v>
      </c>
      <c r="E65" s="101">
        <f t="shared" si="45"/>
        <v>3</v>
      </c>
      <c r="F65" s="101">
        <v>3</v>
      </c>
      <c r="G65" s="101" t="s">
        <v>143</v>
      </c>
      <c r="H65" s="101" t="s">
        <v>143</v>
      </c>
      <c r="I65" s="101">
        <v>326.89</v>
      </c>
      <c r="J65" s="101">
        <f t="shared" si="46"/>
        <v>980.67</v>
      </c>
      <c r="K65" s="98" t="s">
        <v>143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231</v>
      </c>
      <c r="D66" s="100" t="s">
        <v>226</v>
      </c>
      <c r="E66" s="101">
        <f t="shared" si="45"/>
        <v>1</v>
      </c>
      <c r="F66" s="101">
        <v>1</v>
      </c>
      <c r="G66" s="101" t="s">
        <v>143</v>
      </c>
      <c r="H66" s="101" t="s">
        <v>143</v>
      </c>
      <c r="I66" s="101">
        <v>326.89</v>
      </c>
      <c r="J66" s="101">
        <f t="shared" si="46"/>
        <v>326.89</v>
      </c>
      <c r="K66" s="98" t="s">
        <v>143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0" priority="17" operator="greaterThan">
      <formula>120</formula>
    </cfRule>
  </conditionalFormatting>
  <conditionalFormatting sqref="AA69 AA71:AA1048576">
    <cfRule type="cellIs" dxfId="49" priority="18" operator="greaterThan">
      <formula>0.23</formula>
    </cfRule>
  </conditionalFormatting>
  <conditionalFormatting sqref="AA1">
    <cfRule type="cellIs" dxfId="48" priority="15" operator="greaterThan">
      <formula>0.23</formula>
    </cfRule>
  </conditionalFormatting>
  <conditionalFormatting sqref="K59 K67">
    <cfRule type="cellIs" dxfId="47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46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204</v>
      </c>
      <c r="B1" s="77"/>
      <c r="C1" s="76"/>
      <c r="D1" s="76"/>
      <c r="E1" s="78"/>
      <c r="F1" s="464" t="s">
        <v>47</v>
      </c>
      <c r="G1" s="464"/>
      <c r="H1" s="464"/>
      <c r="K1" s="265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68"/>
      <c r="AG1" s="468"/>
      <c r="AH1" s="266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223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143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171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172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173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174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175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143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143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143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143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143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183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143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184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185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186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187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188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189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469"/>
      <c r="AG59" s="469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224</v>
      </c>
      <c r="D60" s="100" t="s">
        <v>226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143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225</v>
      </c>
      <c r="D61" s="100" t="s">
        <v>226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143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227</v>
      </c>
      <c r="D62" s="100" t="s">
        <v>226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143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228</v>
      </c>
      <c r="D63" s="100" t="s">
        <v>226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143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229</v>
      </c>
      <c r="D64" s="100" t="s">
        <v>226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143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230</v>
      </c>
      <c r="D65" s="100" t="s">
        <v>226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143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231</v>
      </c>
      <c r="D66" s="100" t="s">
        <v>226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143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232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470"/>
      <c r="AG69" s="470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470"/>
      <c r="AG71" s="470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45" priority="7" operator="greaterThan">
      <formula>120</formula>
    </cfRule>
  </conditionalFormatting>
  <conditionalFormatting sqref="AA69 AA71:AA1048576">
    <cfRule type="cellIs" dxfId="44" priority="8" operator="greaterThan">
      <formula>0.23</formula>
    </cfRule>
  </conditionalFormatting>
  <conditionalFormatting sqref="AA1">
    <cfRule type="cellIs" dxfId="43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D37" activePane="bottomRight" state="frozen"/>
      <selection pane="topRight" activeCell="D1" sqref="D1"/>
      <selection pane="bottomLeft" activeCell="A3" sqref="A3"/>
      <selection pane="bottomRight" activeCell="L104" sqref="L10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165</v>
      </c>
      <c r="B1" s="77"/>
      <c r="C1" s="76"/>
      <c r="D1" s="76"/>
      <c r="E1" s="78"/>
      <c r="F1" s="464" t="s">
        <v>47</v>
      </c>
      <c r="G1" s="464"/>
      <c r="H1" s="464"/>
      <c r="K1" s="231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267"/>
      <c r="Z1" s="80"/>
      <c r="AA1" s="80"/>
      <c r="AB1" s="80"/>
      <c r="AC1" s="215"/>
      <c r="AD1" s="216"/>
      <c r="AE1" s="215"/>
      <c r="AF1" s="468"/>
      <c r="AG1" s="468"/>
      <c r="AH1" s="232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217</v>
      </c>
      <c r="M2" s="87" t="s">
        <v>64</v>
      </c>
      <c r="N2" s="87" t="s">
        <v>207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171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172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173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174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175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183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184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185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186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187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188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189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Сводная!Z31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Сводная!G31</f>
        <v>1946</v>
      </c>
      <c r="Q104" s="110">
        <f>Сводная!H31</f>
        <v>1061</v>
      </c>
      <c r="R104" s="110">
        <f>Сводная!I31</f>
        <v>-15</v>
      </c>
      <c r="W104" s="183">
        <f>Сводная!M31</f>
        <v>1191764.57</v>
      </c>
      <c r="X104" s="183">
        <f>Сводная!N31</f>
        <v>-17408</v>
      </c>
      <c r="AB104" s="277">
        <f>Сводная!P31</f>
        <v>140043.34999999995</v>
      </c>
      <c r="AC104" s="277">
        <f>Сводная!R31</f>
        <v>436797.92</v>
      </c>
      <c r="AE104" s="277">
        <f>Сводная!Q31</f>
        <v>114027.10999999996</v>
      </c>
      <c r="AF104" s="101">
        <f>Сводная!W31</f>
        <v>65682</v>
      </c>
      <c r="AG104" s="101">
        <f>Сводная!X31</f>
        <v>135467</v>
      </c>
      <c r="AI104" s="185">
        <f>Сводная!S31</f>
        <v>5224.3099999999995</v>
      </c>
      <c r="AJ104" s="101">
        <f>Сводная!U31</f>
        <v>294</v>
      </c>
      <c r="AK104" s="277">
        <f>Сводная!Z31</f>
        <v>7586.9</v>
      </c>
      <c r="AL104" s="277">
        <f>Сводная!AC31+Сводная!V31+Сводная!T31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3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464" t="s">
        <v>47</v>
      </c>
      <c r="G1" s="464"/>
      <c r="H1" s="464"/>
      <c r="K1" s="247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68"/>
      <c r="AG1" s="468"/>
      <c r="AH1" s="248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143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171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172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173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143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174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143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175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210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143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211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143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212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143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143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143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143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143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143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183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143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184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143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185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186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187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188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143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189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69"/>
      <c r="AG46" s="469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0"/>
      <c r="AG101" s="470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0">
        <f>AF46+AF101</f>
        <v>0</v>
      </c>
      <c r="AG103" s="470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AA1">
    <cfRule type="cellIs" dxfId="35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464" t="s">
        <v>47</v>
      </c>
      <c r="G1" s="464"/>
      <c r="H1" s="464"/>
      <c r="K1" s="247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48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201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143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202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143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203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143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171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172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173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143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174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143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175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143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198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143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199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143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200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143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143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143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143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143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183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143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184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143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185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143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186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143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187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188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143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189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143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69"/>
      <c r="AG46" s="469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0"/>
      <c r="AG101" s="470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0">
        <f>AF46+AF101</f>
        <v>0</v>
      </c>
      <c r="AG103" s="470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AA1">
    <cfRule type="cellIs" dxfId="31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464" t="s">
        <v>47</v>
      </c>
      <c r="G1" s="464"/>
      <c r="H1" s="464"/>
      <c r="K1" s="231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32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171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143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172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143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173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143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174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143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175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143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176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143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177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143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178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143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179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143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180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143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181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143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182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143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183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143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184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143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185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143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186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143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187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143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188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143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189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143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69"/>
      <c r="AG46" s="469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0"/>
      <c r="AG101" s="470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0">
        <f>AF46+AF101</f>
        <v>0</v>
      </c>
      <c r="AG103" s="470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0" priority="3" operator="greaterThan">
      <formula>120</formula>
    </cfRule>
  </conditionalFormatting>
  <conditionalFormatting sqref="O99">
    <cfRule type="cellIs" dxfId="29" priority="2" operator="between">
      <formula>0.000001</formula>
      <formula>25</formula>
    </cfRule>
  </conditionalFormatting>
  <conditionalFormatting sqref="AA101 AA103:AA1048576">
    <cfRule type="cellIs" dxfId="2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464" t="s">
        <v>47</v>
      </c>
      <c r="G1" s="464"/>
      <c r="H1" s="464"/>
      <c r="K1" s="223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24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143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143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143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143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69"/>
      <c r="AG46" s="469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0"/>
      <c r="AG101" s="470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0">
        <f>AF46+AF101</f>
        <v>0</v>
      </c>
      <c r="AG103" s="470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26" priority="3" operator="greaterThan">
      <formula>120</formula>
    </cfRule>
  </conditionalFormatting>
  <conditionalFormatting sqref="O99">
    <cfRule type="cellIs" dxfId="25" priority="2" operator="between">
      <formula>0.000001</formula>
      <formula>25</formula>
    </cfRule>
  </conditionalFormatting>
  <conditionalFormatting sqref="AA101 AA103:AA1048576">
    <cfRule type="cellIs" dxfId="24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K3" sqref="AK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139</v>
      </c>
      <c r="B1" s="77"/>
      <c r="C1" s="76"/>
      <c r="D1" s="76"/>
      <c r="E1" s="78"/>
      <c r="F1" s="464" t="s">
        <v>47</v>
      </c>
      <c r="G1" s="464"/>
      <c r="H1" s="464"/>
      <c r="K1" s="210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11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0.25944675872991552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591.77470645465155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3.1197867495190452E-2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71.159527948454851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1.0599250952681565E-2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24.175937490480909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7.7741274097805083E-2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959.92767560333823</v>
      </c>
      <c r="AJ6" s="98">
        <f>'Юнит 1'!AJ6+'Юнит 2'!AJ6+'Юнит 3'!AJ6+'Юнит 4'!AJ6+'Юнит 5'!AJ6</f>
        <v>0</v>
      </c>
      <c r="AK6" s="253">
        <f t="shared" si="16"/>
        <v>177.32084950242461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3.6237616533407505E-3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8.2654741927214506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103064.23999999999</v>
      </c>
      <c r="U8" s="98">
        <f>'Юнит 1'!U8+'Юнит 2'!U8+'Юнит 3'!U8+'Юнит 4'!U8+'Юнит 5'!U8</f>
        <v>0</v>
      </c>
      <c r="V8" s="101">
        <f t="shared" si="13"/>
        <v>103064.23999999999</v>
      </c>
      <c r="W8" s="98">
        <f>'Юнит 1'!W8+'Юнит 2'!W8+'Юнит 3'!W8+'Юнит 4'!W8+'Юнит 5'!W8</f>
        <v>128447.72</v>
      </c>
      <c r="X8" s="98">
        <f>'Юнит 1'!X8+'Юнит 2'!X8+'Юнит 3'!X8+'Юнит 4'!X8+'Юнит 5'!X8</f>
        <v>0</v>
      </c>
      <c r="Y8" s="101">
        <f t="shared" si="3"/>
        <v>128447.72</v>
      </c>
      <c r="Z8" s="101">
        <f t="shared" si="14"/>
        <v>0</v>
      </c>
      <c r="AA8" s="103">
        <f t="shared" si="4"/>
        <v>0.43138454327622777</v>
      </c>
      <c r="AB8" s="101">
        <f t="shared" si="15"/>
        <v>13170.630000000001</v>
      </c>
      <c r="AC8" s="98">
        <f>'Юнит 1'!AC8+'Юнит 2'!AC8+'Юнит 3'!AC8+'Юнит 4'!AC8+'Юнит 5'!AC8</f>
        <v>46443.600000000013</v>
      </c>
      <c r="AD8" s="103">
        <f t="shared" si="5"/>
        <v>0.36157590029624515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1200.4459813084113</v>
      </c>
      <c r="AO8" s="108">
        <f t="shared" si="7"/>
        <v>123.09</v>
      </c>
      <c r="AP8" s="108">
        <f t="shared" si="8"/>
        <v>434.05233644859823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0.33582989993529549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234.67918043575742</v>
      </c>
      <c r="AL9" s="105">
        <f t="shared" si="17"/>
        <v>-359.08902207480492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-13.811116233646343</v>
      </c>
      <c r="AT9" s="103">
        <f t="shared" si="21"/>
        <v>-1.1721249079907839E-2</v>
      </c>
      <c r="AU9" s="103">
        <f t="shared" si="22"/>
        <v>-8.1294462497182557E-2</v>
      </c>
      <c r="AV9" s="109"/>
      <c r="AW9" s="104">
        <f t="shared" si="11"/>
        <v>-3411.3457097106466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7.8721939902045585E-3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108.00567512242689</v>
      </c>
      <c r="AJ10" s="98">
        <f>'Юнит 1'!AJ10+'Юнит 2'!AJ10+'Юнит 3'!AJ10+'Юнит 4'!AJ10+'Юнит 5'!AJ10</f>
        <v>0</v>
      </c>
      <c r="AK10" s="253">
        <f t="shared" si="16"/>
        <v>17.955765994197481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1.1536256977966152E-2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26.313163903612775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1.1747838983675575E-2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26.795763416255454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1.5663785311567431E-2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35.727684555007272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54.909100105122668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1.2224738107655543E-2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27.883527397132603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228642.71999999997</v>
      </c>
      <c r="W17" s="127">
        <f t="shared" si="25"/>
        <v>303779.89</v>
      </c>
      <c r="X17" s="127">
        <f t="shared" si="25"/>
        <v>-6023</v>
      </c>
      <c r="Y17" s="127">
        <f t="shared" si="25"/>
        <v>297756.89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106888.70000000001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Сводная!Z28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69"/>
      <c r="AG18" s="469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0"/>
      <c r="AG73" s="470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228642.71999999997</v>
      </c>
      <c r="W74" s="172">
        <f t="shared" si="53"/>
        <v>303779.89</v>
      </c>
      <c r="X74" s="172">
        <f t="shared" si="53"/>
        <v>-6023</v>
      </c>
      <c r="Y74" s="172">
        <f t="shared" si="53"/>
        <v>297756.89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106888.70000000001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0"/>
      <c r="AG75" s="470"/>
      <c r="AH75" s="213"/>
      <c r="AI75" s="166"/>
      <c r="AJ75" s="167"/>
      <c r="AL75" s="159">
        <f>Сводная!AC28+Сводная!V28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464" t="s">
        <v>47</v>
      </c>
      <c r="G1" s="464"/>
      <c r="H1" s="464"/>
      <c r="K1" s="210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11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69"/>
      <c r="AG18" s="469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0"/>
      <c r="AG73" s="470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0">
        <f>AF18+AF73</f>
        <v>0</v>
      </c>
      <c r="AG75" s="470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464" t="s">
        <v>47</v>
      </c>
      <c r="G1" s="464"/>
      <c r="H1" s="464"/>
      <c r="K1" s="210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11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143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143</v>
      </c>
      <c r="G7" s="101" t="s">
        <v>143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143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143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143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143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143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143</v>
      </c>
      <c r="G15" s="101" t="s">
        <v>143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69"/>
      <c r="AG18" s="469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0"/>
      <c r="AG73" s="470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0">
        <f>AF18+AF73</f>
        <v>0</v>
      </c>
      <c r="AG75" s="470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464" t="s">
        <v>47</v>
      </c>
      <c r="G1" s="464"/>
      <c r="H1" s="464"/>
      <c r="K1" s="210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11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143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143</v>
      </c>
      <c r="G5" s="101" t="s">
        <v>143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143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143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143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464" t="s">
        <v>47</v>
      </c>
      <c r="G1" s="464"/>
      <c r="H1" s="464"/>
      <c r="K1" s="210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11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69"/>
      <c r="AG18" s="469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0"/>
      <c r="AG73" s="470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0">
        <f>AF18+AF73</f>
        <v>0</v>
      </c>
      <c r="AG75" s="470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134</v>
      </c>
      <c r="B1" s="77"/>
      <c r="C1" s="76"/>
      <c r="D1" s="76"/>
      <c r="E1" s="78"/>
      <c r="F1" s="464" t="s">
        <v>47</v>
      </c>
      <c r="G1" s="464"/>
      <c r="H1" s="464"/>
      <c r="K1" s="210" t="s">
        <v>48</v>
      </c>
      <c r="L1" s="464" t="s">
        <v>49</v>
      </c>
      <c r="M1" s="464"/>
      <c r="N1" s="464"/>
      <c r="P1" s="80"/>
      <c r="Q1" s="465"/>
      <c r="R1" s="465"/>
      <c r="S1" s="216"/>
      <c r="T1" s="466"/>
      <c r="U1" s="467"/>
      <c r="V1" s="216"/>
      <c r="W1" s="465"/>
      <c r="X1" s="465"/>
      <c r="Y1" s="80"/>
      <c r="Z1" s="80"/>
      <c r="AA1" s="80"/>
      <c r="AB1" s="80"/>
      <c r="AC1" s="215"/>
      <c r="AD1" s="216"/>
      <c r="AE1" s="215"/>
      <c r="AF1" s="468"/>
      <c r="AG1" s="468"/>
      <c r="AH1" s="211"/>
      <c r="AI1" s="81" t="s">
        <v>50</v>
      </c>
      <c r="AJ1" s="215"/>
      <c r="AM1" s="82"/>
      <c r="AN1" s="461" t="s">
        <v>51</v>
      </c>
      <c r="AO1" s="462"/>
      <c r="AP1" s="462"/>
      <c r="AQ1" s="462"/>
      <c r="AR1" s="462"/>
      <c r="AS1" s="462"/>
      <c r="AT1" s="462"/>
      <c r="AU1" s="46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102">
        <v>4</v>
      </c>
      <c r="R3" s="102">
        <v>0</v>
      </c>
      <c r="S3" s="101">
        <f>Q3+R3</f>
        <v>4</v>
      </c>
      <c r="T3" s="102">
        <v>4149.08</v>
      </c>
      <c r="U3" s="102">
        <v>0</v>
      </c>
      <c r="V3" s="101">
        <f>T3+U3</f>
        <v>4149.08</v>
      </c>
      <c r="W3" s="102">
        <v>5137.7700000000004</v>
      </c>
      <c r="X3" s="102"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9.3433332205827307E-2</v>
      </c>
      <c r="AB3" s="101">
        <f>S3*I3</f>
        <v>571.91999999999996</v>
      </c>
      <c r="AC3" s="102">
        <v>1855.3900000000003</v>
      </c>
      <c r="AD3" s="103">
        <f t="shared" ref="AD3:AD15" si="5">IF(Y3=0,0,AC3/Y3)</f>
        <v>0.36112749305632602</v>
      </c>
      <c r="AE3" s="102">
        <v>658.19999999999993</v>
      </c>
      <c r="AF3" s="102"/>
      <c r="AG3" s="102">
        <v>628</v>
      </c>
      <c r="AH3" s="102">
        <v>0</v>
      </c>
      <c r="AI3" s="136">
        <f>IFERROR($AI$74*H3/$H$74,0)</f>
        <v>188.51354800000001</v>
      </c>
      <c r="AJ3" s="102">
        <v>0</v>
      </c>
      <c r="AK3" s="104">
        <f>V3*1%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463.84750000000008</v>
      </c>
      <c r="AQ3" s="108">
        <f>IF(Q3=0,AE3/1,AE3/Q3)</f>
        <v>164.54999999999998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102">
        <v>0</v>
      </c>
      <c r="AD4" s="103">
        <f t="shared" si="5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119.23796800000002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-120.23796800000002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-120.23796800000002</v>
      </c>
      <c r="AT4" s="103">
        <f>IF(AN4=0,0,AS4/AN4)</f>
        <v>0</v>
      </c>
      <c r="AU4" s="103">
        <f>IF(AO4=0,0,AS4/AO4)</f>
        <v>-0.97682970184417917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16"/>
        <v>159.123908</v>
      </c>
      <c r="AJ5" s="102">
        <v>0</v>
      </c>
      <c r="AK5" s="104">
        <f t="shared" si="17"/>
        <v>0</v>
      </c>
      <c r="AL5" s="105">
        <f t="shared" si="18"/>
        <v>-159.123908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-159.123908</v>
      </c>
      <c r="AT5" s="103">
        <f>IF(AN5=0,0,AS5/AN5)</f>
        <v>0</v>
      </c>
      <c r="AU5" s="103">
        <f>IF(AO5=0,0,AS5/AO5)</f>
        <v>-1.2927443984076692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21">S6/7</f>
        <v>0.5714285714285714</v>
      </c>
      <c r="Q6" s="102">
        <v>4</v>
      </c>
      <c r="R6" s="102">
        <v>0</v>
      </c>
      <c r="S6" s="101">
        <f t="shared" si="12"/>
        <v>4</v>
      </c>
      <c r="T6" s="102">
        <v>3878</v>
      </c>
      <c r="U6" s="102">
        <v>0</v>
      </c>
      <c r="V6" s="101">
        <f t="shared" si="13"/>
        <v>3878</v>
      </c>
      <c r="W6" s="102">
        <v>4704</v>
      </c>
      <c r="X6" s="102"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8.5544972759818289E-2</v>
      </c>
      <c r="AB6" s="101">
        <f t="shared" si="15"/>
        <v>492.36</v>
      </c>
      <c r="AC6" s="102">
        <v>1704.5900000000001</v>
      </c>
      <c r="AD6" s="103">
        <f t="shared" si="5"/>
        <v>0.36237032312925171</v>
      </c>
      <c r="AE6" s="102">
        <v>162.39999999999998</v>
      </c>
      <c r="AF6" s="102"/>
      <c r="AG6" s="102">
        <v>225</v>
      </c>
      <c r="AH6" s="102">
        <v>0</v>
      </c>
      <c r="AI6" s="136">
        <f t="shared" si="16"/>
        <v>152.82612800000004</v>
      </c>
      <c r="AJ6" s="102">
        <v>0</v>
      </c>
      <c r="AK6" s="104">
        <f t="shared" si="17"/>
        <v>38.78</v>
      </c>
      <c r="AL6" s="105">
        <f t="shared" si="18"/>
        <v>1928.043872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9"/>
        <v>40.599999999999994</v>
      </c>
      <c r="AR6" s="108">
        <f t="shared" si="20"/>
        <v>56.25</v>
      </c>
      <c r="AS6" s="108">
        <f t="array" ref="AS6">_xlfn.IFS(S6=0,AL6,S6&lt;0,AL6/-S6,S6&gt;0,AL6/S6)</f>
        <v>482.01096799999999</v>
      </c>
      <c r="AT6" s="103">
        <f t="shared" ref="AT6:AT15" si="22">IF(AN6=0,0,AS6/AN6)</f>
        <v>0.40987327210884356</v>
      </c>
      <c r="AU6" s="103">
        <f t="shared" ref="AU6:AU15" si="23">IF(AO6=0,0,AS6/AO6)</f>
        <v>3.9159230481761309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"/>
        <v>0</v>
      </c>
      <c r="P7" s="101">
        <f t="shared" si="2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102">
        <v>0</v>
      </c>
      <c r="AD7" s="103">
        <f t="shared" si="5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119.23796800000002</v>
      </c>
      <c r="AJ7" s="102">
        <v>0</v>
      </c>
      <c r="AK7" s="104">
        <f t="shared" si="17"/>
        <v>0</v>
      </c>
      <c r="AL7" s="105">
        <f t="shared" si="18"/>
        <v>-120.23796800000002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-120.23796800000002</v>
      </c>
      <c r="AT7" s="103">
        <f t="shared" si="22"/>
        <v>0</v>
      </c>
      <c r="AU7" s="103">
        <f t="shared" si="23"/>
        <v>-0.97682970184417917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21"/>
        <v>5</v>
      </c>
      <c r="Q8" s="102">
        <v>35</v>
      </c>
      <c r="R8" s="102">
        <v>0</v>
      </c>
      <c r="S8" s="101">
        <f t="shared" si="12"/>
        <v>35</v>
      </c>
      <c r="T8" s="102">
        <v>36160.549999999996</v>
      </c>
      <c r="U8" s="102">
        <v>0</v>
      </c>
      <c r="V8" s="101">
        <f t="shared" si="13"/>
        <v>36160.549999999996</v>
      </c>
      <c r="W8" s="102">
        <v>42771.850000000006</v>
      </c>
      <c r="X8" s="102">
        <v>0</v>
      </c>
      <c r="Y8" s="101">
        <f t="shared" si="3"/>
        <v>42771.850000000006</v>
      </c>
      <c r="Z8" s="101">
        <f t="shared" si="14"/>
        <v>32578.52</v>
      </c>
      <c r="AA8" s="103">
        <f t="shared" si="4"/>
        <v>0.77783094029273692</v>
      </c>
      <c r="AB8" s="101">
        <f t="shared" si="15"/>
        <v>4308.1500000000005</v>
      </c>
      <c r="AC8" s="102">
        <v>15437.540000000008</v>
      </c>
      <c r="AD8" s="103">
        <f t="shared" si="5"/>
        <v>0.36092757269091719</v>
      </c>
      <c r="AE8" s="102">
        <v>3317.2500000000018</v>
      </c>
      <c r="AF8" s="102"/>
      <c r="AG8" s="102">
        <v>3587</v>
      </c>
      <c r="AH8" s="102">
        <v>0</v>
      </c>
      <c r="AI8" s="136">
        <f t="shared" si="16"/>
        <v>95.306404000000015</v>
      </c>
      <c r="AJ8" s="102">
        <v>0</v>
      </c>
      <c r="AK8" s="104">
        <f t="shared" si="17"/>
        <v>361.60549999999995</v>
      </c>
      <c r="AL8" s="105">
        <f t="shared" si="18"/>
        <v>15664.998095999996</v>
      </c>
      <c r="AM8" s="106"/>
      <c r="AN8" s="107">
        <f t="shared" si="6"/>
        <v>1222.0528571428574</v>
      </c>
      <c r="AO8" s="108">
        <f t="shared" si="7"/>
        <v>123.09</v>
      </c>
      <c r="AP8" s="108">
        <f t="shared" si="8"/>
        <v>441.07257142857168</v>
      </c>
      <c r="AQ8" s="108">
        <f t="shared" si="19"/>
        <v>94.778571428571482</v>
      </c>
      <c r="AR8" s="108">
        <f t="shared" si="20"/>
        <v>102.48571428571428</v>
      </c>
      <c r="AS8" s="108">
        <f t="array" ref="AS8">_xlfn.IFS(S8=0,AL8,S8&lt;0,AL8/-S8,S8&gt;0,AL8/S8)</f>
        <v>447.57137417142843</v>
      </c>
      <c r="AT8" s="103">
        <f t="shared" si="22"/>
        <v>0.36624551184949894</v>
      </c>
      <c r="AU8" s="103">
        <f t="shared" si="23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21"/>
        <v>0.14285714285714285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2.2368264560921874E-2</v>
      </c>
      <c r="AB9" s="101">
        <f t="shared" si="15"/>
        <v>169.89</v>
      </c>
      <c r="AC9" s="102">
        <v>443.62</v>
      </c>
      <c r="AD9" s="103">
        <f t="shared" si="5"/>
        <v>0.36066666666666669</v>
      </c>
      <c r="AE9" s="102">
        <v>348.65</v>
      </c>
      <c r="AF9" s="102"/>
      <c r="AG9" s="102">
        <v>296</v>
      </c>
      <c r="AH9" s="102">
        <v>0</v>
      </c>
      <c r="AI9" s="136">
        <f t="shared" si="16"/>
        <v>113.36004000000001</v>
      </c>
      <c r="AJ9" s="102">
        <v>0</v>
      </c>
      <c r="AK9" s="104">
        <f t="shared" si="17"/>
        <v>10.14</v>
      </c>
      <c r="AL9" s="105">
        <f t="shared" si="18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9"/>
        <v>348.65</v>
      </c>
      <c r="AR9" s="108">
        <f t="shared" si="20"/>
        <v>296</v>
      </c>
      <c r="AS9" s="108">
        <f t="array" ref="AS9">_xlfn.IFS(S9=0,AL9,S9&lt;0,AL9/-S9,S9&gt;0,AL9/S9)</f>
        <v>-151.66003999999987</v>
      </c>
      <c r="AT9" s="103">
        <f t="shared" si="22"/>
        <v>-0.12330084552845517</v>
      </c>
      <c r="AU9" s="103">
        <f t="shared" si="23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102">
        <v>0</v>
      </c>
      <c r="AD10" s="103">
        <f t="shared" si="5"/>
        <v>0</v>
      </c>
      <c r="AE10" s="102">
        <v>0</v>
      </c>
      <c r="AF10" s="102"/>
      <c r="AG10" s="102"/>
      <c r="AH10" s="102">
        <v>0</v>
      </c>
      <c r="AI10" s="136">
        <f t="shared" si="16"/>
        <v>17.633784000000002</v>
      </c>
      <c r="AJ10" s="102">
        <v>0</v>
      </c>
      <c r="AK10" s="104">
        <f t="shared" si="17"/>
        <v>0</v>
      </c>
      <c r="AL10" s="105">
        <f t="shared" si="18"/>
        <v>-17.633784000000002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-17.633784000000002</v>
      </c>
      <c r="AT10" s="103">
        <f t="shared" si="22"/>
        <v>0</v>
      </c>
      <c r="AU10" s="103">
        <f t="shared" si="23"/>
        <v>-0.10379530284301609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0.14285714285714285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2.0822490180695565E-2</v>
      </c>
      <c r="AB11" s="101">
        <f t="shared" si="15"/>
        <v>169.89</v>
      </c>
      <c r="AC11" s="102">
        <v>413.08000000000004</v>
      </c>
      <c r="AD11" s="103">
        <f t="shared" si="5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17.213932</v>
      </c>
      <c r="AJ11" s="102">
        <v>0</v>
      </c>
      <c r="AK11" s="104">
        <f t="shared" si="17"/>
        <v>9.44</v>
      </c>
      <c r="AL11" s="105">
        <f t="shared" si="18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478.82606799999996</v>
      </c>
      <c r="AT11" s="103">
        <f t="shared" si="22"/>
        <v>0.41818870567685584</v>
      </c>
      <c r="AU11" s="103">
        <f t="shared" si="23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102">
        <v>0</v>
      </c>
      <c r="AD12" s="103">
        <f t="shared" si="5"/>
        <v>0</v>
      </c>
      <c r="AE12" s="102">
        <v>0</v>
      </c>
      <c r="AF12" s="102"/>
      <c r="AG12" s="102"/>
      <c r="AH12" s="102">
        <v>0</v>
      </c>
      <c r="AI12" s="136">
        <f t="shared" si="16"/>
        <v>19.313192000000001</v>
      </c>
      <c r="AJ12" s="102">
        <v>0</v>
      </c>
      <c r="AK12" s="104">
        <f t="shared" si="17"/>
        <v>0</v>
      </c>
      <c r="AL12" s="105">
        <f t="shared" si="18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-19.313192000000001</v>
      </c>
      <c r="AT12" s="103">
        <f t="shared" si="22"/>
        <v>0</v>
      </c>
      <c r="AU12" s="103">
        <f t="shared" si="23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102">
        <v>0</v>
      </c>
      <c r="AD13" s="103">
        <f t="shared" si="5"/>
        <v>0</v>
      </c>
      <c r="AE13" s="102">
        <v>0</v>
      </c>
      <c r="AF13" s="102"/>
      <c r="AG13" s="102"/>
      <c r="AH13" s="102">
        <v>0</v>
      </c>
      <c r="AI13" s="136">
        <f t="shared" si="16"/>
        <v>5.0382240000000005</v>
      </c>
      <c r="AJ13" s="102">
        <v>0</v>
      </c>
      <c r="AK13" s="104">
        <f t="shared" si="17"/>
        <v>0</v>
      </c>
      <c r="AL13" s="105">
        <f t="shared" si="18"/>
        <v>-5.0382240000000005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-5.0382240000000005</v>
      </c>
      <c r="AT13" s="103">
        <f t="shared" si="22"/>
        <v>0</v>
      </c>
      <c r="AU13" s="103">
        <f t="shared" si="23"/>
        <v>-2.9655800812290311E-2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"/>
        <v>0</v>
      </c>
      <c r="P14" s="101">
        <f t="shared" si="2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102">
        <v>0</v>
      </c>
      <c r="AD14" s="103">
        <f t="shared" si="5"/>
        <v>0</v>
      </c>
      <c r="AE14" s="102">
        <v>0</v>
      </c>
      <c r="AF14" s="102"/>
      <c r="AG14" s="102"/>
      <c r="AH14" s="102">
        <v>0</v>
      </c>
      <c r="AI14" s="136">
        <f t="shared" si="16"/>
        <v>27.290380000000006</v>
      </c>
      <c r="AJ14" s="102">
        <v>0</v>
      </c>
      <c r="AK14" s="104">
        <f t="shared" si="17"/>
        <v>0</v>
      </c>
      <c r="AL14" s="105">
        <f t="shared" si="18"/>
        <v>-27.290380000000006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-27.290380000000006</v>
      </c>
      <c r="AT14" s="103">
        <f t="shared" si="22"/>
        <v>0</v>
      </c>
      <c r="AU14" s="103">
        <f t="shared" si="23"/>
        <v>-0.16063558773323922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>
        <v>0</v>
      </c>
      <c r="AI15" s="136">
        <f t="shared" si="16"/>
        <v>15.534524000000001</v>
      </c>
      <c r="AJ15" s="102">
        <v>0</v>
      </c>
      <c r="AK15" s="104">
        <f t="shared" si="17"/>
        <v>0</v>
      </c>
      <c r="AL15" s="105">
        <f t="shared" si="18"/>
        <v>-15.534524000000001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-15.534524000000001</v>
      </c>
      <c r="AT15" s="103">
        <f t="shared" si="22"/>
        <v>0</v>
      </c>
      <c r="AU15" s="103">
        <f t="shared" si="23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615.11062500000003</v>
      </c>
      <c r="AO16" s="122">
        <f t="shared" si="24"/>
        <v>128.0625</v>
      </c>
      <c r="AP16" s="122">
        <f t="shared" si="24"/>
        <v>222.49875000000003</v>
      </c>
      <c r="AQ16" s="122">
        <f t="shared" si="24"/>
        <v>51.287499999999994</v>
      </c>
      <c r="AR16" s="122">
        <f t="shared" si="24"/>
        <v>53.3125</v>
      </c>
      <c r="AS16" s="122">
        <f t="shared" si="24"/>
        <v>125.30325125000002</v>
      </c>
      <c r="AT16" s="123">
        <f t="shared" si="24"/>
        <v>0.16057989425580813</v>
      </c>
      <c r="AU16" s="122">
        <f t="shared" si="24"/>
        <v>0.93362513214123299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6">SUM(R3:R15)</f>
        <v>0</v>
      </c>
      <c r="S17" s="127">
        <f t="shared" si="26"/>
        <v>45</v>
      </c>
      <c r="T17" s="127">
        <f t="shared" si="26"/>
        <v>46145.63</v>
      </c>
      <c r="U17" s="127">
        <f t="shared" si="26"/>
        <v>0</v>
      </c>
      <c r="V17" s="127">
        <f t="shared" si="26"/>
        <v>46145.63</v>
      </c>
      <c r="W17" s="127">
        <f t="shared" si="26"/>
        <v>54988.62000000001</v>
      </c>
      <c r="X17" s="127">
        <f t="shared" si="26"/>
        <v>0</v>
      </c>
      <c r="Y17" s="127">
        <f t="shared" si="26"/>
        <v>54988.62000000001</v>
      </c>
      <c r="Z17" s="127">
        <f t="shared" si="26"/>
        <v>47981.62</v>
      </c>
      <c r="AA17" s="128">
        <f>SUM(AA3:AA15)</f>
        <v>1</v>
      </c>
      <c r="AB17" s="129">
        <f>SUM(AB3:AB15)</f>
        <v>5712.2100000000009</v>
      </c>
      <c r="AC17" s="129">
        <f>SUM(AC3:AC15)</f>
        <v>19854.220000000008</v>
      </c>
      <c r="AD17" s="128">
        <f>AC17/Y17</f>
        <v>0.36106052488678575</v>
      </c>
      <c r="AE17" s="127">
        <f>SUM(AE3:AE15)</f>
        <v>4543.050000000002</v>
      </c>
      <c r="AF17" s="127">
        <f t="shared" ref="AF17:AL17" si="27">SUM(AF3:AF15)</f>
        <v>0</v>
      </c>
      <c r="AG17" s="127">
        <f t="shared" si="27"/>
        <v>4738</v>
      </c>
      <c r="AH17" s="127">
        <f t="shared" si="27"/>
        <v>0</v>
      </c>
      <c r="AI17" s="127">
        <f>SUM(AI3:AI15)</f>
        <v>1049.6300000000001</v>
      </c>
      <c r="AJ17" s="127">
        <f>SUM(AJ3:AJ15)</f>
        <v>0</v>
      </c>
      <c r="AK17" s="127">
        <f t="shared" si="27"/>
        <v>461.45629999999994</v>
      </c>
      <c r="AL17" s="127">
        <f t="shared" si="27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69"/>
      <c r="AG18" s="469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0"/>
      <c r="AG73" s="470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66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45</v>
      </c>
      <c r="R74" s="172">
        <f t="shared" si="55"/>
        <v>0</v>
      </c>
      <c r="S74" s="172">
        <f t="shared" si="55"/>
        <v>45</v>
      </c>
      <c r="T74" s="172">
        <f t="shared" si="55"/>
        <v>46145.63</v>
      </c>
      <c r="U74" s="172">
        <f t="shared" si="55"/>
        <v>0</v>
      </c>
      <c r="V74" s="172">
        <f t="shared" si="55"/>
        <v>46145.63</v>
      </c>
      <c r="W74" s="172">
        <f t="shared" si="55"/>
        <v>54988.62000000001</v>
      </c>
      <c r="X74" s="172">
        <f t="shared" si="55"/>
        <v>0</v>
      </c>
      <c r="Y74" s="172">
        <f t="shared" si="55"/>
        <v>54988.62000000001</v>
      </c>
      <c r="Z74" s="172">
        <f t="shared" si="55"/>
        <v>47981.62</v>
      </c>
      <c r="AA74" s="173">
        <f t="shared" si="55"/>
        <v>1</v>
      </c>
      <c r="AB74" s="174">
        <f t="shared" si="55"/>
        <v>5712.2100000000009</v>
      </c>
      <c r="AC74" s="172">
        <f t="shared" si="55"/>
        <v>19854.220000000008</v>
      </c>
      <c r="AD74" s="173">
        <f>AC74/Y74</f>
        <v>0.36106052488678575</v>
      </c>
      <c r="AE74" s="174">
        <f>AE17+AE72</f>
        <v>4543.050000000002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1049.6300000000001</v>
      </c>
      <c r="AJ74" s="172">
        <f>AJ17+AJ72</f>
        <v>0</v>
      </c>
      <c r="AK74" s="172">
        <f>AK17+AK72</f>
        <v>461.45629999999994</v>
      </c>
      <c r="AL74" s="172">
        <f>AL17+AL72</f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0">
        <f>AF18+AF73</f>
        <v>0</v>
      </c>
      <c r="AG75" s="470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Реклама</vt:lpstr>
      <vt:lpstr>Сводная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2026-03-23T10:13:58Z</dcterms:modified>
</cp:coreProperties>
</file>